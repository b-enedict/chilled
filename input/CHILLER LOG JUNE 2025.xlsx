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NEC-92090184\Desktop\DCP OFFICIAL\Load profile\CHILLER LOG\2025\"/>
    </mc:Choice>
  </mc:AlternateContent>
  <bookViews>
    <workbookView xWindow="13545" yWindow="30" windowWidth="13635" windowHeight="12180" firstSheet="4" activeTab="28"/>
  </bookViews>
  <sheets>
    <sheet name="1" sheetId="2" r:id="rId1"/>
    <sheet name="2" sheetId="3" r:id="rId2"/>
    <sheet name="3" sheetId="4" r:id="rId3"/>
    <sheet name="4" sheetId="5" r:id="rId4"/>
    <sheet name="5" sheetId="6" r:id="rId5"/>
    <sheet name="6" sheetId="7" r:id="rId6"/>
    <sheet name="7" sheetId="8" r:id="rId7"/>
    <sheet name="8" sheetId="9" r:id="rId8"/>
    <sheet name="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9" r:id="rId27"/>
    <sheet name="28" sheetId="30" r:id="rId28"/>
    <sheet name="29" sheetId="32" r:id="rId29"/>
    <sheet name="30" sheetId="31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2" i="32" l="1"/>
  <c r="P44" i="32" s="1"/>
  <c r="N42" i="32"/>
  <c r="N44" i="32" s="1"/>
  <c r="L42" i="32"/>
  <c r="L44" i="32" s="1"/>
  <c r="J42" i="32"/>
  <c r="J44" i="32" s="1"/>
  <c r="H42" i="32"/>
  <c r="H44" i="32" s="1"/>
  <c r="F42" i="32"/>
  <c r="F44" i="32" s="1"/>
  <c r="P38" i="32"/>
  <c r="N38" i="32"/>
  <c r="L38" i="32"/>
  <c r="J38" i="32"/>
  <c r="F38" i="32"/>
  <c r="P34" i="32"/>
  <c r="N34" i="32"/>
  <c r="L34" i="32"/>
  <c r="P33" i="32"/>
  <c r="N33" i="32"/>
  <c r="L33" i="32"/>
  <c r="J33" i="32"/>
  <c r="J34" i="32" s="1"/>
  <c r="H33" i="32"/>
  <c r="H34" i="32" s="1"/>
  <c r="F33" i="32"/>
  <c r="F34" i="32" s="1"/>
  <c r="P29" i="32"/>
  <c r="N29" i="32"/>
  <c r="L29" i="32"/>
  <c r="J29" i="32"/>
  <c r="H29" i="32"/>
  <c r="F29" i="32"/>
  <c r="G29" i="21"/>
  <c r="H29" i="21"/>
  <c r="I29" i="21"/>
  <c r="J29" i="21"/>
  <c r="K29" i="21"/>
  <c r="L29" i="21"/>
  <c r="M29" i="21"/>
  <c r="N29" i="21"/>
  <c r="O29" i="21"/>
  <c r="P29" i="21"/>
  <c r="Q29" i="21"/>
  <c r="G33" i="21"/>
  <c r="H33" i="21"/>
  <c r="I33" i="21"/>
  <c r="I34" i="21" s="1"/>
  <c r="J33" i="21"/>
  <c r="J34" i="21" s="1"/>
  <c r="K33" i="21"/>
  <c r="K34" i="21" s="1"/>
  <c r="L33" i="21"/>
  <c r="L34" i="21" s="1"/>
  <c r="M33" i="21"/>
  <c r="M34" i="21" s="1"/>
  <c r="N33" i="21"/>
  <c r="N34" i="21" s="1"/>
  <c r="O33" i="21"/>
  <c r="O34" i="21" s="1"/>
  <c r="P33" i="21"/>
  <c r="P34" i="21" s="1"/>
  <c r="Q33" i="21"/>
  <c r="Q34" i="21" s="1"/>
  <c r="G34" i="21"/>
  <c r="H34" i="21"/>
  <c r="G38" i="21"/>
  <c r="H38" i="21"/>
  <c r="I38" i="21"/>
  <c r="J38" i="21"/>
  <c r="K38" i="21"/>
  <c r="L38" i="21"/>
  <c r="M38" i="21"/>
  <c r="N38" i="21"/>
  <c r="O38" i="21"/>
  <c r="P38" i="21"/>
  <c r="Q38" i="21"/>
  <c r="G44" i="21"/>
  <c r="H44" i="21"/>
  <c r="I44" i="21"/>
  <c r="J44" i="21"/>
  <c r="K44" i="21"/>
  <c r="L44" i="21"/>
  <c r="M44" i="21"/>
  <c r="N44" i="21"/>
  <c r="O44" i="21"/>
  <c r="P44" i="21"/>
  <c r="Q44" i="21"/>
  <c r="G42" i="21"/>
  <c r="H42" i="21"/>
  <c r="I42" i="21"/>
  <c r="J42" i="21"/>
  <c r="K42" i="21"/>
  <c r="L42" i="21"/>
  <c r="M42" i="21"/>
  <c r="N42" i="21"/>
  <c r="O42" i="21"/>
  <c r="P42" i="21"/>
  <c r="Q42" i="21"/>
  <c r="J42" i="31" l="1"/>
  <c r="J44" i="31" s="1"/>
  <c r="J38" i="31"/>
  <c r="J33" i="31"/>
  <c r="J34" i="31" s="1"/>
  <c r="J29" i="31"/>
  <c r="L42" i="31"/>
  <c r="L44" i="31" s="1"/>
  <c r="L38" i="31"/>
  <c r="L33" i="31"/>
  <c r="L34" i="31" s="1"/>
  <c r="L29" i="31"/>
  <c r="F44" i="31" l="1"/>
  <c r="Q42" i="31"/>
  <c r="Q44" i="31" s="1"/>
  <c r="P42" i="31"/>
  <c r="P44" i="31" s="1"/>
  <c r="O42" i="31"/>
  <c r="O44" i="31" s="1"/>
  <c r="M42" i="31"/>
  <c r="M44" i="31" s="1"/>
  <c r="K42" i="31"/>
  <c r="K44" i="31" s="1"/>
  <c r="I42" i="31"/>
  <c r="I44" i="31" s="1"/>
  <c r="G42" i="31"/>
  <c r="G44" i="31" s="1"/>
  <c r="F42" i="31"/>
  <c r="Q38" i="31"/>
  <c r="P38" i="31"/>
  <c r="O38" i="31"/>
  <c r="M38" i="31"/>
  <c r="K38" i="31"/>
  <c r="I38" i="31"/>
  <c r="G38" i="31"/>
  <c r="F38" i="31"/>
  <c r="Q33" i="31"/>
  <c r="Q34" i="31" s="1"/>
  <c r="P33" i="31"/>
  <c r="P34" i="31" s="1"/>
  <c r="O33" i="31"/>
  <c r="O34" i="31" s="1"/>
  <c r="M33" i="31"/>
  <c r="M34" i="31" s="1"/>
  <c r="K33" i="31"/>
  <c r="K34" i="31" s="1"/>
  <c r="I33" i="31"/>
  <c r="I34" i="31" s="1"/>
  <c r="G33" i="31"/>
  <c r="G34" i="31" s="1"/>
  <c r="F33" i="31"/>
  <c r="F34" i="31" s="1"/>
  <c r="Q29" i="31"/>
  <c r="P29" i="31"/>
  <c r="O29" i="31"/>
  <c r="M29" i="31"/>
  <c r="K29" i="31"/>
  <c r="I29" i="31"/>
  <c r="G29" i="31"/>
  <c r="F29" i="31"/>
  <c r="P42" i="30" l="1"/>
  <c r="P44" i="30" s="1"/>
  <c r="N42" i="30"/>
  <c r="N44" i="30" s="1"/>
  <c r="L42" i="30"/>
  <c r="L44" i="30" s="1"/>
  <c r="J42" i="30"/>
  <c r="J44" i="30" s="1"/>
  <c r="H42" i="30"/>
  <c r="H44" i="30" s="1"/>
  <c r="F42" i="30"/>
  <c r="F44" i="30" s="1"/>
  <c r="P38" i="30"/>
  <c r="N38" i="30"/>
  <c r="L38" i="30"/>
  <c r="J38" i="30"/>
  <c r="F38" i="30"/>
  <c r="P33" i="30"/>
  <c r="P34" i="30" s="1"/>
  <c r="N33" i="30"/>
  <c r="N34" i="30" s="1"/>
  <c r="L33" i="30"/>
  <c r="L34" i="30" s="1"/>
  <c r="J33" i="30"/>
  <c r="J34" i="30" s="1"/>
  <c r="H33" i="30"/>
  <c r="H34" i="30" s="1"/>
  <c r="F33" i="30"/>
  <c r="F34" i="30" s="1"/>
  <c r="P29" i="30"/>
  <c r="N29" i="30"/>
  <c r="L29" i="30"/>
  <c r="J29" i="30"/>
  <c r="H29" i="30"/>
  <c r="F29" i="30"/>
  <c r="G44" i="29" l="1"/>
  <c r="F44" i="29"/>
  <c r="Q42" i="29"/>
  <c r="Q44" i="29" s="1"/>
  <c r="P42" i="29"/>
  <c r="P44" i="29" s="1"/>
  <c r="O42" i="29"/>
  <c r="O44" i="29" s="1"/>
  <c r="N42" i="29"/>
  <c r="N44" i="29" s="1"/>
  <c r="M42" i="29"/>
  <c r="M44" i="29" s="1"/>
  <c r="L42" i="29"/>
  <c r="L44" i="29" s="1"/>
  <c r="K42" i="29"/>
  <c r="K44" i="29" s="1"/>
  <c r="J42" i="29"/>
  <c r="J44" i="29" s="1"/>
  <c r="I42" i="29"/>
  <c r="I44" i="29" s="1"/>
  <c r="H42" i="29"/>
  <c r="H44" i="29" s="1"/>
  <c r="G42" i="29"/>
  <c r="F42" i="29"/>
  <c r="Q38" i="29"/>
  <c r="P38" i="29"/>
  <c r="O38" i="29"/>
  <c r="N38" i="29"/>
  <c r="M38" i="29"/>
  <c r="L38" i="29"/>
  <c r="K38" i="29"/>
  <c r="J38" i="29"/>
  <c r="I38" i="29"/>
  <c r="G38" i="29"/>
  <c r="F38" i="29"/>
  <c r="Q34" i="29"/>
  <c r="P34" i="29"/>
  <c r="O34" i="29"/>
  <c r="N34" i="29"/>
  <c r="M34" i="29"/>
  <c r="Q33" i="29"/>
  <c r="P33" i="29"/>
  <c r="O33" i="29"/>
  <c r="N33" i="29"/>
  <c r="M33" i="29"/>
  <c r="L33" i="29"/>
  <c r="L34" i="29" s="1"/>
  <c r="K33" i="29"/>
  <c r="K34" i="29" s="1"/>
  <c r="J33" i="29"/>
  <c r="J34" i="29" s="1"/>
  <c r="I33" i="29"/>
  <c r="I34" i="29" s="1"/>
  <c r="H33" i="29"/>
  <c r="H34" i="29" s="1"/>
  <c r="G33" i="29"/>
  <c r="G34" i="29" s="1"/>
  <c r="F33" i="29"/>
  <c r="F34" i="29" s="1"/>
  <c r="Q29" i="29"/>
  <c r="P29" i="29"/>
  <c r="O29" i="29"/>
  <c r="N29" i="29"/>
  <c r="M29" i="29"/>
  <c r="L29" i="29"/>
  <c r="K29" i="29"/>
  <c r="J29" i="29"/>
  <c r="I29" i="29"/>
  <c r="H29" i="29"/>
  <c r="G29" i="29"/>
  <c r="F29" i="29"/>
  <c r="Q42" i="27" l="1"/>
  <c r="Q44" i="27" s="1"/>
  <c r="P42" i="27"/>
  <c r="P44" i="27" s="1"/>
  <c r="O42" i="27"/>
  <c r="O44" i="27" s="1"/>
  <c r="N42" i="27"/>
  <c r="N44" i="27" s="1"/>
  <c r="M42" i="27"/>
  <c r="M44" i="27" s="1"/>
  <c r="L42" i="27"/>
  <c r="L44" i="27" s="1"/>
  <c r="K42" i="27"/>
  <c r="K44" i="27" s="1"/>
  <c r="J42" i="27"/>
  <c r="J44" i="27" s="1"/>
  <c r="I42" i="27"/>
  <c r="I44" i="27" s="1"/>
  <c r="H42" i="27"/>
  <c r="H44" i="27" s="1"/>
  <c r="G42" i="27"/>
  <c r="G44" i="27" s="1"/>
  <c r="F42" i="27"/>
  <c r="F44" i="27" s="1"/>
  <c r="Q38" i="27"/>
  <c r="P38" i="27"/>
  <c r="O38" i="27"/>
  <c r="N38" i="27"/>
  <c r="M38" i="27"/>
  <c r="L38" i="27"/>
  <c r="K38" i="27"/>
  <c r="J38" i="27"/>
  <c r="I38" i="27"/>
  <c r="H38" i="27"/>
  <c r="G38" i="27"/>
  <c r="F38" i="27"/>
  <c r="Q33" i="27"/>
  <c r="Q34" i="27" s="1"/>
  <c r="P33" i="27"/>
  <c r="P34" i="27" s="1"/>
  <c r="O33" i="27"/>
  <c r="O34" i="27" s="1"/>
  <c r="N33" i="27"/>
  <c r="N34" i="27" s="1"/>
  <c r="M33" i="27"/>
  <c r="M34" i="27" s="1"/>
  <c r="L33" i="27"/>
  <c r="L34" i="27" s="1"/>
  <c r="K33" i="27"/>
  <c r="K34" i="27" s="1"/>
  <c r="J33" i="27"/>
  <c r="J34" i="27" s="1"/>
  <c r="I33" i="27"/>
  <c r="I34" i="27" s="1"/>
  <c r="H33" i="27"/>
  <c r="H34" i="27" s="1"/>
  <c r="G33" i="27"/>
  <c r="G34" i="27" s="1"/>
  <c r="F33" i="27"/>
  <c r="F34" i="27" s="1"/>
  <c r="Q29" i="27"/>
  <c r="P29" i="27"/>
  <c r="O29" i="27"/>
  <c r="N29" i="27"/>
  <c r="M29" i="27"/>
  <c r="L29" i="27"/>
  <c r="K29" i="27"/>
  <c r="J29" i="27"/>
  <c r="I29" i="27"/>
  <c r="H29" i="27"/>
  <c r="G29" i="27"/>
  <c r="F29" i="27"/>
  <c r="P44" i="26" l="1"/>
  <c r="J42" i="26"/>
  <c r="I44" i="26" l="1"/>
  <c r="H44" i="26"/>
  <c r="G44" i="26"/>
  <c r="F44" i="26"/>
  <c r="Q42" i="26"/>
  <c r="Q44" i="26" s="1"/>
  <c r="P42" i="26"/>
  <c r="O42" i="26"/>
  <c r="O44" i="26" s="1"/>
  <c r="N42" i="26"/>
  <c r="N44" i="26" s="1"/>
  <c r="M42" i="26"/>
  <c r="M44" i="26" s="1"/>
  <c r="L42" i="26"/>
  <c r="L44" i="26" s="1"/>
  <c r="K42" i="26"/>
  <c r="K44" i="26" s="1"/>
  <c r="J44" i="26"/>
  <c r="I42" i="26"/>
  <c r="H42" i="26"/>
  <c r="G42" i="26"/>
  <c r="F42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Q34" i="26"/>
  <c r="O34" i="26"/>
  <c r="Q33" i="26"/>
  <c r="P33" i="26"/>
  <c r="P34" i="26" s="1"/>
  <c r="O33" i="26"/>
  <c r="N33" i="26"/>
  <c r="N34" i="26" s="1"/>
  <c r="M33" i="26"/>
  <c r="M34" i="26" s="1"/>
  <c r="L33" i="26"/>
  <c r="L34" i="26" s="1"/>
  <c r="K33" i="26"/>
  <c r="K34" i="26" s="1"/>
  <c r="J33" i="26"/>
  <c r="J34" i="26" s="1"/>
  <c r="I33" i="26"/>
  <c r="I34" i="26" s="1"/>
  <c r="H33" i="26"/>
  <c r="H34" i="26" s="1"/>
  <c r="G33" i="26"/>
  <c r="G34" i="26" s="1"/>
  <c r="F33" i="26"/>
  <c r="F34" i="26" s="1"/>
  <c r="Q29" i="26"/>
  <c r="P29" i="26"/>
  <c r="O29" i="26"/>
  <c r="N29" i="26"/>
  <c r="M29" i="26"/>
  <c r="L29" i="26"/>
  <c r="K29" i="26"/>
  <c r="J29" i="26"/>
  <c r="I29" i="26"/>
  <c r="H29" i="26"/>
  <c r="G29" i="26"/>
  <c r="F29" i="26"/>
  <c r="H44" i="25" l="1"/>
  <c r="Q42" i="25"/>
  <c r="Q44" i="25" s="1"/>
  <c r="P42" i="25"/>
  <c r="P44" i="25" s="1"/>
  <c r="O42" i="25"/>
  <c r="O44" i="25" s="1"/>
  <c r="N42" i="25"/>
  <c r="N44" i="25" s="1"/>
  <c r="M42" i="25"/>
  <c r="M44" i="25" s="1"/>
  <c r="L42" i="25"/>
  <c r="L44" i="25" s="1"/>
  <c r="K42" i="25"/>
  <c r="K44" i="25" s="1"/>
  <c r="J42" i="25"/>
  <c r="J44" i="25" s="1"/>
  <c r="I42" i="25"/>
  <c r="I44" i="25" s="1"/>
  <c r="H42" i="25"/>
  <c r="G42" i="25"/>
  <c r="G44" i="25" s="1"/>
  <c r="F42" i="25"/>
  <c r="F44" i="25" s="1"/>
  <c r="Q38" i="25"/>
  <c r="P38" i="25"/>
  <c r="O38" i="25"/>
  <c r="N38" i="25"/>
  <c r="M38" i="25"/>
  <c r="L38" i="25"/>
  <c r="K38" i="25"/>
  <c r="J38" i="25"/>
  <c r="I38" i="25"/>
  <c r="G38" i="25"/>
  <c r="F38" i="25"/>
  <c r="P34" i="25"/>
  <c r="Q33" i="25"/>
  <c r="Q34" i="25" s="1"/>
  <c r="P33" i="25"/>
  <c r="O33" i="25"/>
  <c r="O34" i="25" s="1"/>
  <c r="N33" i="25"/>
  <c r="N34" i="25" s="1"/>
  <c r="M33" i="25"/>
  <c r="M34" i="25" s="1"/>
  <c r="L33" i="25"/>
  <c r="L34" i="25" s="1"/>
  <c r="K33" i="25"/>
  <c r="K34" i="25" s="1"/>
  <c r="J33" i="25"/>
  <c r="J34" i="25" s="1"/>
  <c r="I33" i="25"/>
  <c r="I34" i="25" s="1"/>
  <c r="H33" i="25"/>
  <c r="H34" i="25" s="1"/>
  <c r="G33" i="25"/>
  <c r="G34" i="25" s="1"/>
  <c r="F33" i="25"/>
  <c r="F34" i="25" s="1"/>
  <c r="Q29" i="25"/>
  <c r="P29" i="25"/>
  <c r="O29" i="25"/>
  <c r="N29" i="25"/>
  <c r="M29" i="25"/>
  <c r="L29" i="25"/>
  <c r="K29" i="25"/>
  <c r="J29" i="25"/>
  <c r="I29" i="25"/>
  <c r="H29" i="25"/>
  <c r="G29" i="25"/>
  <c r="F29" i="25"/>
  <c r="H44" i="24" l="1"/>
  <c r="F44" i="24"/>
  <c r="Q42" i="24"/>
  <c r="Q44" i="24" s="1"/>
  <c r="P42" i="24"/>
  <c r="P44" i="24" s="1"/>
  <c r="O42" i="24"/>
  <c r="O44" i="24" s="1"/>
  <c r="N42" i="24"/>
  <c r="N44" i="24" s="1"/>
  <c r="M42" i="24"/>
  <c r="M44" i="24" s="1"/>
  <c r="L42" i="24"/>
  <c r="L44" i="24" s="1"/>
  <c r="K42" i="24"/>
  <c r="K44" i="24" s="1"/>
  <c r="J42" i="24"/>
  <c r="J44" i="24" s="1"/>
  <c r="I42" i="24"/>
  <c r="I44" i="24" s="1"/>
  <c r="H42" i="24"/>
  <c r="G42" i="24"/>
  <c r="G44" i="24" s="1"/>
  <c r="F42" i="24"/>
  <c r="Q38" i="24"/>
  <c r="P38" i="24"/>
  <c r="O38" i="24"/>
  <c r="N38" i="24"/>
  <c r="M38" i="24"/>
  <c r="L38" i="24"/>
  <c r="K38" i="24"/>
  <c r="J38" i="24"/>
  <c r="I38" i="24"/>
  <c r="G38" i="24"/>
  <c r="F38" i="24"/>
  <c r="P34" i="24"/>
  <c r="Q33" i="24"/>
  <c r="Q34" i="24" s="1"/>
  <c r="P33" i="24"/>
  <c r="O33" i="24"/>
  <c r="O34" i="24" s="1"/>
  <c r="N33" i="24"/>
  <c r="N34" i="24" s="1"/>
  <c r="M33" i="24"/>
  <c r="M34" i="24" s="1"/>
  <c r="L33" i="24"/>
  <c r="L34" i="24" s="1"/>
  <c r="K33" i="24"/>
  <c r="K34" i="24" s="1"/>
  <c r="J33" i="24"/>
  <c r="J34" i="24" s="1"/>
  <c r="I33" i="24"/>
  <c r="I34" i="24" s="1"/>
  <c r="H33" i="24"/>
  <c r="H34" i="24" s="1"/>
  <c r="G33" i="24"/>
  <c r="G34" i="24" s="1"/>
  <c r="F33" i="24"/>
  <c r="F34" i="24" s="1"/>
  <c r="Q29" i="24"/>
  <c r="P29" i="24"/>
  <c r="O29" i="24"/>
  <c r="N29" i="24"/>
  <c r="M29" i="24"/>
  <c r="L29" i="24"/>
  <c r="K29" i="24"/>
  <c r="J29" i="24"/>
  <c r="I29" i="24"/>
  <c r="H29" i="24"/>
  <c r="G29" i="24"/>
  <c r="F29" i="24"/>
  <c r="Q42" i="23" l="1"/>
  <c r="Q44" i="23" s="1"/>
  <c r="P42" i="23"/>
  <c r="P44" i="23" s="1"/>
  <c r="O42" i="23"/>
  <c r="O44" i="23" s="1"/>
  <c r="N42" i="23"/>
  <c r="N44" i="23" s="1"/>
  <c r="M42" i="23"/>
  <c r="M44" i="23" s="1"/>
  <c r="K42" i="23"/>
  <c r="K44" i="23" s="1"/>
  <c r="J42" i="23"/>
  <c r="J44" i="23" s="1"/>
  <c r="I42" i="23"/>
  <c r="I44" i="23" s="1"/>
  <c r="H42" i="23"/>
  <c r="H44" i="23" s="1"/>
  <c r="G42" i="23"/>
  <c r="G44" i="23" s="1"/>
  <c r="Q38" i="23"/>
  <c r="P38" i="23"/>
  <c r="O38" i="23"/>
  <c r="N38" i="23"/>
  <c r="M38" i="23"/>
  <c r="K38" i="23"/>
  <c r="J38" i="23"/>
  <c r="I38" i="23"/>
  <c r="G38" i="23"/>
  <c r="Q33" i="23"/>
  <c r="Q34" i="23" s="1"/>
  <c r="P33" i="23"/>
  <c r="P34" i="23" s="1"/>
  <c r="O33" i="23"/>
  <c r="O34" i="23" s="1"/>
  <c r="N33" i="23"/>
  <c r="N34" i="23" s="1"/>
  <c r="M33" i="23"/>
  <c r="M34" i="23" s="1"/>
  <c r="K33" i="23"/>
  <c r="K34" i="23" s="1"/>
  <c r="J33" i="23"/>
  <c r="J34" i="23" s="1"/>
  <c r="I33" i="23"/>
  <c r="I34" i="23" s="1"/>
  <c r="H33" i="23"/>
  <c r="H34" i="23" s="1"/>
  <c r="G33" i="23"/>
  <c r="G34" i="23" s="1"/>
  <c r="Q29" i="23"/>
  <c r="P29" i="23"/>
  <c r="O29" i="23"/>
  <c r="N29" i="23"/>
  <c r="M29" i="23"/>
  <c r="K29" i="23"/>
  <c r="J29" i="23"/>
  <c r="I29" i="23"/>
  <c r="H29" i="23"/>
  <c r="G29" i="23"/>
  <c r="N42" i="22" l="1"/>
  <c r="N44" i="22" s="1"/>
  <c r="N38" i="22"/>
  <c r="N33" i="22"/>
  <c r="N34" i="22" s="1"/>
  <c r="N29" i="22"/>
  <c r="J42" i="22"/>
  <c r="J44" i="22" s="1"/>
  <c r="J38" i="22"/>
  <c r="J33" i="22"/>
  <c r="J34" i="22" s="1"/>
  <c r="J29" i="22"/>
  <c r="H44" i="22" l="1"/>
  <c r="Q42" i="22"/>
  <c r="Q44" i="22" s="1"/>
  <c r="P42" i="22"/>
  <c r="P44" i="22" s="1"/>
  <c r="O42" i="22"/>
  <c r="O44" i="22" s="1"/>
  <c r="M42" i="22"/>
  <c r="M44" i="22" s="1"/>
  <c r="L42" i="22"/>
  <c r="L44" i="22" s="1"/>
  <c r="K42" i="22"/>
  <c r="K44" i="22" s="1"/>
  <c r="I42" i="22"/>
  <c r="I44" i="22" s="1"/>
  <c r="H42" i="22"/>
  <c r="G42" i="22"/>
  <c r="G44" i="22" s="1"/>
  <c r="F42" i="22"/>
  <c r="F44" i="22" s="1"/>
  <c r="Q38" i="22"/>
  <c r="P38" i="22"/>
  <c r="O38" i="22"/>
  <c r="M38" i="22"/>
  <c r="L38" i="22"/>
  <c r="K38" i="22"/>
  <c r="I38" i="22"/>
  <c r="G38" i="22"/>
  <c r="F38" i="22"/>
  <c r="P34" i="22"/>
  <c r="M34" i="22"/>
  <c r="Q33" i="22"/>
  <c r="Q34" i="22" s="1"/>
  <c r="P33" i="22"/>
  <c r="O33" i="22"/>
  <c r="O34" i="22" s="1"/>
  <c r="M33" i="22"/>
  <c r="L33" i="22"/>
  <c r="L34" i="22" s="1"/>
  <c r="K33" i="22"/>
  <c r="K34" i="22" s="1"/>
  <c r="I33" i="22"/>
  <c r="I34" i="22" s="1"/>
  <c r="H33" i="22"/>
  <c r="H34" i="22" s="1"/>
  <c r="G33" i="22"/>
  <c r="G34" i="22" s="1"/>
  <c r="F33" i="22"/>
  <c r="F34" i="22" s="1"/>
  <c r="Q29" i="22"/>
  <c r="P29" i="22"/>
  <c r="O29" i="22"/>
  <c r="M29" i="22"/>
  <c r="L29" i="22"/>
  <c r="K29" i="22"/>
  <c r="I29" i="22"/>
  <c r="H29" i="22"/>
  <c r="G29" i="22"/>
  <c r="F29" i="22"/>
  <c r="F42" i="21" l="1"/>
  <c r="F44" i="21" s="1"/>
  <c r="F38" i="21"/>
  <c r="F33" i="21"/>
  <c r="F34" i="21" s="1"/>
  <c r="F29" i="21"/>
  <c r="I44" i="20" l="1"/>
  <c r="H44" i="20"/>
  <c r="G44" i="20"/>
  <c r="Q42" i="20"/>
  <c r="Q44" i="20" s="1"/>
  <c r="P42" i="20"/>
  <c r="P44" i="20" s="1"/>
  <c r="O42" i="20"/>
  <c r="O44" i="20" s="1"/>
  <c r="N42" i="20"/>
  <c r="N44" i="20" s="1"/>
  <c r="M42" i="20"/>
  <c r="M44" i="20" s="1"/>
  <c r="L42" i="20"/>
  <c r="L44" i="20" s="1"/>
  <c r="K42" i="20"/>
  <c r="K44" i="20" s="1"/>
  <c r="J42" i="20"/>
  <c r="J44" i="20" s="1"/>
  <c r="I42" i="20"/>
  <c r="H42" i="20"/>
  <c r="G42" i="20"/>
  <c r="F42" i="20"/>
  <c r="F44" i="20" s="1"/>
  <c r="Q38" i="20"/>
  <c r="P38" i="20"/>
  <c r="O38" i="20"/>
  <c r="N38" i="20"/>
  <c r="M38" i="20"/>
  <c r="L38" i="20"/>
  <c r="K38" i="20"/>
  <c r="J38" i="20"/>
  <c r="I38" i="20"/>
  <c r="H38" i="20"/>
  <c r="G38" i="20"/>
  <c r="F38" i="20"/>
  <c r="Q34" i="20"/>
  <c r="P34" i="20"/>
  <c r="O34" i="20"/>
  <c r="Q33" i="20"/>
  <c r="P33" i="20"/>
  <c r="O33" i="20"/>
  <c r="N33" i="20"/>
  <c r="N34" i="20" s="1"/>
  <c r="M33" i="20"/>
  <c r="M34" i="20" s="1"/>
  <c r="L33" i="20"/>
  <c r="L34" i="20" s="1"/>
  <c r="K33" i="20"/>
  <c r="K34" i="20" s="1"/>
  <c r="J33" i="20"/>
  <c r="J34" i="20" s="1"/>
  <c r="I33" i="20"/>
  <c r="I34" i="20" s="1"/>
  <c r="H33" i="20"/>
  <c r="H34" i="20" s="1"/>
  <c r="G33" i="20"/>
  <c r="G34" i="20" s="1"/>
  <c r="F33" i="20"/>
  <c r="F34" i="20" s="1"/>
  <c r="Q29" i="20"/>
  <c r="P29" i="20"/>
  <c r="O29" i="20"/>
  <c r="N29" i="20"/>
  <c r="M29" i="20"/>
  <c r="L29" i="20"/>
  <c r="K29" i="20"/>
  <c r="J29" i="20"/>
  <c r="I29" i="20"/>
  <c r="H29" i="20"/>
  <c r="G29" i="20"/>
  <c r="F29" i="20"/>
  <c r="O44" i="19" l="1"/>
  <c r="H38" i="19"/>
  <c r="I38" i="19"/>
  <c r="H44" i="19"/>
  <c r="F44" i="19"/>
  <c r="Q42" i="19"/>
  <c r="Q44" i="19" s="1"/>
  <c r="P42" i="19"/>
  <c r="P44" i="19" s="1"/>
  <c r="O42" i="19"/>
  <c r="N42" i="19"/>
  <c r="N44" i="19" s="1"/>
  <c r="M42" i="19"/>
  <c r="M44" i="19" s="1"/>
  <c r="L42" i="19"/>
  <c r="L44" i="19" s="1"/>
  <c r="K42" i="19"/>
  <c r="K44" i="19" s="1"/>
  <c r="J42" i="19"/>
  <c r="J44" i="19" s="1"/>
  <c r="I42" i="19"/>
  <c r="I44" i="19" s="1"/>
  <c r="H42" i="19"/>
  <c r="G42" i="19"/>
  <c r="G44" i="19" s="1"/>
  <c r="F42" i="19"/>
  <c r="Q38" i="19"/>
  <c r="P38" i="19"/>
  <c r="O38" i="19"/>
  <c r="N38" i="19"/>
  <c r="M38" i="19"/>
  <c r="L38" i="19"/>
  <c r="K38" i="19"/>
  <c r="J38" i="19"/>
  <c r="G38" i="19"/>
  <c r="F38" i="19"/>
  <c r="Q33" i="19"/>
  <c r="Q34" i="19" s="1"/>
  <c r="P33" i="19"/>
  <c r="P34" i="19" s="1"/>
  <c r="O33" i="19"/>
  <c r="O34" i="19" s="1"/>
  <c r="N33" i="19"/>
  <c r="N34" i="19" s="1"/>
  <c r="M33" i="19"/>
  <c r="M34" i="19" s="1"/>
  <c r="L33" i="19"/>
  <c r="L34" i="19" s="1"/>
  <c r="K33" i="19"/>
  <c r="K34" i="19" s="1"/>
  <c r="J33" i="19"/>
  <c r="J34" i="19" s="1"/>
  <c r="I33" i="19"/>
  <c r="I34" i="19" s="1"/>
  <c r="H33" i="19"/>
  <c r="H34" i="19" s="1"/>
  <c r="G33" i="19"/>
  <c r="G34" i="19" s="1"/>
  <c r="F33" i="19"/>
  <c r="F34" i="19" s="1"/>
  <c r="Q29" i="19"/>
  <c r="P29" i="19"/>
  <c r="O29" i="19"/>
  <c r="N29" i="19"/>
  <c r="M29" i="19"/>
  <c r="L29" i="19"/>
  <c r="K29" i="19"/>
  <c r="J29" i="19"/>
  <c r="I29" i="19"/>
  <c r="H29" i="19"/>
  <c r="G29" i="19"/>
  <c r="F29" i="19"/>
  <c r="H44" i="18" l="1"/>
  <c r="F44" i="18"/>
  <c r="Q42" i="18"/>
  <c r="Q44" i="18" s="1"/>
  <c r="P42" i="18"/>
  <c r="P44" i="18" s="1"/>
  <c r="O42" i="18"/>
  <c r="O44" i="18" s="1"/>
  <c r="N42" i="18"/>
  <c r="N44" i="18" s="1"/>
  <c r="M42" i="18"/>
  <c r="M44" i="18" s="1"/>
  <c r="L42" i="18"/>
  <c r="L44" i="18" s="1"/>
  <c r="K42" i="18"/>
  <c r="K44" i="18" s="1"/>
  <c r="J42" i="18"/>
  <c r="J44" i="18" s="1"/>
  <c r="I42" i="18"/>
  <c r="I44" i="18" s="1"/>
  <c r="H42" i="18"/>
  <c r="G42" i="18"/>
  <c r="G44" i="18" s="1"/>
  <c r="F42" i="18"/>
  <c r="Q38" i="18"/>
  <c r="P38" i="18"/>
  <c r="O38" i="18"/>
  <c r="N38" i="18"/>
  <c r="M38" i="18"/>
  <c r="L38" i="18"/>
  <c r="K38" i="18"/>
  <c r="J38" i="18"/>
  <c r="I38" i="18"/>
  <c r="G38" i="18"/>
  <c r="F38" i="18"/>
  <c r="Q34" i="18"/>
  <c r="P34" i="18"/>
  <c r="O34" i="18"/>
  <c r="N34" i="18"/>
  <c r="M34" i="18"/>
  <c r="Q33" i="18"/>
  <c r="P33" i="18"/>
  <c r="O33" i="18"/>
  <c r="N33" i="18"/>
  <c r="M33" i="18"/>
  <c r="L33" i="18"/>
  <c r="L34" i="18" s="1"/>
  <c r="K33" i="18"/>
  <c r="K34" i="18" s="1"/>
  <c r="J33" i="18"/>
  <c r="J34" i="18" s="1"/>
  <c r="I33" i="18"/>
  <c r="I34" i="18" s="1"/>
  <c r="H33" i="18"/>
  <c r="H34" i="18" s="1"/>
  <c r="G33" i="18"/>
  <c r="G34" i="18" s="1"/>
  <c r="F33" i="18"/>
  <c r="F34" i="18" s="1"/>
  <c r="Q29" i="18"/>
  <c r="P29" i="18"/>
  <c r="O29" i="18"/>
  <c r="N29" i="18"/>
  <c r="M29" i="18"/>
  <c r="L29" i="18"/>
  <c r="K29" i="18"/>
  <c r="J29" i="18"/>
  <c r="I29" i="18"/>
  <c r="H29" i="18"/>
  <c r="G29" i="18"/>
  <c r="F29" i="18"/>
  <c r="Q42" i="17" l="1"/>
  <c r="Q44" i="17" s="1"/>
  <c r="P42" i="17"/>
  <c r="P44" i="17" s="1"/>
  <c r="O42" i="17"/>
  <c r="O44" i="17" s="1"/>
  <c r="N42" i="17"/>
  <c r="N44" i="17" s="1"/>
  <c r="M42" i="17"/>
  <c r="M44" i="17" s="1"/>
  <c r="L42" i="17"/>
  <c r="L44" i="17" s="1"/>
  <c r="K42" i="17"/>
  <c r="K44" i="17" s="1"/>
  <c r="J42" i="17"/>
  <c r="J44" i="17" s="1"/>
  <c r="I42" i="17"/>
  <c r="I44" i="17" s="1"/>
  <c r="H42" i="17"/>
  <c r="H44" i="17" s="1"/>
  <c r="G42" i="17"/>
  <c r="G44" i="17" s="1"/>
  <c r="F42" i="17"/>
  <c r="F44" i="17" s="1"/>
  <c r="Q38" i="17"/>
  <c r="P38" i="17"/>
  <c r="O38" i="17"/>
  <c r="N38" i="17"/>
  <c r="M38" i="17"/>
  <c r="L38" i="17"/>
  <c r="K38" i="17"/>
  <c r="J38" i="17"/>
  <c r="I38" i="17"/>
  <c r="G38" i="17"/>
  <c r="F38" i="17"/>
  <c r="Q33" i="17"/>
  <c r="Q34" i="17" s="1"/>
  <c r="P33" i="17"/>
  <c r="P34" i="17" s="1"/>
  <c r="O33" i="17"/>
  <c r="O34" i="17" s="1"/>
  <c r="N33" i="17"/>
  <c r="N34" i="17" s="1"/>
  <c r="M33" i="17"/>
  <c r="M34" i="17" s="1"/>
  <c r="L33" i="17"/>
  <c r="L34" i="17" s="1"/>
  <c r="K33" i="17"/>
  <c r="K34" i="17" s="1"/>
  <c r="J33" i="17"/>
  <c r="J34" i="17" s="1"/>
  <c r="I33" i="17"/>
  <c r="I34" i="17" s="1"/>
  <c r="H33" i="17"/>
  <c r="H34" i="17" s="1"/>
  <c r="G33" i="17"/>
  <c r="G34" i="17" s="1"/>
  <c r="F33" i="17"/>
  <c r="F34" i="17" s="1"/>
  <c r="Q29" i="17"/>
  <c r="P29" i="17"/>
  <c r="O29" i="17"/>
  <c r="N29" i="17"/>
  <c r="M29" i="17"/>
  <c r="L29" i="17"/>
  <c r="K29" i="17"/>
  <c r="J29" i="17"/>
  <c r="I29" i="17"/>
  <c r="H29" i="17"/>
  <c r="G29" i="17"/>
  <c r="F29" i="17"/>
  <c r="I44" i="16" l="1"/>
  <c r="G44" i="16"/>
  <c r="F44" i="16"/>
  <c r="Q42" i="16"/>
  <c r="Q44" i="16" s="1"/>
  <c r="P42" i="16"/>
  <c r="P44" i="16" s="1"/>
  <c r="O42" i="16"/>
  <c r="O44" i="16" s="1"/>
  <c r="N42" i="16"/>
  <c r="N44" i="16" s="1"/>
  <c r="M42" i="16"/>
  <c r="M44" i="16" s="1"/>
  <c r="L42" i="16"/>
  <c r="L44" i="16" s="1"/>
  <c r="K42" i="16"/>
  <c r="K44" i="16" s="1"/>
  <c r="J42" i="16"/>
  <c r="J44" i="16" s="1"/>
  <c r="I42" i="16"/>
  <c r="H42" i="16"/>
  <c r="H44" i="16" s="1"/>
  <c r="G42" i="16"/>
  <c r="F42" i="16"/>
  <c r="Q38" i="16"/>
  <c r="P38" i="16"/>
  <c r="O38" i="16"/>
  <c r="N38" i="16"/>
  <c r="M38" i="16"/>
  <c r="L38" i="16"/>
  <c r="K38" i="16"/>
  <c r="J38" i="16"/>
  <c r="I38" i="16"/>
  <c r="G38" i="16"/>
  <c r="F38" i="16"/>
  <c r="Q34" i="16"/>
  <c r="P34" i="16"/>
  <c r="O34" i="16"/>
  <c r="N34" i="16"/>
  <c r="M34" i="16"/>
  <c r="Q33" i="16"/>
  <c r="P33" i="16"/>
  <c r="O33" i="16"/>
  <c r="N33" i="16"/>
  <c r="M33" i="16"/>
  <c r="L33" i="16"/>
  <c r="L34" i="16" s="1"/>
  <c r="K33" i="16"/>
  <c r="K34" i="16" s="1"/>
  <c r="J33" i="16"/>
  <c r="J34" i="16" s="1"/>
  <c r="I33" i="16"/>
  <c r="I34" i="16" s="1"/>
  <c r="H33" i="16"/>
  <c r="H34" i="16" s="1"/>
  <c r="G33" i="16"/>
  <c r="G34" i="16" s="1"/>
  <c r="F33" i="16"/>
  <c r="F34" i="16" s="1"/>
  <c r="Q29" i="16"/>
  <c r="P29" i="16"/>
  <c r="O29" i="16"/>
  <c r="N29" i="16"/>
  <c r="M29" i="16"/>
  <c r="L29" i="16"/>
  <c r="K29" i="16"/>
  <c r="J29" i="16"/>
  <c r="I29" i="16"/>
  <c r="H29" i="16"/>
  <c r="G29" i="16"/>
  <c r="F29" i="16"/>
  <c r="Q42" i="15" l="1"/>
  <c r="Q44" i="15" s="1"/>
  <c r="P42" i="15"/>
  <c r="P44" i="15" s="1"/>
  <c r="O42" i="15"/>
  <c r="O44" i="15" s="1"/>
  <c r="N42" i="15"/>
  <c r="N44" i="15" s="1"/>
  <c r="M42" i="15"/>
  <c r="M44" i="15" s="1"/>
  <c r="K42" i="15"/>
  <c r="K44" i="15" s="1"/>
  <c r="J42" i="15"/>
  <c r="J44" i="15" s="1"/>
  <c r="I42" i="15"/>
  <c r="I44" i="15" s="1"/>
  <c r="H42" i="15"/>
  <c r="H44" i="15" s="1"/>
  <c r="G42" i="15"/>
  <c r="G44" i="15" s="1"/>
  <c r="Q38" i="15"/>
  <c r="P38" i="15"/>
  <c r="O38" i="15"/>
  <c r="N38" i="15"/>
  <c r="M38" i="15"/>
  <c r="K38" i="15"/>
  <c r="J38" i="15"/>
  <c r="I38" i="15"/>
  <c r="G38" i="15"/>
  <c r="Q33" i="15"/>
  <c r="Q34" i="15" s="1"/>
  <c r="P33" i="15"/>
  <c r="P34" i="15" s="1"/>
  <c r="O33" i="15"/>
  <c r="O34" i="15" s="1"/>
  <c r="N33" i="15"/>
  <c r="N34" i="15" s="1"/>
  <c r="M33" i="15"/>
  <c r="M34" i="15" s="1"/>
  <c r="K33" i="15"/>
  <c r="K34" i="15" s="1"/>
  <c r="J33" i="15"/>
  <c r="J34" i="15" s="1"/>
  <c r="I33" i="15"/>
  <c r="I34" i="15" s="1"/>
  <c r="H33" i="15"/>
  <c r="H34" i="15" s="1"/>
  <c r="G33" i="15"/>
  <c r="G34" i="15" s="1"/>
  <c r="Q29" i="15"/>
  <c r="P29" i="15"/>
  <c r="O29" i="15"/>
  <c r="N29" i="15"/>
  <c r="M29" i="15"/>
  <c r="K29" i="15"/>
  <c r="J29" i="15"/>
  <c r="I29" i="15"/>
  <c r="H29" i="15"/>
  <c r="G29" i="15"/>
  <c r="Q42" i="14" l="1"/>
  <c r="Q44" i="14" s="1"/>
  <c r="P42" i="14"/>
  <c r="P44" i="14" s="1"/>
  <c r="O42" i="14"/>
  <c r="O44" i="14" s="1"/>
  <c r="N42" i="14"/>
  <c r="N44" i="14" s="1"/>
  <c r="M42" i="14"/>
  <c r="M44" i="14" s="1"/>
  <c r="L42" i="14"/>
  <c r="L44" i="14" s="1"/>
  <c r="K42" i="14"/>
  <c r="K44" i="14" s="1"/>
  <c r="J42" i="14"/>
  <c r="J44" i="14" s="1"/>
  <c r="I42" i="14"/>
  <c r="I44" i="14" s="1"/>
  <c r="H42" i="14"/>
  <c r="H44" i="14" s="1"/>
  <c r="G42" i="14"/>
  <c r="G44" i="14" s="1"/>
  <c r="F42" i="14"/>
  <c r="F44" i="14" s="1"/>
  <c r="Q38" i="14"/>
  <c r="P38" i="14"/>
  <c r="O38" i="14"/>
  <c r="N38" i="14"/>
  <c r="M38" i="14"/>
  <c r="L38" i="14"/>
  <c r="K38" i="14"/>
  <c r="J38" i="14"/>
  <c r="I38" i="14"/>
  <c r="G38" i="14"/>
  <c r="F38" i="14"/>
  <c r="P34" i="14"/>
  <c r="Q33" i="14"/>
  <c r="Q34" i="14" s="1"/>
  <c r="P33" i="14"/>
  <c r="O33" i="14"/>
  <c r="O34" i="14" s="1"/>
  <c r="N33" i="14"/>
  <c r="N34" i="14" s="1"/>
  <c r="M33" i="14"/>
  <c r="M34" i="14" s="1"/>
  <c r="L33" i="14"/>
  <c r="L34" i="14" s="1"/>
  <c r="K33" i="14"/>
  <c r="K34" i="14" s="1"/>
  <c r="J33" i="14"/>
  <c r="J34" i="14" s="1"/>
  <c r="I33" i="14"/>
  <c r="I34" i="14" s="1"/>
  <c r="H33" i="14"/>
  <c r="H34" i="14" s="1"/>
  <c r="G33" i="14"/>
  <c r="G34" i="14" s="1"/>
  <c r="F33" i="14"/>
  <c r="F34" i="14" s="1"/>
  <c r="Q29" i="14"/>
  <c r="P29" i="14"/>
  <c r="O29" i="14"/>
  <c r="N29" i="14"/>
  <c r="M29" i="14"/>
  <c r="L29" i="14"/>
  <c r="K29" i="14"/>
  <c r="J29" i="14"/>
  <c r="I29" i="14"/>
  <c r="H29" i="14"/>
  <c r="G29" i="14"/>
  <c r="F29" i="14"/>
  <c r="J44" i="13" l="1"/>
  <c r="K44" i="13"/>
  <c r="L44" i="13"/>
  <c r="J42" i="13"/>
  <c r="K42" i="13"/>
  <c r="L42" i="13"/>
  <c r="J38" i="13"/>
  <c r="K38" i="13"/>
  <c r="L38" i="13"/>
  <c r="J34" i="13"/>
  <c r="K34" i="13"/>
  <c r="L34" i="13"/>
  <c r="J33" i="13"/>
  <c r="K33" i="13"/>
  <c r="L33" i="13"/>
  <c r="J29" i="13"/>
  <c r="K29" i="13"/>
  <c r="L29" i="13"/>
  <c r="I44" i="13"/>
  <c r="H44" i="13"/>
  <c r="G44" i="13"/>
  <c r="F44" i="13"/>
  <c r="Q42" i="13"/>
  <c r="Q44" i="13" s="1"/>
  <c r="P42" i="13"/>
  <c r="P44" i="13" s="1"/>
  <c r="O42" i="13"/>
  <c r="O44" i="13" s="1"/>
  <c r="N42" i="13"/>
  <c r="N44" i="13" s="1"/>
  <c r="M42" i="13"/>
  <c r="M44" i="13" s="1"/>
  <c r="I42" i="13"/>
  <c r="H42" i="13"/>
  <c r="G42" i="13"/>
  <c r="F42" i="13"/>
  <c r="Q38" i="13"/>
  <c r="P38" i="13"/>
  <c r="O38" i="13"/>
  <c r="N38" i="13"/>
  <c r="M38" i="13"/>
  <c r="I38" i="13"/>
  <c r="H38" i="13"/>
  <c r="G38" i="13"/>
  <c r="F38" i="13"/>
  <c r="Q34" i="13"/>
  <c r="O34" i="13"/>
  <c r="Q33" i="13"/>
  <c r="P33" i="13"/>
  <c r="P34" i="13" s="1"/>
  <c r="O33" i="13"/>
  <c r="N33" i="13"/>
  <c r="N34" i="13" s="1"/>
  <c r="M33" i="13"/>
  <c r="M34" i="13" s="1"/>
  <c r="I33" i="13"/>
  <c r="I34" i="13" s="1"/>
  <c r="H33" i="13"/>
  <c r="H34" i="13" s="1"/>
  <c r="G33" i="13"/>
  <c r="G34" i="13" s="1"/>
  <c r="F33" i="13"/>
  <c r="F34" i="13" s="1"/>
  <c r="Q29" i="13"/>
  <c r="P29" i="13"/>
  <c r="O29" i="13"/>
  <c r="N29" i="13"/>
  <c r="M29" i="13"/>
  <c r="I29" i="13"/>
  <c r="H29" i="13"/>
  <c r="G29" i="13"/>
  <c r="F29" i="13"/>
  <c r="P44" i="12" l="1"/>
  <c r="I44" i="12"/>
  <c r="H44" i="12"/>
  <c r="G44" i="12"/>
  <c r="Q42" i="12"/>
  <c r="Q44" i="12" s="1"/>
  <c r="P42" i="12"/>
  <c r="O42" i="12"/>
  <c r="O44" i="12" s="1"/>
  <c r="N42" i="12"/>
  <c r="N44" i="12" s="1"/>
  <c r="M42" i="12"/>
  <c r="M44" i="12" s="1"/>
  <c r="L42" i="12"/>
  <c r="L44" i="12" s="1"/>
  <c r="K42" i="12"/>
  <c r="K44" i="12" s="1"/>
  <c r="J42" i="12"/>
  <c r="J44" i="12" s="1"/>
  <c r="I42" i="12"/>
  <c r="H42" i="12"/>
  <c r="G42" i="12"/>
  <c r="F42" i="12"/>
  <c r="F44" i="12" s="1"/>
  <c r="Q38" i="12"/>
  <c r="P38" i="12"/>
  <c r="O38" i="12"/>
  <c r="N38" i="12"/>
  <c r="M38" i="12"/>
  <c r="L38" i="12"/>
  <c r="K38" i="12"/>
  <c r="J38" i="12"/>
  <c r="I38" i="12"/>
  <c r="H38" i="12"/>
  <c r="G38" i="12"/>
  <c r="F38" i="12"/>
  <c r="Q34" i="12"/>
  <c r="P34" i="12"/>
  <c r="O34" i="12"/>
  <c r="Q33" i="12"/>
  <c r="P33" i="12"/>
  <c r="O33" i="12"/>
  <c r="N33" i="12"/>
  <c r="N34" i="12" s="1"/>
  <c r="M33" i="12"/>
  <c r="M34" i="12" s="1"/>
  <c r="L33" i="12"/>
  <c r="L34" i="12" s="1"/>
  <c r="K33" i="12"/>
  <c r="K34" i="12" s="1"/>
  <c r="J33" i="12"/>
  <c r="J34" i="12" s="1"/>
  <c r="I33" i="12"/>
  <c r="I34" i="12" s="1"/>
  <c r="H33" i="12"/>
  <c r="H34" i="12" s="1"/>
  <c r="G33" i="12"/>
  <c r="G34" i="12" s="1"/>
  <c r="F33" i="12"/>
  <c r="F34" i="12" s="1"/>
  <c r="Q29" i="12"/>
  <c r="P29" i="12"/>
  <c r="O29" i="12"/>
  <c r="N29" i="12"/>
  <c r="M29" i="12"/>
  <c r="L29" i="12"/>
  <c r="K29" i="12"/>
  <c r="J29" i="12"/>
  <c r="I29" i="12"/>
  <c r="H29" i="12"/>
  <c r="G29" i="12"/>
  <c r="F29" i="12"/>
  <c r="I44" i="11" l="1"/>
  <c r="H44" i="11"/>
  <c r="G44" i="11"/>
  <c r="F44" i="11"/>
  <c r="Q42" i="11"/>
  <c r="Q44" i="11" s="1"/>
  <c r="P42" i="11"/>
  <c r="P44" i="11" s="1"/>
  <c r="O42" i="11"/>
  <c r="O44" i="11" s="1"/>
  <c r="N42" i="11"/>
  <c r="N44" i="11" s="1"/>
  <c r="M42" i="11"/>
  <c r="M44" i="11" s="1"/>
  <c r="L42" i="11"/>
  <c r="L44" i="11" s="1"/>
  <c r="K42" i="11"/>
  <c r="K44" i="11" s="1"/>
  <c r="J42" i="11"/>
  <c r="J44" i="11" s="1"/>
  <c r="I42" i="11"/>
  <c r="H42" i="11"/>
  <c r="G42" i="11"/>
  <c r="F42" i="11"/>
  <c r="Q38" i="11"/>
  <c r="P38" i="11"/>
  <c r="O38" i="11"/>
  <c r="N38" i="11"/>
  <c r="M38" i="11"/>
  <c r="L38" i="11"/>
  <c r="K38" i="11"/>
  <c r="J38" i="11"/>
  <c r="I38" i="11"/>
  <c r="G38" i="11"/>
  <c r="F38" i="11"/>
  <c r="Q34" i="11"/>
  <c r="P34" i="11"/>
  <c r="O34" i="11"/>
  <c r="N34" i="11"/>
  <c r="M34" i="11"/>
  <c r="Q33" i="11"/>
  <c r="P33" i="11"/>
  <c r="O33" i="11"/>
  <c r="N33" i="11"/>
  <c r="M33" i="11"/>
  <c r="L33" i="11"/>
  <c r="L34" i="11" s="1"/>
  <c r="K33" i="11"/>
  <c r="K34" i="11" s="1"/>
  <c r="J33" i="11"/>
  <c r="J34" i="11" s="1"/>
  <c r="I33" i="11"/>
  <c r="I34" i="11" s="1"/>
  <c r="H33" i="11"/>
  <c r="H34" i="11" s="1"/>
  <c r="G33" i="11"/>
  <c r="G34" i="11" s="1"/>
  <c r="F33" i="11"/>
  <c r="F34" i="11" s="1"/>
  <c r="Q29" i="11"/>
  <c r="P29" i="11"/>
  <c r="O29" i="11"/>
  <c r="N29" i="11"/>
  <c r="M29" i="11"/>
  <c r="L29" i="11"/>
  <c r="K29" i="11"/>
  <c r="J29" i="11"/>
  <c r="I29" i="11"/>
  <c r="H29" i="11"/>
  <c r="G29" i="11"/>
  <c r="F29" i="11"/>
  <c r="I44" i="10" l="1"/>
  <c r="H44" i="10"/>
  <c r="G44" i="10"/>
  <c r="Q42" i="10"/>
  <c r="Q44" i="10" s="1"/>
  <c r="P42" i="10"/>
  <c r="P44" i="10" s="1"/>
  <c r="O42" i="10"/>
  <c r="O44" i="10" s="1"/>
  <c r="N42" i="10"/>
  <c r="N44" i="10" s="1"/>
  <c r="M42" i="10"/>
  <c r="M44" i="10" s="1"/>
  <c r="L42" i="10"/>
  <c r="L44" i="10" s="1"/>
  <c r="K42" i="10"/>
  <c r="K44" i="10" s="1"/>
  <c r="J42" i="10"/>
  <c r="J44" i="10" s="1"/>
  <c r="I42" i="10"/>
  <c r="H42" i="10"/>
  <c r="G42" i="10"/>
  <c r="F42" i="10"/>
  <c r="F44" i="10" s="1"/>
  <c r="Q38" i="10"/>
  <c r="P38" i="10"/>
  <c r="O38" i="10"/>
  <c r="N38" i="10"/>
  <c r="M38" i="10"/>
  <c r="L38" i="10"/>
  <c r="K38" i="10"/>
  <c r="J38" i="10"/>
  <c r="I38" i="10"/>
  <c r="H38" i="10"/>
  <c r="G38" i="10"/>
  <c r="F38" i="10"/>
  <c r="Q34" i="10"/>
  <c r="P34" i="10"/>
  <c r="O34" i="10"/>
  <c r="Q33" i="10"/>
  <c r="P33" i="10"/>
  <c r="O33" i="10"/>
  <c r="N33" i="10"/>
  <c r="N34" i="10" s="1"/>
  <c r="M33" i="10"/>
  <c r="M34" i="10" s="1"/>
  <c r="L33" i="10"/>
  <c r="L34" i="10" s="1"/>
  <c r="K33" i="10"/>
  <c r="K34" i="10" s="1"/>
  <c r="J33" i="10"/>
  <c r="J34" i="10" s="1"/>
  <c r="I33" i="10"/>
  <c r="I34" i="10" s="1"/>
  <c r="H33" i="10"/>
  <c r="H34" i="10" s="1"/>
  <c r="G33" i="10"/>
  <c r="G34" i="10" s="1"/>
  <c r="F33" i="10"/>
  <c r="F34" i="10" s="1"/>
  <c r="Q29" i="10"/>
  <c r="P29" i="10"/>
  <c r="O29" i="10"/>
  <c r="N29" i="10"/>
  <c r="M29" i="10"/>
  <c r="L29" i="10"/>
  <c r="K29" i="10"/>
  <c r="J29" i="10"/>
  <c r="I29" i="10"/>
  <c r="H29" i="10"/>
  <c r="G29" i="10"/>
  <c r="F29" i="10"/>
  <c r="Q42" i="9" l="1"/>
  <c r="Q44" i="9" s="1"/>
  <c r="P42" i="9"/>
  <c r="P44" i="9" s="1"/>
  <c r="O42" i="9"/>
  <c r="O44" i="9" s="1"/>
  <c r="N42" i="9"/>
  <c r="N44" i="9" s="1"/>
  <c r="M42" i="9"/>
  <c r="M44" i="9" s="1"/>
  <c r="L42" i="9"/>
  <c r="L44" i="9" s="1"/>
  <c r="K42" i="9"/>
  <c r="K44" i="9" s="1"/>
  <c r="J42" i="9"/>
  <c r="J44" i="9" s="1"/>
  <c r="I42" i="9"/>
  <c r="I44" i="9" s="1"/>
  <c r="H42" i="9"/>
  <c r="H44" i="9" s="1"/>
  <c r="G42" i="9"/>
  <c r="G44" i="9" s="1"/>
  <c r="F42" i="9"/>
  <c r="F44" i="9" s="1"/>
  <c r="Q38" i="9"/>
  <c r="P38" i="9"/>
  <c r="O38" i="9"/>
  <c r="N38" i="9"/>
  <c r="M38" i="9"/>
  <c r="L38" i="9"/>
  <c r="K38" i="9"/>
  <c r="J38" i="9"/>
  <c r="I38" i="9"/>
  <c r="H38" i="9"/>
  <c r="G38" i="9"/>
  <c r="F38" i="9"/>
  <c r="Q33" i="9"/>
  <c r="Q34" i="9" s="1"/>
  <c r="P33" i="9"/>
  <c r="P34" i="9" s="1"/>
  <c r="O33" i="9"/>
  <c r="O34" i="9" s="1"/>
  <c r="N33" i="9"/>
  <c r="N34" i="9" s="1"/>
  <c r="M33" i="9"/>
  <c r="M34" i="9" s="1"/>
  <c r="L33" i="9"/>
  <c r="L34" i="9" s="1"/>
  <c r="K33" i="9"/>
  <c r="K34" i="9" s="1"/>
  <c r="J33" i="9"/>
  <c r="J34" i="9" s="1"/>
  <c r="I33" i="9"/>
  <c r="I34" i="9" s="1"/>
  <c r="H33" i="9"/>
  <c r="H34" i="9" s="1"/>
  <c r="G33" i="9"/>
  <c r="G34" i="9" s="1"/>
  <c r="F33" i="9"/>
  <c r="F34" i="9" s="1"/>
  <c r="Q29" i="9"/>
  <c r="P29" i="9"/>
  <c r="O29" i="9"/>
  <c r="N29" i="9"/>
  <c r="M29" i="9"/>
  <c r="L29" i="9"/>
  <c r="K29" i="9"/>
  <c r="J29" i="9"/>
  <c r="I29" i="9"/>
  <c r="H29" i="9"/>
  <c r="G29" i="9"/>
  <c r="F29" i="9"/>
  <c r="I44" i="8" l="1"/>
  <c r="H44" i="8"/>
  <c r="G44" i="8"/>
  <c r="Q42" i="8"/>
  <c r="Q44" i="8" s="1"/>
  <c r="P42" i="8"/>
  <c r="P44" i="8" s="1"/>
  <c r="O42" i="8"/>
  <c r="O44" i="8" s="1"/>
  <c r="N42" i="8"/>
  <c r="N44" i="8" s="1"/>
  <c r="M42" i="8"/>
  <c r="M44" i="8" s="1"/>
  <c r="L42" i="8"/>
  <c r="L44" i="8" s="1"/>
  <c r="K42" i="8"/>
  <c r="K44" i="8" s="1"/>
  <c r="J42" i="8"/>
  <c r="J44" i="8" s="1"/>
  <c r="I42" i="8"/>
  <c r="H42" i="8"/>
  <c r="G42" i="8"/>
  <c r="F42" i="8"/>
  <c r="F44" i="8" s="1"/>
  <c r="Q38" i="8"/>
  <c r="P38" i="8"/>
  <c r="O38" i="8"/>
  <c r="N38" i="8"/>
  <c r="M38" i="8"/>
  <c r="L38" i="8"/>
  <c r="K38" i="8"/>
  <c r="J38" i="8"/>
  <c r="I38" i="8"/>
  <c r="H38" i="8"/>
  <c r="G38" i="8"/>
  <c r="F38" i="8"/>
  <c r="Q34" i="8"/>
  <c r="P34" i="8"/>
  <c r="O34" i="8"/>
  <c r="Q33" i="8"/>
  <c r="P33" i="8"/>
  <c r="O33" i="8"/>
  <c r="N33" i="8"/>
  <c r="N34" i="8" s="1"/>
  <c r="M33" i="8"/>
  <c r="M34" i="8" s="1"/>
  <c r="L33" i="8"/>
  <c r="L34" i="8" s="1"/>
  <c r="K33" i="8"/>
  <c r="K34" i="8" s="1"/>
  <c r="J33" i="8"/>
  <c r="J34" i="8" s="1"/>
  <c r="I33" i="8"/>
  <c r="I34" i="8" s="1"/>
  <c r="H33" i="8"/>
  <c r="H34" i="8" s="1"/>
  <c r="G33" i="8"/>
  <c r="G34" i="8" s="1"/>
  <c r="F33" i="8"/>
  <c r="F34" i="8" s="1"/>
  <c r="Q29" i="8"/>
  <c r="P29" i="8"/>
  <c r="O29" i="8"/>
  <c r="N29" i="8"/>
  <c r="M29" i="8"/>
  <c r="L29" i="8"/>
  <c r="K29" i="8"/>
  <c r="J29" i="8"/>
  <c r="I29" i="8"/>
  <c r="H29" i="8"/>
  <c r="G29" i="8"/>
  <c r="F29" i="8"/>
  <c r="Q42" i="7" l="1"/>
  <c r="Q44" i="7" s="1"/>
  <c r="P42" i="7"/>
  <c r="P44" i="7" s="1"/>
  <c r="O42" i="7"/>
  <c r="O44" i="7" s="1"/>
  <c r="M42" i="7"/>
  <c r="M44" i="7" s="1"/>
  <c r="L42" i="7"/>
  <c r="L44" i="7" s="1"/>
  <c r="K42" i="7"/>
  <c r="K44" i="7" s="1"/>
  <c r="I42" i="7"/>
  <c r="I44" i="7" s="1"/>
  <c r="H42" i="7"/>
  <c r="H44" i="7" s="1"/>
  <c r="G42" i="7"/>
  <c r="G44" i="7" s="1"/>
  <c r="F42" i="7"/>
  <c r="F44" i="7" s="1"/>
  <c r="Q38" i="7"/>
  <c r="P38" i="7"/>
  <c r="O38" i="7"/>
  <c r="M38" i="7"/>
  <c r="L38" i="7"/>
  <c r="K38" i="7"/>
  <c r="I38" i="7"/>
  <c r="G38" i="7"/>
  <c r="F38" i="7"/>
  <c r="Q33" i="7"/>
  <c r="Q34" i="7" s="1"/>
  <c r="P33" i="7"/>
  <c r="P34" i="7" s="1"/>
  <c r="O33" i="7"/>
  <c r="O34" i="7" s="1"/>
  <c r="M33" i="7"/>
  <c r="M34" i="7" s="1"/>
  <c r="L33" i="7"/>
  <c r="L34" i="7" s="1"/>
  <c r="K33" i="7"/>
  <c r="K34" i="7" s="1"/>
  <c r="I33" i="7"/>
  <c r="I34" i="7" s="1"/>
  <c r="H33" i="7"/>
  <c r="H34" i="7" s="1"/>
  <c r="G33" i="7"/>
  <c r="G34" i="7" s="1"/>
  <c r="F33" i="7"/>
  <c r="F34" i="7" s="1"/>
  <c r="Q29" i="7"/>
  <c r="P29" i="7"/>
  <c r="O29" i="7"/>
  <c r="M29" i="7"/>
  <c r="L29" i="7"/>
  <c r="K29" i="7"/>
  <c r="I29" i="7"/>
  <c r="H29" i="7"/>
  <c r="G29" i="7"/>
  <c r="F29" i="7"/>
  <c r="Q42" i="6" l="1"/>
  <c r="P44" i="6"/>
  <c r="H44" i="6"/>
  <c r="Q44" i="6"/>
  <c r="P42" i="6"/>
  <c r="O42" i="6"/>
  <c r="O44" i="6" s="1"/>
  <c r="N42" i="6"/>
  <c r="N44" i="6" s="1"/>
  <c r="M42" i="6"/>
  <c r="M44" i="6" s="1"/>
  <c r="L42" i="6"/>
  <c r="L44" i="6" s="1"/>
  <c r="K42" i="6"/>
  <c r="K44" i="6" s="1"/>
  <c r="J42" i="6"/>
  <c r="J44" i="6" s="1"/>
  <c r="I42" i="6"/>
  <c r="I44" i="6" s="1"/>
  <c r="H42" i="6"/>
  <c r="G42" i="6"/>
  <c r="G44" i="6" s="1"/>
  <c r="F42" i="6"/>
  <c r="F44" i="6" s="1"/>
  <c r="Q38" i="6"/>
  <c r="P38" i="6"/>
  <c r="O38" i="6"/>
  <c r="N38" i="6"/>
  <c r="M38" i="6"/>
  <c r="L38" i="6"/>
  <c r="K38" i="6"/>
  <c r="J38" i="6"/>
  <c r="I38" i="6"/>
  <c r="G38" i="6"/>
  <c r="F38" i="6"/>
  <c r="P34" i="6"/>
  <c r="F34" i="6"/>
  <c r="Q33" i="6"/>
  <c r="Q34" i="6" s="1"/>
  <c r="P33" i="6"/>
  <c r="O33" i="6"/>
  <c r="O34" i="6" s="1"/>
  <c r="N33" i="6"/>
  <c r="N34" i="6" s="1"/>
  <c r="M33" i="6"/>
  <c r="M34" i="6" s="1"/>
  <c r="L33" i="6"/>
  <c r="L34" i="6" s="1"/>
  <c r="K33" i="6"/>
  <c r="K34" i="6" s="1"/>
  <c r="J33" i="6"/>
  <c r="J34" i="6" s="1"/>
  <c r="I33" i="6"/>
  <c r="I34" i="6" s="1"/>
  <c r="H33" i="6"/>
  <c r="H34" i="6" s="1"/>
  <c r="G33" i="6"/>
  <c r="G34" i="6" s="1"/>
  <c r="F33" i="6"/>
  <c r="Q29" i="6"/>
  <c r="P29" i="6"/>
  <c r="O29" i="6"/>
  <c r="N29" i="6"/>
  <c r="M29" i="6"/>
  <c r="L29" i="6"/>
  <c r="K29" i="6"/>
  <c r="J29" i="6"/>
  <c r="I29" i="6"/>
  <c r="H29" i="6"/>
  <c r="G29" i="6"/>
  <c r="F29" i="6"/>
  <c r="N29" i="5" l="1"/>
  <c r="N33" i="5"/>
  <c r="N34" i="5" s="1"/>
  <c r="N38" i="5"/>
  <c r="N42" i="5"/>
  <c r="N44" i="5"/>
  <c r="F44" i="5"/>
  <c r="F42" i="5"/>
  <c r="F38" i="5"/>
  <c r="F33" i="5"/>
  <c r="F34" i="5"/>
  <c r="F29" i="5"/>
  <c r="Q44" i="5"/>
  <c r="H44" i="5"/>
  <c r="G44" i="5"/>
  <c r="Q42" i="5"/>
  <c r="P42" i="5"/>
  <c r="P44" i="5" s="1"/>
  <c r="O42" i="5"/>
  <c r="O44" i="5" s="1"/>
  <c r="M42" i="5"/>
  <c r="M44" i="5" s="1"/>
  <c r="L42" i="5"/>
  <c r="L44" i="5" s="1"/>
  <c r="K42" i="5"/>
  <c r="K44" i="5" s="1"/>
  <c r="J42" i="5"/>
  <c r="J44" i="5" s="1"/>
  <c r="I42" i="5"/>
  <c r="I44" i="5" s="1"/>
  <c r="H42" i="5"/>
  <c r="G42" i="5"/>
  <c r="Q38" i="5"/>
  <c r="P38" i="5"/>
  <c r="O38" i="5"/>
  <c r="M38" i="5"/>
  <c r="L38" i="5"/>
  <c r="K38" i="5"/>
  <c r="J38" i="5"/>
  <c r="I38" i="5"/>
  <c r="G38" i="5"/>
  <c r="Q34" i="5"/>
  <c r="P34" i="5"/>
  <c r="O34" i="5"/>
  <c r="M34" i="5"/>
  <c r="L34" i="5"/>
  <c r="Q33" i="5"/>
  <c r="P33" i="5"/>
  <c r="O33" i="5"/>
  <c r="M33" i="5"/>
  <c r="L33" i="5"/>
  <c r="K33" i="5"/>
  <c r="K34" i="5" s="1"/>
  <c r="J33" i="5"/>
  <c r="J34" i="5" s="1"/>
  <c r="I33" i="5"/>
  <c r="I34" i="5" s="1"/>
  <c r="H33" i="5"/>
  <c r="H34" i="5" s="1"/>
  <c r="G33" i="5"/>
  <c r="G34" i="5" s="1"/>
  <c r="Q29" i="5"/>
  <c r="P29" i="5"/>
  <c r="O29" i="5"/>
  <c r="M29" i="5"/>
  <c r="L29" i="5"/>
  <c r="K29" i="5"/>
  <c r="J29" i="5"/>
  <c r="I29" i="5"/>
  <c r="H29" i="5"/>
  <c r="G29" i="5"/>
  <c r="Q42" i="4" l="1"/>
  <c r="Q44" i="4" s="1"/>
  <c r="P42" i="4"/>
  <c r="P44" i="4" s="1"/>
  <c r="O42" i="4"/>
  <c r="O44" i="4" s="1"/>
  <c r="N42" i="4"/>
  <c r="N44" i="4" s="1"/>
  <c r="M42" i="4"/>
  <c r="M44" i="4" s="1"/>
  <c r="L42" i="4"/>
  <c r="L44" i="4" s="1"/>
  <c r="K42" i="4"/>
  <c r="K44" i="4" s="1"/>
  <c r="J42" i="4"/>
  <c r="J44" i="4" s="1"/>
  <c r="I42" i="4"/>
  <c r="I44" i="4" s="1"/>
  <c r="H42" i="4"/>
  <c r="H44" i="4" s="1"/>
  <c r="G42" i="4"/>
  <c r="G44" i="4" s="1"/>
  <c r="F42" i="4"/>
  <c r="F44" i="4" s="1"/>
  <c r="Q38" i="4"/>
  <c r="P38" i="4"/>
  <c r="O38" i="4"/>
  <c r="N38" i="4"/>
  <c r="M38" i="4"/>
  <c r="L38" i="4"/>
  <c r="K38" i="4"/>
  <c r="J38" i="4"/>
  <c r="I38" i="4"/>
  <c r="H38" i="4"/>
  <c r="G38" i="4"/>
  <c r="F38" i="4"/>
  <c r="Q33" i="4"/>
  <c r="Q34" i="4" s="1"/>
  <c r="P33" i="4"/>
  <c r="P34" i="4" s="1"/>
  <c r="O33" i="4"/>
  <c r="O34" i="4" s="1"/>
  <c r="N33" i="4"/>
  <c r="N34" i="4" s="1"/>
  <c r="M33" i="4"/>
  <c r="M34" i="4" s="1"/>
  <c r="L33" i="4"/>
  <c r="L34" i="4" s="1"/>
  <c r="K33" i="4"/>
  <c r="K34" i="4" s="1"/>
  <c r="J33" i="4"/>
  <c r="J34" i="4" s="1"/>
  <c r="I33" i="4"/>
  <c r="I34" i="4" s="1"/>
  <c r="H33" i="4"/>
  <c r="H34" i="4" s="1"/>
  <c r="G33" i="4"/>
  <c r="G34" i="4" s="1"/>
  <c r="F33" i="4"/>
  <c r="F34" i="4" s="1"/>
  <c r="Q29" i="4"/>
  <c r="P29" i="4"/>
  <c r="O29" i="4"/>
  <c r="N29" i="4"/>
  <c r="M29" i="4"/>
  <c r="L29" i="4"/>
  <c r="K29" i="4"/>
  <c r="J29" i="4"/>
  <c r="I29" i="4"/>
  <c r="H29" i="4"/>
  <c r="G29" i="4"/>
  <c r="F29" i="4"/>
  <c r="H38" i="3" l="1"/>
  <c r="I38" i="3"/>
  <c r="Q42" i="3"/>
  <c r="Q44" i="3" s="1"/>
  <c r="P42" i="3"/>
  <c r="P44" i="3" s="1"/>
  <c r="O42" i="3"/>
  <c r="O44" i="3" s="1"/>
  <c r="N42" i="3"/>
  <c r="N44" i="3" s="1"/>
  <c r="M42" i="3"/>
  <c r="M44" i="3" s="1"/>
  <c r="L42" i="3"/>
  <c r="L44" i="3" s="1"/>
  <c r="K42" i="3"/>
  <c r="K44" i="3" s="1"/>
  <c r="J42" i="3"/>
  <c r="J44" i="3" s="1"/>
  <c r="I42" i="3"/>
  <c r="I44" i="3" s="1"/>
  <c r="H42" i="3"/>
  <c r="H44" i="3" s="1"/>
  <c r="G42" i="3"/>
  <c r="G44" i="3" s="1"/>
  <c r="F42" i="3"/>
  <c r="F44" i="3" s="1"/>
  <c r="Q38" i="3"/>
  <c r="P38" i="3"/>
  <c r="O38" i="3"/>
  <c r="N38" i="3"/>
  <c r="M38" i="3"/>
  <c r="L38" i="3"/>
  <c r="K38" i="3"/>
  <c r="J38" i="3"/>
  <c r="G38" i="3"/>
  <c r="F38" i="3"/>
  <c r="Q33" i="3"/>
  <c r="Q34" i="3" s="1"/>
  <c r="P33" i="3"/>
  <c r="P34" i="3" s="1"/>
  <c r="O33" i="3"/>
  <c r="O34" i="3" s="1"/>
  <c r="N33" i="3"/>
  <c r="N34" i="3" s="1"/>
  <c r="M33" i="3"/>
  <c r="M34" i="3" s="1"/>
  <c r="L33" i="3"/>
  <c r="L34" i="3" s="1"/>
  <c r="K33" i="3"/>
  <c r="K34" i="3" s="1"/>
  <c r="J33" i="3"/>
  <c r="J34" i="3" s="1"/>
  <c r="I33" i="3"/>
  <c r="I34" i="3" s="1"/>
  <c r="H33" i="3"/>
  <c r="H34" i="3" s="1"/>
  <c r="G33" i="3"/>
  <c r="G34" i="3" s="1"/>
  <c r="F33" i="3"/>
  <c r="F34" i="3" s="1"/>
  <c r="Q29" i="3"/>
  <c r="P29" i="3"/>
  <c r="O29" i="3"/>
  <c r="N29" i="3"/>
  <c r="M29" i="3"/>
  <c r="L29" i="3"/>
  <c r="K29" i="3"/>
  <c r="J29" i="3"/>
  <c r="I29" i="3"/>
  <c r="H29" i="3"/>
  <c r="G29" i="3"/>
  <c r="F29" i="3"/>
  <c r="F29" i="2" l="1"/>
  <c r="G29" i="2"/>
  <c r="H29" i="2"/>
  <c r="Q42" i="2" l="1"/>
  <c r="Q44" i="2" s="1"/>
  <c r="P42" i="2"/>
  <c r="P44" i="2" s="1"/>
  <c r="O42" i="2"/>
  <c r="O44" i="2" s="1"/>
  <c r="N42" i="2"/>
  <c r="N44" i="2" s="1"/>
  <c r="M42" i="2"/>
  <c r="M44" i="2" s="1"/>
  <c r="L42" i="2"/>
  <c r="L44" i="2" s="1"/>
  <c r="K42" i="2"/>
  <c r="K44" i="2" s="1"/>
  <c r="J42" i="2"/>
  <c r="J44" i="2" s="1"/>
  <c r="I42" i="2"/>
  <c r="I44" i="2" s="1"/>
  <c r="H42" i="2"/>
  <c r="H44" i="2" s="1"/>
  <c r="G42" i="2"/>
  <c r="G44" i="2" s="1"/>
  <c r="F42" i="2"/>
  <c r="F44" i="2" s="1"/>
  <c r="Q38" i="2"/>
  <c r="P38" i="2"/>
  <c r="O38" i="2"/>
  <c r="N38" i="2"/>
  <c r="M38" i="2"/>
  <c r="L38" i="2"/>
  <c r="K38" i="2"/>
  <c r="J38" i="2"/>
  <c r="I38" i="2"/>
  <c r="G38" i="2"/>
  <c r="F38" i="2"/>
  <c r="Q33" i="2"/>
  <c r="Q34" i="2" s="1"/>
  <c r="P33" i="2"/>
  <c r="P34" i="2" s="1"/>
  <c r="O33" i="2"/>
  <c r="O34" i="2" s="1"/>
  <c r="N33" i="2"/>
  <c r="N34" i="2" s="1"/>
  <c r="M33" i="2"/>
  <c r="M34" i="2" s="1"/>
  <c r="L33" i="2"/>
  <c r="L34" i="2" s="1"/>
  <c r="K33" i="2"/>
  <c r="K34" i="2" s="1"/>
  <c r="J33" i="2"/>
  <c r="J34" i="2" s="1"/>
  <c r="I33" i="2"/>
  <c r="I34" i="2" s="1"/>
  <c r="H33" i="2"/>
  <c r="H34" i="2" s="1"/>
  <c r="G33" i="2"/>
  <c r="G34" i="2" s="1"/>
  <c r="F33" i="2"/>
  <c r="F34" i="2" s="1"/>
  <c r="Q29" i="2"/>
  <c r="P29" i="2"/>
  <c r="O29" i="2"/>
  <c r="N29" i="2"/>
  <c r="M29" i="2"/>
  <c r="L29" i="2"/>
  <c r="K29" i="2"/>
  <c r="J29" i="2"/>
  <c r="I29" i="2"/>
</calcChain>
</file>

<file path=xl/sharedStrings.xml><?xml version="1.0" encoding="utf-8"?>
<sst xmlns="http://schemas.openxmlformats.org/spreadsheetml/2006/main" count="4579" uniqueCount="105">
  <si>
    <t xml:space="preserve">OPERATION CHILLER LOG SHEET
&amp;
REFRIGERANT LEAK </t>
  </si>
  <si>
    <t>REVISION : 1</t>
  </si>
  <si>
    <t>DOC NO :</t>
  </si>
  <si>
    <t xml:space="preserve">OPER-01-QR-01 </t>
  </si>
  <si>
    <t>OPERATOR :</t>
  </si>
  <si>
    <t>PAGE : 1 OF 1</t>
  </si>
  <si>
    <t>OPERATION DATE</t>
  </si>
  <si>
    <t>CHILLER</t>
  </si>
  <si>
    <t xml:space="preserve"> CONTROL 
LIMIT</t>
  </si>
  <si>
    <t>EC0120A</t>
  </si>
  <si>
    <t>EC0120B</t>
  </si>
  <si>
    <t>EC0120C</t>
  </si>
  <si>
    <t>EC0120D</t>
  </si>
  <si>
    <t>EC0120E</t>
  </si>
  <si>
    <t>EC0120F</t>
  </si>
  <si>
    <t>TIME</t>
  </si>
  <si>
    <t>00:00</t>
  </si>
  <si>
    <t>REFRIGERANT LEAK STATUS</t>
  </si>
  <si>
    <t xml:space="preserve"> OK / NOT OK</t>
  </si>
  <si>
    <t>OK</t>
  </si>
  <si>
    <t>OPENING OF VANE</t>
  </si>
  <si>
    <t>%</t>
  </si>
  <si>
    <t>0~100%</t>
  </si>
  <si>
    <t>OPENING HOT GAS BYPASS VALVE</t>
  </si>
  <si>
    <t>OPENING OF 2nd VANE</t>
  </si>
  <si>
    <t>OPENING OF HIGH-STAGE EXPANSION VALVE</t>
  </si>
  <si>
    <t>OPENING OF LOW-STAGE EXPANSION VALVE</t>
  </si>
  <si>
    <t>MOTOR</t>
  </si>
  <si>
    <t>VOLTAGE</t>
  </si>
  <si>
    <t>V</t>
  </si>
  <si>
    <t>6600V(±   5% )</t>
  </si>
  <si>
    <t>CURRENT</t>
  </si>
  <si>
    <t>A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</si>
  <si>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115A</t>
    </r>
  </si>
  <si>
    <t>INPUT</t>
  </si>
  <si>
    <t>Kw</t>
  </si>
  <si>
    <t>1194kW</t>
  </si>
  <si>
    <t>COMPRESSOR</t>
  </si>
  <si>
    <t>RUNNING TIME</t>
  </si>
  <si>
    <t>Hr</t>
  </si>
  <si>
    <t>NA</t>
  </si>
  <si>
    <t>SUCTION TEMPERATURE</t>
  </si>
  <si>
    <t>CELCIUS</t>
  </si>
  <si>
    <t>C</t>
  </si>
  <si>
    <t>DISCHARGE TEMPERATURE</t>
  </si>
  <si>
    <t>35 -70 degC</t>
  </si>
  <si>
    <t>OIL TANK OIL TEMPERATURE</t>
  </si>
  <si>
    <t>45-72 deg C</t>
  </si>
  <si>
    <t>OIL PRESSURE</t>
  </si>
  <si>
    <t>Mpa(G)</t>
  </si>
  <si>
    <t>Diff pressure 
0.25-0.35 Mpa
OIL -EVAP =Diff pressure</t>
  </si>
  <si>
    <t>OIL LEVEL</t>
  </si>
  <si>
    <t>OIL SUPPLY TEMPERATURE</t>
  </si>
  <si>
    <t>35-45 degC</t>
  </si>
  <si>
    <t>EVAPORATOR</t>
  </si>
  <si>
    <t>EVAPORATING PRESSURE</t>
  </si>
  <si>
    <t>≥0.18Mpa</t>
  </si>
  <si>
    <t>EVAPORATING TEMPERATURE</t>
  </si>
  <si>
    <t>SATURATION TEMPERATURE</t>
  </si>
  <si>
    <t>APPROACH TEMP</t>
  </si>
  <si>
    <t>CHILLED WATER FLOW RATE</t>
  </si>
  <si>
    <t>m3/h</t>
  </si>
  <si>
    <t>634.8 m3h</t>
  </si>
  <si>
    <t>CHILLED WATER ENTERING TEMPERATURE</t>
  </si>
  <si>
    <t>CHILLED WATER LEAVING TEMPERATURE</t>
  </si>
  <si>
    <t>TEMPERATURE DIFFERENCE</t>
  </si>
  <si>
    <t>CHILLING CAPACITY</t>
  </si>
  <si>
    <t>kW</t>
  </si>
  <si>
    <t>7032.6kW</t>
  </si>
  <si>
    <t>CONDENSOR</t>
  </si>
  <si>
    <t>CONDENSING PRESSURE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</si>
  <si>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1.01Mpa(G)</t>
    </r>
  </si>
  <si>
    <t>CONSENSED LIQUID TEMPERATURE</t>
  </si>
  <si>
    <t>SATURATED TEMEPRATURE</t>
  </si>
  <si>
    <r>
      <rPr>
        <b/>
        <sz val="11"/>
        <color theme="1"/>
        <rFont val="Calibri"/>
        <family val="2"/>
        <scheme val="minor"/>
      </rPr>
      <t xml:space="preserve">APPROACH TEMP </t>
    </r>
    <r>
      <rPr>
        <b/>
        <sz val="9"/>
        <color theme="1"/>
        <rFont val="Calibri"/>
        <family val="2"/>
        <scheme val="minor"/>
      </rPr>
      <t>(COND LQ TEMP - LEAVING TEMP)</t>
    </r>
  </si>
  <si>
    <t>0-3</t>
  </si>
  <si>
    <t>LIQUID LEVEL(Side Glass Bottom)</t>
  </si>
  <si>
    <t>mm</t>
  </si>
  <si>
    <t>COOLING WATER ENTERING TEMPERATURE</t>
  </si>
  <si>
    <t>COOLING WATER LEAVING TEMPERATURE</t>
  </si>
  <si>
    <t>TEMPERATURE DIFFERENCE COOLING WATER</t>
  </si>
  <si>
    <t>COOLING WATER FLOW RATE</t>
  </si>
  <si>
    <t>HEAT CAPACITY</t>
  </si>
  <si>
    <t>ECONOMIZER</t>
  </si>
  <si>
    <t>ECONOMIZER PRESSURE</t>
  </si>
  <si>
    <t>Mpa</t>
  </si>
  <si>
    <t>SATURATED TEMPERATURE</t>
  </si>
  <si>
    <t>LIQUID LEVEL</t>
  </si>
  <si>
    <t>HEAT BALANCE</t>
  </si>
  <si>
    <t>0.95~1.05</t>
  </si>
  <si>
    <t>COP</t>
  </si>
  <si>
    <t>% OF COOLING CAPACITY</t>
  </si>
  <si>
    <t>% OF MOTOR INPUT</t>
  </si>
  <si>
    <t>REMARK :</t>
  </si>
  <si>
    <t>CHILLER :</t>
  </si>
  <si>
    <t>Differential pressure of Oil pressure - Evap pressure is in range 0.25 Mpa ~ 0.35 Mpa.</t>
  </si>
  <si>
    <t>* Movement of Expansion Valve motor operation depends on running condition.</t>
  </si>
  <si>
    <t xml:space="preserve">REFRIGERANT  ALARM </t>
  </si>
  <si>
    <t>CHILLER ALARM :</t>
  </si>
  <si>
    <t>YES</t>
  </si>
  <si>
    <t>NO</t>
  </si>
  <si>
    <t xml:space="preserve"> </t>
  </si>
  <si>
    <t>72.4.</t>
  </si>
  <si>
    <t>6.6.</t>
  </si>
  <si>
    <t>58.3.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</si>
</sst>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20" fontId="2" fillId="0" borderId="18" xfId="0" applyNumberFormat="1" applyFont="1" applyBorder="1" applyAlignment="1">
      <alignment horizontal="center"/>
    </xf>
    <xf numFmtId="20" fontId="2" fillId="0" borderId="18" xfId="0" quotePrefix="1" applyNumberFormat="1" applyFont="1" applyBorder="1" applyAlignment="1">
      <alignment horizontal="center"/>
    </xf>
    <xf numFmtId="20" fontId="2" fillId="2" borderId="18" xfId="0" applyNumberFormat="1" applyFont="1" applyFill="1" applyBorder="1" applyAlignment="1">
      <alignment horizontal="center"/>
    </xf>
    <xf numFmtId="20" fontId="2" fillId="2" borderId="18" xfId="0" quotePrefix="1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20" fontId="2" fillId="0" borderId="18" xfId="0" applyNumberFormat="1" applyFont="1" applyBorder="1" applyAlignment="1">
      <alignment horizontal="center" vertical="center"/>
    </xf>
    <xf numFmtId="20" fontId="2" fillId="0" borderId="18" xfId="0" quotePrefix="1" applyNumberFormat="1" applyFont="1" applyBorder="1" applyAlignment="1">
      <alignment horizontal="center" vertical="center"/>
    </xf>
    <xf numFmtId="20" fontId="2" fillId="2" borderId="18" xfId="0" quotePrefix="1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2" fillId="0" borderId="18" xfId="0" applyFont="1" applyBorder="1"/>
    <xf numFmtId="0" fontId="0" fillId="0" borderId="21" xfId="0" applyBorder="1" applyAlignment="1">
      <alignment horizontal="center"/>
    </xf>
    <xf numFmtId="0" fontId="2" fillId="0" borderId="18" xfId="0" applyFont="1" applyBorder="1" applyAlignment="1">
      <alignment vertical="center"/>
    </xf>
    <xf numFmtId="0" fontId="0" fillId="0" borderId="18" xfId="0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0" fillId="3" borderId="18" xfId="0" applyFill="1" applyBorder="1" applyAlignment="1">
      <alignment horizontal="center" vertical="center"/>
    </xf>
    <xf numFmtId="2" fontId="0" fillId="3" borderId="18" xfId="0" applyNumberForma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5" fontId="2" fillId="0" borderId="15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5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588172-400F-406B-B778-124DD0863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CFC10DE-A356-4E6A-AE2E-F09D8149F066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19C8667D-EA80-462E-AD18-E96315F9970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F8C63C7-CCE7-4FC2-A5D4-5A333809805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E0FEBB-29F0-43B1-902B-84180C851E8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A36CFBF-5D94-4E10-9F25-EA5B60C0A58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FD524B8-41BA-4891-AA59-3BAE580BF25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CA5E29F-F598-443B-96DF-F058FF50305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2ED9DED-DFEF-491A-B1BA-7C95B279C9F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1DA523C-C52A-4376-8384-F735926AAD4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3E470DB-5DB5-493C-A81C-D3A44057ECA8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93DF56C-FF72-4CC8-A51F-5C0FF24952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99C92CA-0B16-4736-9CB5-DDF8D33EBA5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8463A4A-866F-499B-B023-4CCC8AD86A6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5641353-D845-4BB5-BD94-0C4C7466430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915CB7F9-D4E2-4459-B8E4-026C92B3F1F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D550079-B101-4EB5-BFD4-5C45F666C50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C72A15D-9AA6-42A3-B926-0C578ECC51D2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13CCD1E-C36E-41DE-B38E-1C8DAA1FE5C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20029D0-0E67-447F-8EEE-39608B6047B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F213E27-F92B-4093-8D7A-80167F7BC6C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79F731C-799C-4BFD-9EDD-14B6A90D958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BAD51C5-FB06-4EA1-8FC0-BB80C7B90CE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99857B9-D83A-43A0-A6CE-EE0CD56CE0B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717C93BE-980C-4FA7-91E4-65CC2EBBAF0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7267DBA-9803-4EA8-80B5-2B356591914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A229EB7-7C3F-4120-AF5A-464CCC238B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4C3FBE-B9D4-42C9-996A-0D4A299ED047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6288889-AA28-4C07-8477-0572A6F4941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77D1EC2-E357-46F1-98CB-76B38862016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A0DA4102-9CF8-44F2-AC70-F95E178703E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320276AF-F676-4D73-9672-5A3CFDCCFE3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9C963B5-12B1-4304-B6BE-3241457D579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8B6C3B1-E73F-44C3-8612-6D01BB8DC0C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0BE301E-A775-4F32-991A-F6661012DE9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BDABD61-25BC-4E58-87E4-D3FC5AA052E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97C9E42-AB2D-4F2C-A2D3-48FF21A2C18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543C1E8-74C5-472A-B237-DDC70E2DF50D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75A0A209-5AB5-4B4B-8677-A3025D2EA9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E1E3CF6-A4A1-4BE5-A7D7-EE9180FB3B46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F701F9D7-D876-4A36-B8BB-1B24B18CB1A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A0C4B8-0260-4C5B-B7C9-0CB4FB0C6C26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C389D7D4-93A7-4E83-AE0A-2E66043C8DF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DDA843DA-8C2C-4841-A898-C2D9AC37FB3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F258E3D-3468-4D21-BA1A-A16A23443A1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E488CC2-B5E1-4B08-9D33-3348130CD863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9F4FDE8-DC0C-4AEA-A140-3B9A0E340F1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E294F70-FCA4-47E8-AE67-F074207B2425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CC90F97-80D3-4BE9-AD07-762B322043A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FC73B2B-0733-4EF2-AA45-414892922593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9CA1C47-E67A-40E7-ADF8-1AD689CBAD04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38D62A4-6BCF-4B99-B619-30DF8F465ED1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1BDE19F-D831-47D8-8964-F6278654995C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9137A90-4047-4EBA-BE35-AC7FC3F61811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29660C8D-A53A-41D7-BCEB-F09985B0A8C9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0CA19CF-7D26-4DFA-A89D-D422E47E92A2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5398E7C-8121-49EB-8AFA-6AB3CC3ABC1F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9FB9E53-4089-41B1-83AB-E0CE6EF69E8F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B98A1FB-B4F6-4A24-951E-57A1D9ED1F4C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46E0C93-B41D-4081-A2A0-E01745716D36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0C5B591-187B-43EE-8A70-ECBA0CE8E21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E37369AA-BCB6-49AA-AA5A-E9157DF6EA2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7E7F6D4-7C67-4935-9460-D07EBCFA61A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1298009-8E38-4D1A-BC9A-141746306054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B5DDB01-B757-4D5C-9DBB-B82131EFD0C5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77853E1A-06F8-42E9-936F-54C9B351A65E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4D813D7-7A38-427E-AF3F-86C4FB4288B3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1DCC07B-C97A-43CF-A982-35FF5A40794C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A865EBC9-87BD-4CC7-BCFB-4DA446ED0651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51219605-EC49-47E5-8514-89D3FC062E08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72697BF8-4917-4E3B-BA17-F11580EFF91B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5EE97A04-D345-49F1-A627-B31E16516B48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A5FCE033-99FB-4A5B-AA94-3BF7CD8902E0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119416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9ED20-FA49-4FD6-B97F-F4AFE976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683297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0C10B65-2E8C-436B-A567-0C208BC0DDEA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D65D4A4-0FBF-4BC4-B298-03BA730C1DB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8313C7F-A92A-410F-8EB4-577D8663C31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282656A-ACC7-4AB5-A914-0CAD5A0079F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24B073C3-46B0-42B4-A660-B02CC4A874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DEE1387-BD51-4A42-A23B-1AB0DA4F951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2C137BC6-00CE-4A05-A528-D862B0B3EC70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C6D5DBF-5F9C-4623-B1F8-829BF49FB99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F3B0FD1-5731-45F7-BE53-70D49A006890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33F46658-FBF1-4A41-9C74-81AF5005CD0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9BF4C32-49B0-438A-AF99-042D3A96DE7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35CEFB4-C36B-4AE1-8212-06FD460A17A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AE833F50-ECDC-49C0-A32A-A531715D0F3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7678802-DCE9-43F2-8211-4EB68E5F9363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F8C14D8-1653-4CC8-9EC3-8ADBDD4A4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A4B8476-FE06-4C05-B922-59EEC6DB679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D0E3836-CC96-4137-9FCB-9C8C4603E523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B9F0752-D480-468B-820E-C4ED533C9EE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1A3C64D-2600-4CEF-84CC-853DADF38491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C546677-5481-47FE-BF30-D5EA58590A1D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4B443C2-2010-46AE-A59A-426799E1E66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7B262BB4-598A-4F5F-A8CC-383104B7D4D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025955D-8A80-494B-A4C3-ABC3DE16EFD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526EA6D-230A-449C-B3B8-241FD6D49D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58B06B5-5154-4212-9237-D138A734306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21923148-F74C-41A1-9E3D-465CD930CD24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6BB537A7-8F95-418E-8FAD-91C6C62B5A1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99CC0EF-BF83-4237-86AA-95BD1BBAB7A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3B57AA8-3FE5-443C-AC3A-DC9488A9DBF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3C906BD-90A2-41B9-A146-F96E540E2EC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D22877-2ECF-4910-8BD5-C3C88E72B4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D884DBE7-1670-44C5-AE15-EA99090414A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F0CBCEF-61EB-4A7C-B0FD-4A3A293C352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D0400D8-2175-435D-8EB5-464161DA7AA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54FBEDB3-B920-4695-B849-7DD983D709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21E8EAA-A7DA-4E7B-93BC-915331B76FA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D491F10-9E08-4B4C-B135-41878C0F1FE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C0EB121-95B0-4163-BF43-577A59FBC08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84B3C509-246A-493D-971E-280153949C1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1DB389B0-F30B-4328-92F8-9E15A2062B2E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25DF8112-353A-4EEB-8194-EC5C26653033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F916CED6-E574-4A41-A37A-7CB364D67840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7928BD25-3A6E-4ACC-BC54-90D00FFFF1CC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4383878-66F1-47B3-A586-9A303C0369A2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B8826D8-99CC-47B7-9A54-66A14370731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8D9D545-98CB-477E-BE8F-7C3DD03775F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F31EE96-736E-4301-A25D-CAA00856FC63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E0820717-C6B9-444D-8102-62558D980DAF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0</xdr:colOff>
      <xdr:row>23</xdr:row>
      <xdr:rowOff>235323</xdr:rowOff>
    </xdr:from>
    <xdr:to>
      <xdr:col>13</xdr:col>
      <xdr:colOff>750094</xdr:colOff>
      <xdr:row>23</xdr:row>
      <xdr:rowOff>247229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96CD1AF-573A-4CD9-9DE1-E5AF86D99AEF}"/>
            </a:ext>
          </a:extLst>
        </xdr:cNvPr>
        <xdr:cNvCxnSpPr/>
      </xdr:nvCxnSpPr>
      <xdr:spPr>
        <a:xfrm>
          <a:off x="16754475" y="606462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974912</xdr:colOff>
      <xdr:row>23</xdr:row>
      <xdr:rowOff>392206</xdr:rowOff>
    </xdr:from>
    <xdr:to>
      <xdr:col>13</xdr:col>
      <xdr:colOff>738888</xdr:colOff>
      <xdr:row>23</xdr:row>
      <xdr:rowOff>404112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E1AB045-3A19-494F-924F-F78F52BC8718}"/>
            </a:ext>
          </a:extLst>
        </xdr:cNvPr>
        <xdr:cNvCxnSpPr/>
      </xdr:nvCxnSpPr>
      <xdr:spPr>
        <a:xfrm>
          <a:off x="16748312" y="6221506"/>
          <a:ext cx="745051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145677</xdr:colOff>
      <xdr:row>23</xdr:row>
      <xdr:rowOff>257735</xdr:rowOff>
    </xdr:from>
    <xdr:to>
      <xdr:col>10</xdr:col>
      <xdr:colOff>895771</xdr:colOff>
      <xdr:row>23</xdr:row>
      <xdr:rowOff>269641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8031E1C-CC42-4BA0-9EF5-4F3520A6010C}"/>
            </a:ext>
          </a:extLst>
        </xdr:cNvPr>
        <xdr:cNvCxnSpPr/>
      </xdr:nvCxnSpPr>
      <xdr:spPr>
        <a:xfrm>
          <a:off x="13956927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134470</xdr:colOff>
      <xdr:row>23</xdr:row>
      <xdr:rowOff>414618</xdr:rowOff>
    </xdr:from>
    <xdr:to>
      <xdr:col>10</xdr:col>
      <xdr:colOff>884564</xdr:colOff>
      <xdr:row>23</xdr:row>
      <xdr:rowOff>426524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2C53423-ADD5-4C24-8780-0036399BE999}"/>
            </a:ext>
          </a:extLst>
        </xdr:cNvPr>
        <xdr:cNvCxnSpPr/>
      </xdr:nvCxnSpPr>
      <xdr:spPr>
        <a:xfrm>
          <a:off x="13945720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D23149-A99D-459A-A55A-480260E1198C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137636C8-8229-4FA2-BB3B-8F9406A3F79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89647</xdr:colOff>
      <xdr:row>23</xdr:row>
      <xdr:rowOff>392206</xdr:rowOff>
    </xdr:from>
    <xdr:to>
      <xdr:col>15</xdr:col>
      <xdr:colOff>839741</xdr:colOff>
      <xdr:row>23</xdr:row>
      <xdr:rowOff>404112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3FD1D65-B3CF-4373-9BB0-93CFFE757909}"/>
            </a:ext>
          </a:extLst>
        </xdr:cNvPr>
        <xdr:cNvCxnSpPr/>
      </xdr:nvCxnSpPr>
      <xdr:spPr>
        <a:xfrm>
          <a:off x="18806272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89648</xdr:colOff>
      <xdr:row>23</xdr:row>
      <xdr:rowOff>280146</xdr:rowOff>
    </xdr:from>
    <xdr:to>
      <xdr:col>15</xdr:col>
      <xdr:colOff>839742</xdr:colOff>
      <xdr:row>23</xdr:row>
      <xdr:rowOff>292052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24D83892-522A-42E9-9EE5-68E5BBBDB147}"/>
            </a:ext>
          </a:extLst>
        </xdr:cNvPr>
        <xdr:cNvCxnSpPr/>
      </xdr:nvCxnSpPr>
      <xdr:spPr>
        <a:xfrm>
          <a:off x="18806273" y="610944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123265</xdr:colOff>
      <xdr:row>23</xdr:row>
      <xdr:rowOff>257736</xdr:rowOff>
    </xdr:from>
    <xdr:to>
      <xdr:col>7</xdr:col>
      <xdr:colOff>873359</xdr:colOff>
      <xdr:row>23</xdr:row>
      <xdr:rowOff>269642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A77EBBB-2C36-499C-A899-25CB0C382D9B}"/>
            </a:ext>
          </a:extLst>
        </xdr:cNvPr>
        <xdr:cNvCxnSpPr/>
      </xdr:nvCxnSpPr>
      <xdr:spPr>
        <a:xfrm>
          <a:off x="10991290" y="608703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78441</xdr:colOff>
      <xdr:row>23</xdr:row>
      <xdr:rowOff>403411</xdr:rowOff>
    </xdr:from>
    <xdr:to>
      <xdr:col>7</xdr:col>
      <xdr:colOff>828535</xdr:colOff>
      <xdr:row>23</xdr:row>
      <xdr:rowOff>415317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7DBC1BD2-34A7-4CAF-A615-8EAED85F0802}"/>
            </a:ext>
          </a:extLst>
        </xdr:cNvPr>
        <xdr:cNvCxnSpPr/>
      </xdr:nvCxnSpPr>
      <xdr:spPr>
        <a:xfrm>
          <a:off x="10946466" y="623271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182283</xdr:colOff>
      <xdr:row>23</xdr:row>
      <xdr:rowOff>234389</xdr:rowOff>
    </xdr:from>
    <xdr:to>
      <xdr:col>6</xdr:col>
      <xdr:colOff>932377</xdr:colOff>
      <xdr:row>23</xdr:row>
      <xdr:rowOff>246295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B8A7BEC-6175-4D31-B0B3-C8AC532C6E92}"/>
            </a:ext>
          </a:extLst>
        </xdr:cNvPr>
        <xdr:cNvCxnSpPr/>
      </xdr:nvCxnSpPr>
      <xdr:spPr>
        <a:xfrm>
          <a:off x="10069233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363F5079-069D-4625-BB0E-03D7BCF7713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B3343C6E-55BD-451A-A4B3-1C1B51BF3A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326101B3-C077-43A1-AF1C-C9E9A4BDA1A6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146050</xdr:colOff>
      <xdr:row>23</xdr:row>
      <xdr:rowOff>336550</xdr:rowOff>
    </xdr:from>
    <xdr:to>
      <xdr:col>5</xdr:col>
      <xdr:colOff>288925</xdr:colOff>
      <xdr:row>23</xdr:row>
      <xdr:rowOff>479425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3F028F2-0F0D-4E01-9C08-BDCA90B68F43}"/>
            </a:ext>
          </a:extLst>
        </xdr:cNvPr>
        <xdr:cNvSpPr/>
      </xdr:nvSpPr>
      <xdr:spPr>
        <a:xfrm>
          <a:off x="905192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425450</xdr:colOff>
      <xdr:row>23</xdr:row>
      <xdr:rowOff>187325</xdr:rowOff>
    </xdr:from>
    <xdr:to>
      <xdr:col>5</xdr:col>
      <xdr:colOff>568325</xdr:colOff>
      <xdr:row>23</xdr:row>
      <xdr:rowOff>330200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C28A250-8961-40BD-AF62-EFE9E749C88A}"/>
            </a:ext>
          </a:extLst>
        </xdr:cNvPr>
        <xdr:cNvSpPr/>
      </xdr:nvSpPr>
      <xdr:spPr>
        <a:xfrm>
          <a:off x="93313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752475</xdr:colOff>
      <xdr:row>23</xdr:row>
      <xdr:rowOff>69850</xdr:rowOff>
    </xdr:from>
    <xdr:to>
      <xdr:col>5</xdr:col>
      <xdr:colOff>895350</xdr:colOff>
      <xdr:row>23</xdr:row>
      <xdr:rowOff>212725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9200E032-FBD0-4D87-9CDB-455D6FDAC754}"/>
            </a:ext>
          </a:extLst>
        </xdr:cNvPr>
        <xdr:cNvSpPr/>
      </xdr:nvSpPr>
      <xdr:spPr>
        <a:xfrm>
          <a:off x="965835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107156</xdr:colOff>
      <xdr:row>23</xdr:row>
      <xdr:rowOff>416719</xdr:rowOff>
    </xdr:from>
    <xdr:to>
      <xdr:col>5</xdr:col>
      <xdr:colOff>857250</xdr:colOff>
      <xdr:row>23</xdr:row>
      <xdr:rowOff>428625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7F523E9-F7FE-4704-8AC8-6F6B7AA1FF9C}"/>
            </a:ext>
          </a:extLst>
        </xdr:cNvPr>
        <xdr:cNvCxnSpPr/>
      </xdr:nvCxnSpPr>
      <xdr:spPr>
        <a:xfrm>
          <a:off x="901303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182283</xdr:colOff>
      <xdr:row>23</xdr:row>
      <xdr:rowOff>234389</xdr:rowOff>
    </xdr:from>
    <xdr:to>
      <xdr:col>5</xdr:col>
      <xdr:colOff>932377</xdr:colOff>
      <xdr:row>23</xdr:row>
      <xdr:rowOff>246295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364E8F2-C21A-4CCB-9517-0D38F0F0B8F5}"/>
            </a:ext>
          </a:extLst>
        </xdr:cNvPr>
        <xdr:cNvCxnSpPr/>
      </xdr:nvCxnSpPr>
      <xdr:spPr>
        <a:xfrm>
          <a:off x="9088158" y="606368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59312B49-396B-43DE-9611-27928BB15478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3BC6CD42-4373-4E17-B92D-E78D72C7358F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34C534B6-3B4B-4982-9D4B-F4B41D9A8E8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D1A0B-C124-488C-A78A-F4F3145EDADC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62B7DD78-56C1-4280-87F2-93F64D77ECE3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DCE66967-139D-4F5E-9860-6AC4299A0A0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FE323700-BD86-46C9-9B2F-A5571CCBF057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19400B3F-52F9-4381-BE92-E445689C8A6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4DD5D75-A45F-4856-981E-C21AF10AE870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43D11D1-987D-43ED-8993-FD1E7EFD895E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ACBAAE57-B78B-4A46-8564-596B364EF506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B95B190-6582-4C2F-AA8A-C8060CA36759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4E877C07-0B20-43FA-B506-FFC9DE1A13A5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4C281A2-9FDD-4089-9C12-D4A37218A976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D51051CA-F5C6-4F37-8555-2D95983F07D1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96C764F3-6AA2-4158-863C-6BD323318E2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F63481EC-56E6-4D62-ADB1-3B1841D5D4B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88A2AD6-68F6-439B-B546-432C667909EA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112058</xdr:colOff>
      <xdr:row>23</xdr:row>
      <xdr:rowOff>392206</xdr:rowOff>
    </xdr:from>
    <xdr:to>
      <xdr:col>9</xdr:col>
      <xdr:colOff>862152</xdr:colOff>
      <xdr:row>23</xdr:row>
      <xdr:rowOff>404112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93086716-7872-4F61-AF6D-79317344C323}"/>
            </a:ext>
          </a:extLst>
        </xdr:cNvPr>
        <xdr:cNvCxnSpPr/>
      </xdr:nvCxnSpPr>
      <xdr:spPr>
        <a:xfrm>
          <a:off x="12942233" y="62215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112059</xdr:colOff>
      <xdr:row>23</xdr:row>
      <xdr:rowOff>257735</xdr:rowOff>
    </xdr:from>
    <xdr:to>
      <xdr:col>9</xdr:col>
      <xdr:colOff>862153</xdr:colOff>
      <xdr:row>23</xdr:row>
      <xdr:rowOff>269641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2C7D2E07-C105-494B-821C-F16F03642C8A}"/>
            </a:ext>
          </a:extLst>
        </xdr:cNvPr>
        <xdr:cNvCxnSpPr/>
      </xdr:nvCxnSpPr>
      <xdr:spPr>
        <a:xfrm>
          <a:off x="12942234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171450</xdr:colOff>
      <xdr:row>23</xdr:row>
      <xdr:rowOff>346075</xdr:rowOff>
    </xdr:from>
    <xdr:to>
      <xdr:col>11</xdr:col>
      <xdr:colOff>314325</xdr:colOff>
      <xdr:row>23</xdr:row>
      <xdr:rowOff>488950</xdr:rowOff>
    </xdr:to>
    <xdr:sp macro="" textlink="">
      <xdr:nvSpPr>
        <xdr:cNvPr id="90" name="Oval 89">
          <a:extLst>
            <a:ext uri="{FF2B5EF4-FFF2-40B4-BE49-F238E27FC236}">
              <a16:creationId xmlns:a16="http://schemas.microsoft.com/office/drawing/2014/main" id="{BA3CA72F-FFAC-4748-972A-2C70ED12D8FD}"/>
            </a:ext>
          </a:extLst>
        </xdr:cNvPr>
        <xdr:cNvSpPr/>
      </xdr:nvSpPr>
      <xdr:spPr>
        <a:xfrm>
          <a:off x="14963775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450850</xdr:colOff>
      <xdr:row>23</xdr:row>
      <xdr:rowOff>196850</xdr:rowOff>
    </xdr:from>
    <xdr:to>
      <xdr:col>11</xdr:col>
      <xdr:colOff>593725</xdr:colOff>
      <xdr:row>23</xdr:row>
      <xdr:rowOff>339725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928918F8-F622-4ECA-802A-C9DE029ED88B}"/>
            </a:ext>
          </a:extLst>
        </xdr:cNvPr>
        <xdr:cNvSpPr/>
      </xdr:nvSpPr>
      <xdr:spPr>
        <a:xfrm>
          <a:off x="15243175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777875</xdr:colOff>
      <xdr:row>23</xdr:row>
      <xdr:rowOff>79375</xdr:rowOff>
    </xdr:from>
    <xdr:to>
      <xdr:col>11</xdr:col>
      <xdr:colOff>920750</xdr:colOff>
      <xdr:row>23</xdr:row>
      <xdr:rowOff>222250</xdr:rowOff>
    </xdr:to>
    <xdr:sp macro="" textlink="">
      <xdr:nvSpPr>
        <xdr:cNvPr id="92" name="Oval 91">
          <a:extLst>
            <a:ext uri="{FF2B5EF4-FFF2-40B4-BE49-F238E27FC236}">
              <a16:creationId xmlns:a16="http://schemas.microsoft.com/office/drawing/2014/main" id="{BC847D14-C595-422C-9C4B-F2056AF05D36}"/>
            </a:ext>
          </a:extLst>
        </xdr:cNvPr>
        <xdr:cNvSpPr/>
      </xdr:nvSpPr>
      <xdr:spPr>
        <a:xfrm>
          <a:off x="15570200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145677</xdr:colOff>
      <xdr:row>23</xdr:row>
      <xdr:rowOff>257735</xdr:rowOff>
    </xdr:from>
    <xdr:to>
      <xdr:col>11</xdr:col>
      <xdr:colOff>895771</xdr:colOff>
      <xdr:row>23</xdr:row>
      <xdr:rowOff>269641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1F30C9A8-E4FA-4E22-B745-78011F96C904}"/>
            </a:ext>
          </a:extLst>
        </xdr:cNvPr>
        <xdr:cNvCxnSpPr/>
      </xdr:nvCxnSpPr>
      <xdr:spPr>
        <a:xfrm>
          <a:off x="14938002" y="608703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134470</xdr:colOff>
      <xdr:row>23</xdr:row>
      <xdr:rowOff>414618</xdr:rowOff>
    </xdr:from>
    <xdr:to>
      <xdr:col>11</xdr:col>
      <xdr:colOff>884564</xdr:colOff>
      <xdr:row>23</xdr:row>
      <xdr:rowOff>426524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1E6A4C6-E948-4C05-8EE5-F9C9C04D2D49}"/>
            </a:ext>
          </a:extLst>
        </xdr:cNvPr>
        <xdr:cNvCxnSpPr/>
      </xdr:nvCxnSpPr>
      <xdr:spPr>
        <a:xfrm>
          <a:off x="14926795" y="62439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Q59"/>
  <sheetViews>
    <sheetView view="pageBreakPreview" zoomScale="85" zoomScaleNormal="60" workbookViewId="0">
      <selection activeCell="Q50" sqref="Q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45809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14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/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68.900000000000006</v>
      </c>
      <c r="G11" s="20">
        <v>71.2</v>
      </c>
      <c r="H11" s="21"/>
      <c r="I11" s="21">
        <v>77.8</v>
      </c>
      <c r="J11" s="20"/>
      <c r="K11" s="20">
        <v>73.8</v>
      </c>
      <c r="L11" s="21"/>
      <c r="M11" s="21">
        <v>72.099999999999994</v>
      </c>
      <c r="N11" s="20">
        <v>76.400000000000006</v>
      </c>
      <c r="O11" s="20">
        <v>77.5</v>
      </c>
      <c r="P11" s="21"/>
      <c r="Q11" s="21">
        <v>76.2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</v>
      </c>
      <c r="G12" s="20">
        <v>0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65.3</v>
      </c>
      <c r="G13" s="20">
        <v>65.3</v>
      </c>
      <c r="H13" s="21"/>
      <c r="I13" s="21">
        <v>73.3</v>
      </c>
      <c r="J13" s="20"/>
      <c r="K13" s="20">
        <v>69.5</v>
      </c>
      <c r="L13" s="21"/>
      <c r="M13" s="21">
        <v>66</v>
      </c>
      <c r="N13" s="20">
        <v>71.900000000000006</v>
      </c>
      <c r="O13" s="20">
        <v>73.400000000000006</v>
      </c>
      <c r="P13" s="21"/>
      <c r="Q13" s="21">
        <v>71.2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68.8</v>
      </c>
      <c r="G14" s="20">
        <v>69.2</v>
      </c>
      <c r="H14" s="21"/>
      <c r="I14" s="21">
        <v>71.3</v>
      </c>
      <c r="J14" s="20"/>
      <c r="K14" s="20">
        <v>64.2</v>
      </c>
      <c r="L14" s="21"/>
      <c r="M14" s="21">
        <v>66.400000000000006</v>
      </c>
      <c r="N14" s="20">
        <v>75.2</v>
      </c>
      <c r="O14" s="20">
        <v>75.400000000000006</v>
      </c>
      <c r="P14" s="21"/>
      <c r="Q14" s="21">
        <v>74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39</v>
      </c>
      <c r="G15" s="20">
        <v>41.3</v>
      </c>
      <c r="H15" s="21"/>
      <c r="I15" s="21">
        <v>55.8</v>
      </c>
      <c r="J15" s="20"/>
      <c r="K15" s="20">
        <v>40.9</v>
      </c>
      <c r="L15" s="21"/>
      <c r="M15" s="21">
        <v>32.799999999999997</v>
      </c>
      <c r="N15" s="20">
        <v>56.3</v>
      </c>
      <c r="O15" s="20">
        <v>2.7</v>
      </c>
      <c r="P15" s="21"/>
      <c r="Q15" s="21">
        <v>3.9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/>
      <c r="Q16" s="20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116.9</v>
      </c>
      <c r="G17" s="20">
        <v>117.6</v>
      </c>
      <c r="H17" s="21"/>
      <c r="I17" s="21">
        <v>116.6</v>
      </c>
      <c r="J17" s="20"/>
      <c r="K17" s="20">
        <v>117.5</v>
      </c>
      <c r="L17" s="21"/>
      <c r="M17" s="21">
        <v>113</v>
      </c>
      <c r="N17" s="20">
        <v>118.6</v>
      </c>
      <c r="O17" s="20">
        <v>119.8</v>
      </c>
      <c r="P17" s="21"/>
      <c r="Q17" s="21">
        <v>116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1148</v>
      </c>
      <c r="G18" s="20">
        <v>1148</v>
      </c>
      <c r="H18" s="21"/>
      <c r="I18" s="21">
        <v>1173</v>
      </c>
      <c r="J18" s="20"/>
      <c r="K18" s="20">
        <v>1186</v>
      </c>
      <c r="L18" s="21"/>
      <c r="M18" s="21">
        <v>1142</v>
      </c>
      <c r="N18" s="20">
        <v>1208</v>
      </c>
      <c r="O18" s="20">
        <v>1213</v>
      </c>
      <c r="P18" s="21"/>
      <c r="Q18" s="21">
        <v>1141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50625.599999999999</v>
      </c>
      <c r="G19" s="20">
        <v>50616.2</v>
      </c>
      <c r="H19" s="21"/>
      <c r="I19" s="21">
        <v>51595.4</v>
      </c>
      <c r="J19" s="20"/>
      <c r="K19" s="20">
        <v>49547.8</v>
      </c>
      <c r="L19" s="21"/>
      <c r="M19" s="21">
        <v>51975.9</v>
      </c>
      <c r="N19" s="20">
        <v>51156.3</v>
      </c>
      <c r="O19" s="20">
        <v>51146.9</v>
      </c>
      <c r="P19" s="21"/>
      <c r="Q19" s="21">
        <v>50965.5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58.4</v>
      </c>
      <c r="G22" s="20">
        <v>58.8</v>
      </c>
      <c r="H22" s="21"/>
      <c r="I22" s="21">
        <v>59.3</v>
      </c>
      <c r="J22" s="20"/>
      <c r="K22" s="20">
        <v>57.7</v>
      </c>
      <c r="L22" s="21"/>
      <c r="M22" s="21">
        <v>57.2</v>
      </c>
      <c r="N22" s="20">
        <v>58.7</v>
      </c>
      <c r="O22" s="20">
        <v>58.7</v>
      </c>
      <c r="P22" s="21"/>
      <c r="Q22" s="21">
        <v>58.9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0.45</v>
      </c>
      <c r="O23" s="20">
        <v>0.48</v>
      </c>
      <c r="P23" s="21"/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45.1</v>
      </c>
      <c r="G25" s="20">
        <v>44.8</v>
      </c>
      <c r="H25" s="21"/>
      <c r="I25" s="21">
        <v>44.9</v>
      </c>
      <c r="J25" s="20"/>
      <c r="K25" s="20">
        <v>44.9</v>
      </c>
      <c r="L25" s="21"/>
      <c r="M25" s="21">
        <v>45.1</v>
      </c>
      <c r="N25" s="20">
        <v>44.9</v>
      </c>
      <c r="O25" s="20">
        <v>44.9</v>
      </c>
      <c r="P25" s="21"/>
      <c r="Q25" s="21">
        <v>45.1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0.28000000000000003</v>
      </c>
      <c r="G26" s="20">
        <v>0.23</v>
      </c>
      <c r="H26" s="21"/>
      <c r="I26" s="21">
        <v>0.22</v>
      </c>
      <c r="J26" s="20"/>
      <c r="K26" s="20">
        <v>0.22</v>
      </c>
      <c r="L26" s="21"/>
      <c r="M26" s="21">
        <v>0.22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4.4000000000000004</v>
      </c>
      <c r="G27" s="20">
        <v>4.4000000000000004</v>
      </c>
      <c r="H27" s="21"/>
      <c r="I27" s="21">
        <v>3.4</v>
      </c>
      <c r="J27" s="20"/>
      <c r="K27" s="20">
        <v>4.3</v>
      </c>
      <c r="L27" s="21"/>
      <c r="M27" s="21">
        <v>3.6</v>
      </c>
      <c r="N27" s="20">
        <v>4.5</v>
      </c>
      <c r="O27" s="20">
        <v>4.5</v>
      </c>
      <c r="P27" s="21"/>
      <c r="Q27" s="21">
        <v>4.5999999999999996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3.9</v>
      </c>
      <c r="G28" s="20">
        <v>3.9</v>
      </c>
      <c r="H28" s="21"/>
      <c r="I28" s="21">
        <v>2.5</v>
      </c>
      <c r="J28" s="20"/>
      <c r="K28" s="20">
        <v>3.4</v>
      </c>
      <c r="L28" s="21"/>
      <c r="M28" s="21">
        <v>2.7</v>
      </c>
      <c r="N28" s="20">
        <v>3.2</v>
      </c>
      <c r="O28" s="20">
        <v>3.3</v>
      </c>
      <c r="P28" s="21"/>
      <c r="Q28" s="21">
        <v>3.6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0.89999999999999991</v>
      </c>
      <c r="G29" s="27">
        <f t="shared" si="0"/>
        <v>1.0000000000000004</v>
      </c>
      <c r="H29" s="27">
        <f t="shared" si="0"/>
        <v>0</v>
      </c>
      <c r="I29" s="27">
        <f t="shared" si="0"/>
        <v>2.5</v>
      </c>
      <c r="J29" s="27">
        <f t="shared" si="0"/>
        <v>0</v>
      </c>
      <c r="K29" s="27">
        <f t="shared" si="0"/>
        <v>0.69999999999999973</v>
      </c>
      <c r="L29" s="27">
        <f>L32-L28</f>
        <v>0</v>
      </c>
      <c r="M29" s="27">
        <f>M32-M28</f>
        <v>1.2999999999999998</v>
      </c>
      <c r="N29" s="27">
        <f>N32-N28</f>
        <v>1.2999999999999998</v>
      </c>
      <c r="O29" s="27">
        <f>O32-O28</f>
        <v>1.4000000000000004</v>
      </c>
      <c r="P29" s="27">
        <f t="shared" si="0"/>
        <v>0</v>
      </c>
      <c r="Q29" s="27">
        <f t="shared" si="0"/>
        <v>1.1000000000000001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694.4</v>
      </c>
      <c r="G30" s="20">
        <v>669.5</v>
      </c>
      <c r="H30" s="21"/>
      <c r="I30" s="21">
        <v>649.79999999999995</v>
      </c>
      <c r="J30" s="20"/>
      <c r="K30" s="20">
        <v>635.89</v>
      </c>
      <c r="L30" s="21"/>
      <c r="M30" s="21">
        <v>632.5</v>
      </c>
      <c r="N30" s="20">
        <v>684.96</v>
      </c>
      <c r="O30" s="20">
        <v>655.6</v>
      </c>
      <c r="P30" s="21"/>
      <c r="Q30" s="21">
        <v>638.4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13.2</v>
      </c>
      <c r="G31" s="20">
        <v>13.8</v>
      </c>
      <c r="H31" s="21"/>
      <c r="I31" s="21">
        <v>13.8</v>
      </c>
      <c r="J31" s="20"/>
      <c r="K31" s="20">
        <v>13.2</v>
      </c>
      <c r="L31" s="21"/>
      <c r="M31" s="21">
        <v>13.1</v>
      </c>
      <c r="N31" s="20">
        <v>13.2</v>
      </c>
      <c r="O31" s="20">
        <v>14.1</v>
      </c>
      <c r="P31" s="21"/>
      <c r="Q31" s="21">
        <v>13.8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4.8</v>
      </c>
      <c r="G32" s="20">
        <v>4.9000000000000004</v>
      </c>
      <c r="H32" s="21"/>
      <c r="I32" s="21">
        <v>5</v>
      </c>
      <c r="J32" s="20"/>
      <c r="K32" s="20">
        <v>4.0999999999999996</v>
      </c>
      <c r="L32" s="21"/>
      <c r="M32" s="21">
        <v>4</v>
      </c>
      <c r="N32" s="20">
        <v>4.5</v>
      </c>
      <c r="O32" s="20">
        <v>4.7</v>
      </c>
      <c r="P32" s="21"/>
      <c r="Q32" s="21">
        <v>4.7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8.3999999999999986</v>
      </c>
      <c r="G33" s="27">
        <f>G31-G32</f>
        <v>8.9</v>
      </c>
      <c r="H33" s="27">
        <f t="shared" ref="H33:Q33" si="1">H31-H32</f>
        <v>0</v>
      </c>
      <c r="I33" s="27">
        <f t="shared" si="1"/>
        <v>8.8000000000000007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9.1</v>
      </c>
      <c r="N33" s="27">
        <f>N31-N32</f>
        <v>8.6999999999999993</v>
      </c>
      <c r="O33" s="27">
        <f>O31-O32</f>
        <v>9.3999999999999986</v>
      </c>
      <c r="P33" s="27">
        <f t="shared" si="1"/>
        <v>0</v>
      </c>
      <c r="Q33" s="27">
        <f t="shared" si="1"/>
        <v>9.1000000000000014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6735.5196304849878</v>
      </c>
      <c r="G34" s="28">
        <f>(G33*G30)/0.866</f>
        <v>6880.5427251732108</v>
      </c>
      <c r="H34" s="28">
        <f t="shared" ref="H34:Q34" si="2">(H33*H30)/0.866</f>
        <v>0</v>
      </c>
      <c r="I34" s="28">
        <f t="shared" si="2"/>
        <v>6603.0484988452654</v>
      </c>
      <c r="J34" s="28">
        <f t="shared" si="2"/>
        <v>0</v>
      </c>
      <c r="K34" s="28">
        <f t="shared" si="2"/>
        <v>6681.9849884526548</v>
      </c>
      <c r="L34" s="28">
        <f>(L33*L30)/0.866</f>
        <v>0</v>
      </c>
      <c r="M34" s="28">
        <f>(M33*M30)/0.866</f>
        <v>6646.3625866050807</v>
      </c>
      <c r="N34" s="28">
        <f>(N33*N30)/0.866</f>
        <v>6881.2378752886834</v>
      </c>
      <c r="O34" s="28">
        <f>(O33*O30)/0.866</f>
        <v>7116.2124711316392</v>
      </c>
      <c r="P34" s="28">
        <f t="shared" si="2"/>
        <v>0</v>
      </c>
      <c r="Q34" s="28">
        <f t="shared" si="2"/>
        <v>6708.3602771362594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</v>
      </c>
      <c r="H35" s="21"/>
      <c r="I35" s="21">
        <v>0.82</v>
      </c>
      <c r="J35" s="20"/>
      <c r="K35" s="20">
        <v>0.81</v>
      </c>
      <c r="L35" s="21"/>
      <c r="M35" s="21">
        <v>0.8</v>
      </c>
      <c r="N35" s="20">
        <v>0.8</v>
      </c>
      <c r="O35" s="20">
        <v>0.8</v>
      </c>
      <c r="P35" s="21"/>
      <c r="Q35" s="21">
        <v>0.81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35.6</v>
      </c>
      <c r="G36" s="20">
        <v>35.299999999999997</v>
      </c>
      <c r="H36" s="21"/>
      <c r="I36" s="21">
        <v>35.700000000000003</v>
      </c>
      <c r="J36" s="20"/>
      <c r="K36" s="20">
        <v>35.4</v>
      </c>
      <c r="L36" s="21"/>
      <c r="M36" s="21">
        <v>35.1</v>
      </c>
      <c r="N36" s="20">
        <v>34.200000000000003</v>
      </c>
      <c r="O36" s="20">
        <v>34.799999999999997</v>
      </c>
      <c r="P36" s="21"/>
      <c r="Q36" s="21">
        <v>35.299999999999997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35.9</v>
      </c>
      <c r="G37" s="20">
        <v>35.799999999999997</v>
      </c>
      <c r="H37" s="21"/>
      <c r="I37" s="21">
        <v>36.6</v>
      </c>
      <c r="J37" s="20"/>
      <c r="K37" s="20">
        <v>36.1</v>
      </c>
      <c r="L37" s="21"/>
      <c r="M37" s="21">
        <v>35.6</v>
      </c>
      <c r="N37" s="20">
        <v>35.5</v>
      </c>
      <c r="O37" s="20">
        <v>35.299999999999997</v>
      </c>
      <c r="P37" s="21"/>
      <c r="Q37" s="21">
        <v>36.200000000000003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2.3999999999999986</v>
      </c>
      <c r="G38" s="27">
        <f>G37-G41</f>
        <v>1.6999999999999957</v>
      </c>
      <c r="H38" s="27">
        <v>1</v>
      </c>
      <c r="I38" s="27">
        <f t="shared" ref="I38:Q38" si="3">I37-I41</f>
        <v>3.2000000000000028</v>
      </c>
      <c r="J38" s="27">
        <f t="shared" si="3"/>
        <v>0</v>
      </c>
      <c r="K38" s="27">
        <f t="shared" si="3"/>
        <v>2.2000000000000028</v>
      </c>
      <c r="L38" s="27">
        <f>L37-L41</f>
        <v>0</v>
      </c>
      <c r="M38" s="27">
        <f>M37-M41</f>
        <v>2.3000000000000043</v>
      </c>
      <c r="N38" s="27">
        <f>N37-N41</f>
        <v>2.2999999999999972</v>
      </c>
      <c r="O38" s="27">
        <f>O37-O41</f>
        <v>1.5999999999999943</v>
      </c>
      <c r="P38" s="27">
        <f t="shared" si="3"/>
        <v>0</v>
      </c>
      <c r="Q38" s="27">
        <f t="shared" si="3"/>
        <v>2.6000000000000014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28.3</v>
      </c>
      <c r="G40" s="20">
        <v>28.5</v>
      </c>
      <c r="H40" s="21"/>
      <c r="I40" s="21">
        <v>28.5</v>
      </c>
      <c r="J40" s="20"/>
      <c r="K40" s="20">
        <v>28.5</v>
      </c>
      <c r="L40" s="21"/>
      <c r="M40" s="21">
        <v>28.4</v>
      </c>
      <c r="N40" s="20">
        <v>28</v>
      </c>
      <c r="O40" s="20">
        <v>28.1</v>
      </c>
      <c r="P40" s="21"/>
      <c r="Q40" s="21">
        <v>28.3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33.5</v>
      </c>
      <c r="G41" s="20">
        <v>34.1</v>
      </c>
      <c r="H41" s="21"/>
      <c r="I41" s="21">
        <v>33.4</v>
      </c>
      <c r="J41" s="20"/>
      <c r="K41" s="20">
        <v>33.9</v>
      </c>
      <c r="L41" s="21"/>
      <c r="M41" s="21">
        <v>33.299999999999997</v>
      </c>
      <c r="N41" s="20">
        <v>33.200000000000003</v>
      </c>
      <c r="O41" s="20">
        <v>33.700000000000003</v>
      </c>
      <c r="P41" s="21"/>
      <c r="Q41" s="21">
        <v>33.6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5.1999999999999993</v>
      </c>
      <c r="G42" s="27">
        <f>G41-G40</f>
        <v>5.6000000000000014</v>
      </c>
      <c r="H42" s="27">
        <f t="shared" ref="H42:Q42" si="4">H41-H40</f>
        <v>0</v>
      </c>
      <c r="I42" s="27">
        <f t="shared" si="4"/>
        <v>4.8999999999999986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4.8999999999999986</v>
      </c>
      <c r="N42" s="27">
        <f>N41-N40</f>
        <v>5.2000000000000028</v>
      </c>
      <c r="O42" s="27">
        <f>O41-O40</f>
        <v>5.6000000000000014</v>
      </c>
      <c r="P42" s="27">
        <f t="shared" si="4"/>
        <v>0</v>
      </c>
      <c r="Q42" s="27">
        <f t="shared" si="4"/>
        <v>5.3000000000000007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1297.6600000000001</v>
      </c>
      <c r="G43" s="20">
        <v>1296.9000000000001</v>
      </c>
      <c r="H43" s="21"/>
      <c r="I43" s="21">
        <v>1300.2</v>
      </c>
      <c r="J43" s="20"/>
      <c r="K43" s="20">
        <v>1298.8</v>
      </c>
      <c r="L43" s="21"/>
      <c r="M43" s="20">
        <v>1297.2</v>
      </c>
      <c r="N43" s="20">
        <v>1290.24</v>
      </c>
      <c r="O43" s="20">
        <v>1289</v>
      </c>
      <c r="P43" s="21"/>
      <c r="Q43" s="21">
        <v>1300.2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7791.9538106235559</v>
      </c>
      <c r="G44" s="28">
        <f>G42*G43/0.866</f>
        <v>8386.4203233256376</v>
      </c>
      <c r="H44" s="28">
        <f t="shared" ref="H44:Q44" si="5">H42*H43/0.866</f>
        <v>0</v>
      </c>
      <c r="I44" s="28">
        <f t="shared" si="5"/>
        <v>7356.7898383371812</v>
      </c>
      <c r="J44" s="28">
        <f t="shared" si="5"/>
        <v>0</v>
      </c>
      <c r="K44" s="28">
        <f t="shared" si="5"/>
        <v>8098.752886836025</v>
      </c>
      <c r="L44" s="28">
        <f>L42*L43/0.866</f>
        <v>0</v>
      </c>
      <c r="M44" s="28">
        <f>M42*M43/0.866</f>
        <v>7339.8152424942236</v>
      </c>
      <c r="N44" s="28">
        <f>N42*N43/0.866</f>
        <v>7747.3995381062405</v>
      </c>
      <c r="O44" s="28">
        <f>O42*O43/0.866</f>
        <v>8335.334872979216</v>
      </c>
      <c r="P44" s="28">
        <f t="shared" si="5"/>
        <v>0</v>
      </c>
      <c r="Q44" s="28">
        <f t="shared" si="5"/>
        <v>7957.3441108545048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0.46</v>
      </c>
      <c r="H45" s="21"/>
      <c r="I45" s="21">
        <v>0.45</v>
      </c>
      <c r="J45" s="20"/>
      <c r="K45" s="20">
        <v>0.45</v>
      </c>
      <c r="L45" s="21"/>
      <c r="M45" s="21">
        <v>0.46</v>
      </c>
      <c r="N45" s="20">
        <v>0.45</v>
      </c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</v>
      </c>
      <c r="G46" s="20">
        <v>19.600000000000001</v>
      </c>
      <c r="H46" s="21"/>
      <c r="I46" s="21">
        <v>19</v>
      </c>
      <c r="J46" s="20"/>
      <c r="K46" s="20">
        <v>19.100000000000001</v>
      </c>
      <c r="L46" s="21"/>
      <c r="M46" s="21">
        <v>19.3</v>
      </c>
      <c r="N46" s="20">
        <v>19</v>
      </c>
      <c r="O46" s="20">
        <v>18.899999999999999</v>
      </c>
      <c r="P46" s="21"/>
      <c r="Q46" s="21">
        <v>19.600000000000001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153.9</v>
      </c>
      <c r="G47" s="20">
        <v>197.7</v>
      </c>
      <c r="H47" s="21"/>
      <c r="I47" s="21">
        <v>130.4</v>
      </c>
      <c r="J47" s="20"/>
      <c r="K47" s="20">
        <v>216.9</v>
      </c>
      <c r="L47" s="21"/>
      <c r="M47" s="21">
        <v>218.9</v>
      </c>
      <c r="N47" s="20">
        <v>153.9</v>
      </c>
      <c r="O47" s="20">
        <v>163.80000000000001</v>
      </c>
      <c r="P47" s="21"/>
      <c r="Q47" s="21">
        <v>200.8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14">
        <v>5.89</v>
      </c>
      <c r="F49" s="20">
        <v>5.45</v>
      </c>
      <c r="G49" s="20">
        <v>5.73</v>
      </c>
      <c r="H49" s="21"/>
      <c r="I49" s="21">
        <v>5.51</v>
      </c>
      <c r="J49" s="20"/>
      <c r="K49" s="20">
        <v>5.65</v>
      </c>
      <c r="L49" s="21"/>
      <c r="M49" s="21">
        <v>5.9</v>
      </c>
      <c r="N49" s="20">
        <v>5.45</v>
      </c>
      <c r="O49" s="20">
        <v>5.78</v>
      </c>
      <c r="P49" s="21"/>
      <c r="Q49" s="21">
        <v>5.53</v>
      </c>
    </row>
    <row r="50" spans="2:17" ht="20.100000000000001" customHeight="1">
      <c r="B50" s="94" t="s">
        <v>91</v>
      </c>
      <c r="C50" s="94"/>
      <c r="D50" s="94"/>
      <c r="E50" s="14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3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Q59"/>
  <sheetViews>
    <sheetView view="pageBreakPreview" topLeftCell="A10" zoomScale="85" zoomScaleNormal="60" workbookViewId="0">
      <selection activeCell="L49" sqref="L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45810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37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69.7</v>
      </c>
      <c r="H11" s="21"/>
      <c r="I11" s="21">
        <v>81.7</v>
      </c>
      <c r="J11" s="20">
        <v>74.099999999999994</v>
      </c>
      <c r="K11" s="20">
        <v>73.900000000000006</v>
      </c>
      <c r="L11" s="21">
        <v>73.2</v>
      </c>
      <c r="M11" s="21">
        <v>76</v>
      </c>
      <c r="N11" s="20"/>
      <c r="O11" s="20">
        <v>78</v>
      </c>
      <c r="P11" s="21"/>
      <c r="Q11" s="21">
        <v>73.8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</v>
      </c>
      <c r="H12" s="21"/>
      <c r="I12" s="21">
        <v>0</v>
      </c>
      <c r="J12" s="20">
        <v>0</v>
      </c>
      <c r="K12" s="20">
        <v>0</v>
      </c>
      <c r="L12" s="21">
        <v>0.1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64.3</v>
      </c>
      <c r="H13" s="21"/>
      <c r="I13" s="21">
        <v>78.3</v>
      </c>
      <c r="J13" s="20">
        <v>70.099999999999994</v>
      </c>
      <c r="K13" s="20">
        <v>69.099999999999994</v>
      </c>
      <c r="L13" s="21">
        <v>70</v>
      </c>
      <c r="M13" s="21">
        <v>71.5</v>
      </c>
      <c r="N13" s="20"/>
      <c r="O13" s="20">
        <v>74</v>
      </c>
      <c r="P13" s="21"/>
      <c r="Q13" s="21">
        <v>68.099999999999994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69.900000000000006</v>
      </c>
      <c r="J14" s="20">
        <v>64.599999999999994</v>
      </c>
      <c r="K14" s="20">
        <v>64.599999999999994</v>
      </c>
      <c r="L14" s="21">
        <v>67.5</v>
      </c>
      <c r="M14" s="21">
        <v>68.599999999999994</v>
      </c>
      <c r="N14" s="20"/>
      <c r="O14" s="20">
        <v>73.8</v>
      </c>
      <c r="P14" s="21"/>
      <c r="Q14" s="21">
        <v>73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38.799999999999997</v>
      </c>
      <c r="H15" s="21"/>
      <c r="I15" s="21">
        <v>57.3</v>
      </c>
      <c r="J15" s="20">
        <v>37.4</v>
      </c>
      <c r="K15" s="20">
        <v>41.6</v>
      </c>
      <c r="L15" s="21">
        <v>35.200000000000003</v>
      </c>
      <c r="M15" s="21">
        <v>36.200000000000003</v>
      </c>
      <c r="N15" s="20"/>
      <c r="O15" s="20">
        <v>56.1</v>
      </c>
      <c r="P15" s="21"/>
      <c r="Q15" s="21">
        <v>45.5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>
        <v>6.6</v>
      </c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115.4</v>
      </c>
      <c r="H17" s="21"/>
      <c r="I17" s="21">
        <v>117.9</v>
      </c>
      <c r="J17" s="20">
        <v>118.2</v>
      </c>
      <c r="K17" s="20">
        <v>115.8</v>
      </c>
      <c r="L17" s="21">
        <v>116.4</v>
      </c>
      <c r="M17" s="21">
        <v>117.2</v>
      </c>
      <c r="N17" s="20"/>
      <c r="O17" s="20">
        <v>119.1</v>
      </c>
      <c r="P17" s="21"/>
      <c r="Q17" s="21">
        <v>116.3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1123</v>
      </c>
      <c r="H18" s="21"/>
      <c r="I18" s="21">
        <v>1194</v>
      </c>
      <c r="J18" s="20">
        <v>1208</v>
      </c>
      <c r="K18" s="20">
        <v>1167</v>
      </c>
      <c r="L18" s="21">
        <v>1186</v>
      </c>
      <c r="M18" s="21">
        <v>1190</v>
      </c>
      <c r="N18" s="20"/>
      <c r="O18" s="20">
        <v>1205</v>
      </c>
      <c r="P18" s="21"/>
      <c r="Q18" s="21">
        <v>1175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50637.9</v>
      </c>
      <c r="H19" s="21"/>
      <c r="I19" s="21">
        <v>51605.7</v>
      </c>
      <c r="J19" s="20">
        <v>4566.8</v>
      </c>
      <c r="K19" s="20">
        <v>49557.9</v>
      </c>
      <c r="L19" s="21">
        <v>51994.7</v>
      </c>
      <c r="M19" s="21">
        <v>51985.8</v>
      </c>
      <c r="N19" s="20"/>
      <c r="O19" s="20">
        <v>51167</v>
      </c>
      <c r="P19" s="21"/>
      <c r="Q19" s="21">
        <v>50975.3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59.2</v>
      </c>
      <c r="J22" s="20">
        <v>57.8</v>
      </c>
      <c r="K22" s="20">
        <v>57.7</v>
      </c>
      <c r="L22" s="21">
        <v>57.4</v>
      </c>
      <c r="M22" s="21">
        <v>57.3</v>
      </c>
      <c r="N22" s="20"/>
      <c r="O22" s="20">
        <v>58.5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>
        <v>0.59</v>
      </c>
      <c r="K23" s="20">
        <v>0.57999999999999996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45</v>
      </c>
      <c r="J25" s="20">
        <v>45.3</v>
      </c>
      <c r="K25" s="20">
        <v>45</v>
      </c>
      <c r="L25" s="21">
        <v>45</v>
      </c>
      <c r="M25" s="21">
        <v>44.9</v>
      </c>
      <c r="N25" s="20"/>
      <c r="O25" s="20">
        <v>45</v>
      </c>
      <c r="P25" s="21"/>
      <c r="Q25" s="21">
        <v>44.9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0.22</v>
      </c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0.22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4.0999999999999996</v>
      </c>
      <c r="H27" s="21"/>
      <c r="I27" s="21">
        <v>3</v>
      </c>
      <c r="J27" s="20">
        <v>4.2</v>
      </c>
      <c r="K27" s="20">
        <v>3.9</v>
      </c>
      <c r="L27" s="21">
        <v>3.8</v>
      </c>
      <c r="M27" s="21">
        <v>3.9</v>
      </c>
      <c r="N27" s="20"/>
      <c r="O27" s="20">
        <v>3.9</v>
      </c>
      <c r="P27" s="21"/>
      <c r="Q27" s="21">
        <v>4.4000000000000004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3.7</v>
      </c>
      <c r="H28" s="21"/>
      <c r="I28" s="21">
        <v>2.1</v>
      </c>
      <c r="J28" s="20">
        <v>3.4</v>
      </c>
      <c r="K28" s="20">
        <v>3.1</v>
      </c>
      <c r="L28" s="21">
        <v>2.8</v>
      </c>
      <c r="M28" s="21">
        <v>2.8</v>
      </c>
      <c r="N28" s="20"/>
      <c r="O28" s="20">
        <v>2.9</v>
      </c>
      <c r="P28" s="21"/>
      <c r="Q28" s="21">
        <v>3.3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0</v>
      </c>
      <c r="G29" s="27">
        <f t="shared" si="0"/>
        <v>0.89999999999999947</v>
      </c>
      <c r="H29" s="27">
        <f t="shared" si="0"/>
        <v>0</v>
      </c>
      <c r="I29" s="27">
        <f t="shared" si="0"/>
        <v>2.4999999999999996</v>
      </c>
      <c r="J29" s="27">
        <f t="shared" si="0"/>
        <v>1.1999999999999997</v>
      </c>
      <c r="K29" s="27">
        <f t="shared" si="0"/>
        <v>0.79999999999999982</v>
      </c>
      <c r="L29" s="27">
        <f>L32-L28</f>
        <v>1.5</v>
      </c>
      <c r="M29" s="27">
        <f>M32-M28</f>
        <v>1.4000000000000004</v>
      </c>
      <c r="N29" s="27">
        <f>N32-N28</f>
        <v>0</v>
      </c>
      <c r="O29" s="27">
        <f>O32-O28</f>
        <v>1.3000000000000003</v>
      </c>
      <c r="P29" s="27">
        <f t="shared" si="0"/>
        <v>0</v>
      </c>
      <c r="Q29" s="27">
        <f t="shared" si="0"/>
        <v>1.2000000000000002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653.4</v>
      </c>
      <c r="H30" s="21"/>
      <c r="I30" s="21">
        <v>635.9</v>
      </c>
      <c r="J30" s="20">
        <v>638.4</v>
      </c>
      <c r="K30" s="20">
        <v>638.1</v>
      </c>
      <c r="L30" s="21">
        <v>619.9</v>
      </c>
      <c r="M30" s="21">
        <v>626.4</v>
      </c>
      <c r="N30" s="20"/>
      <c r="O30" s="20">
        <v>635.6</v>
      </c>
      <c r="P30" s="21"/>
      <c r="Q30" s="21">
        <v>636.6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13.8</v>
      </c>
      <c r="H31" s="21"/>
      <c r="I31" s="21">
        <v>13.6</v>
      </c>
      <c r="J31" s="20">
        <v>13.6</v>
      </c>
      <c r="K31" s="20">
        <v>13.1</v>
      </c>
      <c r="L31" s="21">
        <v>13.9</v>
      </c>
      <c r="M31" s="21">
        <v>13.7</v>
      </c>
      <c r="N31" s="20"/>
      <c r="O31" s="20">
        <v>13.7</v>
      </c>
      <c r="P31" s="21"/>
      <c r="Q31" s="21">
        <v>13.1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4.5999999999999996</v>
      </c>
      <c r="J32" s="20">
        <v>4.5999999999999996</v>
      </c>
      <c r="K32" s="20">
        <v>3.9</v>
      </c>
      <c r="L32" s="21">
        <v>4.3</v>
      </c>
      <c r="M32" s="21">
        <v>4.2</v>
      </c>
      <c r="N32" s="20"/>
      <c r="O32" s="20">
        <v>4.2</v>
      </c>
      <c r="P32" s="21"/>
      <c r="Q32" s="21">
        <v>4.5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9.2000000000000011</v>
      </c>
      <c r="H33" s="27">
        <f t="shared" ref="H33:Q33" si="1">H31-H32</f>
        <v>0</v>
      </c>
      <c r="I33" s="27">
        <f t="shared" si="1"/>
        <v>9</v>
      </c>
      <c r="J33" s="27">
        <f t="shared" si="1"/>
        <v>9</v>
      </c>
      <c r="K33" s="27">
        <f t="shared" si="1"/>
        <v>9.1999999999999993</v>
      </c>
      <c r="L33" s="27">
        <f>L31-L32</f>
        <v>9.6000000000000014</v>
      </c>
      <c r="M33" s="27">
        <f>M31-M32</f>
        <v>9.5</v>
      </c>
      <c r="N33" s="27">
        <f>N31-N32</f>
        <v>0</v>
      </c>
      <c r="O33" s="27">
        <f>O31-O32</f>
        <v>9.5</v>
      </c>
      <c r="P33" s="27">
        <f t="shared" si="1"/>
        <v>0</v>
      </c>
      <c r="Q33" s="27">
        <f t="shared" si="1"/>
        <v>8.6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6941.4318706697468</v>
      </c>
      <c r="H34" s="28">
        <f t="shared" ref="H34:Q34" si="2">(H33*H30)/0.866</f>
        <v>0</v>
      </c>
      <c r="I34" s="28">
        <f t="shared" si="2"/>
        <v>6608.6605080831405</v>
      </c>
      <c r="J34" s="28">
        <f t="shared" si="2"/>
        <v>6634.6420323325628</v>
      </c>
      <c r="K34" s="28">
        <f t="shared" si="2"/>
        <v>6778.8914549653573</v>
      </c>
      <c r="L34" s="28">
        <f>(L33*L30)/0.866</f>
        <v>6871.8706697459593</v>
      </c>
      <c r="M34" s="28">
        <f>(M33*M30)/0.866</f>
        <v>6871.5935334872984</v>
      </c>
      <c r="N34" s="28">
        <f>(N33*N30)/0.866</f>
        <v>0</v>
      </c>
      <c r="O34" s="28">
        <f>(O33*O30)/0.866</f>
        <v>6972.5173210161665</v>
      </c>
      <c r="P34" s="28">
        <f t="shared" si="2"/>
        <v>0</v>
      </c>
      <c r="Q34" s="28">
        <f t="shared" si="2"/>
        <v>6321.8937644341804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0.82</v>
      </c>
      <c r="J35" s="20">
        <v>0.84</v>
      </c>
      <c r="K35" s="20">
        <v>0.8</v>
      </c>
      <c r="L35" s="21">
        <v>0.88</v>
      </c>
      <c r="M35" s="21">
        <v>0.8</v>
      </c>
      <c r="N35" s="20"/>
      <c r="O35" s="20">
        <v>0.8</v>
      </c>
      <c r="P35" s="21"/>
      <c r="Q35" s="21">
        <v>0.8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34.9</v>
      </c>
      <c r="H36" s="21"/>
      <c r="I36" s="21">
        <v>35.5</v>
      </c>
      <c r="J36" s="20">
        <v>36.5</v>
      </c>
      <c r="K36" s="20">
        <v>35.299999999999997</v>
      </c>
      <c r="L36" s="21">
        <v>36.4</v>
      </c>
      <c r="M36" s="21">
        <v>35.299999999999997</v>
      </c>
      <c r="N36" s="20"/>
      <c r="O36" s="20">
        <v>34.5</v>
      </c>
      <c r="P36" s="21"/>
      <c r="Q36" s="21">
        <v>35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35.4</v>
      </c>
      <c r="H37" s="21"/>
      <c r="I37" s="21">
        <v>36.4</v>
      </c>
      <c r="J37" s="20">
        <v>37.299999999999997</v>
      </c>
      <c r="K37" s="20">
        <v>36</v>
      </c>
      <c r="L37" s="21">
        <v>36.9</v>
      </c>
      <c r="M37" s="21">
        <v>35.799999999999997</v>
      </c>
      <c r="N37" s="20"/>
      <c r="O37" s="20">
        <v>35.1</v>
      </c>
      <c r="P37" s="21"/>
      <c r="Q37" s="21">
        <v>35.799999999999997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1.6000000000000014</v>
      </c>
      <c r="H38" s="27">
        <f>H37-H41</f>
        <v>0</v>
      </c>
      <c r="I38" s="27">
        <f>I37-I41</f>
        <v>3.1999999999999957</v>
      </c>
      <c r="J38" s="27">
        <f t="shared" ref="J38:Q38" si="3">J37-J41</f>
        <v>2.1999999999999957</v>
      </c>
      <c r="K38" s="27">
        <f t="shared" si="3"/>
        <v>2.2000000000000028</v>
      </c>
      <c r="L38" s="27">
        <f>L37-L41</f>
        <v>2.1999999999999957</v>
      </c>
      <c r="M38" s="27">
        <f>M37-M41</f>
        <v>2.2999999999999972</v>
      </c>
      <c r="N38" s="27">
        <f>N37-N41</f>
        <v>0</v>
      </c>
      <c r="O38" s="27">
        <f>O37-O41</f>
        <v>1.6000000000000014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28.3</v>
      </c>
      <c r="H40" s="21"/>
      <c r="I40" s="21">
        <v>28.2</v>
      </c>
      <c r="J40" s="20">
        <v>29.6</v>
      </c>
      <c r="K40" s="20">
        <v>28.4</v>
      </c>
      <c r="L40" s="21">
        <v>39.5</v>
      </c>
      <c r="M40" s="21">
        <v>28.2</v>
      </c>
      <c r="N40" s="20"/>
      <c r="O40" s="20">
        <v>28.1</v>
      </c>
      <c r="P40" s="21"/>
      <c r="Q40" s="21">
        <v>28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33.799999999999997</v>
      </c>
      <c r="H41" s="21"/>
      <c r="I41" s="21">
        <v>33.200000000000003</v>
      </c>
      <c r="J41" s="20">
        <v>35.1</v>
      </c>
      <c r="K41" s="20">
        <v>33.799999999999997</v>
      </c>
      <c r="L41" s="21">
        <v>34.700000000000003</v>
      </c>
      <c r="M41" s="21">
        <v>33.5</v>
      </c>
      <c r="N41" s="20"/>
      <c r="O41" s="20">
        <v>33.5</v>
      </c>
      <c r="P41" s="21"/>
      <c r="Q41" s="21">
        <v>33.4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5.4999999999999964</v>
      </c>
      <c r="H42" s="27">
        <f t="shared" ref="H42:Q42" si="4">H41-H40</f>
        <v>0</v>
      </c>
      <c r="I42" s="27">
        <f t="shared" si="4"/>
        <v>5.0000000000000036</v>
      </c>
      <c r="J42" s="27">
        <f t="shared" si="4"/>
        <v>5.5</v>
      </c>
      <c r="K42" s="27">
        <f t="shared" si="4"/>
        <v>5.3999999999999986</v>
      </c>
      <c r="L42" s="27">
        <f>L41-L40</f>
        <v>-4.7999999999999972</v>
      </c>
      <c r="M42" s="27">
        <f>M41-M40</f>
        <v>5.3000000000000007</v>
      </c>
      <c r="N42" s="27">
        <f>N41-N40</f>
        <v>0</v>
      </c>
      <c r="O42" s="27">
        <f>O41-O40</f>
        <v>5.3999999999999986</v>
      </c>
      <c r="P42" s="27">
        <f t="shared" si="4"/>
        <v>0</v>
      </c>
      <c r="Q42" s="27">
        <f t="shared" si="4"/>
        <v>5.3999999999999986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1300.3</v>
      </c>
      <c r="H43" s="21"/>
      <c r="I43" s="21">
        <v>1301.9000000000001</v>
      </c>
      <c r="J43" s="20">
        <v>1298.3</v>
      </c>
      <c r="K43" s="20">
        <v>1300.9000000000001</v>
      </c>
      <c r="L43" s="21">
        <v>1294.8</v>
      </c>
      <c r="M43" s="20">
        <v>1297.0999999999999</v>
      </c>
      <c r="N43" s="20"/>
      <c r="O43" s="20">
        <v>1288.4000000000001</v>
      </c>
      <c r="P43" s="21"/>
      <c r="Q43" s="21">
        <v>1299.8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8258.2563510392556</v>
      </c>
      <c r="H44" s="28">
        <f t="shared" ref="H44:Q44" si="5">H42*H43/0.866</f>
        <v>0</v>
      </c>
      <c r="I44" s="28">
        <f t="shared" si="5"/>
        <v>7516.7436489607453</v>
      </c>
      <c r="J44" s="28">
        <f t="shared" si="5"/>
        <v>8245.55427251732</v>
      </c>
      <c r="K44" s="28">
        <f t="shared" si="5"/>
        <v>8111.8475750577354</v>
      </c>
      <c r="L44" s="28">
        <f>L42*L43/0.866</f>
        <v>-7176.7205542725133</v>
      </c>
      <c r="M44" s="28">
        <f>M42*M43/0.866</f>
        <v>7938.3718244803695</v>
      </c>
      <c r="N44" s="28">
        <f>N42*N43/0.866</f>
        <v>0</v>
      </c>
      <c r="O44" s="28">
        <f>O42*O43/0.866</f>
        <v>8033.9030023094674</v>
      </c>
      <c r="P44" s="28">
        <f t="shared" si="5"/>
        <v>0</v>
      </c>
      <c r="Q44" s="28">
        <f t="shared" si="5"/>
        <v>8104.9884526558872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0.44</v>
      </c>
      <c r="J45" s="20">
        <v>0.46</v>
      </c>
      <c r="K45" s="20">
        <v>0.45</v>
      </c>
      <c r="L45" s="21">
        <v>0.46</v>
      </c>
      <c r="M45" s="21">
        <v>0.45</v>
      </c>
      <c r="N45" s="20"/>
      <c r="O45" s="20">
        <v>0.44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19.399999999999999</v>
      </c>
      <c r="H46" s="21"/>
      <c r="I46" s="21">
        <v>18.8</v>
      </c>
      <c r="J46" s="20">
        <v>19.7</v>
      </c>
      <c r="K46" s="20">
        <v>19.100000000000001</v>
      </c>
      <c r="L46" s="21">
        <v>19.3</v>
      </c>
      <c r="M46" s="21">
        <v>19.2</v>
      </c>
      <c r="N46" s="20"/>
      <c r="O46" s="20">
        <v>18.5</v>
      </c>
      <c r="P46" s="21"/>
      <c r="Q46" s="21">
        <v>19.399999999999999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202.8</v>
      </c>
      <c r="H47" s="21"/>
      <c r="I47" s="21">
        <v>117</v>
      </c>
      <c r="J47" s="20">
        <v>194.3</v>
      </c>
      <c r="K47" s="20">
        <v>202.7</v>
      </c>
      <c r="L47" s="21">
        <v>205.5</v>
      </c>
      <c r="M47" s="21">
        <v>223.6</v>
      </c>
      <c r="N47" s="20"/>
      <c r="O47" s="20">
        <v>167.9</v>
      </c>
      <c r="P47" s="21"/>
      <c r="Q47" s="21">
        <v>197.9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37">
        <v>5.89</v>
      </c>
      <c r="F49" s="20"/>
      <c r="G49" s="20">
        <v>6</v>
      </c>
      <c r="H49" s="21"/>
      <c r="I49" s="21">
        <v>5.6</v>
      </c>
      <c r="J49" s="20">
        <v>5.54</v>
      </c>
      <c r="K49" s="20">
        <v>5.84</v>
      </c>
      <c r="L49" s="21">
        <v>5.57</v>
      </c>
      <c r="M49" s="21">
        <v>5.89</v>
      </c>
      <c r="N49" s="20"/>
      <c r="O49" s="20">
        <v>5.8</v>
      </c>
      <c r="P49" s="21"/>
      <c r="Q49" s="21">
        <v>5.49</v>
      </c>
    </row>
    <row r="50" spans="2:17" ht="20.100000000000001" customHeight="1">
      <c r="B50" s="94" t="s">
        <v>91</v>
      </c>
      <c r="C50" s="94"/>
      <c r="D50" s="94"/>
      <c r="E50" s="3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3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Q59"/>
  <sheetViews>
    <sheetView view="pageBreakPreview" zoomScale="85" zoomScaleNormal="60" workbookViewId="0">
      <selection activeCell="N9" sqref="N9:N51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45811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39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77.400000000000006</v>
      </c>
      <c r="G11" s="20">
        <v>72.099999999999994</v>
      </c>
      <c r="H11" s="21"/>
      <c r="I11" s="21">
        <v>81.400000000000006</v>
      </c>
      <c r="J11" s="20"/>
      <c r="K11" s="20">
        <v>73.8</v>
      </c>
      <c r="L11" s="21"/>
      <c r="M11" s="21">
        <v>75.3</v>
      </c>
      <c r="N11" s="20">
        <v>81.900000000000006</v>
      </c>
      <c r="O11" s="20">
        <v>75.599999999999994</v>
      </c>
      <c r="P11" s="21"/>
      <c r="Q11" s="21">
        <v>75.2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0.1</v>
      </c>
      <c r="G12" s="20">
        <v>0.1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73</v>
      </c>
      <c r="G13" s="20">
        <v>65.900000000000006</v>
      </c>
      <c r="H13" s="21"/>
      <c r="I13" s="21">
        <v>77.900000000000006</v>
      </c>
      <c r="J13" s="20"/>
      <c r="K13" s="20">
        <v>70.099999999999994</v>
      </c>
      <c r="L13" s="21"/>
      <c r="M13" s="21">
        <v>72</v>
      </c>
      <c r="N13" s="20">
        <v>77.900000000000006</v>
      </c>
      <c r="O13" s="20">
        <v>70.400000000000006</v>
      </c>
      <c r="P13" s="21"/>
      <c r="Q13" s="21">
        <v>70.8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65.2</v>
      </c>
      <c r="G14" s="20">
        <v>69</v>
      </c>
      <c r="H14" s="21"/>
      <c r="I14" s="21">
        <v>69.7</v>
      </c>
      <c r="J14" s="20"/>
      <c r="K14" s="20">
        <v>64.900000000000006</v>
      </c>
      <c r="L14" s="21"/>
      <c r="M14" s="21">
        <v>68.2</v>
      </c>
      <c r="N14" s="20">
        <v>72</v>
      </c>
      <c r="O14" s="20">
        <v>75</v>
      </c>
      <c r="P14" s="21"/>
      <c r="Q14" s="21">
        <v>73.2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42.7</v>
      </c>
      <c r="G15" s="20">
        <v>38.5</v>
      </c>
      <c r="H15" s="21"/>
      <c r="I15" s="21">
        <v>57.1</v>
      </c>
      <c r="J15" s="20"/>
      <c r="K15" s="20">
        <v>41.3</v>
      </c>
      <c r="L15" s="21"/>
      <c r="M15" s="21">
        <v>35.6</v>
      </c>
      <c r="N15" s="20">
        <v>58</v>
      </c>
      <c r="O15" s="20">
        <v>58</v>
      </c>
      <c r="P15" s="21"/>
      <c r="Q15" s="21">
        <v>42.6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/>
      <c r="Q16" s="20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119.4</v>
      </c>
      <c r="G17" s="20">
        <v>117.1</v>
      </c>
      <c r="H17" s="21"/>
      <c r="I17" s="21">
        <v>118.4</v>
      </c>
      <c r="J17" s="20"/>
      <c r="K17" s="20">
        <v>115.7</v>
      </c>
      <c r="L17" s="21"/>
      <c r="M17" s="21">
        <v>117.6</v>
      </c>
      <c r="N17" s="20">
        <v>119.8</v>
      </c>
      <c r="O17" s="20">
        <v>117.7</v>
      </c>
      <c r="P17" s="21"/>
      <c r="Q17" s="21">
        <v>118.6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1169</v>
      </c>
      <c r="G18" s="20">
        <v>1150</v>
      </c>
      <c r="H18" s="21"/>
      <c r="I18" s="21">
        <v>1197</v>
      </c>
      <c r="J18" s="20"/>
      <c r="K18" s="20">
        <v>1175</v>
      </c>
      <c r="L18" s="21"/>
      <c r="M18" s="21">
        <v>1194</v>
      </c>
      <c r="N18" s="20">
        <v>1216</v>
      </c>
      <c r="O18" s="20">
        <v>1194</v>
      </c>
      <c r="P18" s="21"/>
      <c r="Q18" s="21">
        <v>1200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50656.9</v>
      </c>
      <c r="G19" s="20">
        <v>50647.5</v>
      </c>
      <c r="H19" s="21"/>
      <c r="I19" s="21">
        <v>51615</v>
      </c>
      <c r="J19" s="20"/>
      <c r="K19" s="20">
        <v>49577.5</v>
      </c>
      <c r="L19" s="21"/>
      <c r="M19" s="21">
        <v>52009.5</v>
      </c>
      <c r="N19" s="20">
        <v>51185.7</v>
      </c>
      <c r="O19" s="20">
        <v>51176</v>
      </c>
      <c r="P19" s="21"/>
      <c r="Q19" s="21">
        <v>50984.5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58.2</v>
      </c>
      <c r="G22" s="20">
        <v>58.2</v>
      </c>
      <c r="H22" s="21"/>
      <c r="I22" s="21">
        <v>59.3</v>
      </c>
      <c r="J22" s="20"/>
      <c r="K22" s="20">
        <v>57.7</v>
      </c>
      <c r="L22" s="21"/>
      <c r="M22" s="21">
        <v>57.5</v>
      </c>
      <c r="N22" s="20">
        <v>58.4</v>
      </c>
      <c r="O22" s="20">
        <v>58.7</v>
      </c>
      <c r="P22" s="21"/>
      <c r="Q22" s="21">
        <v>59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0.47</v>
      </c>
      <c r="O23" s="20">
        <v>0.48</v>
      </c>
      <c r="P23" s="21"/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44.9</v>
      </c>
      <c r="G25" s="20">
        <v>45.1</v>
      </c>
      <c r="H25" s="21"/>
      <c r="I25" s="21">
        <v>44.8</v>
      </c>
      <c r="J25" s="20"/>
      <c r="K25" s="20">
        <v>45.1</v>
      </c>
      <c r="L25" s="21"/>
      <c r="M25" s="21">
        <v>44.8</v>
      </c>
      <c r="N25" s="20">
        <v>44.9</v>
      </c>
      <c r="O25" s="20">
        <v>44.9</v>
      </c>
      <c r="P25" s="21"/>
      <c r="Q25" s="21">
        <v>45.1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0.23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3.6</v>
      </c>
      <c r="G27" s="20">
        <v>4.2</v>
      </c>
      <c r="H27" s="21"/>
      <c r="I27" s="21">
        <v>3.2</v>
      </c>
      <c r="J27" s="20"/>
      <c r="K27" s="20">
        <v>4</v>
      </c>
      <c r="L27" s="21"/>
      <c r="M27" s="21">
        <v>4</v>
      </c>
      <c r="N27" s="20">
        <v>3.8</v>
      </c>
      <c r="O27" s="20">
        <v>4.3</v>
      </c>
      <c r="P27" s="21"/>
      <c r="Q27" s="21">
        <v>4.5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3.3</v>
      </c>
      <c r="G28" s="20">
        <v>3.7</v>
      </c>
      <c r="H28" s="21"/>
      <c r="I28" s="21">
        <v>2.2999999999999998</v>
      </c>
      <c r="J28" s="20"/>
      <c r="K28" s="20">
        <v>3.3</v>
      </c>
      <c r="L28" s="21"/>
      <c r="M28" s="21">
        <v>2.8</v>
      </c>
      <c r="N28" s="20">
        <v>3.3</v>
      </c>
      <c r="O28" s="20">
        <v>3.3</v>
      </c>
      <c r="P28" s="21"/>
      <c r="Q28" s="21">
        <v>3.6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0.90000000000000036</v>
      </c>
      <c r="G29" s="27">
        <f t="shared" si="0"/>
        <v>1</v>
      </c>
      <c r="H29" s="27">
        <f t="shared" si="0"/>
        <v>0</v>
      </c>
      <c r="I29" s="27">
        <f t="shared" si="0"/>
        <v>2.4000000000000004</v>
      </c>
      <c r="J29" s="27">
        <f t="shared" si="0"/>
        <v>0</v>
      </c>
      <c r="K29" s="27">
        <f t="shared" si="0"/>
        <v>0.70000000000000018</v>
      </c>
      <c r="L29" s="27">
        <f>L32-L28</f>
        <v>0</v>
      </c>
      <c r="M29" s="27">
        <f>M32-M28</f>
        <v>1.6000000000000005</v>
      </c>
      <c r="N29" s="27">
        <f>N32-N28</f>
        <v>0.79999999999999982</v>
      </c>
      <c r="O29" s="27">
        <f>O32-O28</f>
        <v>1.2999999999999998</v>
      </c>
      <c r="P29" s="27">
        <f t="shared" si="0"/>
        <v>0</v>
      </c>
      <c r="Q29" s="27">
        <f t="shared" si="0"/>
        <v>0.89999999999999991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697.8</v>
      </c>
      <c r="G30" s="20">
        <v>642.20000000000005</v>
      </c>
      <c r="H30" s="21"/>
      <c r="I30" s="21">
        <v>631.9</v>
      </c>
      <c r="J30" s="20"/>
      <c r="K30" s="20">
        <v>635.44000000000005</v>
      </c>
      <c r="L30" s="21"/>
      <c r="M30" s="21">
        <v>627.79999999999995</v>
      </c>
      <c r="N30" s="20">
        <v>687.9</v>
      </c>
      <c r="O30" s="20">
        <v>642.9</v>
      </c>
      <c r="P30" s="21"/>
      <c r="Q30" s="21">
        <v>639.4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13.1</v>
      </c>
      <c r="G31" s="20">
        <v>13.8</v>
      </c>
      <c r="H31" s="21"/>
      <c r="I31" s="21">
        <v>13.8</v>
      </c>
      <c r="J31" s="20"/>
      <c r="K31" s="20">
        <v>13.2</v>
      </c>
      <c r="L31" s="21"/>
      <c r="M31" s="21">
        <v>13.7</v>
      </c>
      <c r="N31" s="20">
        <v>13</v>
      </c>
      <c r="O31" s="20">
        <v>13.9</v>
      </c>
      <c r="P31" s="21"/>
      <c r="Q31" s="21">
        <v>13.5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4.2</v>
      </c>
      <c r="G32" s="20">
        <v>4.7</v>
      </c>
      <c r="H32" s="21"/>
      <c r="I32" s="21">
        <v>4.7</v>
      </c>
      <c r="J32" s="20"/>
      <c r="K32" s="20">
        <v>4</v>
      </c>
      <c r="L32" s="21"/>
      <c r="M32" s="21">
        <v>4.4000000000000004</v>
      </c>
      <c r="N32" s="20">
        <v>4.0999999999999996</v>
      </c>
      <c r="O32" s="20">
        <v>4.5999999999999996</v>
      </c>
      <c r="P32" s="21"/>
      <c r="Q32" s="21">
        <v>4.5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8.8999999999999986</v>
      </c>
      <c r="G33" s="27">
        <f>G31-G32</f>
        <v>9.1000000000000014</v>
      </c>
      <c r="H33" s="27">
        <f t="shared" ref="H33:Q33" si="1">H31-H32</f>
        <v>0</v>
      </c>
      <c r="I33" s="27">
        <f t="shared" si="1"/>
        <v>9.1000000000000014</v>
      </c>
      <c r="J33" s="27">
        <f t="shared" si="1"/>
        <v>0</v>
      </c>
      <c r="K33" s="27">
        <f t="shared" si="1"/>
        <v>9.1999999999999993</v>
      </c>
      <c r="L33" s="27">
        <f>L31-L32</f>
        <v>0</v>
      </c>
      <c r="M33" s="27">
        <f>M31-M32</f>
        <v>9.2999999999999989</v>
      </c>
      <c r="N33" s="27">
        <f>N31-N32</f>
        <v>8.9</v>
      </c>
      <c r="O33" s="27">
        <f>O31-O32</f>
        <v>9.3000000000000007</v>
      </c>
      <c r="P33" s="27">
        <f t="shared" si="1"/>
        <v>0</v>
      </c>
      <c r="Q33" s="27">
        <f t="shared" si="1"/>
        <v>9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7171.3856812933009</v>
      </c>
      <c r="G34" s="28">
        <f>(G33*G30)/0.866</f>
        <v>6748.290993071595</v>
      </c>
      <c r="H34" s="28">
        <f t="shared" ref="H34:Q34" si="2">(H33*H30)/0.866</f>
        <v>0</v>
      </c>
      <c r="I34" s="28">
        <f t="shared" si="2"/>
        <v>6640.0577367205551</v>
      </c>
      <c r="J34" s="28">
        <f t="shared" si="2"/>
        <v>0</v>
      </c>
      <c r="K34" s="28">
        <f t="shared" si="2"/>
        <v>6750.6327944572749</v>
      </c>
      <c r="L34" s="28">
        <f>(L33*L30)/0.866</f>
        <v>0</v>
      </c>
      <c r="M34" s="28">
        <f>(M33*M30)/0.866</f>
        <v>6741.9630484988438</v>
      </c>
      <c r="N34" s="28">
        <f>(N33*N30)/0.866</f>
        <v>7069.6420323325638</v>
      </c>
      <c r="O34" s="28">
        <f>(O33*O30)/0.866</f>
        <v>6904.122401847575</v>
      </c>
      <c r="P34" s="28">
        <f t="shared" si="2"/>
        <v>0</v>
      </c>
      <c r="Q34" s="28">
        <f t="shared" si="2"/>
        <v>6645.0346420323322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0.79</v>
      </c>
      <c r="G35" s="20">
        <v>0.8</v>
      </c>
      <c r="H35" s="21"/>
      <c r="I35" s="21">
        <v>0.82</v>
      </c>
      <c r="J35" s="20"/>
      <c r="K35" s="20">
        <v>0.81</v>
      </c>
      <c r="L35" s="21"/>
      <c r="M35" s="21">
        <v>0.81</v>
      </c>
      <c r="N35" s="20">
        <v>0.79</v>
      </c>
      <c r="O35" s="20">
        <v>0.79</v>
      </c>
      <c r="P35" s="21"/>
      <c r="Q35" s="21">
        <v>0.81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34.6</v>
      </c>
      <c r="G36" s="20">
        <v>35.299999999999997</v>
      </c>
      <c r="H36" s="21"/>
      <c r="I36" s="21">
        <v>35.9</v>
      </c>
      <c r="J36" s="20"/>
      <c r="K36" s="20">
        <v>35.6</v>
      </c>
      <c r="L36" s="21"/>
      <c r="M36" s="21">
        <v>35.6</v>
      </c>
      <c r="N36" s="20">
        <v>34</v>
      </c>
      <c r="O36" s="20">
        <v>34.799999999999997</v>
      </c>
      <c r="P36" s="21"/>
      <c r="Q36" s="21">
        <v>35.5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35.200000000000003</v>
      </c>
      <c r="G37" s="20">
        <v>35.799999999999997</v>
      </c>
      <c r="H37" s="21"/>
      <c r="I37" s="21">
        <v>36.799999999999997</v>
      </c>
      <c r="J37" s="20"/>
      <c r="K37" s="20">
        <v>36.299999999999997</v>
      </c>
      <c r="L37" s="21"/>
      <c r="M37" s="21">
        <v>36.1</v>
      </c>
      <c r="N37" s="20">
        <v>34.700000000000003</v>
      </c>
      <c r="O37" s="20">
        <v>35.299999999999997</v>
      </c>
      <c r="P37" s="21"/>
      <c r="Q37" s="21">
        <v>36.299999999999997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1.8000000000000043</v>
      </c>
      <c r="G38" s="27">
        <f>G37-G41</f>
        <v>1.6999999999999957</v>
      </c>
      <c r="H38" s="27">
        <f>H37-H41</f>
        <v>0</v>
      </c>
      <c r="I38" s="27">
        <f>I37-I41</f>
        <v>3.2999999999999972</v>
      </c>
      <c r="J38" s="27">
        <f t="shared" ref="J38:Q38" si="3">J37-J41</f>
        <v>0</v>
      </c>
      <c r="K38" s="27">
        <f t="shared" si="3"/>
        <v>2.1999999999999957</v>
      </c>
      <c r="L38" s="27">
        <f>L37-L41</f>
        <v>0</v>
      </c>
      <c r="M38" s="27">
        <f>M37-M41</f>
        <v>2.2000000000000028</v>
      </c>
      <c r="N38" s="27">
        <f>N37-N41</f>
        <v>1.5</v>
      </c>
      <c r="O38" s="27">
        <f>O37-O41</f>
        <v>1.5</v>
      </c>
      <c r="P38" s="27">
        <f t="shared" si="3"/>
        <v>0</v>
      </c>
      <c r="Q38" s="27">
        <f t="shared" si="3"/>
        <v>2.5999999999999943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27.9</v>
      </c>
      <c r="G40" s="20">
        <v>28.6</v>
      </c>
      <c r="H40" s="21"/>
      <c r="I40" s="21">
        <v>28.5</v>
      </c>
      <c r="J40" s="20"/>
      <c r="K40" s="20">
        <v>28.7</v>
      </c>
      <c r="L40" s="21"/>
      <c r="M40" s="21">
        <v>28.7</v>
      </c>
      <c r="N40" s="20">
        <v>27.6</v>
      </c>
      <c r="O40" s="20">
        <v>28.3</v>
      </c>
      <c r="P40" s="21"/>
      <c r="Q40" s="21">
        <v>28.4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33.4</v>
      </c>
      <c r="G41" s="20">
        <v>34.1</v>
      </c>
      <c r="H41" s="21"/>
      <c r="I41" s="21">
        <v>33.5</v>
      </c>
      <c r="J41" s="20"/>
      <c r="K41" s="20">
        <v>34.1</v>
      </c>
      <c r="L41" s="21"/>
      <c r="M41" s="21">
        <v>33.9</v>
      </c>
      <c r="N41" s="20">
        <v>33.200000000000003</v>
      </c>
      <c r="O41" s="20">
        <v>33.799999999999997</v>
      </c>
      <c r="P41" s="21"/>
      <c r="Q41" s="21">
        <v>33.700000000000003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5.5</v>
      </c>
      <c r="G42" s="27">
        <f>G41-G40</f>
        <v>5.5</v>
      </c>
      <c r="H42" s="27">
        <f t="shared" ref="H42:Q42" si="4">H41-H40</f>
        <v>0</v>
      </c>
      <c r="I42" s="27">
        <f t="shared" si="4"/>
        <v>5</v>
      </c>
      <c r="J42" s="27">
        <f t="shared" si="4"/>
        <v>0</v>
      </c>
      <c r="K42" s="27">
        <f t="shared" si="4"/>
        <v>5.4000000000000021</v>
      </c>
      <c r="L42" s="27">
        <f>L41-L40</f>
        <v>0</v>
      </c>
      <c r="M42" s="27">
        <f>M41-M40</f>
        <v>5.1999999999999993</v>
      </c>
      <c r="N42" s="27">
        <f>N41-N40</f>
        <v>5.6000000000000014</v>
      </c>
      <c r="O42" s="27">
        <f>O41-O40</f>
        <v>5.4999999999999964</v>
      </c>
      <c r="P42" s="27">
        <f t="shared" si="4"/>
        <v>0</v>
      </c>
      <c r="Q42" s="27">
        <f t="shared" si="4"/>
        <v>5.3000000000000043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1288.8</v>
      </c>
      <c r="G43" s="20">
        <v>1296.0999999999999</v>
      </c>
      <c r="H43" s="21"/>
      <c r="I43" s="21">
        <v>1290.5999999999999</v>
      </c>
      <c r="J43" s="20"/>
      <c r="K43" s="20">
        <v>1304.9000000000001</v>
      </c>
      <c r="L43" s="21"/>
      <c r="M43" s="20">
        <v>1293.9000000000001</v>
      </c>
      <c r="N43" s="20">
        <v>1299.0999999999999</v>
      </c>
      <c r="O43" s="20">
        <v>1291.9000000000001</v>
      </c>
      <c r="P43" s="21"/>
      <c r="Q43" s="21">
        <v>1294.5999999999999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8185.2193995381058</v>
      </c>
      <c r="G44" s="28">
        <f>G42*G43/0.866</f>
        <v>8231.5819861431864</v>
      </c>
      <c r="H44" s="28">
        <f t="shared" ref="H44:Q44" si="5">H42*H43/0.866</f>
        <v>0</v>
      </c>
      <c r="I44" s="28">
        <f t="shared" si="5"/>
        <v>7451.5011547344111</v>
      </c>
      <c r="J44" s="28">
        <f t="shared" si="5"/>
        <v>0</v>
      </c>
      <c r="K44" s="28">
        <f t="shared" si="5"/>
        <v>8136.7898383371867</v>
      </c>
      <c r="L44" s="28">
        <f>L42*L43/0.866</f>
        <v>0</v>
      </c>
      <c r="M44" s="28">
        <f>M42*M43/0.866</f>
        <v>7769.3764434180139</v>
      </c>
      <c r="N44" s="28">
        <f>N42*N43/0.866</f>
        <v>8400.6466512702082</v>
      </c>
      <c r="O44" s="28">
        <f>O42*O43/0.866</f>
        <v>8204.9076212471082</v>
      </c>
      <c r="P44" s="28">
        <f t="shared" si="5"/>
        <v>0</v>
      </c>
      <c r="Q44" s="28">
        <f t="shared" si="5"/>
        <v>7923.0715935334929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0.44</v>
      </c>
      <c r="G45" s="20">
        <v>0.46</v>
      </c>
      <c r="H45" s="21"/>
      <c r="I45" s="21">
        <v>0.45</v>
      </c>
      <c r="J45" s="20"/>
      <c r="K45" s="20">
        <v>0.45</v>
      </c>
      <c r="L45" s="21"/>
      <c r="M45" s="21">
        <v>0.46</v>
      </c>
      <c r="N45" s="20">
        <v>0.48</v>
      </c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18.5</v>
      </c>
      <c r="G46" s="20">
        <v>19.5</v>
      </c>
      <c r="H46" s="21"/>
      <c r="I46" s="21">
        <v>18.7</v>
      </c>
      <c r="J46" s="20"/>
      <c r="K46" s="20">
        <v>19.3</v>
      </c>
      <c r="L46" s="21"/>
      <c r="M46" s="21">
        <v>19.2</v>
      </c>
      <c r="N46" s="20">
        <v>18</v>
      </c>
      <c r="O46" s="20">
        <v>19.600000000000001</v>
      </c>
      <c r="P46" s="21"/>
      <c r="Q46" s="21">
        <v>19.600000000000001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203.2</v>
      </c>
      <c r="G47" s="20">
        <v>202.9</v>
      </c>
      <c r="H47" s="21"/>
      <c r="I47" s="21">
        <v>122.5</v>
      </c>
      <c r="J47" s="20"/>
      <c r="K47" s="20">
        <v>205.4</v>
      </c>
      <c r="L47" s="21"/>
      <c r="M47" s="21">
        <v>214.9</v>
      </c>
      <c r="N47" s="20">
        <v>162.30000000000001</v>
      </c>
      <c r="O47" s="20">
        <v>160.30000000000001</v>
      </c>
      <c r="P47" s="21"/>
      <c r="Q47" s="21">
        <v>199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39">
        <v>5.89</v>
      </c>
      <c r="F49" s="20">
        <v>5.58</v>
      </c>
      <c r="G49" s="20">
        <v>5.84</v>
      </c>
      <c r="H49" s="21"/>
      <c r="I49" s="21">
        <v>5.61</v>
      </c>
      <c r="J49" s="20"/>
      <c r="K49" s="20">
        <v>5.79</v>
      </c>
      <c r="L49" s="21"/>
      <c r="M49" s="21">
        <v>5.74</v>
      </c>
      <c r="N49" s="20">
        <v>5.38</v>
      </c>
      <c r="O49" s="20">
        <v>5.74</v>
      </c>
      <c r="P49" s="21"/>
      <c r="Q49" s="21">
        <v>5.52</v>
      </c>
    </row>
    <row r="50" spans="2:17" ht="20.100000000000001" customHeight="1">
      <c r="B50" s="94" t="s">
        <v>91</v>
      </c>
      <c r="C50" s="94"/>
      <c r="D50" s="94"/>
      <c r="E50" s="3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3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Q59"/>
  <sheetViews>
    <sheetView view="pageBreakPreview" zoomScale="80" zoomScaleNormal="60" zoomScaleSheetLayoutView="80" workbookViewId="0">
      <selection activeCell="H23" sqref="H23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45812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41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67.8</v>
      </c>
      <c r="H11" s="21"/>
      <c r="I11" s="21">
        <v>75.2</v>
      </c>
      <c r="J11" s="20">
        <v>74.3</v>
      </c>
      <c r="K11" s="20">
        <v>74</v>
      </c>
      <c r="L11" s="21">
        <v>78.5</v>
      </c>
      <c r="M11" s="21">
        <v>74</v>
      </c>
      <c r="N11" s="20"/>
      <c r="O11" s="20">
        <v>73.400000000000006</v>
      </c>
      <c r="P11" s="21"/>
      <c r="Q11" s="21">
        <v>72.8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60.7</v>
      </c>
      <c r="H13" s="21"/>
      <c r="I13" s="21">
        <v>69.599999999999994</v>
      </c>
      <c r="J13" s="20">
        <v>70.7</v>
      </c>
      <c r="K13" s="20">
        <v>69.5</v>
      </c>
      <c r="L13" s="21">
        <v>74.8</v>
      </c>
      <c r="M13" s="21">
        <v>69.099999999999994</v>
      </c>
      <c r="N13" s="20"/>
      <c r="O13" s="20">
        <v>68.7</v>
      </c>
      <c r="P13" s="21"/>
      <c r="Q13" s="21">
        <v>66.900000000000006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70.900000000000006</v>
      </c>
      <c r="J14" s="20">
        <v>63.6</v>
      </c>
      <c r="K14" s="20">
        <v>63.7</v>
      </c>
      <c r="L14" s="21">
        <v>67.2</v>
      </c>
      <c r="M14" s="21">
        <v>67.599999999999994</v>
      </c>
      <c r="N14" s="20"/>
      <c r="O14" s="20">
        <v>73.5</v>
      </c>
      <c r="P14" s="21"/>
      <c r="Q14" s="21">
        <v>73.5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37.4</v>
      </c>
      <c r="H15" s="21"/>
      <c r="I15" s="21">
        <v>49.1</v>
      </c>
      <c r="J15" s="20">
        <v>35.700000000000003</v>
      </c>
      <c r="K15" s="20">
        <v>36.1</v>
      </c>
      <c r="L15" s="21">
        <v>33.700000000000003</v>
      </c>
      <c r="M15" s="21">
        <v>34.6</v>
      </c>
      <c r="N15" s="20"/>
      <c r="O15" s="20">
        <v>50</v>
      </c>
      <c r="P15" s="21"/>
      <c r="Q15" s="21">
        <v>43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115.3</v>
      </c>
      <c r="H17" s="21"/>
      <c r="I17" s="21">
        <v>113.8</v>
      </c>
      <c r="J17" s="20">
        <v>117.5</v>
      </c>
      <c r="K17" s="20">
        <v>118</v>
      </c>
      <c r="L17" s="21">
        <v>118.6</v>
      </c>
      <c r="M17" s="21">
        <v>116.9</v>
      </c>
      <c r="N17" s="20"/>
      <c r="O17" s="20">
        <v>117.5</v>
      </c>
      <c r="P17" s="21"/>
      <c r="Q17" s="21">
        <v>117.3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1148</v>
      </c>
      <c r="H18" s="21"/>
      <c r="I18" s="21">
        <v>1164</v>
      </c>
      <c r="J18" s="20">
        <v>1208</v>
      </c>
      <c r="K18" s="20">
        <v>1205</v>
      </c>
      <c r="L18" s="21">
        <v>1221</v>
      </c>
      <c r="M18" s="21">
        <v>1190</v>
      </c>
      <c r="N18" s="20"/>
      <c r="O18" s="20">
        <v>1199</v>
      </c>
      <c r="P18" s="21"/>
      <c r="Q18" s="21">
        <v>1192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50661.1</v>
      </c>
      <c r="H19" s="21"/>
      <c r="I19" s="21">
        <v>51620</v>
      </c>
      <c r="J19" s="20">
        <v>49597.4</v>
      </c>
      <c r="K19" s="20">
        <v>495779</v>
      </c>
      <c r="L19" s="21">
        <v>52029.599999999999</v>
      </c>
      <c r="M19" s="21">
        <v>52012</v>
      </c>
      <c r="N19" s="20"/>
      <c r="O19" s="20">
        <v>51181</v>
      </c>
      <c r="P19" s="21"/>
      <c r="Q19" s="21">
        <v>50992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58.4</v>
      </c>
      <c r="H22" s="21"/>
      <c r="I22" s="21">
        <v>59.3</v>
      </c>
      <c r="J22" s="20">
        <v>57.9</v>
      </c>
      <c r="K22" s="20">
        <v>57.7</v>
      </c>
      <c r="L22" s="21">
        <v>57.4</v>
      </c>
      <c r="M22" s="21">
        <v>57.5</v>
      </c>
      <c r="N22" s="20"/>
      <c r="O22" s="20">
        <v>58.7</v>
      </c>
      <c r="P22" s="21"/>
      <c r="Q22" s="21">
        <v>59.3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44.7</v>
      </c>
      <c r="H25" s="21"/>
      <c r="I25" s="21">
        <v>44.9</v>
      </c>
      <c r="J25" s="20">
        <v>45</v>
      </c>
      <c r="K25" s="20">
        <v>45</v>
      </c>
      <c r="L25" s="21">
        <v>45.1</v>
      </c>
      <c r="M25" s="21">
        <v>44.9</v>
      </c>
      <c r="N25" s="20"/>
      <c r="O25" s="20">
        <v>44.9</v>
      </c>
      <c r="P25" s="21"/>
      <c r="Q25" s="21">
        <v>45.2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0.21</v>
      </c>
      <c r="H26" s="21"/>
      <c r="I26" s="21">
        <v>0.22</v>
      </c>
      <c r="J26" s="20">
        <v>0.23</v>
      </c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4.9000000000000004</v>
      </c>
      <c r="H27" s="21"/>
      <c r="I27" s="21">
        <v>3.6</v>
      </c>
      <c r="J27" s="20">
        <v>4.3</v>
      </c>
      <c r="K27" s="20">
        <v>4.2</v>
      </c>
      <c r="L27" s="21">
        <v>4</v>
      </c>
      <c r="M27" s="21">
        <v>4</v>
      </c>
      <c r="N27" s="20"/>
      <c r="O27" s="20">
        <v>4.5</v>
      </c>
      <c r="P27" s="21"/>
      <c r="Q27" s="21">
        <v>4.5999999999999996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4.5</v>
      </c>
      <c r="H28" s="21"/>
      <c r="I28" s="21">
        <v>2.7</v>
      </c>
      <c r="J28" s="20">
        <v>3.5</v>
      </c>
      <c r="K28" s="20">
        <v>3.4</v>
      </c>
      <c r="L28" s="21">
        <v>2.8</v>
      </c>
      <c r="M28" s="21">
        <v>3</v>
      </c>
      <c r="N28" s="20"/>
      <c r="O28" s="20">
        <v>3.7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2.2000000000000002</v>
      </c>
      <c r="J29" s="27">
        <f t="shared" si="0"/>
        <v>0.70000000000000018</v>
      </c>
      <c r="K29" s="27">
        <f t="shared" si="0"/>
        <v>0.60000000000000009</v>
      </c>
      <c r="L29" s="27">
        <f>L32-L28</f>
        <v>1.2999999999999998</v>
      </c>
      <c r="M29" s="27">
        <f>M32-M28</f>
        <v>1.4000000000000004</v>
      </c>
      <c r="N29" s="27">
        <f>N32-N28</f>
        <v>0</v>
      </c>
      <c r="O29" s="27">
        <f>O32-O28</f>
        <v>0.89999999999999947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677.7</v>
      </c>
      <c r="H30" s="21"/>
      <c r="I30" s="21">
        <v>629.29999999999995</v>
      </c>
      <c r="J30" s="20">
        <v>630.6</v>
      </c>
      <c r="K30" s="20">
        <v>641.20000000000005</v>
      </c>
      <c r="L30" s="21">
        <v>627.5</v>
      </c>
      <c r="M30" s="21">
        <v>619.79999999999995</v>
      </c>
      <c r="N30" s="20"/>
      <c r="O30" s="20">
        <v>634.9</v>
      </c>
      <c r="P30" s="21"/>
      <c r="Q30" s="21">
        <v>638.4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13.9</v>
      </c>
      <c r="H31" s="21"/>
      <c r="I31" s="21">
        <v>13.5</v>
      </c>
      <c r="J31" s="20">
        <v>13.3</v>
      </c>
      <c r="K31" s="20">
        <v>13.1</v>
      </c>
      <c r="L31" s="21">
        <v>13.6</v>
      </c>
      <c r="M31" s="21">
        <v>13.6</v>
      </c>
      <c r="N31" s="20"/>
      <c r="O31" s="20">
        <v>13.9</v>
      </c>
      <c r="P31" s="21"/>
      <c r="Q31" s="21">
        <v>13.4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5.3</v>
      </c>
      <c r="H32" s="21"/>
      <c r="I32" s="21">
        <v>4.9000000000000004</v>
      </c>
      <c r="J32" s="20">
        <v>4.2</v>
      </c>
      <c r="K32" s="20">
        <v>4</v>
      </c>
      <c r="L32" s="21">
        <v>4.0999999999999996</v>
      </c>
      <c r="M32" s="21">
        <v>4.4000000000000004</v>
      </c>
      <c r="N32" s="20"/>
      <c r="O32" s="20">
        <v>4.5999999999999996</v>
      </c>
      <c r="P32" s="21"/>
      <c r="Q32" s="21">
        <v>4.7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8.6000000000000014</v>
      </c>
      <c r="H33" s="27">
        <f t="shared" ref="H33:Q33" si="1">H31-H32</f>
        <v>0</v>
      </c>
      <c r="I33" s="27">
        <f t="shared" si="1"/>
        <v>8.6</v>
      </c>
      <c r="J33" s="27">
        <f t="shared" si="1"/>
        <v>9.1000000000000014</v>
      </c>
      <c r="K33" s="27">
        <f t="shared" si="1"/>
        <v>9.1</v>
      </c>
      <c r="L33" s="27">
        <f>L31-L32</f>
        <v>9.5</v>
      </c>
      <c r="M33" s="27">
        <f>M31-M32</f>
        <v>9.1999999999999993</v>
      </c>
      <c r="N33" s="27">
        <f>N31-N32</f>
        <v>0</v>
      </c>
      <c r="O33" s="27">
        <f>O31-O32</f>
        <v>9.3000000000000007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6730.046189376445</v>
      </c>
      <c r="H34" s="28">
        <f t="shared" ref="H34:Q34" si="2">(H33*H30)/0.866</f>
        <v>0</v>
      </c>
      <c r="I34" s="28">
        <f t="shared" si="2"/>
        <v>6249.399538106235</v>
      </c>
      <c r="J34" s="28">
        <f t="shared" si="2"/>
        <v>6626.3972286374146</v>
      </c>
      <c r="K34" s="28">
        <f t="shared" si="2"/>
        <v>6737.7829099307164</v>
      </c>
      <c r="L34" s="28">
        <f>(L33*L30)/0.866</f>
        <v>6883.6605080831414</v>
      </c>
      <c r="M34" s="28">
        <f>(M33*M30)/0.866</f>
        <v>6584.4803695150104</v>
      </c>
      <c r="N34" s="28">
        <f>(N33*N30)/0.866</f>
        <v>0</v>
      </c>
      <c r="O34" s="28">
        <f>(O33*O30)/0.866</f>
        <v>6818.2101616628179</v>
      </c>
      <c r="P34" s="28">
        <f t="shared" si="2"/>
        <v>0</v>
      </c>
      <c r="Q34" s="28">
        <f t="shared" si="2"/>
        <v>6413.487297921477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0.85</v>
      </c>
      <c r="J35" s="20">
        <v>0.85</v>
      </c>
      <c r="K35" s="20">
        <v>0.84</v>
      </c>
      <c r="L35" s="21">
        <v>0.84</v>
      </c>
      <c r="M35" s="21">
        <v>0.84</v>
      </c>
      <c r="N35" s="20"/>
      <c r="O35" s="20">
        <v>0.82</v>
      </c>
      <c r="P35" s="21"/>
      <c r="Q35" s="21">
        <v>0.84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36.5</v>
      </c>
      <c r="H36" s="21"/>
      <c r="I36" s="21">
        <v>36.799999999999997</v>
      </c>
      <c r="J36" s="20">
        <v>36.9</v>
      </c>
      <c r="K36" s="20">
        <v>36.799999999999997</v>
      </c>
      <c r="L36" s="21">
        <v>37</v>
      </c>
      <c r="M36" s="21">
        <v>36.700000000000003</v>
      </c>
      <c r="N36" s="20"/>
      <c r="O36" s="20">
        <v>36.1</v>
      </c>
      <c r="P36" s="21"/>
      <c r="Q36" s="21">
        <v>36.5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36.9</v>
      </c>
      <c r="H37" s="21"/>
      <c r="I37" s="21">
        <v>37.6</v>
      </c>
      <c r="J37" s="20">
        <v>37.6</v>
      </c>
      <c r="K37" s="20">
        <v>37.4</v>
      </c>
      <c r="L37" s="21">
        <v>37.4</v>
      </c>
      <c r="M37" s="21">
        <v>37.200000000000003</v>
      </c>
      <c r="N37" s="20"/>
      <c r="O37" s="20">
        <v>36.4</v>
      </c>
      <c r="P37" s="21"/>
      <c r="Q37" s="21">
        <v>37.299999999999997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1.6000000000000014</v>
      </c>
      <c r="H38" s="27">
        <v>1</v>
      </c>
      <c r="I38" s="27">
        <f t="shared" ref="I38:Q38" si="3">I37-I41</f>
        <v>3.1000000000000014</v>
      </c>
      <c r="J38" s="27">
        <f t="shared" si="3"/>
        <v>2.1000000000000014</v>
      </c>
      <c r="K38" s="27">
        <f t="shared" si="3"/>
        <v>2.1000000000000014</v>
      </c>
      <c r="L38" s="27">
        <f>L37-L41</f>
        <v>2.1999999999999957</v>
      </c>
      <c r="M38" s="27">
        <f>M37-M41</f>
        <v>2.2000000000000028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29.8</v>
      </c>
      <c r="H40" s="21"/>
      <c r="I40" s="21">
        <v>29.8</v>
      </c>
      <c r="J40" s="20">
        <v>30</v>
      </c>
      <c r="K40" s="20">
        <v>29.9</v>
      </c>
      <c r="L40" s="21">
        <v>30</v>
      </c>
      <c r="M40" s="21">
        <v>29.8</v>
      </c>
      <c r="N40" s="20"/>
      <c r="O40" s="20">
        <v>29.7</v>
      </c>
      <c r="P40" s="21"/>
      <c r="Q40" s="21">
        <v>29.7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35.299999999999997</v>
      </c>
      <c r="H41" s="21"/>
      <c r="I41" s="21">
        <v>34.5</v>
      </c>
      <c r="J41" s="20">
        <v>35.5</v>
      </c>
      <c r="K41" s="20">
        <v>35.299999999999997</v>
      </c>
      <c r="L41" s="21">
        <v>35.200000000000003</v>
      </c>
      <c r="M41" s="21">
        <v>35</v>
      </c>
      <c r="N41" s="20"/>
      <c r="O41" s="20">
        <v>34.9</v>
      </c>
      <c r="P41" s="21"/>
      <c r="Q41" s="21">
        <v>34.799999999999997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5.4999999999999964</v>
      </c>
      <c r="H42" s="27">
        <f t="shared" ref="H42:Q42" si="4">H41-H40</f>
        <v>0</v>
      </c>
      <c r="I42" s="27">
        <f t="shared" si="4"/>
        <v>4.6999999999999993</v>
      </c>
      <c r="J42" s="27">
        <f t="shared" si="4"/>
        <v>5.5</v>
      </c>
      <c r="K42" s="27">
        <f t="shared" si="4"/>
        <v>5.3999999999999986</v>
      </c>
      <c r="L42" s="27">
        <f>L41-L40</f>
        <v>5.2000000000000028</v>
      </c>
      <c r="M42" s="27">
        <f>M41-M40</f>
        <v>5.1999999999999993</v>
      </c>
      <c r="N42" s="27">
        <f>N41-N40</f>
        <v>0</v>
      </c>
      <c r="O42" s="27">
        <f>O41-O40</f>
        <v>5.1999999999999993</v>
      </c>
      <c r="P42" s="27">
        <f t="shared" si="4"/>
        <v>0</v>
      </c>
      <c r="Q42" s="27">
        <f t="shared" si="4"/>
        <v>5.0999999999999979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1291.4000000000001</v>
      </c>
      <c r="H43" s="21"/>
      <c r="I43" s="21">
        <v>1301</v>
      </c>
      <c r="J43" s="20">
        <v>1296.5</v>
      </c>
      <c r="K43" s="20">
        <v>1296.7</v>
      </c>
      <c r="L43" s="21">
        <v>1299.0999999999999</v>
      </c>
      <c r="M43" s="20">
        <v>1295.2</v>
      </c>
      <c r="N43" s="20"/>
      <c r="O43" s="20">
        <v>1293.5999999999999</v>
      </c>
      <c r="P43" s="21"/>
      <c r="Q43" s="21">
        <v>1297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8201.7321016166243</v>
      </c>
      <c r="H44" s="28">
        <f t="shared" ref="H44:Q44" si="5">H42*H43/0.866</f>
        <v>0</v>
      </c>
      <c r="I44" s="28">
        <f t="shared" si="5"/>
        <v>7060.854503464202</v>
      </c>
      <c r="J44" s="28">
        <f t="shared" si="5"/>
        <v>8234.122401847575</v>
      </c>
      <c r="K44" s="28">
        <f t="shared" si="5"/>
        <v>8085.6581986143174</v>
      </c>
      <c r="L44" s="28">
        <f>L42*L43/0.866</f>
        <v>7800.6004618937686</v>
      </c>
      <c r="M44" s="28">
        <f>M42*M43/0.866</f>
        <v>7777.1824480369505</v>
      </c>
      <c r="N44" s="28">
        <f>N42*N43/0.866</f>
        <v>0</v>
      </c>
      <c r="O44" s="28">
        <f>O42*O43/0.866</f>
        <v>7767.5750577367189</v>
      </c>
      <c r="P44" s="28">
        <f t="shared" si="5"/>
        <v>0</v>
      </c>
      <c r="Q44" s="28">
        <f t="shared" si="5"/>
        <v>7638.2217090069253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0.48</v>
      </c>
      <c r="H45" s="21"/>
      <c r="I45" s="21">
        <v>0.46</v>
      </c>
      <c r="J45" s="20">
        <v>0.47</v>
      </c>
      <c r="K45" s="20">
        <v>0.47</v>
      </c>
      <c r="L45" s="21">
        <v>0.47</v>
      </c>
      <c r="M45" s="21">
        <v>0.47</v>
      </c>
      <c r="N45" s="20"/>
      <c r="O45" s="20">
        <v>0.46</v>
      </c>
      <c r="P45" s="21"/>
      <c r="Q45" s="21">
        <v>0.48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20.7</v>
      </c>
      <c r="H46" s="21"/>
      <c r="I46" s="21">
        <v>19.899999999999999</v>
      </c>
      <c r="J46" s="20">
        <v>19.899999999999999</v>
      </c>
      <c r="K46" s="20">
        <v>19.899999999999999</v>
      </c>
      <c r="L46" s="21">
        <v>19.899999999999999</v>
      </c>
      <c r="M46" s="21">
        <v>20.100000000000001</v>
      </c>
      <c r="N46" s="20"/>
      <c r="O46" s="20">
        <v>19.2</v>
      </c>
      <c r="P46" s="21"/>
      <c r="Q46" s="21">
        <v>20.3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196.5</v>
      </c>
      <c r="H47" s="21"/>
      <c r="I47" s="21">
        <v>127.5</v>
      </c>
      <c r="J47" s="20">
        <v>207.9</v>
      </c>
      <c r="K47" s="20">
        <v>212.7</v>
      </c>
      <c r="L47" s="21">
        <v>216.9</v>
      </c>
      <c r="M47" s="21">
        <v>214.8</v>
      </c>
      <c r="N47" s="20"/>
      <c r="O47" s="20">
        <v>160</v>
      </c>
      <c r="P47" s="21"/>
      <c r="Q47" s="21">
        <v>199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41">
        <v>5.89</v>
      </c>
      <c r="F49" s="20"/>
      <c r="G49" s="20">
        <v>5.52</v>
      </c>
      <c r="H49" s="21"/>
      <c r="I49" s="21">
        <v>5.49</v>
      </c>
      <c r="J49" s="20">
        <v>5.55</v>
      </c>
      <c r="K49" s="20">
        <v>5.54</v>
      </c>
      <c r="L49" s="21">
        <v>5.69</v>
      </c>
      <c r="M49" s="21">
        <v>5.82</v>
      </c>
      <c r="N49" s="20"/>
      <c r="O49" s="20">
        <v>5.6</v>
      </c>
      <c r="P49" s="21"/>
      <c r="Q49" s="21">
        <v>5.29</v>
      </c>
    </row>
    <row r="50" spans="2:17" ht="20.100000000000001" customHeight="1">
      <c r="B50" s="94" t="s">
        <v>91</v>
      </c>
      <c r="C50" s="94"/>
      <c r="D50" s="94"/>
      <c r="E50" s="4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4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0" zoomScaleNormal="60" zoomScaleSheetLayoutView="80" workbookViewId="0">
      <selection activeCell="G31" sqref="G31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45813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43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73.599999999999994</v>
      </c>
      <c r="G11" s="20">
        <v>71</v>
      </c>
      <c r="H11" s="21"/>
      <c r="I11" s="21">
        <v>81.099999999999994</v>
      </c>
      <c r="J11" s="20"/>
      <c r="K11" s="20">
        <v>71.8</v>
      </c>
      <c r="L11" s="21"/>
      <c r="M11" s="21">
        <v>77.400000000000006</v>
      </c>
      <c r="N11" s="20">
        <v>74.599999999999994</v>
      </c>
      <c r="O11" s="20">
        <v>77.2</v>
      </c>
      <c r="P11" s="21"/>
      <c r="Q11" s="21">
        <v>74.5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0.6</v>
      </c>
      <c r="G12" s="20">
        <v>0.6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68.5</v>
      </c>
      <c r="G13" s="20">
        <v>65.099999999999994</v>
      </c>
      <c r="H13" s="21"/>
      <c r="I13" s="21">
        <v>77.7</v>
      </c>
      <c r="J13" s="20"/>
      <c r="K13" s="20">
        <v>67.5</v>
      </c>
      <c r="L13" s="21"/>
      <c r="M13" s="21">
        <v>74.8</v>
      </c>
      <c r="N13" s="20">
        <v>71.7</v>
      </c>
      <c r="O13" s="20">
        <v>71.900000000000006</v>
      </c>
      <c r="P13" s="21"/>
      <c r="Q13" s="21">
        <v>68.7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69.3</v>
      </c>
      <c r="G14" s="20">
        <v>68</v>
      </c>
      <c r="H14" s="21"/>
      <c r="I14" s="21">
        <v>69.900000000000006</v>
      </c>
      <c r="J14" s="20"/>
      <c r="K14" s="20">
        <v>63.6</v>
      </c>
      <c r="L14" s="21"/>
      <c r="M14" s="21">
        <v>67.099999999999994</v>
      </c>
      <c r="N14" s="20">
        <v>76</v>
      </c>
      <c r="O14" s="20">
        <v>73.900000000000006</v>
      </c>
      <c r="P14" s="21"/>
      <c r="Q14" s="21">
        <v>73.5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37.5</v>
      </c>
      <c r="G15" s="20">
        <v>40</v>
      </c>
      <c r="H15" s="21"/>
      <c r="I15" s="21">
        <v>51.6</v>
      </c>
      <c r="J15" s="20"/>
      <c r="K15" s="20">
        <v>37.9</v>
      </c>
      <c r="L15" s="21"/>
      <c r="M15" s="21">
        <v>38.799999999999997</v>
      </c>
      <c r="N15" s="20">
        <v>56.3</v>
      </c>
      <c r="O15" s="20">
        <v>54.5</v>
      </c>
      <c r="P15" s="21"/>
      <c r="Q15" s="21">
        <v>44.7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118.1</v>
      </c>
      <c r="G17" s="20">
        <v>117.2</v>
      </c>
      <c r="H17" s="21"/>
      <c r="I17" s="21">
        <v>117.9</v>
      </c>
      <c r="J17" s="20"/>
      <c r="K17" s="20">
        <v>116.2</v>
      </c>
      <c r="L17" s="21"/>
      <c r="M17" s="21">
        <v>120</v>
      </c>
      <c r="N17" s="20">
        <v>117.5</v>
      </c>
      <c r="O17" s="20">
        <v>118.8</v>
      </c>
      <c r="P17" s="21"/>
      <c r="Q17" s="21">
        <v>118.3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1162</v>
      </c>
      <c r="G18" s="20">
        <v>1153</v>
      </c>
      <c r="H18" s="21"/>
      <c r="I18" s="21">
        <v>1198</v>
      </c>
      <c r="J18" s="20"/>
      <c r="K18" s="20">
        <v>1174</v>
      </c>
      <c r="L18" s="21"/>
      <c r="M18" s="21">
        <v>1218</v>
      </c>
      <c r="N18" s="20">
        <v>1194</v>
      </c>
      <c r="O18" s="20">
        <v>1207</v>
      </c>
      <c r="P18" s="21"/>
      <c r="Q18" s="21">
        <v>1194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50684</v>
      </c>
      <c r="G19" s="20">
        <v>50674.7</v>
      </c>
      <c r="H19" s="21"/>
      <c r="I19" s="21">
        <v>51633.9</v>
      </c>
      <c r="J19" s="20"/>
      <c r="K19" s="20">
        <v>49610.400000000001</v>
      </c>
      <c r="L19" s="21"/>
      <c r="M19" s="21">
        <v>52042.5</v>
      </c>
      <c r="N19" s="20">
        <v>51218.6</v>
      </c>
      <c r="O19" s="20">
        <v>51209.3</v>
      </c>
      <c r="P19" s="21"/>
      <c r="Q19" s="21">
        <v>51002.9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58.1</v>
      </c>
      <c r="G22" s="20">
        <v>58.2</v>
      </c>
      <c r="H22" s="21"/>
      <c r="I22" s="21">
        <v>59.3</v>
      </c>
      <c r="J22" s="20"/>
      <c r="K22" s="20">
        <v>57.5</v>
      </c>
      <c r="L22" s="21"/>
      <c r="M22" s="21">
        <v>57.2</v>
      </c>
      <c r="N22" s="20">
        <v>58.5</v>
      </c>
      <c r="O22" s="20">
        <v>58.7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0.59</v>
      </c>
      <c r="L23" s="21"/>
      <c r="M23" s="21">
        <v>0.52</v>
      </c>
      <c r="N23" s="20">
        <v>0.47</v>
      </c>
      <c r="O23" s="20">
        <v>0.47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45.1</v>
      </c>
      <c r="G25" s="20">
        <v>44.8</v>
      </c>
      <c r="H25" s="21"/>
      <c r="I25" s="21">
        <v>45.1</v>
      </c>
      <c r="J25" s="20"/>
      <c r="K25" s="20">
        <v>44.8</v>
      </c>
      <c r="L25" s="21"/>
      <c r="M25" s="21">
        <v>45.1</v>
      </c>
      <c r="N25" s="20">
        <v>45.1</v>
      </c>
      <c r="O25" s="20">
        <v>44.9</v>
      </c>
      <c r="P25" s="21"/>
      <c r="Q25" s="21">
        <v>44.9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0.23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</v>
      </c>
      <c r="G27" s="20">
        <v>4.3</v>
      </c>
      <c r="H27" s="21"/>
      <c r="I27" s="21">
        <v>3.2</v>
      </c>
      <c r="J27" s="20"/>
      <c r="K27" s="20">
        <v>4.2</v>
      </c>
      <c r="L27" s="21"/>
      <c r="M27" s="21">
        <v>4.2</v>
      </c>
      <c r="N27" s="20">
        <v>4.2</v>
      </c>
      <c r="O27" s="20">
        <v>4.4000000000000004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3.4</v>
      </c>
      <c r="G28" s="20">
        <v>3.8</v>
      </c>
      <c r="H28" s="21"/>
      <c r="I28" s="21">
        <v>2.2999999999999998</v>
      </c>
      <c r="J28" s="20"/>
      <c r="K28" s="20">
        <v>3.5</v>
      </c>
      <c r="L28" s="21"/>
      <c r="M28" s="21">
        <v>3.2</v>
      </c>
      <c r="N28" s="20">
        <v>3.1</v>
      </c>
      <c r="O28" s="20">
        <v>3.2</v>
      </c>
      <c r="P28" s="21"/>
      <c r="Q28" s="21">
        <v>3.8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0.89999999999999991</v>
      </c>
      <c r="G29" s="27">
        <f>G32-G28</f>
        <v>1</v>
      </c>
      <c r="H29" s="27">
        <f t="shared" ref="H29:Q29" si="0">H32-H28</f>
        <v>0</v>
      </c>
      <c r="I29" s="27">
        <f t="shared" si="0"/>
        <v>2.2999999999999998</v>
      </c>
      <c r="J29" s="27">
        <f t="shared" si="0"/>
        <v>0</v>
      </c>
      <c r="K29" s="27">
        <f t="shared" si="0"/>
        <v>0.70000000000000018</v>
      </c>
      <c r="L29" s="27">
        <f>L32-L28</f>
        <v>0</v>
      </c>
      <c r="M29" s="27">
        <f>M32-M28</f>
        <v>1.2999999999999998</v>
      </c>
      <c r="N29" s="27">
        <f>N32-N28</f>
        <v>1.1999999999999997</v>
      </c>
      <c r="O29" s="27">
        <f>O32-O28</f>
        <v>1.2999999999999998</v>
      </c>
      <c r="P29" s="27">
        <f t="shared" si="0"/>
        <v>0</v>
      </c>
      <c r="Q29" s="27">
        <f t="shared" si="0"/>
        <v>1.1000000000000005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650</v>
      </c>
      <c r="G30" s="20">
        <v>668.1</v>
      </c>
      <c r="H30" s="21"/>
      <c r="I30" s="21">
        <v>645.20000000000005</v>
      </c>
      <c r="J30" s="20"/>
      <c r="K30" s="20">
        <v>619.6</v>
      </c>
      <c r="L30" s="21"/>
      <c r="M30" s="21">
        <v>664.1</v>
      </c>
      <c r="N30" s="20">
        <v>635.1</v>
      </c>
      <c r="O30" s="20">
        <v>650.20000000000005</v>
      </c>
      <c r="P30" s="21"/>
      <c r="Q30" s="21">
        <v>638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13.6</v>
      </c>
      <c r="G31" s="20">
        <v>13.5</v>
      </c>
      <c r="H31" s="21"/>
      <c r="I31" s="21">
        <v>13.6</v>
      </c>
      <c r="J31" s="20"/>
      <c r="K31" s="20">
        <v>13.4</v>
      </c>
      <c r="L31" s="21"/>
      <c r="M31" s="21">
        <v>13.7</v>
      </c>
      <c r="N31" s="20">
        <v>13.8</v>
      </c>
      <c r="O31" s="20">
        <v>13.7</v>
      </c>
      <c r="P31" s="21"/>
      <c r="Q31" s="21">
        <v>13.7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4.3</v>
      </c>
      <c r="G32" s="20">
        <v>4.8</v>
      </c>
      <c r="H32" s="21"/>
      <c r="I32" s="21">
        <v>4.5999999999999996</v>
      </c>
      <c r="J32" s="20"/>
      <c r="K32" s="20">
        <v>4.2</v>
      </c>
      <c r="L32" s="21"/>
      <c r="M32" s="21">
        <v>4.5</v>
      </c>
      <c r="N32" s="20">
        <v>4.3</v>
      </c>
      <c r="O32" s="20">
        <v>4.5</v>
      </c>
      <c r="P32" s="21"/>
      <c r="Q32" s="21">
        <v>4.9000000000000004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9.3000000000000007</v>
      </c>
      <c r="G33" s="27">
        <f>G31-G32</f>
        <v>8.6999999999999993</v>
      </c>
      <c r="H33" s="27">
        <f t="shared" ref="H33:Q33" si="1">H31-H32</f>
        <v>0</v>
      </c>
      <c r="I33" s="27">
        <f t="shared" si="1"/>
        <v>9</v>
      </c>
      <c r="J33" s="27">
        <f t="shared" si="1"/>
        <v>0</v>
      </c>
      <c r="K33" s="27">
        <f t="shared" si="1"/>
        <v>9.1999999999999993</v>
      </c>
      <c r="L33" s="27">
        <f>L31-L32</f>
        <v>0</v>
      </c>
      <c r="M33" s="27">
        <f>M31-M32</f>
        <v>9.1999999999999993</v>
      </c>
      <c r="N33" s="27">
        <f>N31-N32</f>
        <v>9.5</v>
      </c>
      <c r="O33" s="27">
        <f>O31-O32</f>
        <v>9.1999999999999993</v>
      </c>
      <c r="P33" s="27">
        <f t="shared" si="1"/>
        <v>0</v>
      </c>
      <c r="Q33" s="27">
        <f t="shared" si="1"/>
        <v>8.7999999999999989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6980.3695150115482</v>
      </c>
      <c r="G34" s="28">
        <f>(G33*G30)/0.866</f>
        <v>6711.8591224018464</v>
      </c>
      <c r="H34" s="28">
        <f t="shared" ref="H34:Q34" si="2">(H33*H30)/0.866</f>
        <v>0</v>
      </c>
      <c r="I34" s="28">
        <f t="shared" si="2"/>
        <v>6705.3117782909931</v>
      </c>
      <c r="J34" s="28">
        <f t="shared" si="2"/>
        <v>0</v>
      </c>
      <c r="K34" s="28">
        <f t="shared" si="2"/>
        <v>6582.355658198614</v>
      </c>
      <c r="L34" s="28">
        <f>(L33*L30)/0.866</f>
        <v>0</v>
      </c>
      <c r="M34" s="28">
        <f>(M33*M30)/0.866</f>
        <v>7055.1039260969974</v>
      </c>
      <c r="N34" s="28">
        <f>(N33*N30)/0.866</f>
        <v>6967.03233256351</v>
      </c>
      <c r="O34" s="28">
        <f>(O33*O30)/0.866</f>
        <v>6907.4364896073903</v>
      </c>
      <c r="P34" s="28">
        <f t="shared" si="2"/>
        <v>0</v>
      </c>
      <c r="Q34" s="28">
        <f t="shared" si="2"/>
        <v>6483.1408775981517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0.81</v>
      </c>
      <c r="H35" s="21"/>
      <c r="I35" s="21">
        <v>0.83</v>
      </c>
      <c r="J35" s="20"/>
      <c r="K35" s="20">
        <v>0.82</v>
      </c>
      <c r="L35" s="21"/>
      <c r="M35" s="21">
        <v>0.82</v>
      </c>
      <c r="N35" s="20">
        <v>0.85</v>
      </c>
      <c r="O35" s="20">
        <v>0.86</v>
      </c>
      <c r="P35" s="21"/>
      <c r="Q35" s="21">
        <v>0.82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35.6</v>
      </c>
      <c r="G36" s="20">
        <v>35.700000000000003</v>
      </c>
      <c r="H36" s="21"/>
      <c r="I36" s="21">
        <v>36.200000000000003</v>
      </c>
      <c r="J36" s="20"/>
      <c r="K36" s="20">
        <v>35.9</v>
      </c>
      <c r="L36" s="21"/>
      <c r="M36" s="21">
        <v>36.1</v>
      </c>
      <c r="N36" s="20">
        <v>35.1</v>
      </c>
      <c r="O36" s="20">
        <v>35.4</v>
      </c>
      <c r="P36" s="21"/>
      <c r="Q36" s="21">
        <v>35.9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36.1</v>
      </c>
      <c r="G37" s="20">
        <v>36.1</v>
      </c>
      <c r="H37" s="21"/>
      <c r="I37" s="21">
        <v>37</v>
      </c>
      <c r="J37" s="20"/>
      <c r="K37" s="20">
        <v>36.6</v>
      </c>
      <c r="L37" s="21"/>
      <c r="M37" s="21">
        <v>36.6</v>
      </c>
      <c r="N37" s="20">
        <v>35.6</v>
      </c>
      <c r="O37" s="20">
        <v>35.799999999999997</v>
      </c>
      <c r="P37" s="21"/>
      <c r="Q37" s="21">
        <v>36.700000000000003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1.7000000000000028</v>
      </c>
      <c r="G38" s="27">
        <f>G37-G41</f>
        <v>1.6000000000000014</v>
      </c>
      <c r="H38" s="27">
        <v>1</v>
      </c>
      <c r="I38" s="27">
        <f t="shared" ref="I38:Q38" si="3">I37-I41</f>
        <v>3.2000000000000028</v>
      </c>
      <c r="J38" s="27">
        <f t="shared" si="3"/>
        <v>0</v>
      </c>
      <c r="K38" s="27">
        <f t="shared" si="3"/>
        <v>2.1000000000000014</v>
      </c>
      <c r="L38" s="27">
        <f>L37-L41</f>
        <v>0</v>
      </c>
      <c r="M38" s="27">
        <f>M37-M41</f>
        <v>2.3000000000000043</v>
      </c>
      <c r="N38" s="27">
        <f>N37-N41</f>
        <v>1.6000000000000014</v>
      </c>
      <c r="O38" s="27">
        <f>O37-O41</f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29</v>
      </c>
      <c r="G40" s="20">
        <v>29</v>
      </c>
      <c r="H40" s="21"/>
      <c r="I40" s="21">
        <v>29</v>
      </c>
      <c r="J40" s="20"/>
      <c r="K40" s="20">
        <v>29.1</v>
      </c>
      <c r="L40" s="21"/>
      <c r="M40" s="21">
        <v>29</v>
      </c>
      <c r="N40" s="20">
        <v>28.7</v>
      </c>
      <c r="O40" s="20">
        <v>28.8</v>
      </c>
      <c r="P40" s="21"/>
      <c r="Q40" s="21">
        <v>28.9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34.4</v>
      </c>
      <c r="G41" s="20">
        <v>34.5</v>
      </c>
      <c r="H41" s="21"/>
      <c r="I41" s="21">
        <v>33.799999999999997</v>
      </c>
      <c r="J41" s="20"/>
      <c r="K41" s="20">
        <v>34.5</v>
      </c>
      <c r="L41" s="21"/>
      <c r="M41" s="21">
        <v>34.299999999999997</v>
      </c>
      <c r="N41" s="20">
        <v>34</v>
      </c>
      <c r="O41" s="20">
        <v>34.299999999999997</v>
      </c>
      <c r="P41" s="21"/>
      <c r="Q41" s="21">
        <v>34.200000000000003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5.3999999999999986</v>
      </c>
      <c r="G42" s="27">
        <f>G41-G40</f>
        <v>5.5</v>
      </c>
      <c r="H42" s="27">
        <f t="shared" ref="H42:P42" si="4">H41-H40</f>
        <v>0</v>
      </c>
      <c r="I42" s="27">
        <f t="shared" si="4"/>
        <v>4.7999999999999972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5.2999999999999972</v>
      </c>
      <c r="N42" s="27">
        <f>N41-N40</f>
        <v>5.3000000000000007</v>
      </c>
      <c r="O42" s="27">
        <f>O41-O40</f>
        <v>5.4999999999999964</v>
      </c>
      <c r="P42" s="27">
        <f t="shared" si="4"/>
        <v>0</v>
      </c>
      <c r="Q42" s="27">
        <f>Q41-Q40</f>
        <v>5.3000000000000043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1300.2</v>
      </c>
      <c r="G43" s="20">
        <v>1303.2</v>
      </c>
      <c r="H43" s="21"/>
      <c r="I43" s="21">
        <v>1299.2</v>
      </c>
      <c r="J43" s="20"/>
      <c r="K43" s="20">
        <v>1304.3</v>
      </c>
      <c r="L43" s="21"/>
      <c r="M43" s="20">
        <v>1300</v>
      </c>
      <c r="N43" s="20">
        <v>1290.4000000000001</v>
      </c>
      <c r="O43" s="20">
        <v>1288.3</v>
      </c>
      <c r="P43" s="21"/>
      <c r="Q43" s="21">
        <v>1299.4000000000001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8107.4826789838316</v>
      </c>
      <c r="G44" s="28">
        <f>G42*G43/0.866</f>
        <v>8276.6743648960746</v>
      </c>
      <c r="H44" s="28">
        <f t="shared" ref="H44:Q44" si="5">H42*H43/0.866</f>
        <v>0</v>
      </c>
      <c r="I44" s="28">
        <f t="shared" si="5"/>
        <v>7201.1085450346382</v>
      </c>
      <c r="J44" s="28">
        <f t="shared" si="5"/>
        <v>0</v>
      </c>
      <c r="K44" s="28">
        <f t="shared" si="5"/>
        <v>8133.0484988452627</v>
      </c>
      <c r="L44" s="28">
        <f>L42*L43/0.866</f>
        <v>0</v>
      </c>
      <c r="M44" s="28">
        <f>M42*M43/0.866</f>
        <v>7956.1200923787492</v>
      </c>
      <c r="N44" s="28">
        <f>N42*N43/0.866</f>
        <v>7897.3672055427269</v>
      </c>
      <c r="O44" s="28">
        <f>O42*O43/0.866</f>
        <v>8182.0438799076155</v>
      </c>
      <c r="P44" s="28">
        <f t="shared" si="5"/>
        <v>0</v>
      </c>
      <c r="Q44" s="28">
        <f t="shared" si="5"/>
        <v>7952.4480369515086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0.45</v>
      </c>
      <c r="J45" s="20"/>
      <c r="K45" s="20">
        <v>0.46</v>
      </c>
      <c r="L45" s="21"/>
      <c r="M45" s="21">
        <v>0.46</v>
      </c>
      <c r="N45" s="20">
        <v>0.45</v>
      </c>
      <c r="O45" s="20">
        <v>0.45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19.399999999999999</v>
      </c>
      <c r="G46" s="20">
        <v>19.7</v>
      </c>
      <c r="H46" s="21"/>
      <c r="I46" s="21">
        <v>19.100000000000001</v>
      </c>
      <c r="J46" s="20"/>
      <c r="K46" s="20">
        <v>19.5</v>
      </c>
      <c r="L46" s="21"/>
      <c r="M46" s="21">
        <v>19.600000000000001</v>
      </c>
      <c r="N46" s="20">
        <v>18.899999999999999</v>
      </c>
      <c r="O46" s="20">
        <v>19.100000000000001</v>
      </c>
      <c r="P46" s="21"/>
      <c r="Q46" s="21">
        <v>20.100000000000001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194.2</v>
      </c>
      <c r="G47" s="20">
        <v>197.5</v>
      </c>
      <c r="H47" s="21"/>
      <c r="I47" s="21">
        <v>123.2</v>
      </c>
      <c r="J47" s="20"/>
      <c r="K47" s="20">
        <v>204.5</v>
      </c>
      <c r="L47" s="21"/>
      <c r="M47" s="21">
        <v>193.2</v>
      </c>
      <c r="N47" s="20">
        <v>158</v>
      </c>
      <c r="O47" s="20">
        <v>159.1</v>
      </c>
      <c r="P47" s="21"/>
      <c r="Q47" s="21">
        <v>197.2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43">
        <v>5.89</v>
      </c>
      <c r="F49" s="20">
        <v>5.86</v>
      </c>
      <c r="G49" s="20">
        <v>5.65</v>
      </c>
      <c r="H49" s="21"/>
      <c r="I49" s="21">
        <v>5.55</v>
      </c>
      <c r="J49" s="20"/>
      <c r="K49" s="20">
        <v>5.76</v>
      </c>
      <c r="L49" s="21"/>
      <c r="M49" s="21">
        <v>5.64</v>
      </c>
      <c r="N49" s="20">
        <v>5.81</v>
      </c>
      <c r="O49" s="20">
        <v>5.58</v>
      </c>
      <c r="P49" s="21"/>
      <c r="Q49" s="21">
        <v>5.49</v>
      </c>
    </row>
    <row r="50" spans="2:17" ht="20.100000000000001" customHeight="1">
      <c r="B50" s="94" t="s">
        <v>91</v>
      </c>
      <c r="C50" s="94"/>
      <c r="D50" s="94"/>
      <c r="E50" s="4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4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0" zoomScaleNormal="60" zoomScaleSheetLayoutView="80" workbookViewId="0">
      <selection activeCell="G9" sqref="G9:G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45814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45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70.599999999999994</v>
      </c>
      <c r="H11" s="21"/>
      <c r="I11" s="21">
        <v>77.400000000000006</v>
      </c>
      <c r="J11" s="20">
        <v>73.8</v>
      </c>
      <c r="K11" s="20">
        <v>74.3</v>
      </c>
      <c r="L11" s="21"/>
      <c r="M11" s="21">
        <v>75.7</v>
      </c>
      <c r="N11" s="20">
        <v>81.900000000000006</v>
      </c>
      <c r="O11" s="20">
        <v>74.3</v>
      </c>
      <c r="P11" s="21"/>
      <c r="Q11" s="21">
        <v>73.8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63.9</v>
      </c>
      <c r="H13" s="21"/>
      <c r="I13" s="21">
        <v>72.099999999999994</v>
      </c>
      <c r="J13" s="20">
        <v>70.099999999999994</v>
      </c>
      <c r="K13" s="20">
        <v>68.400000000000006</v>
      </c>
      <c r="L13" s="21"/>
      <c r="M13" s="21">
        <v>72.400000000000006</v>
      </c>
      <c r="N13" s="20">
        <v>77.900000000000006</v>
      </c>
      <c r="O13" s="20">
        <v>69.2</v>
      </c>
      <c r="P13" s="21"/>
      <c r="Q13" s="21">
        <v>68.099999999999994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69.8</v>
      </c>
      <c r="H14" s="21"/>
      <c r="I14" s="21">
        <v>70.7</v>
      </c>
      <c r="J14" s="20">
        <v>64.900000000000006</v>
      </c>
      <c r="K14" s="20">
        <v>64.7</v>
      </c>
      <c r="L14" s="21"/>
      <c r="M14" s="21">
        <v>67.599999999999994</v>
      </c>
      <c r="N14" s="20">
        <v>72</v>
      </c>
      <c r="O14" s="20">
        <v>74.599999999999994</v>
      </c>
      <c r="P14" s="21"/>
      <c r="Q14" s="21">
        <v>73.5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37.9</v>
      </c>
      <c r="H15" s="21"/>
      <c r="I15" s="21">
        <v>49.4</v>
      </c>
      <c r="J15" s="20">
        <v>41.3</v>
      </c>
      <c r="K15" s="20">
        <v>36.1</v>
      </c>
      <c r="L15" s="21"/>
      <c r="M15" s="21">
        <v>33.4</v>
      </c>
      <c r="N15" s="20">
        <v>58</v>
      </c>
      <c r="O15" s="20">
        <v>53.6</v>
      </c>
      <c r="P15" s="21"/>
      <c r="Q15" s="21">
        <v>43.9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117.1</v>
      </c>
      <c r="H17" s="21"/>
      <c r="I17" s="21">
        <v>116.2</v>
      </c>
      <c r="J17" s="20">
        <v>115.7</v>
      </c>
      <c r="K17" s="20">
        <v>117.4</v>
      </c>
      <c r="L17" s="21"/>
      <c r="M17" s="21">
        <v>118.9</v>
      </c>
      <c r="N17" s="20">
        <v>119.8</v>
      </c>
      <c r="O17" s="20">
        <v>118.9</v>
      </c>
      <c r="P17" s="21"/>
      <c r="Q17" s="21">
        <v>119.3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1147</v>
      </c>
      <c r="H18" s="21"/>
      <c r="I18" s="21">
        <v>1175</v>
      </c>
      <c r="J18" s="20">
        <v>1175</v>
      </c>
      <c r="K18" s="20">
        <v>1176</v>
      </c>
      <c r="L18" s="21"/>
      <c r="M18" s="21">
        <v>1204</v>
      </c>
      <c r="N18" s="20">
        <v>1216</v>
      </c>
      <c r="O18" s="20">
        <v>1200</v>
      </c>
      <c r="P18" s="21"/>
      <c r="Q18" s="21">
        <v>1202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50694.7</v>
      </c>
      <c r="H19" s="21"/>
      <c r="I19" s="21">
        <v>51643.8</v>
      </c>
      <c r="J19" s="20">
        <v>49628.2</v>
      </c>
      <c r="K19" s="20">
        <v>49620.1</v>
      </c>
      <c r="L19" s="21"/>
      <c r="M19" s="21">
        <v>52052.5</v>
      </c>
      <c r="N19" s="20">
        <v>51239.3</v>
      </c>
      <c r="O19" s="20">
        <v>51231.9</v>
      </c>
      <c r="P19" s="21"/>
      <c r="Q19" s="21">
        <v>51012.5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</v>
      </c>
      <c r="H22" s="21"/>
      <c r="I22" s="21">
        <v>59.2</v>
      </c>
      <c r="J22" s="20">
        <v>57.7</v>
      </c>
      <c r="K22" s="20">
        <v>57.6</v>
      </c>
      <c r="L22" s="21"/>
      <c r="M22" s="21">
        <v>57.5</v>
      </c>
      <c r="N22" s="20">
        <v>58.4</v>
      </c>
      <c r="O22" s="20">
        <v>58.7</v>
      </c>
      <c r="P22" s="21"/>
      <c r="Q22" s="21">
        <v>59.3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0.5</v>
      </c>
      <c r="J23" s="20">
        <v>0.57999999999999996</v>
      </c>
      <c r="K23" s="20">
        <v>0.59</v>
      </c>
      <c r="L23" s="21"/>
      <c r="M23" s="21">
        <v>0.52</v>
      </c>
      <c r="N23" s="20">
        <v>0.47</v>
      </c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45</v>
      </c>
      <c r="J25" s="20">
        <v>45.1</v>
      </c>
      <c r="K25" s="20">
        <v>44.9</v>
      </c>
      <c r="L25" s="21"/>
      <c r="M25" s="21">
        <v>45</v>
      </c>
      <c r="N25" s="20">
        <v>44.9</v>
      </c>
      <c r="O25" s="20">
        <v>44.9</v>
      </c>
      <c r="P25" s="21"/>
      <c r="Q25" s="21">
        <v>44.7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0.23</v>
      </c>
      <c r="K26" s="20">
        <v>0.23</v>
      </c>
      <c r="L26" s="21"/>
      <c r="M26" s="21">
        <v>0.22</v>
      </c>
      <c r="N26" s="20">
        <v>0.22</v>
      </c>
      <c r="O26" s="20">
        <v>0.23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3.6</v>
      </c>
      <c r="J27" s="20">
        <v>4</v>
      </c>
      <c r="K27" s="20">
        <v>3.9</v>
      </c>
      <c r="L27" s="21"/>
      <c r="M27" s="21">
        <v>4.0999999999999996</v>
      </c>
      <c r="N27" s="20">
        <v>3.8</v>
      </c>
      <c r="O27" s="20">
        <v>4.4000000000000004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/>
      <c r="I28" s="21">
        <v>2.7</v>
      </c>
      <c r="J28" s="20">
        <v>3.3</v>
      </c>
      <c r="K28" s="20">
        <v>3.3</v>
      </c>
      <c r="L28" s="21"/>
      <c r="M28" s="21">
        <v>3</v>
      </c>
      <c r="N28" s="20">
        <v>3.3</v>
      </c>
      <c r="O28" s="20">
        <v>3.3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0.50000000000000044</v>
      </c>
      <c r="H29" s="27">
        <f t="shared" ref="H29:Q29" si="0">H32-H28</f>
        <v>0</v>
      </c>
      <c r="I29" s="27">
        <f t="shared" si="0"/>
        <v>2.2000000000000002</v>
      </c>
      <c r="J29" s="27">
        <v>0.70000000000000018</v>
      </c>
      <c r="K29" s="27">
        <f t="shared" si="0"/>
        <v>1.2999999999999998</v>
      </c>
      <c r="L29" s="27">
        <f>L32-L28</f>
        <v>0</v>
      </c>
      <c r="M29" s="27">
        <f>M32-M28</f>
        <v>1</v>
      </c>
      <c r="N29" s="27">
        <v>0.79999999999999982</v>
      </c>
      <c r="O29" s="27">
        <f>O32-O28</f>
        <v>1.1000000000000005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628.88</v>
      </c>
      <c r="H30" s="21"/>
      <c r="I30" s="21">
        <v>631.91999999999996</v>
      </c>
      <c r="J30" s="20">
        <v>635.44000000000005</v>
      </c>
      <c r="K30" s="20">
        <v>638</v>
      </c>
      <c r="L30" s="21"/>
      <c r="M30" s="21">
        <v>634.64</v>
      </c>
      <c r="N30" s="20">
        <v>687.9</v>
      </c>
      <c r="O30" s="20">
        <v>637.67999999999995</v>
      </c>
      <c r="P30" s="21"/>
      <c r="Q30" s="21">
        <v>646.72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13.5</v>
      </c>
      <c r="J31" s="20">
        <v>13.2</v>
      </c>
      <c r="K31" s="20">
        <v>13.4</v>
      </c>
      <c r="L31" s="21"/>
      <c r="M31" s="21">
        <v>13.5</v>
      </c>
      <c r="N31" s="20">
        <v>13</v>
      </c>
      <c r="O31" s="20">
        <v>13.4</v>
      </c>
      <c r="P31" s="21"/>
      <c r="Q31" s="21">
        <v>13.3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4.4000000000000004</v>
      </c>
      <c r="H32" s="21"/>
      <c r="I32" s="21">
        <v>4.9000000000000004</v>
      </c>
      <c r="J32" s="20">
        <v>4</v>
      </c>
      <c r="K32" s="20">
        <v>4.5999999999999996</v>
      </c>
      <c r="L32" s="21"/>
      <c r="M32" s="21">
        <v>4</v>
      </c>
      <c r="N32" s="20">
        <v>4.0999999999999996</v>
      </c>
      <c r="O32" s="20">
        <v>4.4000000000000004</v>
      </c>
      <c r="P32" s="21"/>
      <c r="Q32" s="21">
        <v>4.7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</v>
      </c>
      <c r="H33" s="27">
        <f t="shared" ref="H33:Q33" si="1">H31-H32</f>
        <v>0</v>
      </c>
      <c r="I33" s="27">
        <f t="shared" si="1"/>
        <v>8.6</v>
      </c>
      <c r="J33" s="27">
        <v>9.1999999999999993</v>
      </c>
      <c r="K33" s="27">
        <f t="shared" si="1"/>
        <v>8.8000000000000007</v>
      </c>
      <c r="L33" s="27">
        <f>L31-L32</f>
        <v>0</v>
      </c>
      <c r="M33" s="27">
        <f>M31-M32</f>
        <v>9.5</v>
      </c>
      <c r="N33" s="27">
        <v>8.9</v>
      </c>
      <c r="O33" s="27">
        <f>O31-O32</f>
        <v>9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6608.3233256351041</v>
      </c>
      <c r="H34" s="28">
        <f t="shared" ref="H34:Q34" si="2">(H33*H30)/0.866</f>
        <v>0</v>
      </c>
      <c r="I34" s="28">
        <f t="shared" si="2"/>
        <v>6275.4180138568126</v>
      </c>
      <c r="J34" s="28">
        <v>6750.6327944572749</v>
      </c>
      <c r="K34" s="28">
        <f t="shared" si="2"/>
        <v>6483.1408775981536</v>
      </c>
      <c r="L34" s="28">
        <f>(L33*L30)/0.866</f>
        <v>0</v>
      </c>
      <c r="M34" s="28">
        <f>(M33*M30)/0.866</f>
        <v>6961.9861431870668</v>
      </c>
      <c r="N34" s="28">
        <v>7069.6420323325638</v>
      </c>
      <c r="O34" s="28">
        <f>(O33*O30)/0.866</f>
        <v>6627.1593533487294</v>
      </c>
      <c r="P34" s="28">
        <f t="shared" si="2"/>
        <v>0</v>
      </c>
      <c r="Q34" s="28">
        <f t="shared" si="2"/>
        <v>6422.3926096997702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0.85</v>
      </c>
      <c r="J35" s="20">
        <v>0.81</v>
      </c>
      <c r="K35" s="20">
        <v>0.84</v>
      </c>
      <c r="L35" s="21"/>
      <c r="M35" s="21">
        <v>0.84</v>
      </c>
      <c r="N35" s="20">
        <v>0.79</v>
      </c>
      <c r="O35" s="20">
        <v>0.82</v>
      </c>
      <c r="P35" s="21"/>
      <c r="Q35" s="21">
        <v>0.84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36.200000000000003</v>
      </c>
      <c r="H36" s="21"/>
      <c r="I36" s="21">
        <v>36.6</v>
      </c>
      <c r="J36" s="20">
        <v>35.6</v>
      </c>
      <c r="K36" s="20">
        <v>36.5</v>
      </c>
      <c r="L36" s="21"/>
      <c r="M36" s="21">
        <v>36.6</v>
      </c>
      <c r="N36" s="20">
        <v>34</v>
      </c>
      <c r="O36" s="20">
        <v>35.799999999999997</v>
      </c>
      <c r="P36" s="21"/>
      <c r="Q36" s="21">
        <v>36.4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36.700000000000003</v>
      </c>
      <c r="H37" s="21"/>
      <c r="I37" s="21">
        <v>37.5</v>
      </c>
      <c r="J37" s="20">
        <v>36.299999999999997</v>
      </c>
      <c r="K37" s="20">
        <v>37.200000000000003</v>
      </c>
      <c r="L37" s="21"/>
      <c r="M37" s="21">
        <v>37.1</v>
      </c>
      <c r="N37" s="20">
        <v>34.700000000000003</v>
      </c>
      <c r="O37" s="20">
        <v>36.299999999999997</v>
      </c>
      <c r="P37" s="21"/>
      <c r="Q37" s="21">
        <v>37.200000000000003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2.3000000000000043</v>
      </c>
      <c r="H38" s="27">
        <v>1</v>
      </c>
      <c r="I38" s="27">
        <f t="shared" ref="I38:Q38" si="3">I37-I41</f>
        <v>3.6000000000000014</v>
      </c>
      <c r="J38" s="27">
        <v>2.1999999999999957</v>
      </c>
      <c r="K38" s="27">
        <f t="shared" si="3"/>
        <v>2.8000000000000043</v>
      </c>
      <c r="L38" s="27">
        <f>L37-L41</f>
        <v>0</v>
      </c>
      <c r="M38" s="27">
        <f>M37-M41</f>
        <v>3</v>
      </c>
      <c r="N38" s="27">
        <v>1.5</v>
      </c>
      <c r="O38" s="27">
        <f>O37-O41</f>
        <v>2.2999999999999972</v>
      </c>
      <c r="P38" s="27">
        <f t="shared" si="3"/>
        <v>0</v>
      </c>
      <c r="Q38" s="27">
        <f t="shared" si="3"/>
        <v>2.8000000000000043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29.2</v>
      </c>
      <c r="H40" s="21"/>
      <c r="I40" s="21">
        <v>29</v>
      </c>
      <c r="J40" s="20">
        <v>28.7</v>
      </c>
      <c r="K40" s="20">
        <v>29</v>
      </c>
      <c r="L40" s="21"/>
      <c r="M40" s="21">
        <v>28.9</v>
      </c>
      <c r="N40" s="20">
        <v>27.6</v>
      </c>
      <c r="O40" s="20">
        <v>29</v>
      </c>
      <c r="P40" s="21"/>
      <c r="Q40" s="21">
        <v>29.2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34.4</v>
      </c>
      <c r="H41" s="21"/>
      <c r="I41" s="21">
        <v>33.9</v>
      </c>
      <c r="J41" s="20">
        <v>34.1</v>
      </c>
      <c r="K41" s="20">
        <v>34.4</v>
      </c>
      <c r="L41" s="21"/>
      <c r="M41" s="21">
        <v>34.1</v>
      </c>
      <c r="N41" s="20">
        <v>33.200000000000003</v>
      </c>
      <c r="O41" s="20">
        <v>34</v>
      </c>
      <c r="P41" s="21"/>
      <c r="Q41" s="21">
        <v>34.4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5.1999999999999993</v>
      </c>
      <c r="H42" s="27">
        <f t="shared" ref="H42:P42" si="4">H41-H40</f>
        <v>0</v>
      </c>
      <c r="I42" s="27">
        <f t="shared" si="4"/>
        <v>4.8999999999999986</v>
      </c>
      <c r="J42" s="27">
        <v>5.4000000000000021</v>
      </c>
      <c r="K42" s="27">
        <f t="shared" si="4"/>
        <v>5.3999999999999986</v>
      </c>
      <c r="L42" s="27">
        <f>L41-L40</f>
        <v>0</v>
      </c>
      <c r="M42" s="27">
        <f>M41-M40</f>
        <v>5.2000000000000028</v>
      </c>
      <c r="N42" s="27">
        <v>5.6000000000000014</v>
      </c>
      <c r="O42" s="27">
        <f>O41-O40</f>
        <v>5</v>
      </c>
      <c r="P42" s="27">
        <f t="shared" si="4"/>
        <v>0</v>
      </c>
      <c r="Q42" s="27">
        <f>Q41-Q40</f>
        <v>5.1999999999999993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1301.1600000000001</v>
      </c>
      <c r="H43" s="21"/>
      <c r="I43" s="21">
        <v>1300.5999999999999</v>
      </c>
      <c r="J43" s="20">
        <v>1304.9000000000001</v>
      </c>
      <c r="K43" s="20">
        <v>1306.76</v>
      </c>
      <c r="L43" s="21"/>
      <c r="M43" s="20">
        <v>1288.98</v>
      </c>
      <c r="N43" s="20">
        <v>1299.0999999999999</v>
      </c>
      <c r="O43" s="20">
        <v>1291.22</v>
      </c>
      <c r="P43" s="21"/>
      <c r="Q43" s="21">
        <v>1297.94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7812.9699769053113</v>
      </c>
      <c r="H44" s="28">
        <f t="shared" ref="H44:Q44" si="5">H42*H43/0.866</f>
        <v>0</v>
      </c>
      <c r="I44" s="28">
        <f t="shared" si="5"/>
        <v>7359.0531177829071</v>
      </c>
      <c r="J44" s="28">
        <v>8136.7898383371867</v>
      </c>
      <c r="K44" s="28">
        <f t="shared" si="5"/>
        <v>8148.3879907621222</v>
      </c>
      <c r="L44" s="28">
        <f>L42*L43/0.866</f>
        <v>0</v>
      </c>
      <c r="M44" s="28">
        <f>M42*M43/0.866</f>
        <v>7739.8337182448076</v>
      </c>
      <c r="N44" s="28">
        <v>8400.6466512702082</v>
      </c>
      <c r="O44" s="28">
        <f>O42*O43/0.866</f>
        <v>7455.0808314087762</v>
      </c>
      <c r="P44" s="28">
        <f t="shared" si="5"/>
        <v>0</v>
      </c>
      <c r="Q44" s="28">
        <f t="shared" si="5"/>
        <v>7793.6351039260962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0.45</v>
      </c>
      <c r="K45" s="20">
        <v>0.47</v>
      </c>
      <c r="L45" s="21"/>
      <c r="M45" s="21">
        <v>0.46</v>
      </c>
      <c r="N45" s="20">
        <v>0.48</v>
      </c>
      <c r="O45" s="20">
        <v>0.46</v>
      </c>
      <c r="P45" s="21"/>
      <c r="Q45" s="21">
        <v>0.48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20.100000000000001</v>
      </c>
      <c r="H46" s="21"/>
      <c r="I46" s="21">
        <v>19.8</v>
      </c>
      <c r="J46" s="20">
        <v>19.3</v>
      </c>
      <c r="K46" s="20">
        <v>19.899999999999999</v>
      </c>
      <c r="L46" s="21"/>
      <c r="M46" s="21">
        <v>19.8</v>
      </c>
      <c r="N46" s="20">
        <v>18</v>
      </c>
      <c r="O46" s="20">
        <v>19.5</v>
      </c>
      <c r="P46" s="21"/>
      <c r="Q46" s="21">
        <v>20.3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189.3</v>
      </c>
      <c r="H47" s="21"/>
      <c r="I47" s="21">
        <v>127</v>
      </c>
      <c r="J47" s="20">
        <v>205.4</v>
      </c>
      <c r="K47" s="20">
        <v>209.5</v>
      </c>
      <c r="L47" s="21"/>
      <c r="M47" s="21">
        <v>216</v>
      </c>
      <c r="N47" s="20">
        <v>162.30000000000001</v>
      </c>
      <c r="O47" s="20">
        <v>160.5</v>
      </c>
      <c r="P47" s="21"/>
      <c r="Q47" s="21">
        <v>201.2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45">
        <v>5.89</v>
      </c>
      <c r="F49" s="20"/>
      <c r="G49" s="20">
        <v>5.77</v>
      </c>
      <c r="H49" s="21"/>
      <c r="I49" s="21">
        <v>5.59</v>
      </c>
      <c r="J49" s="20">
        <v>5.79</v>
      </c>
      <c r="K49" s="20">
        <v>5.65</v>
      </c>
      <c r="L49" s="21"/>
      <c r="M49" s="21">
        <v>5.72</v>
      </c>
      <c r="N49" s="20">
        <v>5.38</v>
      </c>
      <c r="O49" s="20">
        <v>5.63</v>
      </c>
      <c r="P49" s="21"/>
      <c r="Q49" s="21">
        <v>5.22</v>
      </c>
    </row>
    <row r="50" spans="2:17" ht="20.100000000000001" customHeight="1">
      <c r="B50" s="94" t="s">
        <v>91</v>
      </c>
      <c r="C50" s="94"/>
      <c r="D50" s="94"/>
      <c r="E50" s="4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4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N50" sqref="N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45815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47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74.099999999999994</v>
      </c>
      <c r="G11" s="20">
        <v>72.099999999999994</v>
      </c>
      <c r="H11" s="21"/>
      <c r="I11" s="21">
        <v>81.400000000000006</v>
      </c>
      <c r="J11" s="20"/>
      <c r="K11" s="20">
        <v>73.8</v>
      </c>
      <c r="L11" s="21"/>
      <c r="M11" s="21">
        <v>75.3</v>
      </c>
      <c r="N11" s="20">
        <v>77.5</v>
      </c>
      <c r="O11" s="20">
        <v>75.599999999999994</v>
      </c>
      <c r="P11" s="21"/>
      <c r="Q11" s="21">
        <v>75.2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0.6</v>
      </c>
      <c r="G12" s="20">
        <v>0.1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69.5</v>
      </c>
      <c r="G13" s="20">
        <v>65.900000000000006</v>
      </c>
      <c r="H13" s="21"/>
      <c r="I13" s="21">
        <v>77.900000000000006</v>
      </c>
      <c r="J13" s="20"/>
      <c r="K13" s="20">
        <v>70.099999999999994</v>
      </c>
      <c r="L13" s="21"/>
      <c r="M13" s="21">
        <v>72</v>
      </c>
      <c r="N13" s="20">
        <v>72.900000000000006</v>
      </c>
      <c r="O13" s="20">
        <v>70.400000000000006</v>
      </c>
      <c r="P13" s="21"/>
      <c r="Q13" s="21">
        <v>70.8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66.3</v>
      </c>
      <c r="G14" s="20">
        <v>69</v>
      </c>
      <c r="H14" s="21"/>
      <c r="I14" s="21">
        <v>69.7</v>
      </c>
      <c r="J14" s="20"/>
      <c r="K14" s="20">
        <v>64.900000000000006</v>
      </c>
      <c r="L14" s="21"/>
      <c r="M14" s="21">
        <v>68.2</v>
      </c>
      <c r="N14" s="20">
        <v>71.7</v>
      </c>
      <c r="O14" s="20">
        <v>75</v>
      </c>
      <c r="P14" s="21"/>
      <c r="Q14" s="21">
        <v>73.2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40.799999999999997</v>
      </c>
      <c r="G15" s="20">
        <v>38.5</v>
      </c>
      <c r="H15" s="21"/>
      <c r="I15" s="21">
        <v>57.1</v>
      </c>
      <c r="J15" s="20"/>
      <c r="K15" s="20">
        <v>41.3</v>
      </c>
      <c r="L15" s="21"/>
      <c r="M15" s="21">
        <v>35.6</v>
      </c>
      <c r="N15" s="20">
        <v>53.3</v>
      </c>
      <c r="O15" s="20">
        <v>58</v>
      </c>
      <c r="P15" s="21"/>
      <c r="Q15" s="21">
        <v>42.6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/>
      <c r="Q16" s="20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119.7</v>
      </c>
      <c r="G17" s="20">
        <v>117.1</v>
      </c>
      <c r="H17" s="21"/>
      <c r="I17" s="21">
        <v>118.4</v>
      </c>
      <c r="J17" s="20"/>
      <c r="K17" s="20">
        <v>115.7</v>
      </c>
      <c r="L17" s="21"/>
      <c r="M17" s="21">
        <v>117.6</v>
      </c>
      <c r="N17" s="20">
        <v>119.6</v>
      </c>
      <c r="O17" s="20">
        <v>117.7</v>
      </c>
      <c r="P17" s="21"/>
      <c r="Q17" s="21">
        <v>118.6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1176</v>
      </c>
      <c r="G18" s="20">
        <v>1150</v>
      </c>
      <c r="H18" s="21"/>
      <c r="I18" s="21">
        <v>1197</v>
      </c>
      <c r="J18" s="20"/>
      <c r="K18" s="20">
        <v>1175</v>
      </c>
      <c r="L18" s="21"/>
      <c r="M18" s="21">
        <v>1194</v>
      </c>
      <c r="N18" s="20">
        <v>1211</v>
      </c>
      <c r="O18" s="20">
        <v>1194</v>
      </c>
      <c r="P18" s="21"/>
      <c r="Q18" s="21">
        <v>1200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50714.9</v>
      </c>
      <c r="G19" s="20">
        <v>50703.9</v>
      </c>
      <c r="H19" s="21"/>
      <c r="I19" s="21">
        <v>51653.599999999999</v>
      </c>
      <c r="J19" s="20"/>
      <c r="K19" s="20">
        <v>49642.7</v>
      </c>
      <c r="L19" s="21"/>
      <c r="M19" s="21">
        <v>52076.6</v>
      </c>
      <c r="N19" s="20">
        <v>51252.800000000003</v>
      </c>
      <c r="O19" s="20">
        <v>51241.7</v>
      </c>
      <c r="P19" s="21"/>
      <c r="Q19" s="21">
        <v>51022.2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58.8</v>
      </c>
      <c r="G22" s="20">
        <v>58.2</v>
      </c>
      <c r="H22" s="21"/>
      <c r="I22" s="21">
        <v>59.3</v>
      </c>
      <c r="J22" s="20"/>
      <c r="K22" s="20">
        <v>57.7</v>
      </c>
      <c r="L22" s="21"/>
      <c r="M22" s="21">
        <v>57.5</v>
      </c>
      <c r="N22" s="20">
        <v>58.6</v>
      </c>
      <c r="O22" s="20">
        <v>58.7</v>
      </c>
      <c r="P22" s="21"/>
      <c r="Q22" s="21">
        <v>59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0.48</v>
      </c>
      <c r="O23" s="20">
        <v>0.48</v>
      </c>
      <c r="P23" s="21"/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44.7</v>
      </c>
      <c r="G25" s="20">
        <v>45.1</v>
      </c>
      <c r="H25" s="21"/>
      <c r="I25" s="21">
        <v>44.8</v>
      </c>
      <c r="J25" s="20"/>
      <c r="K25" s="20">
        <v>45.1</v>
      </c>
      <c r="L25" s="21"/>
      <c r="M25" s="21">
        <v>44.8</v>
      </c>
      <c r="N25" s="20">
        <v>45.6</v>
      </c>
      <c r="O25" s="20">
        <v>44.9</v>
      </c>
      <c r="P25" s="21"/>
      <c r="Q25" s="21">
        <v>45.1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4.2</v>
      </c>
      <c r="G27" s="20">
        <v>4.2</v>
      </c>
      <c r="H27" s="21"/>
      <c r="I27" s="21">
        <v>3.2</v>
      </c>
      <c r="J27" s="20"/>
      <c r="K27" s="20">
        <v>4</v>
      </c>
      <c r="L27" s="21"/>
      <c r="M27" s="21">
        <v>4</v>
      </c>
      <c r="N27" s="20">
        <v>4.3</v>
      </c>
      <c r="O27" s="20">
        <v>4.3</v>
      </c>
      <c r="P27" s="21"/>
      <c r="Q27" s="21">
        <v>4.5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3.6</v>
      </c>
      <c r="G28" s="20">
        <v>3.7</v>
      </c>
      <c r="H28" s="21"/>
      <c r="I28" s="21">
        <v>2.2999999999999998</v>
      </c>
      <c r="J28" s="20"/>
      <c r="K28" s="20">
        <v>3.3</v>
      </c>
      <c r="L28" s="21"/>
      <c r="M28" s="21">
        <v>2.8</v>
      </c>
      <c r="N28" s="20">
        <v>3.2</v>
      </c>
      <c r="O28" s="20">
        <v>3.3</v>
      </c>
      <c r="P28" s="21"/>
      <c r="Q28" s="21">
        <v>3.6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0.99999999999999956</v>
      </c>
      <c r="G29" s="27">
        <f t="shared" si="0"/>
        <v>1</v>
      </c>
      <c r="H29" s="27">
        <f t="shared" si="0"/>
        <v>0</v>
      </c>
      <c r="I29" s="27">
        <f t="shared" si="0"/>
        <v>2.4000000000000004</v>
      </c>
      <c r="J29" s="27">
        <f t="shared" si="0"/>
        <v>0</v>
      </c>
      <c r="K29" s="27">
        <f t="shared" si="0"/>
        <v>0.70000000000000018</v>
      </c>
      <c r="L29" s="27">
        <f>L32-L28</f>
        <v>0</v>
      </c>
      <c r="M29" s="27">
        <f>M32-M28</f>
        <v>1.6000000000000005</v>
      </c>
      <c r="N29" s="27">
        <f>N32-N28</f>
        <v>1.3999999999999995</v>
      </c>
      <c r="O29" s="27">
        <f>O32-O28</f>
        <v>1.2999999999999998</v>
      </c>
      <c r="P29" s="27">
        <f t="shared" si="0"/>
        <v>0</v>
      </c>
      <c r="Q29" s="27">
        <f t="shared" si="0"/>
        <v>0.89999999999999991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695.7</v>
      </c>
      <c r="G30" s="20">
        <v>642.20000000000005</v>
      </c>
      <c r="H30" s="21"/>
      <c r="I30" s="21">
        <v>631.9</v>
      </c>
      <c r="J30" s="20"/>
      <c r="K30" s="20">
        <v>635.44000000000005</v>
      </c>
      <c r="L30" s="21"/>
      <c r="M30" s="21">
        <v>627.79999999999995</v>
      </c>
      <c r="N30" s="20">
        <v>689</v>
      </c>
      <c r="O30" s="20">
        <v>642.9</v>
      </c>
      <c r="P30" s="21"/>
      <c r="Q30" s="21">
        <v>639.4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13.3</v>
      </c>
      <c r="G31" s="20">
        <v>13.8</v>
      </c>
      <c r="H31" s="21"/>
      <c r="I31" s="21">
        <v>13.8</v>
      </c>
      <c r="J31" s="20"/>
      <c r="K31" s="20">
        <v>13.2</v>
      </c>
      <c r="L31" s="21"/>
      <c r="M31" s="21">
        <v>13.7</v>
      </c>
      <c r="N31" s="20">
        <v>13.4</v>
      </c>
      <c r="O31" s="20">
        <v>13.9</v>
      </c>
      <c r="P31" s="21"/>
      <c r="Q31" s="21">
        <v>13.5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4.5999999999999996</v>
      </c>
      <c r="G32" s="20">
        <v>4.7</v>
      </c>
      <c r="H32" s="21"/>
      <c r="I32" s="21">
        <v>4.7</v>
      </c>
      <c r="J32" s="20"/>
      <c r="K32" s="20">
        <v>4</v>
      </c>
      <c r="L32" s="21"/>
      <c r="M32" s="21">
        <v>4.4000000000000004</v>
      </c>
      <c r="N32" s="20">
        <v>4.5999999999999996</v>
      </c>
      <c r="O32" s="20">
        <v>4.5999999999999996</v>
      </c>
      <c r="P32" s="21"/>
      <c r="Q32" s="21">
        <v>4.5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8.7000000000000011</v>
      </c>
      <c r="G33" s="27">
        <f>G31-G32</f>
        <v>9.1000000000000014</v>
      </c>
      <c r="H33" s="27">
        <f t="shared" ref="H33:Q33" si="1">H31-H32</f>
        <v>0</v>
      </c>
      <c r="I33" s="27">
        <f t="shared" si="1"/>
        <v>9.1000000000000014</v>
      </c>
      <c r="J33" s="27">
        <f t="shared" si="1"/>
        <v>0</v>
      </c>
      <c r="K33" s="27">
        <f t="shared" si="1"/>
        <v>9.1999999999999993</v>
      </c>
      <c r="L33" s="27">
        <f>L31-L32</f>
        <v>0</v>
      </c>
      <c r="M33" s="27">
        <f>M31-M32</f>
        <v>9.2999999999999989</v>
      </c>
      <c r="N33" s="27">
        <f>N31-N32</f>
        <v>8.8000000000000007</v>
      </c>
      <c r="O33" s="27">
        <f>O31-O32</f>
        <v>9.3000000000000007</v>
      </c>
      <c r="P33" s="27">
        <f t="shared" si="1"/>
        <v>0</v>
      </c>
      <c r="Q33" s="27">
        <f t="shared" si="1"/>
        <v>9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6989.133949191687</v>
      </c>
      <c r="G34" s="28">
        <f>(G33*G30)/0.866</f>
        <v>6748.290993071595</v>
      </c>
      <c r="H34" s="28">
        <f t="shared" ref="H34:Q34" si="2">(H33*H30)/0.866</f>
        <v>0</v>
      </c>
      <c r="I34" s="28">
        <f t="shared" si="2"/>
        <v>6640.0577367205551</v>
      </c>
      <c r="J34" s="28">
        <f t="shared" si="2"/>
        <v>0</v>
      </c>
      <c r="K34" s="28">
        <f t="shared" si="2"/>
        <v>6750.6327944572749</v>
      </c>
      <c r="L34" s="28">
        <f>(L33*L30)/0.866</f>
        <v>0</v>
      </c>
      <c r="M34" s="28">
        <f>(M33*M30)/0.866</f>
        <v>6741.9630484988438</v>
      </c>
      <c r="N34" s="28">
        <f>(N33*N30)/0.866</f>
        <v>7001.3856812933036</v>
      </c>
      <c r="O34" s="28">
        <f>(O33*O30)/0.866</f>
        <v>6904.122401847575</v>
      </c>
      <c r="P34" s="28">
        <f t="shared" si="2"/>
        <v>0</v>
      </c>
      <c r="Q34" s="28">
        <f t="shared" si="2"/>
        <v>6645.0346420323322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</v>
      </c>
      <c r="H35" s="21"/>
      <c r="I35" s="21">
        <v>0.82</v>
      </c>
      <c r="J35" s="20"/>
      <c r="K35" s="20">
        <v>0.81</v>
      </c>
      <c r="L35" s="21"/>
      <c r="M35" s="21">
        <v>0.81</v>
      </c>
      <c r="N35" s="20">
        <v>0.81</v>
      </c>
      <c r="O35" s="20">
        <v>0.79</v>
      </c>
      <c r="P35" s="21"/>
      <c r="Q35" s="21">
        <v>0.81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35.9</v>
      </c>
      <c r="G36" s="20">
        <v>35.299999999999997</v>
      </c>
      <c r="H36" s="21"/>
      <c r="I36" s="21">
        <v>35.9</v>
      </c>
      <c r="J36" s="20"/>
      <c r="K36" s="20">
        <v>35.6</v>
      </c>
      <c r="L36" s="21"/>
      <c r="M36" s="21">
        <v>35.6</v>
      </c>
      <c r="N36" s="20">
        <v>35.4</v>
      </c>
      <c r="O36" s="20">
        <v>34.799999999999997</v>
      </c>
      <c r="P36" s="21"/>
      <c r="Q36" s="21">
        <v>35.5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36.799999999999997</v>
      </c>
      <c r="G37" s="20">
        <v>35.799999999999997</v>
      </c>
      <c r="H37" s="21"/>
      <c r="I37" s="21">
        <v>36.799999999999997</v>
      </c>
      <c r="J37" s="20"/>
      <c r="K37" s="20">
        <v>36.299999999999997</v>
      </c>
      <c r="L37" s="21"/>
      <c r="M37" s="21">
        <v>36.1</v>
      </c>
      <c r="N37" s="20">
        <v>35.9</v>
      </c>
      <c r="O37" s="20">
        <v>35.299999999999997</v>
      </c>
      <c r="P37" s="21"/>
      <c r="Q37" s="21">
        <v>36.299999999999997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2.0999999999999943</v>
      </c>
      <c r="G38" s="27">
        <f>G37-G41</f>
        <v>1.6999999999999957</v>
      </c>
      <c r="H38" s="27">
        <f>H37-H41</f>
        <v>0</v>
      </c>
      <c r="I38" s="27">
        <f>I37-I41</f>
        <v>3.2999999999999972</v>
      </c>
      <c r="J38" s="27">
        <f t="shared" ref="J38:Q38" si="3">J37-J41</f>
        <v>0</v>
      </c>
      <c r="K38" s="27">
        <f t="shared" si="3"/>
        <v>2.1999999999999957</v>
      </c>
      <c r="L38" s="27">
        <f>L37-L41</f>
        <v>0</v>
      </c>
      <c r="M38" s="27">
        <f>M37-M41</f>
        <v>2.2000000000000028</v>
      </c>
      <c r="N38" s="27">
        <f>N37-N41</f>
        <v>1.6000000000000014</v>
      </c>
      <c r="O38" s="27">
        <f>O37-O41</f>
        <v>1.5</v>
      </c>
      <c r="P38" s="27">
        <f t="shared" si="3"/>
        <v>0</v>
      </c>
      <c r="Q38" s="27">
        <f t="shared" si="3"/>
        <v>2.5999999999999943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29.1</v>
      </c>
      <c r="G40" s="20">
        <v>28.6</v>
      </c>
      <c r="H40" s="21"/>
      <c r="I40" s="21">
        <v>28.5</v>
      </c>
      <c r="J40" s="20"/>
      <c r="K40" s="20">
        <v>28.7</v>
      </c>
      <c r="L40" s="21"/>
      <c r="M40" s="21">
        <v>28.7</v>
      </c>
      <c r="N40" s="20">
        <v>28.9</v>
      </c>
      <c r="O40" s="20">
        <v>28.3</v>
      </c>
      <c r="P40" s="21"/>
      <c r="Q40" s="21">
        <v>28.4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34.700000000000003</v>
      </c>
      <c r="G41" s="20">
        <v>34.1</v>
      </c>
      <c r="H41" s="21"/>
      <c r="I41" s="21">
        <v>33.5</v>
      </c>
      <c r="J41" s="20"/>
      <c r="K41" s="20">
        <v>34.1</v>
      </c>
      <c r="L41" s="21"/>
      <c r="M41" s="21">
        <v>33.9</v>
      </c>
      <c r="N41" s="20">
        <v>34.299999999999997</v>
      </c>
      <c r="O41" s="20">
        <v>33.799999999999997</v>
      </c>
      <c r="P41" s="21"/>
      <c r="Q41" s="21">
        <v>33.700000000000003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5.6000000000000014</v>
      </c>
      <c r="G42" s="27">
        <f>G41-G40</f>
        <v>5.5</v>
      </c>
      <c r="H42" s="27">
        <f t="shared" ref="H42:Q42" si="4">H41-H40</f>
        <v>0</v>
      </c>
      <c r="I42" s="27">
        <f t="shared" si="4"/>
        <v>5</v>
      </c>
      <c r="J42" s="27">
        <f t="shared" si="4"/>
        <v>0</v>
      </c>
      <c r="K42" s="27">
        <f t="shared" si="4"/>
        <v>5.4000000000000021</v>
      </c>
      <c r="L42" s="27">
        <f>L41-L40</f>
        <v>0</v>
      </c>
      <c r="M42" s="27">
        <f>M41-M40</f>
        <v>5.1999999999999993</v>
      </c>
      <c r="N42" s="27">
        <f>N41-N40</f>
        <v>5.3999999999999986</v>
      </c>
      <c r="O42" s="27">
        <f>O41-O40</f>
        <v>5.4999999999999964</v>
      </c>
      <c r="P42" s="27">
        <f t="shared" si="4"/>
        <v>0</v>
      </c>
      <c r="Q42" s="27">
        <f t="shared" si="4"/>
        <v>5.3000000000000043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1299.9000000000001</v>
      </c>
      <c r="G43" s="20">
        <v>1296.0999999999999</v>
      </c>
      <c r="H43" s="21"/>
      <c r="I43" s="21">
        <v>1290.5999999999999</v>
      </c>
      <c r="J43" s="20"/>
      <c r="K43" s="20">
        <v>1304.9000000000001</v>
      </c>
      <c r="L43" s="21"/>
      <c r="M43" s="20">
        <v>1293.9000000000001</v>
      </c>
      <c r="N43" s="20">
        <v>1300.9000000000001</v>
      </c>
      <c r="O43" s="20">
        <v>1291.9000000000001</v>
      </c>
      <c r="P43" s="21"/>
      <c r="Q43" s="21">
        <v>1294.5999999999999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8405.8198614318735</v>
      </c>
      <c r="G44" s="28">
        <f>G42*G43/0.866</f>
        <v>8231.5819861431864</v>
      </c>
      <c r="H44" s="28">
        <f t="shared" ref="H44:Q44" si="5">H42*H43/0.866</f>
        <v>0</v>
      </c>
      <c r="I44" s="28">
        <f t="shared" si="5"/>
        <v>7451.5011547344111</v>
      </c>
      <c r="J44" s="28">
        <f t="shared" si="5"/>
        <v>0</v>
      </c>
      <c r="K44" s="28">
        <f t="shared" si="5"/>
        <v>8136.7898383371867</v>
      </c>
      <c r="L44" s="28">
        <f>L42*L43/0.866</f>
        <v>0</v>
      </c>
      <c r="M44" s="28">
        <f>M42*M43/0.866</f>
        <v>7769.3764434180139</v>
      </c>
      <c r="N44" s="28">
        <f>N42*N43/0.866</f>
        <v>8111.8475750577354</v>
      </c>
      <c r="O44" s="28">
        <f>O42*O43/0.866</f>
        <v>8204.9076212471082</v>
      </c>
      <c r="P44" s="28">
        <f t="shared" si="5"/>
        <v>0</v>
      </c>
      <c r="Q44" s="28">
        <f t="shared" si="5"/>
        <v>7923.0715935334929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0.45</v>
      </c>
      <c r="J45" s="20"/>
      <c r="K45" s="20">
        <v>0.45</v>
      </c>
      <c r="L45" s="21"/>
      <c r="M45" s="21">
        <v>0.46</v>
      </c>
      <c r="N45" s="20">
        <v>0.45</v>
      </c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19.600000000000001</v>
      </c>
      <c r="G46" s="20">
        <v>19.5</v>
      </c>
      <c r="H46" s="21"/>
      <c r="I46" s="21">
        <v>18.7</v>
      </c>
      <c r="J46" s="20"/>
      <c r="K46" s="20">
        <v>19.3</v>
      </c>
      <c r="L46" s="21"/>
      <c r="M46" s="21">
        <v>19.2</v>
      </c>
      <c r="N46" s="20">
        <v>19.2</v>
      </c>
      <c r="O46" s="20">
        <v>19.600000000000001</v>
      </c>
      <c r="P46" s="21"/>
      <c r="Q46" s="21">
        <v>19.600000000000001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195.1</v>
      </c>
      <c r="G47" s="20">
        <v>202.9</v>
      </c>
      <c r="H47" s="21"/>
      <c r="I47" s="21">
        <v>122.5</v>
      </c>
      <c r="J47" s="20"/>
      <c r="K47" s="20">
        <v>205.4</v>
      </c>
      <c r="L47" s="21"/>
      <c r="M47" s="21">
        <v>214.9</v>
      </c>
      <c r="N47" s="20">
        <v>159.6</v>
      </c>
      <c r="O47" s="20">
        <v>160.30000000000001</v>
      </c>
      <c r="P47" s="21"/>
      <c r="Q47" s="21">
        <v>199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47">
        <v>5.89</v>
      </c>
      <c r="F49" s="20">
        <v>5.45</v>
      </c>
      <c r="G49" s="20">
        <v>5.84</v>
      </c>
      <c r="H49" s="21"/>
      <c r="I49" s="21">
        <v>5.61</v>
      </c>
      <c r="J49" s="20"/>
      <c r="K49" s="20">
        <v>5.79</v>
      </c>
      <c r="L49" s="21"/>
      <c r="M49" s="21">
        <v>5.74</v>
      </c>
      <c r="N49" s="20">
        <v>5.42</v>
      </c>
      <c r="O49" s="20">
        <v>5.74</v>
      </c>
      <c r="P49" s="21"/>
      <c r="Q49" s="21">
        <v>5.52</v>
      </c>
    </row>
    <row r="50" spans="2:17" ht="20.100000000000001" customHeight="1">
      <c r="B50" s="94" t="s">
        <v>91</v>
      </c>
      <c r="C50" s="94"/>
      <c r="D50" s="94"/>
      <c r="E50" s="4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4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Q9" sqref="Q9:Q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45816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49" t="s">
        <v>18</v>
      </c>
      <c r="E10" s="15"/>
      <c r="F10" s="17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/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72.099999999999994</v>
      </c>
      <c r="H11" s="21"/>
      <c r="I11" s="21">
        <v>80.8</v>
      </c>
      <c r="J11" s="20">
        <v>75.900000000000006</v>
      </c>
      <c r="K11" s="20">
        <v>75.3</v>
      </c>
      <c r="L11" s="21">
        <v>78.099999999999994</v>
      </c>
      <c r="M11" s="21">
        <v>75.400000000000006</v>
      </c>
      <c r="N11" s="20"/>
      <c r="O11" s="20">
        <v>74.3</v>
      </c>
      <c r="P11" s="21"/>
      <c r="Q11" s="21">
        <v>74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66.900000000000006</v>
      </c>
      <c r="H13" s="21"/>
      <c r="I13" s="21">
        <v>76.900000000000006</v>
      </c>
      <c r="J13" s="20">
        <v>70.7</v>
      </c>
      <c r="K13" s="20">
        <v>71</v>
      </c>
      <c r="L13" s="21">
        <v>74.7</v>
      </c>
      <c r="M13" s="21">
        <v>70.400000000000006</v>
      </c>
      <c r="N13" s="20"/>
      <c r="O13" s="20">
        <v>71</v>
      </c>
      <c r="P13" s="21"/>
      <c r="Q13" s="21">
        <v>68.7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70.099999999999994</v>
      </c>
      <c r="H14" s="21"/>
      <c r="I14" s="21">
        <v>69.400000000000006</v>
      </c>
      <c r="J14" s="20">
        <v>63.5</v>
      </c>
      <c r="K14" s="20">
        <v>64.599999999999994</v>
      </c>
      <c r="L14" s="21">
        <v>66.3</v>
      </c>
      <c r="M14" s="21">
        <v>68.7</v>
      </c>
      <c r="N14" s="20"/>
      <c r="O14" s="20">
        <v>74.400000000000006</v>
      </c>
      <c r="P14" s="21"/>
      <c r="Q14" s="21">
        <v>76.599999999999994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37.6</v>
      </c>
      <c r="H15" s="21"/>
      <c r="I15" s="21">
        <v>53.1</v>
      </c>
      <c r="J15" s="20">
        <v>37.9</v>
      </c>
      <c r="K15" s="20">
        <v>39.4</v>
      </c>
      <c r="L15" s="21">
        <v>37.6</v>
      </c>
      <c r="M15" s="21">
        <v>34.5</v>
      </c>
      <c r="N15" s="20"/>
      <c r="O15" s="20">
        <v>45</v>
      </c>
      <c r="P15" s="21"/>
      <c r="Q15" s="21">
        <v>45.4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117.6</v>
      </c>
      <c r="H17" s="21"/>
      <c r="I17" s="21">
        <v>117.5</v>
      </c>
      <c r="J17" s="20">
        <v>118.3</v>
      </c>
      <c r="K17" s="20">
        <v>117.7</v>
      </c>
      <c r="L17" s="21">
        <v>121.8</v>
      </c>
      <c r="M17" s="21">
        <v>117.1</v>
      </c>
      <c r="N17" s="20"/>
      <c r="O17" s="20">
        <v>117.4</v>
      </c>
      <c r="P17" s="21"/>
      <c r="Q17" s="21">
        <v>117.8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1147</v>
      </c>
      <c r="H18" s="21"/>
      <c r="I18" s="21">
        <v>1194</v>
      </c>
      <c r="J18" s="20">
        <v>1203</v>
      </c>
      <c r="K18" s="20">
        <v>1191</v>
      </c>
      <c r="L18" s="21">
        <v>1235</v>
      </c>
      <c r="M18" s="21">
        <v>1192</v>
      </c>
      <c r="N18" s="20"/>
      <c r="O18" s="20">
        <v>1197</v>
      </c>
      <c r="P18" s="21"/>
      <c r="Q18" s="21">
        <v>1191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50719.7</v>
      </c>
      <c r="H19" s="21"/>
      <c r="I19" s="21">
        <v>51663.4</v>
      </c>
      <c r="J19" s="20">
        <v>49665.9</v>
      </c>
      <c r="K19" s="20">
        <v>49652.2</v>
      </c>
      <c r="L19" s="21">
        <v>52100</v>
      </c>
      <c r="M19" s="21">
        <v>52086.3</v>
      </c>
      <c r="N19" s="20"/>
      <c r="O19" s="20">
        <v>51265.8</v>
      </c>
      <c r="P19" s="21"/>
      <c r="Q19" s="21">
        <v>51031.6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58.4</v>
      </c>
      <c r="H22" s="21"/>
      <c r="I22" s="21">
        <v>59.2</v>
      </c>
      <c r="J22" s="20">
        <v>57.9</v>
      </c>
      <c r="K22" s="20">
        <v>57.9</v>
      </c>
      <c r="L22" s="21">
        <v>57.5</v>
      </c>
      <c r="M22" s="21">
        <v>57.5</v>
      </c>
      <c r="N22" s="20"/>
      <c r="O22" s="20">
        <v>58.5</v>
      </c>
      <c r="P22" s="21"/>
      <c r="Q22" s="21">
        <v>59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0.49</v>
      </c>
      <c r="J23" s="20">
        <v>0.59</v>
      </c>
      <c r="K23" s="20">
        <v>0.57999999999999996</v>
      </c>
      <c r="L23" s="21">
        <v>0.59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</v>
      </c>
      <c r="H25" s="21"/>
      <c r="I25" s="21">
        <v>45</v>
      </c>
      <c r="J25" s="20">
        <v>45</v>
      </c>
      <c r="K25" s="20">
        <v>44.9</v>
      </c>
      <c r="L25" s="21">
        <v>44.9</v>
      </c>
      <c r="M25" s="21">
        <v>44.8</v>
      </c>
      <c r="N25" s="20"/>
      <c r="O25" s="20">
        <v>45</v>
      </c>
      <c r="P25" s="21"/>
      <c r="Q25" s="21">
        <v>45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0.23</v>
      </c>
      <c r="K26" s="20">
        <v>0.23</v>
      </c>
      <c r="L26" s="21">
        <v>0.23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4.0999999999999996</v>
      </c>
      <c r="H27" s="21"/>
      <c r="I27" s="21">
        <v>3.3</v>
      </c>
      <c r="J27" s="20">
        <v>4.2</v>
      </c>
      <c r="K27" s="20">
        <v>4</v>
      </c>
      <c r="L27" s="21">
        <v>4.5</v>
      </c>
      <c r="M27" s="21">
        <v>4.0999999999999996</v>
      </c>
      <c r="N27" s="20"/>
      <c r="O27" s="20">
        <v>4.5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3.3</v>
      </c>
      <c r="H28" s="21"/>
      <c r="I28" s="21">
        <v>2</v>
      </c>
      <c r="J28" s="20">
        <v>3.3</v>
      </c>
      <c r="K28" s="20">
        <v>3.3</v>
      </c>
      <c r="L28" s="21">
        <v>3.5</v>
      </c>
      <c r="M28" s="21">
        <v>2.8</v>
      </c>
      <c r="N28" s="20"/>
      <c r="O28" s="20">
        <v>2.8</v>
      </c>
      <c r="P28" s="21"/>
      <c r="Q28" s="21">
        <v>3.2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0</v>
      </c>
      <c r="G29" s="27">
        <f t="shared" si="0"/>
        <v>1</v>
      </c>
      <c r="H29" s="27">
        <f t="shared" si="0"/>
        <v>0</v>
      </c>
      <c r="I29" s="27">
        <f t="shared" si="0"/>
        <v>2.0999999999999996</v>
      </c>
      <c r="J29" s="27">
        <f t="shared" si="0"/>
        <v>1.1000000000000005</v>
      </c>
      <c r="K29" s="27">
        <f t="shared" si="0"/>
        <v>1.2000000000000002</v>
      </c>
      <c r="L29" s="27">
        <f>L32-L28</f>
        <v>1.0999999999999996</v>
      </c>
      <c r="M29" s="27">
        <f>M32-M28</f>
        <v>1.1000000000000001</v>
      </c>
      <c r="N29" s="27">
        <f>N32-N28</f>
        <v>0</v>
      </c>
      <c r="O29" s="27">
        <f>O32-O28</f>
        <v>1.1000000000000001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644.48</v>
      </c>
      <c r="H30" s="21"/>
      <c r="I30" s="21">
        <v>633.04</v>
      </c>
      <c r="J30" s="20">
        <v>636.88</v>
      </c>
      <c r="K30" s="20">
        <v>629.52</v>
      </c>
      <c r="L30" s="21">
        <v>709.12</v>
      </c>
      <c r="M30" s="21">
        <v>623.67999999999995</v>
      </c>
      <c r="N30" s="20"/>
      <c r="O30" s="20">
        <v>636.4</v>
      </c>
      <c r="P30" s="21"/>
      <c r="Q30" s="21">
        <v>635.76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13.2</v>
      </c>
      <c r="H31" s="21"/>
      <c r="I31" s="21">
        <v>13</v>
      </c>
      <c r="J31" s="20">
        <v>13.4</v>
      </c>
      <c r="K31" s="20">
        <v>13.5</v>
      </c>
      <c r="L31" s="21">
        <v>13.5</v>
      </c>
      <c r="M31" s="21">
        <v>13.6</v>
      </c>
      <c r="N31" s="20"/>
      <c r="O31" s="20">
        <v>13</v>
      </c>
      <c r="P31" s="21"/>
      <c r="Q31" s="21">
        <v>12.9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4.3</v>
      </c>
      <c r="H32" s="21"/>
      <c r="I32" s="21">
        <v>4.0999999999999996</v>
      </c>
      <c r="J32" s="20">
        <v>4.4000000000000004</v>
      </c>
      <c r="K32" s="20">
        <v>4.5</v>
      </c>
      <c r="L32" s="21">
        <v>4.5999999999999996</v>
      </c>
      <c r="M32" s="21">
        <v>3.9</v>
      </c>
      <c r="N32" s="20"/>
      <c r="O32" s="20">
        <v>3.9</v>
      </c>
      <c r="P32" s="21"/>
      <c r="Q32" s="21">
        <v>4.2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8.8999999999999986</v>
      </c>
      <c r="H33" s="27">
        <f t="shared" ref="H33:Q33" si="1">H31-H32</f>
        <v>0</v>
      </c>
      <c r="I33" s="27">
        <f t="shared" si="1"/>
        <v>8.9</v>
      </c>
      <c r="J33" s="27">
        <f t="shared" si="1"/>
        <v>9</v>
      </c>
      <c r="K33" s="27">
        <f t="shared" si="1"/>
        <v>9</v>
      </c>
      <c r="L33" s="27">
        <f>L31-L32</f>
        <v>8.9</v>
      </c>
      <c r="M33" s="27">
        <f>M31-M32</f>
        <v>9.6999999999999993</v>
      </c>
      <c r="N33" s="27">
        <f>N31-N32</f>
        <v>0</v>
      </c>
      <c r="O33" s="27">
        <f>O31-O32</f>
        <v>9.1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6623.4087759815238</v>
      </c>
      <c r="H34" s="28">
        <f t="shared" ref="H34:Q34" si="2">(H33*H30)/0.866</f>
        <v>0</v>
      </c>
      <c r="I34" s="28">
        <f t="shared" si="2"/>
        <v>6505.8383371824475</v>
      </c>
      <c r="J34" s="28">
        <f t="shared" si="2"/>
        <v>6618.845265588915</v>
      </c>
      <c r="K34" s="28">
        <f t="shared" si="2"/>
        <v>6542.3556581986149</v>
      </c>
      <c r="L34" s="28">
        <f>(L33*L30)/0.866</f>
        <v>7287.72286374134</v>
      </c>
      <c r="M34" s="28">
        <f>(M33*M30)/0.866</f>
        <v>6985.7921478060034</v>
      </c>
      <c r="N34" s="28">
        <f>(N33*N30)/0.866</f>
        <v>0</v>
      </c>
      <c r="O34" s="28">
        <f>(O33*O30)/0.866</f>
        <v>6687.344110854503</v>
      </c>
      <c r="P34" s="28">
        <f t="shared" si="2"/>
        <v>0</v>
      </c>
      <c r="Q34" s="28">
        <f t="shared" si="2"/>
        <v>6386.9653579676669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0.79</v>
      </c>
      <c r="H35" s="21"/>
      <c r="I35" s="21">
        <v>0.81</v>
      </c>
      <c r="J35" s="20">
        <v>0.83</v>
      </c>
      <c r="K35" s="20">
        <v>0.8</v>
      </c>
      <c r="L35" s="21">
        <v>0.84</v>
      </c>
      <c r="M35" s="21">
        <v>0.79</v>
      </c>
      <c r="N35" s="20"/>
      <c r="O35" s="20">
        <v>0.77</v>
      </c>
      <c r="P35" s="21"/>
      <c r="Q35" s="21">
        <v>0.8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35.6</v>
      </c>
      <c r="H36" s="21"/>
      <c r="I36" s="21">
        <v>36.200000000000003</v>
      </c>
      <c r="J36" s="20">
        <v>36.4</v>
      </c>
      <c r="K36" s="20">
        <v>35.9</v>
      </c>
      <c r="L36" s="21">
        <v>36.5</v>
      </c>
      <c r="M36" s="21">
        <v>36</v>
      </c>
      <c r="N36" s="20"/>
      <c r="O36" s="20">
        <v>35.299999999999997</v>
      </c>
      <c r="P36" s="21"/>
      <c r="Q36" s="21">
        <v>35.799999999999997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35.1</v>
      </c>
      <c r="H37" s="21"/>
      <c r="I37" s="21">
        <v>36</v>
      </c>
      <c r="J37" s="20">
        <v>36.9</v>
      </c>
      <c r="K37" s="20">
        <v>35.6</v>
      </c>
      <c r="L37" s="21">
        <v>37</v>
      </c>
      <c r="M37" s="21">
        <v>35.4</v>
      </c>
      <c r="N37" s="20"/>
      <c r="O37" s="20">
        <v>34.6</v>
      </c>
      <c r="P37" s="21"/>
      <c r="Q37" s="21">
        <v>35.6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2.5</v>
      </c>
      <c r="H38" s="27">
        <f>H37-H41</f>
        <v>0</v>
      </c>
      <c r="I38" s="27">
        <f>I37-I41</f>
        <v>3.7000000000000028</v>
      </c>
      <c r="J38" s="27">
        <f t="shared" ref="J38:Q38" si="3">J37-J41</f>
        <v>2.8999999999999986</v>
      </c>
      <c r="K38" s="27">
        <f t="shared" si="3"/>
        <v>2.8000000000000043</v>
      </c>
      <c r="L38" s="27">
        <f>L37-L41</f>
        <v>3</v>
      </c>
      <c r="M38" s="27">
        <f>M37-M41</f>
        <v>2.8999999999999986</v>
      </c>
      <c r="N38" s="27">
        <f>N37-N41</f>
        <v>0</v>
      </c>
      <c r="O38" s="27">
        <f>O37-O41</f>
        <v>2.3999999999999986</v>
      </c>
      <c r="P38" s="27">
        <f t="shared" si="3"/>
        <v>0</v>
      </c>
      <c r="Q38" s="27">
        <f t="shared" si="3"/>
        <v>2.8999999999999986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27.5</v>
      </c>
      <c r="H40" s="21"/>
      <c r="I40" s="21">
        <v>27.3</v>
      </c>
      <c r="J40" s="20">
        <v>28.7</v>
      </c>
      <c r="K40" s="20">
        <v>27.4</v>
      </c>
      <c r="L40" s="21">
        <v>28.5</v>
      </c>
      <c r="M40" s="21">
        <v>27.1</v>
      </c>
      <c r="N40" s="20"/>
      <c r="O40" s="20">
        <v>27.2</v>
      </c>
      <c r="P40" s="21"/>
      <c r="Q40" s="21">
        <v>27.5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32.6</v>
      </c>
      <c r="H41" s="21"/>
      <c r="I41" s="21">
        <v>32.299999999999997</v>
      </c>
      <c r="J41" s="20">
        <v>34</v>
      </c>
      <c r="K41" s="20">
        <v>32.799999999999997</v>
      </c>
      <c r="L41" s="21">
        <v>34</v>
      </c>
      <c r="M41" s="21">
        <v>32.5</v>
      </c>
      <c r="N41" s="20"/>
      <c r="O41" s="20">
        <v>32.200000000000003</v>
      </c>
      <c r="P41" s="21"/>
      <c r="Q41" s="21">
        <v>32.700000000000003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4.9999999999999964</v>
      </c>
      <c r="J42" s="27">
        <f t="shared" si="4"/>
        <v>5.3000000000000007</v>
      </c>
      <c r="K42" s="27">
        <f t="shared" si="4"/>
        <v>5.3999999999999986</v>
      </c>
      <c r="L42" s="27">
        <f>L41-L40</f>
        <v>5.5</v>
      </c>
      <c r="M42" s="27">
        <f>M41-M40</f>
        <v>5.3999999999999986</v>
      </c>
      <c r="N42" s="27">
        <f>N41-N40</f>
        <v>0</v>
      </c>
      <c r="O42" s="27">
        <f>O41-O40</f>
        <v>5.0000000000000036</v>
      </c>
      <c r="P42" s="27">
        <f t="shared" si="4"/>
        <v>0</v>
      </c>
      <c r="Q42" s="27">
        <f t="shared" si="4"/>
        <v>5.2000000000000028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1287.8599999999999</v>
      </c>
      <c r="H43" s="21"/>
      <c r="I43" s="21">
        <v>1296.4000000000001</v>
      </c>
      <c r="J43" s="20">
        <v>1293.32</v>
      </c>
      <c r="K43" s="20">
        <v>1295</v>
      </c>
      <c r="L43" s="21">
        <v>1295</v>
      </c>
      <c r="M43" s="20">
        <v>1299.2</v>
      </c>
      <c r="N43" s="20"/>
      <c r="O43" s="20">
        <v>1291.3599999999999</v>
      </c>
      <c r="P43" s="21"/>
      <c r="Q43" s="21">
        <v>1293.5999999999999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7584.3949191685924</v>
      </c>
      <c r="H44" s="28">
        <f t="shared" ref="H44:Q44" si="5">H42*H43/0.866</f>
        <v>0</v>
      </c>
      <c r="I44" s="28">
        <f t="shared" si="5"/>
        <v>7484.9884526558835</v>
      </c>
      <c r="J44" s="28">
        <f t="shared" si="5"/>
        <v>7915.2378752886843</v>
      </c>
      <c r="K44" s="28">
        <f t="shared" si="5"/>
        <v>8075.0577367205524</v>
      </c>
      <c r="L44" s="28">
        <f>L42*L43/0.866</f>
        <v>8224.5958429561197</v>
      </c>
      <c r="M44" s="28">
        <f>M42*M43/0.866</f>
        <v>8101.2471131639704</v>
      </c>
      <c r="N44" s="28">
        <f>N42*N43/0.866</f>
        <v>0</v>
      </c>
      <c r="O44" s="28">
        <f>O42*O43/0.866</f>
        <v>7455.8891454965406</v>
      </c>
      <c r="P44" s="28">
        <f t="shared" si="5"/>
        <v>0</v>
      </c>
      <c r="Q44" s="28">
        <f t="shared" si="5"/>
        <v>7767.5750577367244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>
        <v>0.46</v>
      </c>
      <c r="K45" s="20">
        <v>0.46</v>
      </c>
      <c r="L45" s="21">
        <v>0.47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19.7</v>
      </c>
      <c r="H46" s="21"/>
      <c r="I46" s="21">
        <v>19.100000000000001</v>
      </c>
      <c r="J46" s="20">
        <v>19.5</v>
      </c>
      <c r="K46" s="20">
        <v>19.2</v>
      </c>
      <c r="L46" s="21">
        <v>20.6</v>
      </c>
      <c r="M46" s="21">
        <v>19.600000000000001</v>
      </c>
      <c r="N46" s="20"/>
      <c r="O46" s="20">
        <v>19.100000000000001</v>
      </c>
      <c r="P46" s="21"/>
      <c r="Q46" s="21">
        <v>20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197.5</v>
      </c>
      <c r="H47" s="21"/>
      <c r="I47" s="21">
        <v>132.19999999999999</v>
      </c>
      <c r="J47" s="20">
        <v>208</v>
      </c>
      <c r="K47" s="20">
        <v>207.1</v>
      </c>
      <c r="L47" s="21">
        <v>208.2</v>
      </c>
      <c r="M47" s="21">
        <v>219.1</v>
      </c>
      <c r="N47" s="20"/>
      <c r="O47" s="20">
        <v>162.5</v>
      </c>
      <c r="P47" s="21"/>
      <c r="Q47" s="21">
        <v>195.8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49">
        <v>5.89</v>
      </c>
      <c r="F49" s="20"/>
      <c r="G49" s="20">
        <v>5.93</v>
      </c>
      <c r="H49" s="21"/>
      <c r="I49" s="21">
        <v>5.57</v>
      </c>
      <c r="J49" s="20">
        <v>5.64</v>
      </c>
      <c r="K49" s="20">
        <v>5.64</v>
      </c>
      <c r="L49" s="21">
        <v>5.09</v>
      </c>
      <c r="M49" s="21">
        <v>5.7</v>
      </c>
      <c r="N49" s="20"/>
      <c r="O49" s="20">
        <v>5.8</v>
      </c>
      <c r="P49" s="21"/>
      <c r="Q49" s="21">
        <v>5.57</v>
      </c>
    </row>
    <row r="50" spans="2:17" ht="20.100000000000001" customHeight="1">
      <c r="B50" s="94" t="s">
        <v>91</v>
      </c>
      <c r="C50" s="94"/>
      <c r="D50" s="94"/>
      <c r="E50" s="4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4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M10" sqref="M10:M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45817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51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73.3</v>
      </c>
      <c r="G11" s="20">
        <v>72.099999999999994</v>
      </c>
      <c r="H11" s="21"/>
      <c r="I11" s="21">
        <v>80.8</v>
      </c>
      <c r="J11" s="20"/>
      <c r="K11" s="20">
        <v>75.3</v>
      </c>
      <c r="L11" s="21"/>
      <c r="M11" s="21">
        <v>75.400000000000006</v>
      </c>
      <c r="N11" s="20">
        <v>78.5</v>
      </c>
      <c r="O11" s="20">
        <v>74.3</v>
      </c>
      <c r="P11" s="21"/>
      <c r="Q11" s="21">
        <v>74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0.6</v>
      </c>
      <c r="G12" s="20">
        <v>0.1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0.2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67.8</v>
      </c>
      <c r="G13" s="20">
        <v>66.900000000000006</v>
      </c>
      <c r="H13" s="21"/>
      <c r="I13" s="21">
        <v>76.900000000000006</v>
      </c>
      <c r="J13" s="20"/>
      <c r="K13" s="20">
        <v>71</v>
      </c>
      <c r="L13" s="21"/>
      <c r="M13" s="21">
        <v>70.400000000000006</v>
      </c>
      <c r="N13" s="20">
        <v>74.599999999999994</v>
      </c>
      <c r="O13" s="20">
        <v>71</v>
      </c>
      <c r="P13" s="21"/>
      <c r="Q13" s="21">
        <v>68.7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69.599999999999994</v>
      </c>
      <c r="G14" s="20">
        <v>70.099999999999994</v>
      </c>
      <c r="H14" s="21"/>
      <c r="I14" s="21">
        <v>69.400000000000006</v>
      </c>
      <c r="J14" s="20"/>
      <c r="K14" s="20">
        <v>64.599999999999994</v>
      </c>
      <c r="L14" s="21"/>
      <c r="M14" s="21">
        <v>68.7</v>
      </c>
      <c r="N14" s="20">
        <v>74</v>
      </c>
      <c r="O14" s="20">
        <v>74.400000000000006</v>
      </c>
      <c r="P14" s="21"/>
      <c r="Q14" s="21">
        <v>76.599999999999994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39.4</v>
      </c>
      <c r="G15" s="20">
        <v>37.6</v>
      </c>
      <c r="H15" s="21"/>
      <c r="I15" s="21">
        <v>53.1</v>
      </c>
      <c r="J15" s="20"/>
      <c r="K15" s="20">
        <v>39.4</v>
      </c>
      <c r="L15" s="21"/>
      <c r="M15" s="21">
        <v>34.5</v>
      </c>
      <c r="N15" s="20">
        <v>46</v>
      </c>
      <c r="O15" s="20">
        <v>45</v>
      </c>
      <c r="P15" s="21"/>
      <c r="Q15" s="21">
        <v>45.4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117</v>
      </c>
      <c r="G17" s="20">
        <v>117.6</v>
      </c>
      <c r="H17" s="21"/>
      <c r="I17" s="21">
        <v>117.5</v>
      </c>
      <c r="J17" s="20"/>
      <c r="K17" s="20">
        <v>117.7</v>
      </c>
      <c r="L17" s="21"/>
      <c r="M17" s="21">
        <v>117.1</v>
      </c>
      <c r="N17" s="20">
        <v>118.5</v>
      </c>
      <c r="O17" s="20">
        <v>117.4</v>
      </c>
      <c r="P17" s="21"/>
      <c r="Q17" s="21">
        <v>117.8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1145</v>
      </c>
      <c r="G18" s="20">
        <v>1147</v>
      </c>
      <c r="H18" s="21"/>
      <c r="I18" s="21">
        <v>1194</v>
      </c>
      <c r="J18" s="20"/>
      <c r="K18" s="20">
        <v>1191</v>
      </c>
      <c r="L18" s="21"/>
      <c r="M18" s="21">
        <v>1192</v>
      </c>
      <c r="N18" s="20">
        <v>1211</v>
      </c>
      <c r="O18" s="20">
        <v>1197</v>
      </c>
      <c r="P18" s="21"/>
      <c r="Q18" s="21">
        <v>1191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50738.2</v>
      </c>
      <c r="G19" s="20">
        <v>50719.7</v>
      </c>
      <c r="H19" s="21"/>
      <c r="I19" s="21">
        <v>51663.4</v>
      </c>
      <c r="J19" s="20"/>
      <c r="K19" s="20">
        <v>49652.2</v>
      </c>
      <c r="L19" s="21"/>
      <c r="M19" s="21">
        <v>52086.3</v>
      </c>
      <c r="N19" s="20">
        <v>51284.5</v>
      </c>
      <c r="O19" s="20">
        <v>51265.8</v>
      </c>
      <c r="P19" s="21"/>
      <c r="Q19" s="21">
        <v>51031.6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58.8</v>
      </c>
      <c r="G22" s="20">
        <v>58.4</v>
      </c>
      <c r="H22" s="21"/>
      <c r="I22" s="21">
        <v>59.2</v>
      </c>
      <c r="J22" s="20"/>
      <c r="K22" s="20">
        <v>57.9</v>
      </c>
      <c r="L22" s="21"/>
      <c r="M22" s="21">
        <v>57.5</v>
      </c>
      <c r="N22" s="20">
        <v>58.3</v>
      </c>
      <c r="O22" s="20">
        <v>58.5</v>
      </c>
      <c r="P22" s="21"/>
      <c r="Q22" s="21">
        <v>59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0.47</v>
      </c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44.9</v>
      </c>
      <c r="G25" s="20">
        <v>45</v>
      </c>
      <c r="H25" s="21"/>
      <c r="I25" s="21">
        <v>45</v>
      </c>
      <c r="J25" s="20"/>
      <c r="K25" s="20">
        <v>44.9</v>
      </c>
      <c r="L25" s="21"/>
      <c r="M25" s="21">
        <v>44.8</v>
      </c>
      <c r="N25" s="20">
        <v>45</v>
      </c>
      <c r="O25" s="20">
        <v>45</v>
      </c>
      <c r="P25" s="21"/>
      <c r="Q25" s="21">
        <v>45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4.0999999999999996</v>
      </c>
      <c r="G27" s="20">
        <v>4.0999999999999996</v>
      </c>
      <c r="H27" s="21"/>
      <c r="I27" s="21">
        <v>3.3</v>
      </c>
      <c r="J27" s="20"/>
      <c r="K27" s="20">
        <v>4</v>
      </c>
      <c r="L27" s="21"/>
      <c r="M27" s="21">
        <v>4.0999999999999996</v>
      </c>
      <c r="N27" s="20">
        <v>4.3</v>
      </c>
      <c r="O27" s="20">
        <v>4.5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3.6</v>
      </c>
      <c r="G28" s="20">
        <v>3.3</v>
      </c>
      <c r="H28" s="21"/>
      <c r="I28" s="21">
        <v>2</v>
      </c>
      <c r="J28" s="20"/>
      <c r="K28" s="20">
        <v>3.3</v>
      </c>
      <c r="L28" s="21"/>
      <c r="M28" s="21">
        <v>2.8</v>
      </c>
      <c r="N28" s="20">
        <v>3.2</v>
      </c>
      <c r="O28" s="20">
        <v>2.8</v>
      </c>
      <c r="P28" s="21"/>
      <c r="Q28" s="21">
        <v>3.2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0.99999999999999956</v>
      </c>
      <c r="G29" s="27">
        <f t="shared" si="0"/>
        <v>1</v>
      </c>
      <c r="H29" s="27">
        <f t="shared" si="0"/>
        <v>0</v>
      </c>
      <c r="I29" s="27">
        <f t="shared" si="0"/>
        <v>2.0999999999999996</v>
      </c>
      <c r="J29" s="27">
        <f t="shared" si="0"/>
        <v>0</v>
      </c>
      <c r="K29" s="27">
        <f t="shared" si="0"/>
        <v>1.2000000000000002</v>
      </c>
      <c r="L29" s="27">
        <f>L32-L28</f>
        <v>0</v>
      </c>
      <c r="M29" s="27">
        <f>M32-M28</f>
        <v>1.1000000000000001</v>
      </c>
      <c r="N29" s="27">
        <f>N32-N28</f>
        <v>1.2000000000000002</v>
      </c>
      <c r="O29" s="27">
        <f>O32-O28</f>
        <v>1.1000000000000001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671.92</v>
      </c>
      <c r="G30" s="20">
        <v>644.48</v>
      </c>
      <c r="H30" s="21"/>
      <c r="I30" s="21">
        <v>633.04</v>
      </c>
      <c r="J30" s="20"/>
      <c r="K30" s="20">
        <v>629.52</v>
      </c>
      <c r="L30" s="21"/>
      <c r="M30" s="21">
        <v>623.67999999999995</v>
      </c>
      <c r="N30" s="20">
        <v>662.16</v>
      </c>
      <c r="O30" s="20">
        <v>636.4</v>
      </c>
      <c r="P30" s="21"/>
      <c r="Q30" s="21">
        <v>635.76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13.4</v>
      </c>
      <c r="G31" s="20">
        <v>13.2</v>
      </c>
      <c r="H31" s="21"/>
      <c r="I31" s="21">
        <v>13</v>
      </c>
      <c r="J31" s="20"/>
      <c r="K31" s="20">
        <v>13.5</v>
      </c>
      <c r="L31" s="21"/>
      <c r="M31" s="21">
        <v>13.6</v>
      </c>
      <c r="N31" s="20">
        <v>13.5</v>
      </c>
      <c r="O31" s="20">
        <v>13</v>
      </c>
      <c r="P31" s="21"/>
      <c r="Q31" s="21">
        <v>12.9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4.5999999999999996</v>
      </c>
      <c r="G32" s="20">
        <v>4.3</v>
      </c>
      <c r="H32" s="21"/>
      <c r="I32" s="21">
        <v>4.0999999999999996</v>
      </c>
      <c r="J32" s="20"/>
      <c r="K32" s="20">
        <v>4.5</v>
      </c>
      <c r="L32" s="21"/>
      <c r="M32" s="21">
        <v>3.9</v>
      </c>
      <c r="N32" s="20">
        <v>4.4000000000000004</v>
      </c>
      <c r="O32" s="20">
        <v>3.9</v>
      </c>
      <c r="P32" s="21"/>
      <c r="Q32" s="21">
        <v>4.2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8.8000000000000007</v>
      </c>
      <c r="G33" s="27">
        <f>G31-G32</f>
        <v>8.8999999999999986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9</v>
      </c>
      <c r="L33" s="27">
        <f>L31-L32</f>
        <v>0</v>
      </c>
      <c r="M33" s="27">
        <f>M31-M32</f>
        <v>9.6999999999999993</v>
      </c>
      <c r="N33" s="27">
        <f>N31-N32</f>
        <v>9.1</v>
      </c>
      <c r="O33" s="27">
        <f>O31-O32</f>
        <v>9.1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6827.8244803695152</v>
      </c>
      <c r="G34" s="28">
        <f>(G33*G30)/0.866</f>
        <v>6623.4087759815238</v>
      </c>
      <c r="H34" s="28">
        <f t="shared" ref="H34:Q34" si="2">(H33*H30)/0.866</f>
        <v>0</v>
      </c>
      <c r="I34" s="28">
        <f t="shared" si="2"/>
        <v>6505.8383371824475</v>
      </c>
      <c r="J34" s="28">
        <f t="shared" si="2"/>
        <v>0</v>
      </c>
      <c r="K34" s="28">
        <f t="shared" si="2"/>
        <v>6542.3556581986149</v>
      </c>
      <c r="L34" s="28">
        <f>(L33*L30)/0.866</f>
        <v>0</v>
      </c>
      <c r="M34" s="28">
        <f>(M33*M30)/0.866</f>
        <v>6985.7921478060034</v>
      </c>
      <c r="N34" s="28">
        <f>(N33*N30)/0.866</f>
        <v>6958.032332563509</v>
      </c>
      <c r="O34" s="28">
        <f>(O33*O30)/0.866</f>
        <v>6687.344110854503</v>
      </c>
      <c r="P34" s="28">
        <f t="shared" si="2"/>
        <v>0</v>
      </c>
      <c r="Q34" s="28">
        <f t="shared" si="2"/>
        <v>6386.9653579676669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0.79</v>
      </c>
      <c r="H35" s="21"/>
      <c r="I35" s="21">
        <v>0.81</v>
      </c>
      <c r="J35" s="20"/>
      <c r="K35" s="20">
        <v>0.8</v>
      </c>
      <c r="L35" s="21"/>
      <c r="M35" s="21">
        <v>0.79</v>
      </c>
      <c r="N35" s="20">
        <v>0.79</v>
      </c>
      <c r="O35" s="20">
        <v>0.77</v>
      </c>
      <c r="P35" s="21"/>
      <c r="Q35" s="21">
        <v>0.8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34.9</v>
      </c>
      <c r="G36" s="20">
        <v>35.6</v>
      </c>
      <c r="H36" s="21"/>
      <c r="I36" s="21">
        <v>36.200000000000003</v>
      </c>
      <c r="J36" s="20"/>
      <c r="K36" s="20">
        <v>35.9</v>
      </c>
      <c r="L36" s="21"/>
      <c r="M36" s="21">
        <v>36</v>
      </c>
      <c r="N36" s="20">
        <v>34.5</v>
      </c>
      <c r="O36" s="20">
        <v>35.299999999999997</v>
      </c>
      <c r="P36" s="21"/>
      <c r="Q36" s="21">
        <v>35.799999999999997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35.6</v>
      </c>
      <c r="G37" s="20">
        <v>35.1</v>
      </c>
      <c r="H37" s="21"/>
      <c r="I37" s="21">
        <v>36</v>
      </c>
      <c r="J37" s="20"/>
      <c r="K37" s="20">
        <v>35.6</v>
      </c>
      <c r="L37" s="21"/>
      <c r="M37" s="21">
        <v>35.4</v>
      </c>
      <c r="N37" s="20">
        <v>35.200000000000003</v>
      </c>
      <c r="O37" s="20">
        <v>34.6</v>
      </c>
      <c r="P37" s="21"/>
      <c r="Q37" s="21">
        <v>35.6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2.3999999999999986</v>
      </c>
      <c r="G38" s="27">
        <f>G37-G41</f>
        <v>2.5</v>
      </c>
      <c r="H38" s="27">
        <f>H37-H41</f>
        <v>0</v>
      </c>
      <c r="I38" s="27">
        <f>I37-I41</f>
        <v>3.7000000000000028</v>
      </c>
      <c r="J38" s="27">
        <f t="shared" ref="J38:Q38" si="3">J37-J41</f>
        <v>0</v>
      </c>
      <c r="K38" s="27">
        <f t="shared" si="3"/>
        <v>2.8000000000000043</v>
      </c>
      <c r="L38" s="27">
        <f>L37-L41</f>
        <v>0</v>
      </c>
      <c r="M38" s="27">
        <f>M37-M41</f>
        <v>2.8999999999999986</v>
      </c>
      <c r="N38" s="27">
        <f>N37-N41</f>
        <v>2.3000000000000043</v>
      </c>
      <c r="O38" s="27">
        <f>O37-O41</f>
        <v>2.3999999999999986</v>
      </c>
      <c r="P38" s="27">
        <f t="shared" si="3"/>
        <v>0</v>
      </c>
      <c r="Q38" s="27">
        <f t="shared" si="3"/>
        <v>2.8999999999999986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27.9</v>
      </c>
      <c r="G40" s="20">
        <v>27.5</v>
      </c>
      <c r="H40" s="21"/>
      <c r="I40" s="21">
        <v>27.3</v>
      </c>
      <c r="J40" s="20"/>
      <c r="K40" s="20">
        <v>27.4</v>
      </c>
      <c r="L40" s="21"/>
      <c r="M40" s="21">
        <v>27.1</v>
      </c>
      <c r="N40" s="20">
        <v>27.7</v>
      </c>
      <c r="O40" s="20">
        <v>27.2</v>
      </c>
      <c r="P40" s="21"/>
      <c r="Q40" s="21">
        <v>27.5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33.200000000000003</v>
      </c>
      <c r="G41" s="20">
        <v>32.6</v>
      </c>
      <c r="H41" s="21"/>
      <c r="I41" s="21">
        <v>32.299999999999997</v>
      </c>
      <c r="J41" s="20"/>
      <c r="K41" s="20">
        <v>32.799999999999997</v>
      </c>
      <c r="L41" s="21"/>
      <c r="M41" s="21">
        <v>32.5</v>
      </c>
      <c r="N41" s="20">
        <v>32.9</v>
      </c>
      <c r="O41" s="20">
        <v>32.200000000000003</v>
      </c>
      <c r="P41" s="21"/>
      <c r="Q41" s="21">
        <v>32.700000000000003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5.3000000000000043</v>
      </c>
      <c r="G42" s="27">
        <f>G41-G40</f>
        <v>5.1000000000000014</v>
      </c>
      <c r="H42" s="27">
        <f t="shared" ref="H42:Q42" si="4">H41-H40</f>
        <v>0</v>
      </c>
      <c r="I42" s="27">
        <f t="shared" si="4"/>
        <v>4.9999999999999964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5.3999999999999986</v>
      </c>
      <c r="N42" s="27">
        <f>N41-N40</f>
        <v>5.1999999999999993</v>
      </c>
      <c r="O42" s="27">
        <f>O41-O40</f>
        <v>5.0000000000000036</v>
      </c>
      <c r="P42" s="27">
        <f t="shared" si="4"/>
        <v>0</v>
      </c>
      <c r="Q42" s="27">
        <f t="shared" si="4"/>
        <v>5.2000000000000028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1289.96</v>
      </c>
      <c r="G43" s="20">
        <v>1287.8599999999999</v>
      </c>
      <c r="H43" s="21"/>
      <c r="I43" s="21">
        <v>1296.4000000000001</v>
      </c>
      <c r="J43" s="20"/>
      <c r="K43" s="20">
        <v>1295</v>
      </c>
      <c r="L43" s="21"/>
      <c r="M43" s="20">
        <v>1299.2</v>
      </c>
      <c r="N43" s="20">
        <v>1302.42</v>
      </c>
      <c r="O43" s="20">
        <v>1291.3599999999999</v>
      </c>
      <c r="P43" s="21"/>
      <c r="Q43" s="21">
        <v>1293.5999999999999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7894.674364896081</v>
      </c>
      <c r="G44" s="28">
        <f>G42*G43/0.866</f>
        <v>7584.3949191685924</v>
      </c>
      <c r="H44" s="28">
        <f t="shared" ref="H44:Q44" si="5">H42*H43/0.866</f>
        <v>0</v>
      </c>
      <c r="I44" s="28">
        <f t="shared" si="5"/>
        <v>7484.9884526558835</v>
      </c>
      <c r="J44" s="28">
        <f t="shared" si="5"/>
        <v>0</v>
      </c>
      <c r="K44" s="28">
        <f t="shared" si="5"/>
        <v>8075.0577367205524</v>
      </c>
      <c r="L44" s="28">
        <f>L42*L43/0.866</f>
        <v>0</v>
      </c>
      <c r="M44" s="28">
        <f>M42*M43/0.866</f>
        <v>8101.2471131639704</v>
      </c>
      <c r="N44" s="28">
        <f>N42*N43/0.866</f>
        <v>7820.5357967667433</v>
      </c>
      <c r="O44" s="28">
        <f>O42*O43/0.866</f>
        <v>7455.8891454965406</v>
      </c>
      <c r="P44" s="28">
        <f t="shared" si="5"/>
        <v>0</v>
      </c>
      <c r="Q44" s="28">
        <f t="shared" si="5"/>
        <v>7767.5750577367244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0.46</v>
      </c>
      <c r="H45" s="21"/>
      <c r="I45" s="21">
        <v>0.45</v>
      </c>
      <c r="J45" s="20"/>
      <c r="K45" s="20">
        <v>0.46</v>
      </c>
      <c r="L45" s="21"/>
      <c r="M45" s="21">
        <v>0.46</v>
      </c>
      <c r="N45" s="20">
        <v>0.44</v>
      </c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19.3</v>
      </c>
      <c r="G46" s="20">
        <v>19.7</v>
      </c>
      <c r="H46" s="21"/>
      <c r="I46" s="21">
        <v>19.100000000000001</v>
      </c>
      <c r="J46" s="20"/>
      <c r="K46" s="20">
        <v>19.2</v>
      </c>
      <c r="L46" s="21"/>
      <c r="M46" s="21">
        <v>19.600000000000001</v>
      </c>
      <c r="N46" s="20">
        <v>18.5</v>
      </c>
      <c r="O46" s="20">
        <v>19.100000000000001</v>
      </c>
      <c r="P46" s="21"/>
      <c r="Q46" s="21">
        <v>20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199.5</v>
      </c>
      <c r="G47" s="20">
        <v>197.5</v>
      </c>
      <c r="H47" s="21"/>
      <c r="I47" s="21">
        <v>132.19999999999999</v>
      </c>
      <c r="J47" s="20"/>
      <c r="K47" s="20">
        <v>207.1</v>
      </c>
      <c r="L47" s="21"/>
      <c r="M47" s="21">
        <v>219.1</v>
      </c>
      <c r="N47" s="20">
        <v>157</v>
      </c>
      <c r="O47" s="20">
        <v>162.5</v>
      </c>
      <c r="P47" s="21"/>
      <c r="Q47" s="21">
        <v>195.8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51">
        <v>5.89</v>
      </c>
      <c r="F49" s="20">
        <v>5.86</v>
      </c>
      <c r="G49" s="20">
        <v>5.93</v>
      </c>
      <c r="H49" s="21"/>
      <c r="I49" s="21">
        <v>5.57</v>
      </c>
      <c r="J49" s="20"/>
      <c r="K49" s="20">
        <v>5.64</v>
      </c>
      <c r="L49" s="21"/>
      <c r="M49" s="21">
        <v>5.7</v>
      </c>
      <c r="N49" s="20">
        <v>5.72</v>
      </c>
      <c r="O49" s="20">
        <v>5.8</v>
      </c>
      <c r="P49" s="21"/>
      <c r="Q49" s="21">
        <v>5.57</v>
      </c>
    </row>
    <row r="50" spans="2:17" ht="20.100000000000001" customHeight="1">
      <c r="B50" s="94" t="s">
        <v>91</v>
      </c>
      <c r="C50" s="94"/>
      <c r="D50" s="94"/>
      <c r="E50" s="5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5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0" zoomScaleNormal="60" zoomScaleSheetLayoutView="80" workbookViewId="0">
      <selection activeCell="L50" sqref="L5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45818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53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70.599999999999994</v>
      </c>
      <c r="H11" s="21"/>
      <c r="I11" s="21">
        <v>77.400000000000006</v>
      </c>
      <c r="J11" s="20">
        <v>75.5</v>
      </c>
      <c r="K11" s="20">
        <v>74.3</v>
      </c>
      <c r="L11" s="21">
        <v>75.2</v>
      </c>
      <c r="M11" s="21">
        <v>75.7</v>
      </c>
      <c r="N11" s="20"/>
      <c r="O11" s="20">
        <v>74.3</v>
      </c>
      <c r="P11" s="21"/>
      <c r="Q11" s="21">
        <v>73.8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63.9</v>
      </c>
      <c r="H13" s="21"/>
      <c r="I13" s="21">
        <v>72.099999999999994</v>
      </c>
      <c r="J13" s="20">
        <v>70.099999999999994</v>
      </c>
      <c r="K13" s="20">
        <v>68.400000000000006</v>
      </c>
      <c r="L13" s="21">
        <v>72.7</v>
      </c>
      <c r="M13" s="21">
        <v>72.400000000000006</v>
      </c>
      <c r="N13" s="20"/>
      <c r="O13" s="20">
        <v>69.2</v>
      </c>
      <c r="P13" s="21"/>
      <c r="Q13" s="21">
        <v>68.099999999999994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69.8</v>
      </c>
      <c r="H14" s="21"/>
      <c r="I14" s="21">
        <v>70.7</v>
      </c>
      <c r="J14" s="20">
        <v>63.9</v>
      </c>
      <c r="K14" s="20">
        <v>64.7</v>
      </c>
      <c r="L14" s="21">
        <v>66.2</v>
      </c>
      <c r="M14" s="21">
        <v>67.599999999999994</v>
      </c>
      <c r="N14" s="20"/>
      <c r="O14" s="20">
        <v>74.599999999999994</v>
      </c>
      <c r="P14" s="21"/>
      <c r="Q14" s="21">
        <v>73.5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37.9</v>
      </c>
      <c r="H15" s="21"/>
      <c r="I15" s="21">
        <v>49.4</v>
      </c>
      <c r="J15" s="20">
        <v>41.8</v>
      </c>
      <c r="K15" s="20">
        <v>36.1</v>
      </c>
      <c r="L15" s="21">
        <v>38.1</v>
      </c>
      <c r="M15" s="21">
        <v>33.4</v>
      </c>
      <c r="N15" s="20"/>
      <c r="O15" s="20">
        <v>53.6</v>
      </c>
      <c r="P15" s="21"/>
      <c r="Q15" s="21">
        <v>43.9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117.1</v>
      </c>
      <c r="H17" s="21"/>
      <c r="I17" s="21">
        <v>116.2</v>
      </c>
      <c r="J17" s="20">
        <v>117.6</v>
      </c>
      <c r="K17" s="20">
        <v>117.4</v>
      </c>
      <c r="L17" s="21">
        <v>118.6</v>
      </c>
      <c r="M17" s="21">
        <v>118.9</v>
      </c>
      <c r="N17" s="20"/>
      <c r="O17" s="20">
        <v>118.9</v>
      </c>
      <c r="P17" s="21"/>
      <c r="Q17" s="21">
        <v>119.3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1147</v>
      </c>
      <c r="H18" s="21"/>
      <c r="I18" s="21">
        <v>1175</v>
      </c>
      <c r="J18" s="20">
        <v>1193</v>
      </c>
      <c r="K18" s="20">
        <v>1176</v>
      </c>
      <c r="L18" s="21">
        <v>1203</v>
      </c>
      <c r="M18" s="21">
        <v>1204</v>
      </c>
      <c r="N18" s="20"/>
      <c r="O18" s="20">
        <v>1200</v>
      </c>
      <c r="P18" s="21"/>
      <c r="Q18" s="21">
        <v>1202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/>
      <c r="H19" s="21"/>
      <c r="I19" s="21"/>
      <c r="J19" s="20">
        <v>49691.3</v>
      </c>
      <c r="K19" s="20"/>
      <c r="L19" s="21">
        <v>52127.9</v>
      </c>
      <c r="M19" s="21"/>
      <c r="N19" s="20"/>
      <c r="O19" s="20"/>
      <c r="P19" s="21"/>
      <c r="Q19" s="21"/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</v>
      </c>
      <c r="H22" s="21"/>
      <c r="I22" s="21">
        <v>59.2</v>
      </c>
      <c r="J22" s="20">
        <v>57.7</v>
      </c>
      <c r="K22" s="20">
        <v>57.6</v>
      </c>
      <c r="L22" s="21">
        <v>57.3</v>
      </c>
      <c r="M22" s="21">
        <v>57.5</v>
      </c>
      <c r="N22" s="20"/>
      <c r="O22" s="20">
        <v>58.7</v>
      </c>
      <c r="P22" s="21"/>
      <c r="Q22" s="21">
        <v>59.3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0.5</v>
      </c>
      <c r="J23" s="20">
        <v>0.59</v>
      </c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45</v>
      </c>
      <c r="J25" s="20">
        <v>45</v>
      </c>
      <c r="K25" s="20">
        <v>44.9</v>
      </c>
      <c r="L25" s="21">
        <v>46</v>
      </c>
      <c r="M25" s="21">
        <v>45</v>
      </c>
      <c r="N25" s="20"/>
      <c r="O25" s="20">
        <v>44.9</v>
      </c>
      <c r="P25" s="21"/>
      <c r="Q25" s="21">
        <v>44.7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0.23</v>
      </c>
      <c r="K26" s="20">
        <v>0.23</v>
      </c>
      <c r="L26" s="21">
        <v>0.22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3.6</v>
      </c>
      <c r="J27" s="20">
        <v>4.3</v>
      </c>
      <c r="K27" s="20">
        <v>3.9</v>
      </c>
      <c r="L27" s="21">
        <v>4.2</v>
      </c>
      <c r="M27" s="21">
        <v>4.0999999999999996</v>
      </c>
      <c r="N27" s="20"/>
      <c r="O27" s="20">
        <v>4.4000000000000004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/>
      <c r="I28" s="21">
        <v>2.7</v>
      </c>
      <c r="J28" s="20">
        <v>3.6</v>
      </c>
      <c r="K28" s="20">
        <v>3.3</v>
      </c>
      <c r="L28" s="21">
        <v>3.1</v>
      </c>
      <c r="M28" s="21">
        <v>3</v>
      </c>
      <c r="N28" s="20"/>
      <c r="O28" s="20">
        <v>3.3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0.50000000000000044</v>
      </c>
      <c r="H29" s="27">
        <f t="shared" ref="H29:Q29" si="0">H32-H28</f>
        <v>0</v>
      </c>
      <c r="I29" s="27">
        <f t="shared" si="0"/>
        <v>2.2000000000000002</v>
      </c>
      <c r="J29" s="27">
        <f t="shared" si="0"/>
        <v>0.69999999999999973</v>
      </c>
      <c r="K29" s="27">
        <f t="shared" si="0"/>
        <v>1.2999999999999998</v>
      </c>
      <c r="L29" s="27">
        <f>L32-L28</f>
        <v>1.4999999999999996</v>
      </c>
      <c r="M29" s="27">
        <f>M32-M28</f>
        <v>1</v>
      </c>
      <c r="N29" s="27">
        <f>N32-N28</f>
        <v>0</v>
      </c>
      <c r="O29" s="27">
        <f>O32-O28</f>
        <v>1.1000000000000005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628.88</v>
      </c>
      <c r="H30" s="21"/>
      <c r="I30" s="21">
        <v>631.91999999999996</v>
      </c>
      <c r="J30" s="20">
        <v>641.9</v>
      </c>
      <c r="K30" s="20">
        <v>638</v>
      </c>
      <c r="L30" s="21">
        <v>707.1</v>
      </c>
      <c r="M30" s="21">
        <v>634.64</v>
      </c>
      <c r="N30" s="20"/>
      <c r="O30" s="20">
        <v>637.67999999999995</v>
      </c>
      <c r="P30" s="21"/>
      <c r="Q30" s="21">
        <v>646.72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13.5</v>
      </c>
      <c r="J31" s="20">
        <v>13.1</v>
      </c>
      <c r="K31" s="20">
        <v>13.4</v>
      </c>
      <c r="L31" s="21">
        <v>13.2</v>
      </c>
      <c r="M31" s="21">
        <v>13.5</v>
      </c>
      <c r="N31" s="20"/>
      <c r="O31" s="20">
        <v>13.4</v>
      </c>
      <c r="P31" s="21"/>
      <c r="Q31" s="21">
        <v>13.3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4.4000000000000004</v>
      </c>
      <c r="H32" s="21"/>
      <c r="I32" s="21">
        <v>4.9000000000000004</v>
      </c>
      <c r="J32" s="20">
        <v>4.3</v>
      </c>
      <c r="K32" s="20">
        <v>4.5999999999999996</v>
      </c>
      <c r="L32" s="21">
        <v>4.5999999999999996</v>
      </c>
      <c r="M32" s="21">
        <v>4</v>
      </c>
      <c r="N32" s="20"/>
      <c r="O32" s="20">
        <v>4.4000000000000004</v>
      </c>
      <c r="P32" s="21"/>
      <c r="Q32" s="21">
        <v>4.7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</v>
      </c>
      <c r="H33" s="27">
        <f t="shared" ref="H33:Q33" si="1">H31-H32</f>
        <v>0</v>
      </c>
      <c r="I33" s="27">
        <f t="shared" si="1"/>
        <v>8.6</v>
      </c>
      <c r="J33" s="27">
        <f t="shared" si="1"/>
        <v>8.8000000000000007</v>
      </c>
      <c r="K33" s="27">
        <f t="shared" si="1"/>
        <v>8.8000000000000007</v>
      </c>
      <c r="L33" s="27">
        <f>L31-L32</f>
        <v>8.6</v>
      </c>
      <c r="M33" s="27">
        <f>M31-M32</f>
        <v>9.5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6608.3233256351041</v>
      </c>
      <c r="H34" s="28">
        <f t="shared" ref="H34:Q34" si="2">(H33*H30)/0.866</f>
        <v>0</v>
      </c>
      <c r="I34" s="28">
        <f t="shared" si="2"/>
        <v>6275.4180138568126</v>
      </c>
      <c r="J34" s="28">
        <f t="shared" si="2"/>
        <v>6522.7713625866054</v>
      </c>
      <c r="K34" s="28">
        <f t="shared" si="2"/>
        <v>6483.1408775981536</v>
      </c>
      <c r="L34" s="28">
        <f>(L33*L30)/0.866</f>
        <v>7022.0092378752879</v>
      </c>
      <c r="M34" s="28">
        <f>(M33*M30)/0.866</f>
        <v>6961.9861431870668</v>
      </c>
      <c r="N34" s="28">
        <f>(N33*N30)/0.866</f>
        <v>0</v>
      </c>
      <c r="O34" s="28">
        <f>(O33*O30)/0.866</f>
        <v>6627.1593533487294</v>
      </c>
      <c r="P34" s="28">
        <f t="shared" si="2"/>
        <v>0</v>
      </c>
      <c r="Q34" s="28">
        <f t="shared" si="2"/>
        <v>6422.3926096997702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0.85</v>
      </c>
      <c r="J35" s="20">
        <v>0.82</v>
      </c>
      <c r="K35" s="20">
        <v>0.84</v>
      </c>
      <c r="L35" s="21">
        <v>0.82</v>
      </c>
      <c r="M35" s="21">
        <v>0.84</v>
      </c>
      <c r="N35" s="20"/>
      <c r="O35" s="20">
        <v>0.82</v>
      </c>
      <c r="P35" s="21"/>
      <c r="Q35" s="21">
        <v>0.84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36.200000000000003</v>
      </c>
      <c r="H36" s="21"/>
      <c r="I36" s="21">
        <v>36.6</v>
      </c>
      <c r="J36" s="20">
        <v>35.799999999999997</v>
      </c>
      <c r="K36" s="20">
        <v>36.5</v>
      </c>
      <c r="L36" s="21">
        <v>35.799999999999997</v>
      </c>
      <c r="M36" s="21">
        <v>36.6</v>
      </c>
      <c r="N36" s="20"/>
      <c r="O36" s="20">
        <v>35.799999999999997</v>
      </c>
      <c r="P36" s="21"/>
      <c r="Q36" s="21">
        <v>36.4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36.700000000000003</v>
      </c>
      <c r="H37" s="21"/>
      <c r="I37" s="21">
        <v>37.5</v>
      </c>
      <c r="J37" s="20">
        <v>36.5</v>
      </c>
      <c r="K37" s="20">
        <v>37.200000000000003</v>
      </c>
      <c r="L37" s="21">
        <v>36.4</v>
      </c>
      <c r="M37" s="21">
        <v>37.1</v>
      </c>
      <c r="N37" s="20"/>
      <c r="O37" s="20">
        <v>36.299999999999997</v>
      </c>
      <c r="P37" s="21"/>
      <c r="Q37" s="21">
        <v>37.200000000000003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2.3000000000000043</v>
      </c>
      <c r="H38" s="27">
        <v>1</v>
      </c>
      <c r="I38" s="27">
        <f t="shared" ref="I38:Q38" si="3">I37-I41</f>
        <v>3.6000000000000014</v>
      </c>
      <c r="J38" s="27">
        <f t="shared" si="3"/>
        <v>2.1000000000000014</v>
      </c>
      <c r="K38" s="27">
        <f t="shared" si="3"/>
        <v>2.8000000000000043</v>
      </c>
      <c r="L38" s="27">
        <f>L37-L41</f>
        <v>2.2999999999999972</v>
      </c>
      <c r="M38" s="27">
        <f>M37-M41</f>
        <v>3</v>
      </c>
      <c r="N38" s="27">
        <f>N37-N41</f>
        <v>0</v>
      </c>
      <c r="O38" s="27">
        <f>O37-O41</f>
        <v>2.2999999999999972</v>
      </c>
      <c r="P38" s="27">
        <f t="shared" si="3"/>
        <v>0</v>
      </c>
      <c r="Q38" s="27">
        <f t="shared" si="3"/>
        <v>2.8000000000000043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29.2</v>
      </c>
      <c r="H40" s="21"/>
      <c r="I40" s="21">
        <v>29</v>
      </c>
      <c r="J40" s="20">
        <v>28.8</v>
      </c>
      <c r="K40" s="20">
        <v>29</v>
      </c>
      <c r="L40" s="21">
        <v>28.8</v>
      </c>
      <c r="M40" s="21">
        <v>28.9</v>
      </c>
      <c r="N40" s="20"/>
      <c r="O40" s="20">
        <v>29</v>
      </c>
      <c r="P40" s="21"/>
      <c r="Q40" s="21">
        <v>29.2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34.4</v>
      </c>
      <c r="H41" s="21"/>
      <c r="I41" s="21">
        <v>33.9</v>
      </c>
      <c r="J41" s="20">
        <v>34.4</v>
      </c>
      <c r="K41" s="20">
        <v>34.4</v>
      </c>
      <c r="L41" s="21">
        <v>34.1</v>
      </c>
      <c r="M41" s="21">
        <v>34.1</v>
      </c>
      <c r="N41" s="20"/>
      <c r="O41" s="20">
        <v>34</v>
      </c>
      <c r="P41" s="21"/>
      <c r="Q41" s="21">
        <v>34.4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5.1999999999999993</v>
      </c>
      <c r="H42" s="27">
        <f t="shared" ref="H42:P42" si="4">H41-H40</f>
        <v>0</v>
      </c>
      <c r="I42" s="27">
        <f t="shared" si="4"/>
        <v>4.8999999999999986</v>
      </c>
      <c r="J42" s="27">
        <f t="shared" si="4"/>
        <v>5.5999999999999979</v>
      </c>
      <c r="K42" s="27">
        <f t="shared" si="4"/>
        <v>5.3999999999999986</v>
      </c>
      <c r="L42" s="27">
        <f>L41-L40</f>
        <v>5.3000000000000007</v>
      </c>
      <c r="M42" s="27">
        <f>M41-M40</f>
        <v>5.2000000000000028</v>
      </c>
      <c r="N42" s="27">
        <f>N41-N40</f>
        <v>0</v>
      </c>
      <c r="O42" s="27">
        <f>O41-O40</f>
        <v>5</v>
      </c>
      <c r="P42" s="27">
        <f t="shared" si="4"/>
        <v>0</v>
      </c>
      <c r="Q42" s="27">
        <f>Q41-Q40</f>
        <v>5.1999999999999993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1301.1600000000001</v>
      </c>
      <c r="H43" s="21"/>
      <c r="I43" s="21">
        <v>1300.5999999999999</v>
      </c>
      <c r="J43" s="20">
        <v>1305.0999999999999</v>
      </c>
      <c r="K43" s="20">
        <v>1306.76</v>
      </c>
      <c r="L43" s="21">
        <v>1302.2</v>
      </c>
      <c r="M43" s="20">
        <v>1288.98</v>
      </c>
      <c r="N43" s="20"/>
      <c r="O43" s="20">
        <v>1291.22</v>
      </c>
      <c r="P43" s="21"/>
      <c r="Q43" s="21">
        <v>1297.94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7812.9699769053113</v>
      </c>
      <c r="H44" s="28">
        <f t="shared" ref="H44:Q44" si="5">H42*H43/0.866</f>
        <v>0</v>
      </c>
      <c r="I44" s="28">
        <f t="shared" si="5"/>
        <v>7359.0531177829071</v>
      </c>
      <c r="J44" s="28">
        <f t="shared" si="5"/>
        <v>8439.4457274826746</v>
      </c>
      <c r="K44" s="28">
        <f t="shared" si="5"/>
        <v>8148.3879907621222</v>
      </c>
      <c r="L44" s="28">
        <f>L42*L43/0.866</f>
        <v>7969.5842956120105</v>
      </c>
      <c r="M44" s="28">
        <f>M42*M43/0.866</f>
        <v>7739.8337182448076</v>
      </c>
      <c r="N44" s="28">
        <f>N42*N43/0.866</f>
        <v>0</v>
      </c>
      <c r="O44" s="28">
        <f>O42*O43/0.866</f>
        <v>7455.0808314087762</v>
      </c>
      <c r="P44" s="28">
        <f t="shared" si="5"/>
        <v>0</v>
      </c>
      <c r="Q44" s="28">
        <f t="shared" si="5"/>
        <v>7793.6351039260962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0.47</v>
      </c>
      <c r="L45" s="21">
        <v>0.46</v>
      </c>
      <c r="M45" s="21">
        <v>0.46</v>
      </c>
      <c r="N45" s="20"/>
      <c r="O45" s="20">
        <v>0.46</v>
      </c>
      <c r="P45" s="21"/>
      <c r="Q45" s="21">
        <v>0.48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20.100000000000001</v>
      </c>
      <c r="H46" s="21"/>
      <c r="I46" s="21">
        <v>19.8</v>
      </c>
      <c r="J46" s="20">
        <v>19.5</v>
      </c>
      <c r="K46" s="20">
        <v>19.899999999999999</v>
      </c>
      <c r="L46" s="21">
        <v>19.5</v>
      </c>
      <c r="M46" s="21">
        <v>19.8</v>
      </c>
      <c r="N46" s="20"/>
      <c r="O46" s="20">
        <v>19.5</v>
      </c>
      <c r="P46" s="21"/>
      <c r="Q46" s="21">
        <v>20.3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189.3</v>
      </c>
      <c r="H47" s="21"/>
      <c r="I47" s="21">
        <v>127</v>
      </c>
      <c r="J47" s="20">
        <v>203.2</v>
      </c>
      <c r="K47" s="20">
        <v>209.5</v>
      </c>
      <c r="L47" s="21">
        <v>212</v>
      </c>
      <c r="M47" s="21">
        <v>216</v>
      </c>
      <c r="N47" s="20"/>
      <c r="O47" s="20">
        <v>160.5</v>
      </c>
      <c r="P47" s="21"/>
      <c r="Q47" s="21">
        <v>201.2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53">
        <v>5.89</v>
      </c>
      <c r="F49" s="20"/>
      <c r="G49" s="20">
        <v>5.77</v>
      </c>
      <c r="H49" s="21"/>
      <c r="I49" s="21">
        <v>5.59</v>
      </c>
      <c r="J49" s="20">
        <v>5.44</v>
      </c>
      <c r="K49" s="20">
        <v>5.65</v>
      </c>
      <c r="L49" s="21">
        <v>5.27</v>
      </c>
      <c r="M49" s="21">
        <v>5.72</v>
      </c>
      <c r="N49" s="20"/>
      <c r="O49" s="20">
        <v>5.63</v>
      </c>
      <c r="P49" s="21"/>
      <c r="Q49" s="21">
        <v>5.22</v>
      </c>
    </row>
    <row r="50" spans="2:17" ht="20.100000000000001" customHeight="1">
      <c r="B50" s="94" t="s">
        <v>91</v>
      </c>
      <c r="C50" s="94"/>
      <c r="D50" s="94"/>
      <c r="E50" s="5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5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O9" sqref="O9:O51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45819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55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72.099999999999994</v>
      </c>
      <c r="H11" s="21"/>
      <c r="I11" s="21">
        <v>81.400000000000006</v>
      </c>
      <c r="J11" s="20">
        <v>72.8</v>
      </c>
      <c r="K11" s="20">
        <v>73.8</v>
      </c>
      <c r="L11" s="21">
        <v>74.5</v>
      </c>
      <c r="M11" s="21">
        <v>75.3</v>
      </c>
      <c r="N11" s="20"/>
      <c r="O11" s="20">
        <v>75.599999999999994</v>
      </c>
      <c r="P11" s="21"/>
      <c r="Q11" s="21">
        <v>75.2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0.1</v>
      </c>
      <c r="H12" s="21"/>
      <c r="I12" s="21">
        <v>0</v>
      </c>
      <c r="J12" s="20">
        <v>0</v>
      </c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65.900000000000006</v>
      </c>
      <c r="H13" s="21"/>
      <c r="I13" s="21">
        <v>77.900000000000006</v>
      </c>
      <c r="J13" s="20">
        <v>69.099999999999994</v>
      </c>
      <c r="K13" s="20">
        <v>70.099999999999994</v>
      </c>
      <c r="L13" s="21">
        <v>72.2</v>
      </c>
      <c r="M13" s="21">
        <v>72</v>
      </c>
      <c r="N13" s="20"/>
      <c r="O13" s="20">
        <v>70.400000000000006</v>
      </c>
      <c r="P13" s="21"/>
      <c r="Q13" s="21">
        <v>70.8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</v>
      </c>
      <c r="H14" s="21"/>
      <c r="I14" s="21">
        <v>69.7</v>
      </c>
      <c r="J14" s="20">
        <v>63.8</v>
      </c>
      <c r="K14" s="20">
        <v>64.900000000000006</v>
      </c>
      <c r="L14" s="21">
        <v>67.8</v>
      </c>
      <c r="M14" s="21">
        <v>68.2</v>
      </c>
      <c r="N14" s="20"/>
      <c r="O14" s="20">
        <v>75</v>
      </c>
      <c r="P14" s="21"/>
      <c r="Q14" s="21">
        <v>73.2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38.5</v>
      </c>
      <c r="H15" s="21"/>
      <c r="I15" s="21">
        <v>57.1</v>
      </c>
      <c r="J15" s="20">
        <v>41.4</v>
      </c>
      <c r="K15" s="20">
        <v>41.3</v>
      </c>
      <c r="L15" s="21">
        <v>38.1</v>
      </c>
      <c r="M15" s="21">
        <v>35.6</v>
      </c>
      <c r="N15" s="20"/>
      <c r="O15" s="20">
        <v>58</v>
      </c>
      <c r="P15" s="21"/>
      <c r="Q15" s="21">
        <v>42.6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>
        <v>6.6</v>
      </c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117.1</v>
      </c>
      <c r="H17" s="21"/>
      <c r="I17" s="21">
        <v>118.4</v>
      </c>
      <c r="J17" s="20">
        <v>115.3</v>
      </c>
      <c r="K17" s="20">
        <v>115.7</v>
      </c>
      <c r="L17" s="21">
        <v>116.8</v>
      </c>
      <c r="M17" s="21">
        <v>117.6</v>
      </c>
      <c r="N17" s="20"/>
      <c r="O17" s="20">
        <v>117.7</v>
      </c>
      <c r="P17" s="21"/>
      <c r="Q17" s="21">
        <v>118.6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1150</v>
      </c>
      <c r="H18" s="21"/>
      <c r="I18" s="21">
        <v>1197</v>
      </c>
      <c r="J18" s="20">
        <v>1172</v>
      </c>
      <c r="K18" s="20">
        <v>1175</v>
      </c>
      <c r="L18" s="21">
        <v>1190</v>
      </c>
      <c r="M18" s="21">
        <v>1194</v>
      </c>
      <c r="N18" s="20"/>
      <c r="O18" s="20">
        <v>1194</v>
      </c>
      <c r="P18" s="21"/>
      <c r="Q18" s="21">
        <v>1200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/>
      <c r="H19" s="21"/>
      <c r="I19" s="21"/>
      <c r="J19" s="20">
        <v>49712.2</v>
      </c>
      <c r="K19" s="20"/>
      <c r="L19" s="21">
        <v>52150</v>
      </c>
      <c r="M19" s="21"/>
      <c r="N19" s="20"/>
      <c r="O19" s="20"/>
      <c r="P19" s="21"/>
      <c r="Q19" s="21"/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58.2</v>
      </c>
      <c r="H22" s="21"/>
      <c r="I22" s="21">
        <v>59.3</v>
      </c>
      <c r="J22" s="20">
        <v>57.6</v>
      </c>
      <c r="K22" s="20">
        <v>57.7</v>
      </c>
      <c r="L22" s="21">
        <v>57.3</v>
      </c>
      <c r="M22" s="21">
        <v>57.5</v>
      </c>
      <c r="N22" s="20"/>
      <c r="O22" s="20">
        <v>58.7</v>
      </c>
      <c r="P22" s="21"/>
      <c r="Q22" s="21">
        <v>59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0.49</v>
      </c>
      <c r="J23" s="20">
        <v>0.59</v>
      </c>
      <c r="K23" s="20">
        <v>0.57999999999999996</v>
      </c>
      <c r="L23" s="21">
        <v>0.52</v>
      </c>
      <c r="M23" s="21">
        <v>0.52</v>
      </c>
      <c r="N23" s="20"/>
      <c r="O23" s="20">
        <v>0.48</v>
      </c>
      <c r="P23" s="21"/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44.8</v>
      </c>
      <c r="J25" s="20">
        <v>45</v>
      </c>
      <c r="K25" s="20">
        <v>45.1</v>
      </c>
      <c r="L25" s="21">
        <v>45</v>
      </c>
      <c r="M25" s="21">
        <v>44.8</v>
      </c>
      <c r="N25" s="20"/>
      <c r="O25" s="20">
        <v>44.9</v>
      </c>
      <c r="P25" s="21"/>
      <c r="Q25" s="21">
        <v>45.1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0.22</v>
      </c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4.2</v>
      </c>
      <c r="H27" s="21"/>
      <c r="I27" s="21">
        <v>3.2</v>
      </c>
      <c r="J27" s="20">
        <v>4</v>
      </c>
      <c r="K27" s="20">
        <v>4</v>
      </c>
      <c r="L27" s="21">
        <v>4</v>
      </c>
      <c r="M27" s="21">
        <v>4</v>
      </c>
      <c r="N27" s="20"/>
      <c r="O27" s="20">
        <v>4.3</v>
      </c>
      <c r="P27" s="21"/>
      <c r="Q27" s="21">
        <v>4.5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3.7</v>
      </c>
      <c r="H28" s="21"/>
      <c r="I28" s="21">
        <v>2.2999999999999998</v>
      </c>
      <c r="J28" s="20">
        <v>3.2</v>
      </c>
      <c r="K28" s="20">
        <v>3.3</v>
      </c>
      <c r="L28" s="21">
        <v>3</v>
      </c>
      <c r="M28" s="21">
        <v>2.8</v>
      </c>
      <c r="N28" s="20"/>
      <c r="O28" s="20">
        <v>3.3</v>
      </c>
      <c r="P28" s="21"/>
      <c r="Q28" s="21">
        <v>3.6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0</v>
      </c>
      <c r="G29" s="27">
        <f t="shared" si="0"/>
        <v>1</v>
      </c>
      <c r="H29" s="27">
        <f t="shared" si="0"/>
        <v>0</v>
      </c>
      <c r="I29" s="27">
        <f t="shared" si="0"/>
        <v>2.4000000000000004</v>
      </c>
      <c r="J29" s="27">
        <f t="shared" si="0"/>
        <v>0.79999999999999982</v>
      </c>
      <c r="K29" s="27">
        <f t="shared" si="0"/>
        <v>0.70000000000000018</v>
      </c>
      <c r="L29" s="27">
        <f>L32-L28</f>
        <v>1.2999999999999998</v>
      </c>
      <c r="M29" s="27">
        <f>M32-M28</f>
        <v>1.6000000000000005</v>
      </c>
      <c r="N29" s="27">
        <f>N32-N28</f>
        <v>0</v>
      </c>
      <c r="O29" s="27">
        <f>O32-O28</f>
        <v>1.2999999999999998</v>
      </c>
      <c r="P29" s="27">
        <f t="shared" si="0"/>
        <v>0</v>
      </c>
      <c r="Q29" s="27">
        <f t="shared" si="0"/>
        <v>0.89999999999999991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642.20000000000005</v>
      </c>
      <c r="H30" s="21"/>
      <c r="I30" s="21">
        <v>631.9</v>
      </c>
      <c r="J30" s="20">
        <v>625.23</v>
      </c>
      <c r="K30" s="20">
        <v>635.44000000000005</v>
      </c>
      <c r="L30" s="21">
        <v>639.4</v>
      </c>
      <c r="M30" s="21">
        <v>627.79999999999995</v>
      </c>
      <c r="N30" s="20"/>
      <c r="O30" s="20">
        <v>642.9</v>
      </c>
      <c r="P30" s="21"/>
      <c r="Q30" s="21">
        <v>639.4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13.8</v>
      </c>
      <c r="H31" s="21"/>
      <c r="I31" s="21">
        <v>13.8</v>
      </c>
      <c r="J31" s="20">
        <v>13.3</v>
      </c>
      <c r="K31" s="20">
        <v>13.2</v>
      </c>
      <c r="L31" s="21">
        <v>13.7</v>
      </c>
      <c r="M31" s="21">
        <v>13.7</v>
      </c>
      <c r="N31" s="20"/>
      <c r="O31" s="20">
        <v>13.9</v>
      </c>
      <c r="P31" s="21"/>
      <c r="Q31" s="21">
        <v>13.5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4.7</v>
      </c>
      <c r="H32" s="21"/>
      <c r="I32" s="21">
        <v>4.7</v>
      </c>
      <c r="J32" s="20">
        <v>4</v>
      </c>
      <c r="K32" s="20">
        <v>4</v>
      </c>
      <c r="L32" s="21">
        <v>4.3</v>
      </c>
      <c r="M32" s="21">
        <v>4.4000000000000004</v>
      </c>
      <c r="N32" s="20"/>
      <c r="O32" s="20">
        <v>4.5999999999999996</v>
      </c>
      <c r="P32" s="21"/>
      <c r="Q32" s="21">
        <v>4.5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9.1000000000000014</v>
      </c>
      <c r="H33" s="27">
        <f t="shared" ref="H33:Q33" si="1">H31-H32</f>
        <v>0</v>
      </c>
      <c r="I33" s="27">
        <f t="shared" si="1"/>
        <v>9.1000000000000014</v>
      </c>
      <c r="J33" s="27">
        <f t="shared" si="1"/>
        <v>9.3000000000000007</v>
      </c>
      <c r="K33" s="27">
        <f t="shared" si="1"/>
        <v>9.1999999999999993</v>
      </c>
      <c r="L33" s="27">
        <f>L31-L32</f>
        <v>9.3999999999999986</v>
      </c>
      <c r="M33" s="27">
        <f>M31-M32</f>
        <v>9.2999999999999989</v>
      </c>
      <c r="N33" s="27">
        <f>N31-N32</f>
        <v>0</v>
      </c>
      <c r="O33" s="27">
        <f>O31-O32</f>
        <v>9.3000000000000007</v>
      </c>
      <c r="P33" s="27">
        <f t="shared" si="1"/>
        <v>0</v>
      </c>
      <c r="Q33" s="27">
        <f t="shared" si="1"/>
        <v>9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6748.290993071595</v>
      </c>
      <c r="H34" s="28">
        <f t="shared" ref="H34:Q34" si="2">(H33*H30)/0.866</f>
        <v>0</v>
      </c>
      <c r="I34" s="28">
        <f t="shared" si="2"/>
        <v>6640.0577367205551</v>
      </c>
      <c r="J34" s="28">
        <f t="shared" si="2"/>
        <v>6714.3637413394936</v>
      </c>
      <c r="K34" s="28">
        <f t="shared" si="2"/>
        <v>6750.6327944572749</v>
      </c>
      <c r="L34" s="28">
        <f>(L33*L30)/0.866</f>
        <v>6940.3695150115464</v>
      </c>
      <c r="M34" s="28">
        <f>(M33*M30)/0.866</f>
        <v>6741.9630484988438</v>
      </c>
      <c r="N34" s="28">
        <f>(N33*N30)/0.866</f>
        <v>0</v>
      </c>
      <c r="O34" s="28">
        <f>(O33*O30)/0.866</f>
        <v>6904.122401847575</v>
      </c>
      <c r="P34" s="28">
        <f t="shared" si="2"/>
        <v>0</v>
      </c>
      <c r="Q34" s="28">
        <f t="shared" si="2"/>
        <v>6645.0346420323322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0.82</v>
      </c>
      <c r="J35" s="20">
        <v>0.81</v>
      </c>
      <c r="K35" s="20">
        <v>0.81</v>
      </c>
      <c r="L35" s="21">
        <v>0.81</v>
      </c>
      <c r="M35" s="21">
        <v>0.81</v>
      </c>
      <c r="N35" s="20"/>
      <c r="O35" s="20">
        <v>0.79</v>
      </c>
      <c r="P35" s="21"/>
      <c r="Q35" s="21">
        <v>0.81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35.299999999999997</v>
      </c>
      <c r="H36" s="21"/>
      <c r="I36" s="21">
        <v>35.9</v>
      </c>
      <c r="J36" s="20">
        <v>35.4</v>
      </c>
      <c r="K36" s="20">
        <v>35.6</v>
      </c>
      <c r="L36" s="21">
        <v>35.4</v>
      </c>
      <c r="M36" s="21">
        <v>35.6</v>
      </c>
      <c r="N36" s="20"/>
      <c r="O36" s="20">
        <v>34.799999999999997</v>
      </c>
      <c r="P36" s="21"/>
      <c r="Q36" s="21">
        <v>35.5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35.799999999999997</v>
      </c>
      <c r="H37" s="21"/>
      <c r="I37" s="21">
        <v>36.799999999999997</v>
      </c>
      <c r="J37" s="20">
        <v>36.1</v>
      </c>
      <c r="K37" s="20">
        <v>36.299999999999997</v>
      </c>
      <c r="L37" s="21">
        <v>36</v>
      </c>
      <c r="M37" s="21">
        <v>36.1</v>
      </c>
      <c r="N37" s="20"/>
      <c r="O37" s="20">
        <v>35.299999999999997</v>
      </c>
      <c r="P37" s="21"/>
      <c r="Q37" s="21">
        <v>36.299999999999997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1.6999999999999957</v>
      </c>
      <c r="H38" s="27">
        <f>H37-H41</f>
        <v>0</v>
      </c>
      <c r="I38" s="27">
        <f>I37-I41</f>
        <v>3.2999999999999972</v>
      </c>
      <c r="J38" s="27">
        <f t="shared" ref="J38:Q38" si="3">J37-J41</f>
        <v>2.2000000000000028</v>
      </c>
      <c r="K38" s="27">
        <f t="shared" si="3"/>
        <v>2.1999999999999957</v>
      </c>
      <c r="L38" s="27">
        <f>L37-L41</f>
        <v>2.3999999999999986</v>
      </c>
      <c r="M38" s="27">
        <f>M37-M41</f>
        <v>2.2000000000000028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2.5999999999999943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28.6</v>
      </c>
      <c r="H40" s="21"/>
      <c r="I40" s="21">
        <v>28.5</v>
      </c>
      <c r="J40" s="20">
        <v>28.5</v>
      </c>
      <c r="K40" s="20">
        <v>28.7</v>
      </c>
      <c r="L40" s="21">
        <v>28.4</v>
      </c>
      <c r="M40" s="21">
        <v>28.7</v>
      </c>
      <c r="N40" s="20"/>
      <c r="O40" s="20">
        <v>28.3</v>
      </c>
      <c r="P40" s="21"/>
      <c r="Q40" s="21">
        <v>28.4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34.1</v>
      </c>
      <c r="H41" s="21"/>
      <c r="I41" s="21">
        <v>33.5</v>
      </c>
      <c r="J41" s="20">
        <v>33.9</v>
      </c>
      <c r="K41" s="20">
        <v>34.1</v>
      </c>
      <c r="L41" s="21">
        <v>33.6</v>
      </c>
      <c r="M41" s="21">
        <v>33.9</v>
      </c>
      <c r="N41" s="20"/>
      <c r="O41" s="20">
        <v>33.799999999999997</v>
      </c>
      <c r="P41" s="21"/>
      <c r="Q41" s="21">
        <v>33.700000000000003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5.5</v>
      </c>
      <c r="H42" s="27">
        <f t="shared" ref="H42:Q42" si="4">H41-H40</f>
        <v>0</v>
      </c>
      <c r="I42" s="27">
        <f t="shared" si="4"/>
        <v>5</v>
      </c>
      <c r="J42" s="27">
        <f t="shared" si="4"/>
        <v>5.3999999999999986</v>
      </c>
      <c r="K42" s="27">
        <f t="shared" si="4"/>
        <v>5.4000000000000021</v>
      </c>
      <c r="L42" s="27">
        <f>L41-L40</f>
        <v>5.2000000000000028</v>
      </c>
      <c r="M42" s="27">
        <f>M41-M40</f>
        <v>5.1999999999999993</v>
      </c>
      <c r="N42" s="27">
        <f>N41-N40</f>
        <v>0</v>
      </c>
      <c r="O42" s="27">
        <f>O41-O40</f>
        <v>5.4999999999999964</v>
      </c>
      <c r="P42" s="27">
        <f t="shared" si="4"/>
        <v>0</v>
      </c>
      <c r="Q42" s="27">
        <f t="shared" si="4"/>
        <v>5.3000000000000043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1296.0999999999999</v>
      </c>
      <c r="H43" s="21"/>
      <c r="I43" s="21">
        <v>1290.5999999999999</v>
      </c>
      <c r="J43" s="20">
        <v>1297.2</v>
      </c>
      <c r="K43" s="20">
        <v>1304.9000000000001</v>
      </c>
      <c r="L43" s="21">
        <v>1296.4000000000001</v>
      </c>
      <c r="M43" s="20">
        <v>1293.9000000000001</v>
      </c>
      <c r="N43" s="20"/>
      <c r="O43" s="20">
        <v>1291.9000000000001</v>
      </c>
      <c r="P43" s="21"/>
      <c r="Q43" s="21">
        <v>1294.5999999999999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8231.5819861431864</v>
      </c>
      <c r="H44" s="28">
        <f t="shared" ref="H44:Q44" si="5">H42*H43/0.866</f>
        <v>0</v>
      </c>
      <c r="I44" s="28">
        <f t="shared" si="5"/>
        <v>7451.5011547344111</v>
      </c>
      <c r="J44" s="28">
        <f t="shared" si="5"/>
        <v>8088.7759815242471</v>
      </c>
      <c r="K44" s="28">
        <f t="shared" si="5"/>
        <v>8136.7898383371867</v>
      </c>
      <c r="L44" s="28">
        <f>L42*L43/0.866</f>
        <v>7784.3879907621294</v>
      </c>
      <c r="M44" s="28">
        <f>M42*M43/0.866</f>
        <v>7769.3764434180139</v>
      </c>
      <c r="N44" s="28">
        <f>N42*N43/0.866</f>
        <v>0</v>
      </c>
      <c r="O44" s="28">
        <f>O42*O43/0.866</f>
        <v>8204.9076212471082</v>
      </c>
      <c r="P44" s="28">
        <f t="shared" si="5"/>
        <v>0</v>
      </c>
      <c r="Q44" s="28">
        <f t="shared" si="5"/>
        <v>7923.0715935334929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>
        <v>0.45</v>
      </c>
      <c r="K45" s="20">
        <v>0.45</v>
      </c>
      <c r="L45" s="21">
        <v>0.45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19.5</v>
      </c>
      <c r="H46" s="21"/>
      <c r="I46" s="21">
        <v>18.7</v>
      </c>
      <c r="J46" s="20">
        <v>19.100000000000001</v>
      </c>
      <c r="K46" s="20">
        <v>19.3</v>
      </c>
      <c r="L46" s="21">
        <v>19.2</v>
      </c>
      <c r="M46" s="21">
        <v>19.2</v>
      </c>
      <c r="N46" s="20"/>
      <c r="O46" s="20">
        <v>19.600000000000001</v>
      </c>
      <c r="P46" s="21"/>
      <c r="Q46" s="21">
        <v>19.600000000000001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202.9</v>
      </c>
      <c r="H47" s="21"/>
      <c r="I47" s="21">
        <v>122.5</v>
      </c>
      <c r="J47" s="20">
        <v>209.2</v>
      </c>
      <c r="K47" s="20">
        <v>205.4</v>
      </c>
      <c r="L47" s="21">
        <v>202.2</v>
      </c>
      <c r="M47" s="21">
        <v>214.9</v>
      </c>
      <c r="N47" s="20"/>
      <c r="O47" s="20">
        <v>160.30000000000001</v>
      </c>
      <c r="P47" s="21"/>
      <c r="Q47" s="21">
        <v>199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55">
        <v>5.89</v>
      </c>
      <c r="F49" s="20"/>
      <c r="G49" s="20">
        <v>5.84</v>
      </c>
      <c r="H49" s="21"/>
      <c r="I49" s="21">
        <v>5.61</v>
      </c>
      <c r="J49" s="20">
        <v>5.85</v>
      </c>
      <c r="K49" s="20">
        <v>5.79</v>
      </c>
      <c r="L49" s="21">
        <v>5.87</v>
      </c>
      <c r="M49" s="21">
        <v>5.74</v>
      </c>
      <c r="N49" s="20"/>
      <c r="O49" s="20">
        <v>5.74</v>
      </c>
      <c r="P49" s="21"/>
      <c r="Q49" s="21">
        <v>5.52</v>
      </c>
    </row>
    <row r="50" spans="2:17" ht="20.100000000000001" customHeight="1">
      <c r="B50" s="94" t="s">
        <v>91</v>
      </c>
      <c r="C50" s="94"/>
      <c r="D50" s="94"/>
      <c r="E50" s="5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5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C1" zoomScale="85" zoomScaleNormal="60" workbookViewId="0">
      <selection activeCell="N11" sqref="N11:N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45820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57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/>
      <c r="K10" s="17" t="s">
        <v>19</v>
      </c>
      <c r="L10" s="18"/>
      <c r="M10" s="18" t="s">
        <v>19</v>
      </c>
      <c r="N10" s="16" t="s">
        <v>19</v>
      </c>
      <c r="O10" s="17" t="s">
        <v>19</v>
      </c>
      <c r="P10" s="18" t="s">
        <v>19</v>
      </c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69.7</v>
      </c>
      <c r="H11" s="21"/>
      <c r="I11" s="21">
        <v>81.7</v>
      </c>
      <c r="J11" s="20"/>
      <c r="K11" s="20">
        <v>73.900000000000006</v>
      </c>
      <c r="L11" s="21"/>
      <c r="M11" s="21">
        <v>76</v>
      </c>
      <c r="N11" s="20">
        <v>78.099999999999994</v>
      </c>
      <c r="O11" s="20">
        <v>78</v>
      </c>
      <c r="P11" s="21">
        <v>77.400000000000006</v>
      </c>
      <c r="Q11" s="21">
        <v>73.8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>
        <v>0</v>
      </c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64.3</v>
      </c>
      <c r="H13" s="21"/>
      <c r="I13" s="21">
        <v>78.3</v>
      </c>
      <c r="J13" s="20"/>
      <c r="K13" s="20">
        <v>69.099999999999994</v>
      </c>
      <c r="L13" s="21"/>
      <c r="M13" s="21">
        <v>71.5</v>
      </c>
      <c r="N13" s="20">
        <v>73.7</v>
      </c>
      <c r="O13" s="20">
        <v>74</v>
      </c>
      <c r="P13" s="21">
        <v>73.3</v>
      </c>
      <c r="Q13" s="21">
        <v>68.099999999999994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69.400000000000006</v>
      </c>
      <c r="H14" s="21"/>
      <c r="I14" s="21">
        <v>69.900000000000006</v>
      </c>
      <c r="J14" s="20"/>
      <c r="K14" s="20">
        <v>64.599999999999994</v>
      </c>
      <c r="L14" s="21"/>
      <c r="M14" s="21">
        <v>68.599999999999994</v>
      </c>
      <c r="N14" s="20">
        <v>72.2</v>
      </c>
      <c r="O14" s="20">
        <v>73.8</v>
      </c>
      <c r="P14" s="21">
        <v>71.5</v>
      </c>
      <c r="Q14" s="21">
        <v>73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38.799999999999997</v>
      </c>
      <c r="H15" s="21"/>
      <c r="I15" s="21">
        <v>57.3</v>
      </c>
      <c r="J15" s="20"/>
      <c r="K15" s="20">
        <v>41.6</v>
      </c>
      <c r="L15" s="21"/>
      <c r="M15" s="21">
        <v>36.200000000000003</v>
      </c>
      <c r="N15" s="20">
        <v>56.7</v>
      </c>
      <c r="O15" s="20">
        <v>56.1</v>
      </c>
      <c r="P15" s="21">
        <v>44.5</v>
      </c>
      <c r="Q15" s="21">
        <v>45.5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>
        <v>6.6</v>
      </c>
      <c r="Q16" s="20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115.4</v>
      </c>
      <c r="H17" s="21"/>
      <c r="I17" s="21">
        <v>117.9</v>
      </c>
      <c r="J17" s="20"/>
      <c r="K17" s="20">
        <v>115.8</v>
      </c>
      <c r="L17" s="21"/>
      <c r="M17" s="21">
        <v>117.2</v>
      </c>
      <c r="N17" s="20">
        <v>119.2</v>
      </c>
      <c r="O17" s="20">
        <v>119.1</v>
      </c>
      <c r="P17" s="21">
        <v>120.4</v>
      </c>
      <c r="Q17" s="21">
        <v>116.3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1123</v>
      </c>
      <c r="H18" s="21"/>
      <c r="I18" s="21">
        <v>1194</v>
      </c>
      <c r="J18" s="20"/>
      <c r="K18" s="20">
        <v>1167</v>
      </c>
      <c r="L18" s="21"/>
      <c r="M18" s="21">
        <v>1190</v>
      </c>
      <c r="N18" s="20">
        <v>1220</v>
      </c>
      <c r="O18" s="20">
        <v>1205</v>
      </c>
      <c r="P18" s="21">
        <v>1228</v>
      </c>
      <c r="Q18" s="21">
        <v>1175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50637.9</v>
      </c>
      <c r="H19" s="21"/>
      <c r="I19" s="21">
        <v>51605.7</v>
      </c>
      <c r="J19" s="20"/>
      <c r="K19" s="20">
        <v>49720.2</v>
      </c>
      <c r="L19" s="21"/>
      <c r="M19" s="21">
        <v>52158</v>
      </c>
      <c r="N19" s="20">
        <v>51322.400000000001</v>
      </c>
      <c r="O19" s="20">
        <v>51167</v>
      </c>
      <c r="P19" s="21">
        <v>51080.5</v>
      </c>
      <c r="Q19" s="21">
        <v>50975.3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59.2</v>
      </c>
      <c r="J22" s="20"/>
      <c r="K22" s="20">
        <v>57.7</v>
      </c>
      <c r="L22" s="21"/>
      <c r="M22" s="21">
        <v>57.3</v>
      </c>
      <c r="N22" s="20">
        <v>58.4</v>
      </c>
      <c r="O22" s="20">
        <v>58.5</v>
      </c>
      <c r="P22" s="21">
        <v>59.1</v>
      </c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0.48</v>
      </c>
      <c r="J23" s="20"/>
      <c r="K23" s="20">
        <v>0.57999999999999996</v>
      </c>
      <c r="L23" s="21"/>
      <c r="M23" s="21">
        <v>0.52</v>
      </c>
      <c r="N23" s="20">
        <v>0.48</v>
      </c>
      <c r="O23" s="20">
        <v>0.48</v>
      </c>
      <c r="P23" s="21">
        <v>0.5</v>
      </c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45</v>
      </c>
      <c r="J25" s="20"/>
      <c r="K25" s="20">
        <v>45</v>
      </c>
      <c r="L25" s="21"/>
      <c r="M25" s="21">
        <v>44.9</v>
      </c>
      <c r="N25" s="20">
        <v>45.1</v>
      </c>
      <c r="O25" s="20">
        <v>45</v>
      </c>
      <c r="P25" s="21">
        <v>44.9</v>
      </c>
      <c r="Q25" s="21">
        <v>44.9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0.23</v>
      </c>
      <c r="O26" s="20">
        <v>0.22</v>
      </c>
      <c r="P26" s="21">
        <v>0.23</v>
      </c>
      <c r="Q26" s="21">
        <v>0.22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4.0999999999999996</v>
      </c>
      <c r="H27" s="21"/>
      <c r="I27" s="21">
        <v>3</v>
      </c>
      <c r="J27" s="20"/>
      <c r="K27" s="20">
        <v>3.9</v>
      </c>
      <c r="L27" s="21"/>
      <c r="M27" s="21">
        <v>3.9</v>
      </c>
      <c r="N27" s="20">
        <v>4.4000000000000004</v>
      </c>
      <c r="O27" s="20">
        <v>3.9</v>
      </c>
      <c r="P27" s="21">
        <v>4.8</v>
      </c>
      <c r="Q27" s="21">
        <v>4.4000000000000004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3.7</v>
      </c>
      <c r="H28" s="21"/>
      <c r="I28" s="21">
        <v>2.1</v>
      </c>
      <c r="J28" s="20"/>
      <c r="K28" s="20">
        <v>3.1</v>
      </c>
      <c r="L28" s="21"/>
      <c r="M28" s="21">
        <v>2.8</v>
      </c>
      <c r="N28" s="20">
        <v>3.6</v>
      </c>
      <c r="O28" s="20">
        <v>2.9</v>
      </c>
      <c r="P28" s="21">
        <v>3.8</v>
      </c>
      <c r="Q28" s="21">
        <v>3.3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0</v>
      </c>
      <c r="G29" s="27">
        <f t="shared" si="0"/>
        <v>0.89999999999999947</v>
      </c>
      <c r="H29" s="27">
        <f t="shared" si="0"/>
        <v>0</v>
      </c>
      <c r="I29" s="27">
        <f t="shared" si="0"/>
        <v>2.4999999999999996</v>
      </c>
      <c r="J29" s="27">
        <f t="shared" si="0"/>
        <v>0</v>
      </c>
      <c r="K29" s="27">
        <f t="shared" si="0"/>
        <v>0.79999999999999982</v>
      </c>
      <c r="L29" s="27">
        <f t="shared" si="0"/>
        <v>0</v>
      </c>
      <c r="M29" s="27">
        <f>M32-M28</f>
        <v>1.4000000000000004</v>
      </c>
      <c r="N29" s="27">
        <f>N32-N28</f>
        <v>1.1999999999999997</v>
      </c>
      <c r="O29" s="27">
        <f>O32-O28</f>
        <v>1.3000000000000003</v>
      </c>
      <c r="P29" s="27">
        <f t="shared" si="0"/>
        <v>1.2000000000000002</v>
      </c>
      <c r="Q29" s="27">
        <f t="shared" si="0"/>
        <v>1.2000000000000002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653.4</v>
      </c>
      <c r="H30" s="21"/>
      <c r="I30" s="21">
        <v>635.9</v>
      </c>
      <c r="J30" s="20"/>
      <c r="K30" s="20">
        <v>638.1</v>
      </c>
      <c r="L30" s="21"/>
      <c r="M30" s="21">
        <v>626.4</v>
      </c>
      <c r="N30" s="20">
        <v>722.9</v>
      </c>
      <c r="O30" s="20">
        <v>635.6</v>
      </c>
      <c r="P30" s="21">
        <v>692.5</v>
      </c>
      <c r="Q30" s="21">
        <v>636.6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13.8</v>
      </c>
      <c r="H31" s="21"/>
      <c r="I31" s="21">
        <v>13.6</v>
      </c>
      <c r="J31" s="20"/>
      <c r="K31" s="20">
        <v>13.1</v>
      </c>
      <c r="L31" s="21"/>
      <c r="M31" s="21">
        <v>13.7</v>
      </c>
      <c r="N31" s="20">
        <v>13.4</v>
      </c>
      <c r="O31" s="20">
        <v>13.7</v>
      </c>
      <c r="P31" s="21">
        <v>13.2</v>
      </c>
      <c r="Q31" s="21">
        <v>13.1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4.5999999999999996</v>
      </c>
      <c r="J32" s="20"/>
      <c r="K32" s="20">
        <v>3.9</v>
      </c>
      <c r="L32" s="21"/>
      <c r="M32" s="21">
        <v>4.2</v>
      </c>
      <c r="N32" s="20">
        <v>4.8</v>
      </c>
      <c r="O32" s="20">
        <v>4.2</v>
      </c>
      <c r="P32" s="21">
        <v>5</v>
      </c>
      <c r="Q32" s="21">
        <v>4.5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9.2000000000000011</v>
      </c>
      <c r="H33" s="27">
        <f t="shared" ref="H33:Q33" si="1">H31-H32</f>
        <v>0</v>
      </c>
      <c r="I33" s="27">
        <f t="shared" si="1"/>
        <v>9</v>
      </c>
      <c r="J33" s="27">
        <f t="shared" si="1"/>
        <v>0</v>
      </c>
      <c r="K33" s="27">
        <f t="shared" si="1"/>
        <v>9.1999999999999993</v>
      </c>
      <c r="L33" s="27">
        <f t="shared" si="1"/>
        <v>0</v>
      </c>
      <c r="M33" s="27">
        <f>M31-M32</f>
        <v>9.5</v>
      </c>
      <c r="N33" s="27">
        <f>N31-N32</f>
        <v>8.6000000000000014</v>
      </c>
      <c r="O33" s="27">
        <f>O31-O32</f>
        <v>9.5</v>
      </c>
      <c r="P33" s="27">
        <f t="shared" si="1"/>
        <v>8.1999999999999993</v>
      </c>
      <c r="Q33" s="27">
        <f t="shared" si="1"/>
        <v>8.6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6941.4318706697468</v>
      </c>
      <c r="H34" s="28">
        <f t="shared" ref="H34:Q34" si="2">(H33*H30)/0.866</f>
        <v>0</v>
      </c>
      <c r="I34" s="28">
        <f t="shared" si="2"/>
        <v>6608.6605080831405</v>
      </c>
      <c r="J34" s="28">
        <f t="shared" si="2"/>
        <v>0</v>
      </c>
      <c r="K34" s="28">
        <f t="shared" si="2"/>
        <v>6778.8914549653573</v>
      </c>
      <c r="L34" s="28">
        <f t="shared" si="2"/>
        <v>0</v>
      </c>
      <c r="M34" s="28">
        <f>(M33*M30)/0.866</f>
        <v>6871.5935334872984</v>
      </c>
      <c r="N34" s="28">
        <f>(N33*N30)/0.866</f>
        <v>7178.9145496535803</v>
      </c>
      <c r="O34" s="28">
        <f>(O33*O30)/0.866</f>
        <v>6972.5173210161665</v>
      </c>
      <c r="P34" s="28">
        <f t="shared" si="2"/>
        <v>6557.1593533487285</v>
      </c>
      <c r="Q34" s="28">
        <f t="shared" si="2"/>
        <v>6321.8937644341804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</v>
      </c>
      <c r="H35" s="21"/>
      <c r="I35" s="21">
        <v>0.82</v>
      </c>
      <c r="J35" s="20"/>
      <c r="K35" s="20">
        <v>0.8</v>
      </c>
      <c r="L35" s="21"/>
      <c r="M35" s="21">
        <v>0.8</v>
      </c>
      <c r="N35" s="20">
        <v>0.8</v>
      </c>
      <c r="O35" s="20">
        <v>0.8</v>
      </c>
      <c r="P35" s="21">
        <v>0.82</v>
      </c>
      <c r="Q35" s="21">
        <v>0.8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34.9</v>
      </c>
      <c r="H36" s="21"/>
      <c r="I36" s="21">
        <v>35.5</v>
      </c>
      <c r="J36" s="20"/>
      <c r="K36" s="20">
        <v>35.299999999999997</v>
      </c>
      <c r="L36" s="21"/>
      <c r="M36" s="21">
        <v>35.299999999999997</v>
      </c>
      <c r="N36" s="20">
        <v>34.9</v>
      </c>
      <c r="O36" s="20">
        <v>34.5</v>
      </c>
      <c r="P36" s="21">
        <v>35.700000000000003</v>
      </c>
      <c r="Q36" s="21">
        <v>35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35.4</v>
      </c>
      <c r="H37" s="21"/>
      <c r="I37" s="21">
        <v>36.4</v>
      </c>
      <c r="J37" s="20"/>
      <c r="K37" s="20">
        <v>36</v>
      </c>
      <c r="L37" s="21"/>
      <c r="M37" s="21">
        <v>35.799999999999997</v>
      </c>
      <c r="N37" s="20">
        <v>35.6</v>
      </c>
      <c r="O37" s="20">
        <v>35.1</v>
      </c>
      <c r="P37" s="21">
        <v>36.5</v>
      </c>
      <c r="Q37" s="21">
        <v>35.799999999999997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1.6000000000000014</v>
      </c>
      <c r="H38" s="27">
        <f>H37-H41</f>
        <v>0</v>
      </c>
      <c r="I38" s="27">
        <f>I37-I41</f>
        <v>3.1999999999999957</v>
      </c>
      <c r="J38" s="27">
        <f t="shared" ref="J38:L38" si="3">J37-J41</f>
        <v>0</v>
      </c>
      <c r="K38" s="27">
        <f t="shared" si="3"/>
        <v>2.2000000000000028</v>
      </c>
      <c r="L38" s="27">
        <f t="shared" si="3"/>
        <v>0</v>
      </c>
      <c r="M38" s="27">
        <f>M37-M41</f>
        <v>2.2999999999999972</v>
      </c>
      <c r="N38" s="27">
        <f>N37-N41</f>
        <v>1.7000000000000028</v>
      </c>
      <c r="O38" s="27">
        <f>O37-O41</f>
        <v>1.6000000000000014</v>
      </c>
      <c r="P38" s="27">
        <f t="shared" ref="P38:Q38" si="4">P37-P41</f>
        <v>2.5</v>
      </c>
      <c r="Q38" s="27">
        <f t="shared" si="4"/>
        <v>2.3999999999999986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28.3</v>
      </c>
      <c r="H40" s="21"/>
      <c r="I40" s="21">
        <v>28.2</v>
      </c>
      <c r="J40" s="20"/>
      <c r="K40" s="20">
        <v>28.4</v>
      </c>
      <c r="L40" s="21"/>
      <c r="M40" s="21">
        <v>28.2</v>
      </c>
      <c r="N40" s="20">
        <v>28.4</v>
      </c>
      <c r="O40" s="20">
        <v>28.1</v>
      </c>
      <c r="P40" s="21">
        <v>28.4</v>
      </c>
      <c r="Q40" s="21">
        <v>28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33.799999999999997</v>
      </c>
      <c r="H41" s="21"/>
      <c r="I41" s="21">
        <v>33.200000000000003</v>
      </c>
      <c r="J41" s="20"/>
      <c r="K41" s="20">
        <v>33.799999999999997</v>
      </c>
      <c r="L41" s="21"/>
      <c r="M41" s="21">
        <v>33.5</v>
      </c>
      <c r="N41" s="20">
        <v>33.9</v>
      </c>
      <c r="O41" s="20">
        <v>33.5</v>
      </c>
      <c r="P41" s="21">
        <v>34</v>
      </c>
      <c r="Q41" s="21">
        <v>33.4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5.4999999999999964</v>
      </c>
      <c r="H42" s="27">
        <f t="shared" ref="H42:Q42" si="5">H41-H40</f>
        <v>0</v>
      </c>
      <c r="I42" s="27">
        <f t="shared" si="5"/>
        <v>5.0000000000000036</v>
      </c>
      <c r="J42" s="27">
        <f t="shared" si="5"/>
        <v>0</v>
      </c>
      <c r="K42" s="27">
        <f t="shared" si="5"/>
        <v>5.3999999999999986</v>
      </c>
      <c r="L42" s="27">
        <f t="shared" si="5"/>
        <v>0</v>
      </c>
      <c r="M42" s="27">
        <f>M41-M40</f>
        <v>5.3000000000000007</v>
      </c>
      <c r="N42" s="27">
        <f>N41-N40</f>
        <v>5.5</v>
      </c>
      <c r="O42" s="27">
        <f>O41-O40</f>
        <v>5.3999999999999986</v>
      </c>
      <c r="P42" s="27">
        <f t="shared" si="5"/>
        <v>5.6000000000000014</v>
      </c>
      <c r="Q42" s="27">
        <f t="shared" si="5"/>
        <v>5.3999999999999986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1300.3</v>
      </c>
      <c r="H43" s="21"/>
      <c r="I43" s="21">
        <v>1301.9000000000001</v>
      </c>
      <c r="J43" s="20"/>
      <c r="K43" s="20">
        <v>1300.9000000000001</v>
      </c>
      <c r="L43" s="21"/>
      <c r="M43" s="20">
        <v>1297.0999999999999</v>
      </c>
      <c r="N43" s="20">
        <v>1283.7</v>
      </c>
      <c r="O43" s="20">
        <v>1288.4000000000001</v>
      </c>
      <c r="P43" s="21">
        <v>1293.7</v>
      </c>
      <c r="Q43" s="21">
        <v>1299.8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8258.2563510392556</v>
      </c>
      <c r="H44" s="28">
        <f t="shared" ref="H44:Q44" si="6">H42*H43/0.866</f>
        <v>0</v>
      </c>
      <c r="I44" s="28">
        <f t="shared" si="6"/>
        <v>7516.7436489607453</v>
      </c>
      <c r="J44" s="28">
        <f t="shared" si="6"/>
        <v>0</v>
      </c>
      <c r="K44" s="28">
        <f t="shared" si="6"/>
        <v>8111.8475750577354</v>
      </c>
      <c r="L44" s="28">
        <f t="shared" si="6"/>
        <v>0</v>
      </c>
      <c r="M44" s="28">
        <f>M42*M43/0.866</f>
        <v>7938.3718244803695</v>
      </c>
      <c r="N44" s="28">
        <f>N42*N43/0.866</f>
        <v>8152.8290993071596</v>
      </c>
      <c r="O44" s="28">
        <f>O42*O43/0.866</f>
        <v>8033.9030023094674</v>
      </c>
      <c r="P44" s="28">
        <f t="shared" si="6"/>
        <v>8365.7274826789871</v>
      </c>
      <c r="Q44" s="28">
        <f t="shared" si="6"/>
        <v>8104.9884526558872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0.44</v>
      </c>
      <c r="J45" s="20"/>
      <c r="K45" s="20">
        <v>0.45</v>
      </c>
      <c r="L45" s="21"/>
      <c r="M45" s="21">
        <v>0.45</v>
      </c>
      <c r="N45" s="20">
        <v>0.45</v>
      </c>
      <c r="O45" s="20">
        <v>0.44</v>
      </c>
      <c r="P45" s="21">
        <v>0.46</v>
      </c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19.399999999999999</v>
      </c>
      <c r="H46" s="21"/>
      <c r="I46" s="21">
        <v>18.8</v>
      </c>
      <c r="J46" s="20"/>
      <c r="K46" s="20">
        <v>19.100000000000001</v>
      </c>
      <c r="L46" s="21"/>
      <c r="M46" s="21">
        <v>19.2</v>
      </c>
      <c r="N46" s="20">
        <v>19</v>
      </c>
      <c r="O46" s="20">
        <v>18.5</v>
      </c>
      <c r="P46" s="21">
        <v>19.8</v>
      </c>
      <c r="Q46" s="21">
        <v>19.399999999999999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202.8</v>
      </c>
      <c r="H47" s="21"/>
      <c r="I47" s="21">
        <v>117</v>
      </c>
      <c r="J47" s="20"/>
      <c r="K47" s="20">
        <v>202.7</v>
      </c>
      <c r="L47" s="21"/>
      <c r="M47" s="21">
        <v>223.6</v>
      </c>
      <c r="N47" s="20">
        <v>149.69999999999999</v>
      </c>
      <c r="O47" s="20">
        <v>167.9</v>
      </c>
      <c r="P47" s="21">
        <v>204.1</v>
      </c>
      <c r="Q47" s="21">
        <v>197.9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57">
        <v>5.89</v>
      </c>
      <c r="F49" s="20"/>
      <c r="G49" s="20">
        <v>6</v>
      </c>
      <c r="H49" s="21"/>
      <c r="I49" s="21">
        <v>5.6</v>
      </c>
      <c r="J49" s="20"/>
      <c r="K49" s="20">
        <v>5.84</v>
      </c>
      <c r="L49" s="21"/>
      <c r="M49" s="21">
        <v>5.89</v>
      </c>
      <c r="N49" s="20">
        <v>5.19</v>
      </c>
      <c r="O49" s="20">
        <v>5.8</v>
      </c>
      <c r="P49" s="21">
        <v>4.96</v>
      </c>
      <c r="Q49" s="21">
        <v>5.49</v>
      </c>
    </row>
    <row r="50" spans="2:17" ht="20.100000000000001" customHeight="1">
      <c r="B50" s="94" t="s">
        <v>91</v>
      </c>
      <c r="C50" s="94"/>
      <c r="D50" s="94"/>
      <c r="E50" s="5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5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0" zoomScaleNormal="60" zoomScaleSheetLayoutView="80" workbookViewId="0">
      <selection activeCell="Q9" sqref="Q9:Q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45821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59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70</v>
      </c>
      <c r="G11" s="20">
        <v>70</v>
      </c>
      <c r="H11" s="21"/>
      <c r="I11" s="21">
        <v>78.5</v>
      </c>
      <c r="J11" s="20"/>
      <c r="K11" s="20">
        <v>74.3</v>
      </c>
      <c r="L11" s="21">
        <v>77.099999999999994</v>
      </c>
      <c r="M11" s="21">
        <v>76.400000000000006</v>
      </c>
      <c r="N11" s="20"/>
      <c r="O11" s="20">
        <v>76.099999999999994</v>
      </c>
      <c r="P11" s="21"/>
      <c r="Q11" s="21">
        <v>72.099999999999994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0.1</v>
      </c>
      <c r="G12" s="20">
        <v>0.1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63.7</v>
      </c>
      <c r="G13" s="20">
        <v>63.6</v>
      </c>
      <c r="H13" s="21"/>
      <c r="I13" s="21">
        <v>73.8</v>
      </c>
      <c r="J13" s="20"/>
      <c r="K13" s="20">
        <v>69</v>
      </c>
      <c r="L13" s="21">
        <v>73.099999999999994</v>
      </c>
      <c r="M13" s="21">
        <v>70.900000000000006</v>
      </c>
      <c r="N13" s="20"/>
      <c r="O13" s="20">
        <v>73.400000000000006</v>
      </c>
      <c r="P13" s="21"/>
      <c r="Q13" s="21">
        <v>65.7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68.3</v>
      </c>
      <c r="G14" s="20">
        <v>68.900000000000006</v>
      </c>
      <c r="H14" s="21"/>
      <c r="I14" s="21">
        <v>70.3</v>
      </c>
      <c r="J14" s="20"/>
      <c r="K14" s="20">
        <v>64.599999999999994</v>
      </c>
      <c r="L14" s="21">
        <v>67.2</v>
      </c>
      <c r="M14" s="21">
        <v>67.7</v>
      </c>
      <c r="N14" s="20"/>
      <c r="O14" s="20">
        <v>73.5</v>
      </c>
      <c r="P14" s="21"/>
      <c r="Q14" s="21">
        <v>72.7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33.4</v>
      </c>
      <c r="G15" s="20">
        <v>38</v>
      </c>
      <c r="H15" s="21"/>
      <c r="I15" s="21">
        <v>52.1</v>
      </c>
      <c r="J15" s="20"/>
      <c r="K15" s="20">
        <v>40.1</v>
      </c>
      <c r="L15" s="21">
        <v>32.9</v>
      </c>
      <c r="M15" s="21">
        <v>33.700000000000003</v>
      </c>
      <c r="N15" s="20"/>
      <c r="O15" s="20">
        <v>53.2</v>
      </c>
      <c r="P15" s="21"/>
      <c r="Q15" s="21">
        <v>44.8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114.9</v>
      </c>
      <c r="G17" s="20">
        <v>116.4</v>
      </c>
      <c r="H17" s="21"/>
      <c r="I17" s="21">
        <v>118</v>
      </c>
      <c r="J17" s="20"/>
      <c r="K17" s="20">
        <v>116.5</v>
      </c>
      <c r="L17" s="21">
        <v>120.1</v>
      </c>
      <c r="M17" s="21">
        <v>119.1</v>
      </c>
      <c r="N17" s="20"/>
      <c r="O17" s="20">
        <v>120.3</v>
      </c>
      <c r="P17" s="21"/>
      <c r="Q17" s="21">
        <v>116.8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1134</v>
      </c>
      <c r="G18" s="20">
        <v>1132</v>
      </c>
      <c r="H18" s="21"/>
      <c r="I18" s="21">
        <v>1186</v>
      </c>
      <c r="J18" s="20"/>
      <c r="K18" s="20">
        <v>1176</v>
      </c>
      <c r="L18" s="21">
        <v>1220</v>
      </c>
      <c r="M18" s="21">
        <v>1202</v>
      </c>
      <c r="N18" s="20"/>
      <c r="O18" s="20">
        <v>1214</v>
      </c>
      <c r="P18" s="21"/>
      <c r="Q18" s="21">
        <v>1175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50788.2</v>
      </c>
      <c r="G19" s="20">
        <v>50777.1</v>
      </c>
      <c r="H19" s="21"/>
      <c r="I19" s="21">
        <v>51711.3</v>
      </c>
      <c r="J19" s="20"/>
      <c r="K19" s="20">
        <v>49729</v>
      </c>
      <c r="L19" s="21">
        <v>52177.2</v>
      </c>
      <c r="M19" s="21">
        <v>52166.1</v>
      </c>
      <c r="N19" s="20"/>
      <c r="O19" s="20">
        <v>51336.3</v>
      </c>
      <c r="P19" s="21"/>
      <c r="Q19" s="21">
        <v>51087.6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58.2</v>
      </c>
      <c r="G22" s="20">
        <v>58.2</v>
      </c>
      <c r="H22" s="21"/>
      <c r="I22" s="21">
        <v>59.3</v>
      </c>
      <c r="J22" s="20"/>
      <c r="K22" s="20">
        <v>57.7</v>
      </c>
      <c r="L22" s="21">
        <v>57.5</v>
      </c>
      <c r="M22" s="21">
        <v>57.6</v>
      </c>
      <c r="N22" s="20"/>
      <c r="O22" s="20">
        <v>58.6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0.53</v>
      </c>
      <c r="G23" s="20">
        <v>0.53</v>
      </c>
      <c r="H23" s="21"/>
      <c r="I23" s="21">
        <v>0.49</v>
      </c>
      <c r="J23" s="20"/>
      <c r="K23" s="20">
        <v>0.59</v>
      </c>
      <c r="L23" s="21">
        <v>0.53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45.1</v>
      </c>
      <c r="G25" s="20">
        <v>44.9</v>
      </c>
      <c r="H25" s="21"/>
      <c r="I25" s="21">
        <v>44.9</v>
      </c>
      <c r="J25" s="20"/>
      <c r="K25" s="20">
        <v>45</v>
      </c>
      <c r="L25" s="21">
        <v>44.9</v>
      </c>
      <c r="M25" s="21">
        <v>44.8</v>
      </c>
      <c r="N25" s="20"/>
      <c r="O25" s="20">
        <v>44.9</v>
      </c>
      <c r="P25" s="21"/>
      <c r="Q25" s="21">
        <v>45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0.22</v>
      </c>
      <c r="J26" s="20"/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4.0999999999999996</v>
      </c>
      <c r="G27" s="20">
        <v>4.3</v>
      </c>
      <c r="H27" s="21"/>
      <c r="I27" s="21">
        <v>3.6</v>
      </c>
      <c r="J27" s="20"/>
      <c r="K27" s="20">
        <v>4.2</v>
      </c>
      <c r="L27" s="21">
        <v>4.2</v>
      </c>
      <c r="M27" s="21">
        <v>4.0999999999999996</v>
      </c>
      <c r="N27" s="20"/>
      <c r="O27" s="20">
        <v>4.3</v>
      </c>
      <c r="P27" s="21"/>
      <c r="Q27" s="21">
        <v>4.7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3.9</v>
      </c>
      <c r="G28" s="20">
        <v>4</v>
      </c>
      <c r="H28" s="21"/>
      <c r="I28" s="21">
        <v>2.7</v>
      </c>
      <c r="J28" s="20"/>
      <c r="K28" s="20">
        <v>3.3</v>
      </c>
      <c r="L28" s="21">
        <v>3.2</v>
      </c>
      <c r="M28" s="21">
        <v>3</v>
      </c>
      <c r="N28" s="20"/>
      <c r="O28" s="20">
        <v>3.2</v>
      </c>
      <c r="P28" s="21"/>
      <c r="Q28" s="21">
        <v>3.8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0.69999999999999973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2.5</v>
      </c>
      <c r="J29" s="27">
        <f t="shared" si="0"/>
        <v>0</v>
      </c>
      <c r="K29" s="27">
        <f t="shared" si="0"/>
        <v>0.70000000000000018</v>
      </c>
      <c r="L29" s="27">
        <f>L32-L28</f>
        <v>1.2000000000000002</v>
      </c>
      <c r="M29" s="27">
        <f>M32-M28</f>
        <v>1.2999999999999998</v>
      </c>
      <c r="N29" s="27">
        <f>N32-N28</f>
        <v>0</v>
      </c>
      <c r="O29" s="27">
        <f>O32-O28</f>
        <v>1.3999999999999995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640.29999999999995</v>
      </c>
      <c r="G30" s="20">
        <v>666.8</v>
      </c>
      <c r="H30" s="21"/>
      <c r="I30" s="21">
        <v>670.4</v>
      </c>
      <c r="J30" s="20"/>
      <c r="K30" s="20">
        <v>631.5</v>
      </c>
      <c r="L30" s="21">
        <v>640.29999999999995</v>
      </c>
      <c r="M30" s="21">
        <v>640</v>
      </c>
      <c r="N30" s="20"/>
      <c r="O30" s="20">
        <v>653</v>
      </c>
      <c r="P30" s="21"/>
      <c r="Q30" s="21">
        <v>634.1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13.5</v>
      </c>
      <c r="G31" s="20">
        <v>13.7</v>
      </c>
      <c r="H31" s="21"/>
      <c r="I31" s="21">
        <v>13.7</v>
      </c>
      <c r="J31" s="20"/>
      <c r="K31" s="20">
        <v>13.1</v>
      </c>
      <c r="L31" s="21">
        <v>13.6</v>
      </c>
      <c r="M31" s="21">
        <v>13.6</v>
      </c>
      <c r="N31" s="20"/>
      <c r="O31" s="20">
        <v>13.8</v>
      </c>
      <c r="P31" s="21"/>
      <c r="Q31" s="21">
        <v>13.6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4.5999999999999996</v>
      </c>
      <c r="G32" s="20">
        <v>4.8</v>
      </c>
      <c r="H32" s="21"/>
      <c r="I32" s="21">
        <v>5.2</v>
      </c>
      <c r="J32" s="20"/>
      <c r="K32" s="20">
        <v>4</v>
      </c>
      <c r="L32" s="21">
        <v>4.4000000000000004</v>
      </c>
      <c r="M32" s="21">
        <v>4.3</v>
      </c>
      <c r="N32" s="20"/>
      <c r="O32" s="20">
        <v>4.5999999999999996</v>
      </c>
      <c r="P32" s="21"/>
      <c r="Q32" s="21">
        <v>4.8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8.9</v>
      </c>
      <c r="G33" s="27">
        <f>G31-G32</f>
        <v>8.8999999999999986</v>
      </c>
      <c r="H33" s="27">
        <f t="shared" ref="H33:Q33" si="1">H31-H32</f>
        <v>0</v>
      </c>
      <c r="I33" s="27">
        <f t="shared" si="1"/>
        <v>8.5</v>
      </c>
      <c r="J33" s="27">
        <f t="shared" si="1"/>
        <v>0</v>
      </c>
      <c r="K33" s="27">
        <f t="shared" si="1"/>
        <v>9.1</v>
      </c>
      <c r="L33" s="27">
        <f>L31-L32</f>
        <v>9.1999999999999993</v>
      </c>
      <c r="M33" s="27">
        <f>M31-M32</f>
        <v>9.3000000000000007</v>
      </c>
      <c r="N33" s="27">
        <f>N31-N32</f>
        <v>0</v>
      </c>
      <c r="O33" s="27">
        <f>O31-O32</f>
        <v>9.2000000000000011</v>
      </c>
      <c r="P33" s="27">
        <f t="shared" si="1"/>
        <v>0</v>
      </c>
      <c r="Q33" s="27">
        <f t="shared" si="1"/>
        <v>8.8000000000000007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6580.4503464203235</v>
      </c>
      <c r="G34" s="28">
        <f>(G33*G30)/0.866</f>
        <v>6852.7944572748256</v>
      </c>
      <c r="H34" s="28">
        <f t="shared" ref="H34:Q34" si="2">(H33*H30)/0.866</f>
        <v>0</v>
      </c>
      <c r="I34" s="28">
        <f t="shared" si="2"/>
        <v>6580.1385681293295</v>
      </c>
      <c r="J34" s="28">
        <f t="shared" si="2"/>
        <v>0</v>
      </c>
      <c r="K34" s="28">
        <f t="shared" si="2"/>
        <v>6635.8545034642029</v>
      </c>
      <c r="L34" s="28">
        <f>(L33*L30)/0.866</f>
        <v>6802.2632794457268</v>
      </c>
      <c r="M34" s="28">
        <f>(M33*M30)/0.866</f>
        <v>6872.9792147806002</v>
      </c>
      <c r="N34" s="28">
        <f>(N33*N30)/0.866</f>
        <v>0</v>
      </c>
      <c r="O34" s="28">
        <f>(O33*O30)/0.866</f>
        <v>6937.1824480369523</v>
      </c>
      <c r="P34" s="28">
        <f t="shared" si="2"/>
        <v>0</v>
      </c>
      <c r="Q34" s="28">
        <f t="shared" si="2"/>
        <v>6443.5103926097008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0.83</v>
      </c>
      <c r="G35" s="20">
        <v>0.81</v>
      </c>
      <c r="H35" s="21"/>
      <c r="I35" s="21">
        <v>0.84</v>
      </c>
      <c r="J35" s="20"/>
      <c r="K35" s="20">
        <v>0.83</v>
      </c>
      <c r="L35" s="21">
        <v>0.83</v>
      </c>
      <c r="M35" s="21">
        <v>0.82</v>
      </c>
      <c r="N35" s="20"/>
      <c r="O35" s="20">
        <v>0.86</v>
      </c>
      <c r="P35" s="21"/>
      <c r="Q35" s="21">
        <v>0.82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36.4</v>
      </c>
      <c r="G36" s="20">
        <v>35.700000000000003</v>
      </c>
      <c r="H36" s="21"/>
      <c r="I36" s="21">
        <v>36.200000000000003</v>
      </c>
      <c r="J36" s="20"/>
      <c r="K36" s="20">
        <v>36</v>
      </c>
      <c r="L36" s="21">
        <v>37.200000000000003</v>
      </c>
      <c r="M36" s="21">
        <v>36.1</v>
      </c>
      <c r="N36" s="20"/>
      <c r="O36" s="20">
        <v>35.4</v>
      </c>
      <c r="P36" s="21"/>
      <c r="Q36" s="21">
        <v>35.799999999999997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37</v>
      </c>
      <c r="G37" s="20">
        <v>36.200000000000003</v>
      </c>
      <c r="H37" s="21"/>
      <c r="I37" s="21">
        <v>37.200000000000003</v>
      </c>
      <c r="J37" s="20"/>
      <c r="K37" s="20">
        <v>36.799999999999997</v>
      </c>
      <c r="L37" s="21">
        <v>37.6</v>
      </c>
      <c r="M37" s="21">
        <v>36.6</v>
      </c>
      <c r="N37" s="20"/>
      <c r="O37" s="20">
        <v>35.799999999999997</v>
      </c>
      <c r="P37" s="21"/>
      <c r="Q37" s="21">
        <v>36.6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1.6000000000000014</v>
      </c>
      <c r="G38" s="27">
        <f>G37-G41</f>
        <v>1.7000000000000028</v>
      </c>
      <c r="H38" s="27">
        <v>1</v>
      </c>
      <c r="I38" s="27">
        <f t="shared" ref="I38:Q38" si="3">I37-I41</f>
        <v>3.3000000000000043</v>
      </c>
      <c r="J38" s="27">
        <f t="shared" si="3"/>
        <v>0</v>
      </c>
      <c r="K38" s="27">
        <f t="shared" si="3"/>
        <v>2.1999999999999957</v>
      </c>
      <c r="L38" s="27">
        <f>L37-L41</f>
        <v>2.2000000000000028</v>
      </c>
      <c r="M38" s="27">
        <f>M37-M41</f>
        <v>2.2000000000000028</v>
      </c>
      <c r="N38" s="27">
        <f>N37-N41</f>
        <v>0</v>
      </c>
      <c r="O38" s="27">
        <f>O37-O41</f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30.1</v>
      </c>
      <c r="G40" s="20">
        <v>29.2</v>
      </c>
      <c r="H40" s="21"/>
      <c r="I40" s="21">
        <v>29</v>
      </c>
      <c r="J40" s="20"/>
      <c r="K40" s="20">
        <v>29.2</v>
      </c>
      <c r="L40" s="21">
        <v>30.1</v>
      </c>
      <c r="M40" s="21">
        <v>29</v>
      </c>
      <c r="N40" s="20"/>
      <c r="O40" s="20">
        <v>28.9</v>
      </c>
      <c r="P40" s="21"/>
      <c r="Q40" s="21">
        <v>29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35.4</v>
      </c>
      <c r="G41" s="20">
        <v>34.5</v>
      </c>
      <c r="H41" s="21"/>
      <c r="I41" s="21">
        <v>33.9</v>
      </c>
      <c r="J41" s="20"/>
      <c r="K41" s="20">
        <v>34.6</v>
      </c>
      <c r="L41" s="21">
        <v>35.4</v>
      </c>
      <c r="M41" s="21">
        <v>34.4</v>
      </c>
      <c r="N41" s="20"/>
      <c r="O41" s="20">
        <v>34.299999999999997</v>
      </c>
      <c r="P41" s="21"/>
      <c r="Q41" s="21">
        <v>34.1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5.2999999999999972</v>
      </c>
      <c r="G42" s="27">
        <f>G41-G40</f>
        <v>5.3000000000000007</v>
      </c>
      <c r="H42" s="27">
        <f t="shared" ref="H42:P42" si="4">H41-H40</f>
        <v>0</v>
      </c>
      <c r="I42" s="27">
        <f t="shared" si="4"/>
        <v>4.8999999999999986</v>
      </c>
      <c r="J42" s="27">
        <f t="shared" si="4"/>
        <v>0</v>
      </c>
      <c r="K42" s="27">
        <f t="shared" si="4"/>
        <v>5.4000000000000021</v>
      </c>
      <c r="L42" s="27">
        <f>L41-L40</f>
        <v>5.2999999999999972</v>
      </c>
      <c r="M42" s="27">
        <f>M41-M40</f>
        <v>5.3999999999999986</v>
      </c>
      <c r="N42" s="27">
        <f>N41-N40</f>
        <v>0</v>
      </c>
      <c r="O42" s="27">
        <f>O41-O40</f>
        <v>5.3999999999999986</v>
      </c>
      <c r="P42" s="27">
        <f t="shared" si="4"/>
        <v>0</v>
      </c>
      <c r="Q42" s="27">
        <f>Q41-Q40</f>
        <v>5.1000000000000014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1292.9000000000001</v>
      </c>
      <c r="G43" s="20">
        <v>1297.2</v>
      </c>
      <c r="H43" s="21"/>
      <c r="I43" s="21">
        <v>1300.0999999999999</v>
      </c>
      <c r="J43" s="20"/>
      <c r="K43" s="20">
        <v>1295.2</v>
      </c>
      <c r="L43" s="21">
        <v>1306.4000000000001</v>
      </c>
      <c r="M43" s="20">
        <v>1299.7</v>
      </c>
      <c r="N43" s="20"/>
      <c r="O43" s="20">
        <v>1290.5</v>
      </c>
      <c r="P43" s="21"/>
      <c r="Q43" s="21">
        <v>1297.0999999999999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7912.6674364896044</v>
      </c>
      <c r="G44" s="28">
        <f>G42*G43/0.866</f>
        <v>7938.9838337182455</v>
      </c>
      <c r="H44" s="28">
        <f t="shared" ref="H44:Q44" si="5">H42*H43/0.866</f>
        <v>0</v>
      </c>
      <c r="I44" s="28">
        <f t="shared" si="5"/>
        <v>7356.2240184757484</v>
      </c>
      <c r="J44" s="28">
        <f t="shared" si="5"/>
        <v>0</v>
      </c>
      <c r="K44" s="28">
        <f t="shared" si="5"/>
        <v>8076.3048498845301</v>
      </c>
      <c r="L44" s="28">
        <f>L42*L43/0.866</f>
        <v>7995.2886836027674</v>
      </c>
      <c r="M44" s="28">
        <f>M42*M43/0.866</f>
        <v>8104.364896073901</v>
      </c>
      <c r="N44" s="28">
        <f>N42*N43/0.866</f>
        <v>0</v>
      </c>
      <c r="O44" s="28">
        <f>O42*O43/0.866</f>
        <v>8046.997690531176</v>
      </c>
      <c r="P44" s="28">
        <f t="shared" si="5"/>
        <v>0</v>
      </c>
      <c r="Q44" s="28">
        <f t="shared" si="5"/>
        <v>7638.8106235565829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0.48</v>
      </c>
      <c r="G45" s="20">
        <v>0.47</v>
      </c>
      <c r="H45" s="21"/>
      <c r="I45" s="21">
        <v>0.46</v>
      </c>
      <c r="J45" s="20"/>
      <c r="K45" s="20">
        <v>0.46</v>
      </c>
      <c r="L45" s="21">
        <v>0.47</v>
      </c>
      <c r="M45" s="21">
        <v>0.46</v>
      </c>
      <c r="N45" s="20"/>
      <c r="O45" s="20">
        <v>0.45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20.399999999999999</v>
      </c>
      <c r="G46" s="20">
        <v>20</v>
      </c>
      <c r="H46" s="21"/>
      <c r="I46" s="21">
        <v>19.600000000000001</v>
      </c>
      <c r="J46" s="20"/>
      <c r="K46" s="20">
        <v>19.7</v>
      </c>
      <c r="L46" s="21">
        <v>20.3</v>
      </c>
      <c r="M46" s="21">
        <v>19.8</v>
      </c>
      <c r="N46" s="20"/>
      <c r="O46" s="20">
        <v>19.2</v>
      </c>
      <c r="P46" s="21"/>
      <c r="Q46" s="21">
        <v>20.100000000000001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203.3</v>
      </c>
      <c r="G47" s="20">
        <v>207</v>
      </c>
      <c r="H47" s="21"/>
      <c r="I47" s="21">
        <v>126.7</v>
      </c>
      <c r="J47" s="20"/>
      <c r="K47" s="20">
        <v>202.7</v>
      </c>
      <c r="L47" s="21">
        <v>216.7</v>
      </c>
      <c r="M47" s="21">
        <v>216.2</v>
      </c>
      <c r="N47" s="20"/>
      <c r="O47" s="20">
        <v>160.19999999999999</v>
      </c>
      <c r="P47" s="21"/>
      <c r="Q47" s="21">
        <v>193.1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59">
        <v>5.89</v>
      </c>
      <c r="F49" s="20">
        <v>5.86</v>
      </c>
      <c r="G49" s="20">
        <v>5.86</v>
      </c>
      <c r="H49" s="21"/>
      <c r="I49" s="21">
        <v>5.29</v>
      </c>
      <c r="J49" s="20"/>
      <c r="K49" s="20">
        <v>5.73</v>
      </c>
      <c r="L49" s="21">
        <v>5.54</v>
      </c>
      <c r="M49" s="21">
        <v>5.65</v>
      </c>
      <c r="N49" s="20"/>
      <c r="O49" s="20">
        <v>5.56</v>
      </c>
      <c r="P49" s="21"/>
      <c r="Q49" s="21">
        <v>5.49</v>
      </c>
    </row>
    <row r="50" spans="2:17" ht="20.100000000000001" customHeight="1">
      <c r="B50" s="94" t="s">
        <v>91</v>
      </c>
      <c r="C50" s="94"/>
      <c r="D50" s="94"/>
      <c r="E50" s="5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5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0" zoomScaleNormal="60" zoomScaleSheetLayoutView="80" workbookViewId="0">
      <selection activeCell="I9" sqref="I9:I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45822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61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72.099999999999994</v>
      </c>
      <c r="G11" s="20">
        <v>71.2</v>
      </c>
      <c r="H11" s="21"/>
      <c r="I11" s="21">
        <v>77.099999999999994</v>
      </c>
      <c r="J11" s="20"/>
      <c r="K11" s="20">
        <v>75.2</v>
      </c>
      <c r="L11" s="21">
        <v>75.400000000000006</v>
      </c>
      <c r="M11" s="21">
        <v>76</v>
      </c>
      <c r="N11" s="20"/>
      <c r="O11" s="20">
        <v>76.7</v>
      </c>
      <c r="P11" s="21"/>
      <c r="Q11" s="21">
        <v>73.3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0.1</v>
      </c>
      <c r="G12" s="20">
        <v>0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66.900000000000006</v>
      </c>
      <c r="G13" s="20">
        <v>64.7</v>
      </c>
      <c r="H13" s="21"/>
      <c r="I13" s="21">
        <v>72.7</v>
      </c>
      <c r="J13" s="20"/>
      <c r="K13" s="20">
        <v>70.900000000000006</v>
      </c>
      <c r="L13" s="21">
        <v>70.400000000000006</v>
      </c>
      <c r="M13" s="21">
        <v>73.099999999999994</v>
      </c>
      <c r="N13" s="20"/>
      <c r="O13" s="20">
        <v>72.099999999999994</v>
      </c>
      <c r="P13" s="21"/>
      <c r="Q13" s="21">
        <v>67.599999999999994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70.099999999999994</v>
      </c>
      <c r="G14" s="20">
        <v>69.900000000000006</v>
      </c>
      <c r="H14" s="21"/>
      <c r="I14" s="21">
        <v>72.099999999999994</v>
      </c>
      <c r="J14" s="20"/>
      <c r="K14" s="20">
        <v>65.2</v>
      </c>
      <c r="L14" s="21">
        <v>68.7</v>
      </c>
      <c r="M14" s="21">
        <v>67.099999999999994</v>
      </c>
      <c r="N14" s="20"/>
      <c r="O14" s="20">
        <v>74.599999999999994</v>
      </c>
      <c r="P14" s="21"/>
      <c r="Q14" s="21">
        <v>73.900000000000006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37.6</v>
      </c>
      <c r="G15" s="20">
        <v>35.4</v>
      </c>
      <c r="H15" s="21"/>
      <c r="I15" s="21">
        <v>51.1</v>
      </c>
      <c r="J15" s="20"/>
      <c r="K15" s="20">
        <v>39.700000000000003</v>
      </c>
      <c r="L15" s="21">
        <v>34.5</v>
      </c>
      <c r="M15" s="21">
        <v>36.5</v>
      </c>
      <c r="N15" s="20"/>
      <c r="O15" s="20">
        <v>55.7</v>
      </c>
      <c r="P15" s="21"/>
      <c r="Q15" s="21">
        <v>43.9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117.6</v>
      </c>
      <c r="G17" s="20">
        <v>117.4</v>
      </c>
      <c r="H17" s="21"/>
      <c r="I17" s="21">
        <v>117.8</v>
      </c>
      <c r="J17" s="20"/>
      <c r="K17" s="20">
        <v>118.7</v>
      </c>
      <c r="L17" s="21">
        <v>117.1</v>
      </c>
      <c r="M17" s="21">
        <v>119.4</v>
      </c>
      <c r="N17" s="20"/>
      <c r="O17" s="20">
        <v>120.4</v>
      </c>
      <c r="P17" s="21"/>
      <c r="Q17" s="21">
        <v>117.6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1147</v>
      </c>
      <c r="G18" s="20">
        <v>1156</v>
      </c>
      <c r="H18" s="21"/>
      <c r="I18" s="21">
        <v>1191</v>
      </c>
      <c r="J18" s="20"/>
      <c r="K18" s="20">
        <v>1209</v>
      </c>
      <c r="L18" s="21">
        <v>1192</v>
      </c>
      <c r="M18" s="21">
        <v>1208</v>
      </c>
      <c r="N18" s="20"/>
      <c r="O18" s="20">
        <v>1219</v>
      </c>
      <c r="P18" s="21"/>
      <c r="Q18" s="21">
        <v>1189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50804.5</v>
      </c>
      <c r="G19" s="20">
        <v>50798.7</v>
      </c>
      <c r="H19" s="21"/>
      <c r="I19" s="21">
        <v>51720.7</v>
      </c>
      <c r="J19" s="20"/>
      <c r="K19" s="20">
        <v>49738.5</v>
      </c>
      <c r="L19" s="21">
        <v>52194.9</v>
      </c>
      <c r="M19" s="21">
        <v>52189.9</v>
      </c>
      <c r="N19" s="20"/>
      <c r="O19" s="20">
        <v>51345.9</v>
      </c>
      <c r="P19" s="21"/>
      <c r="Q19" s="21">
        <v>51096.9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58.4</v>
      </c>
      <c r="G22" s="20">
        <v>58.1</v>
      </c>
      <c r="H22" s="21"/>
      <c r="I22" s="21">
        <v>59.5</v>
      </c>
      <c r="J22" s="20"/>
      <c r="K22" s="20">
        <v>57.9</v>
      </c>
      <c r="L22" s="21">
        <v>57.5</v>
      </c>
      <c r="M22" s="21">
        <v>57.4</v>
      </c>
      <c r="N22" s="20"/>
      <c r="O22" s="20">
        <v>58</v>
      </c>
      <c r="P22" s="21"/>
      <c r="Q22" s="21">
        <v>59.3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0.59</v>
      </c>
      <c r="L23" s="21">
        <v>0.52</v>
      </c>
      <c r="M23" s="21">
        <v>0.52</v>
      </c>
      <c r="N23" s="20"/>
      <c r="O23" s="20">
        <v>0.53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</v>
      </c>
      <c r="G25" s="20">
        <v>45</v>
      </c>
      <c r="H25" s="21"/>
      <c r="I25" s="21">
        <v>44.8</v>
      </c>
      <c r="J25" s="20"/>
      <c r="K25" s="20">
        <v>44.9</v>
      </c>
      <c r="L25" s="21">
        <v>44.8</v>
      </c>
      <c r="M25" s="21">
        <v>45.1</v>
      </c>
      <c r="N25" s="20"/>
      <c r="O25" s="20">
        <v>44.6</v>
      </c>
      <c r="P25" s="21"/>
      <c r="Q25" s="21">
        <v>45.1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0.24</v>
      </c>
      <c r="H26" s="21"/>
      <c r="I26" s="21">
        <v>0.22</v>
      </c>
      <c r="J26" s="20"/>
      <c r="K26" s="20">
        <v>0.23</v>
      </c>
      <c r="L26" s="21">
        <v>0.22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4.0999999999999996</v>
      </c>
      <c r="G27" s="20">
        <v>4.4000000000000004</v>
      </c>
      <c r="H27" s="21"/>
      <c r="I27" s="21">
        <v>4</v>
      </c>
      <c r="J27" s="20"/>
      <c r="K27" s="20">
        <v>4.2</v>
      </c>
      <c r="L27" s="21">
        <v>4.0999999999999996</v>
      </c>
      <c r="M27" s="21">
        <v>4.0999999999999996</v>
      </c>
      <c r="N27" s="20"/>
      <c r="O27" s="20">
        <v>4.5</v>
      </c>
      <c r="P27" s="21"/>
      <c r="Q27" s="21">
        <v>4.3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3.3</v>
      </c>
      <c r="G28" s="20">
        <v>4</v>
      </c>
      <c r="H28" s="21"/>
      <c r="I28" s="21">
        <v>2.9</v>
      </c>
      <c r="J28" s="20"/>
      <c r="K28" s="20">
        <v>3.4</v>
      </c>
      <c r="L28" s="21">
        <v>2.8</v>
      </c>
      <c r="M28" s="21">
        <v>2.9</v>
      </c>
      <c r="N28" s="20"/>
      <c r="O28" s="20">
        <v>3.1</v>
      </c>
      <c r="P28" s="21"/>
      <c r="Q28" s="21">
        <v>3.8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v>1</v>
      </c>
      <c r="G29" s="27">
        <f>G32-G28</f>
        <v>0.59999999999999964</v>
      </c>
      <c r="H29" s="27">
        <f t="shared" ref="H29:Q29" si="0">H32-H28</f>
        <v>0</v>
      </c>
      <c r="I29" s="27">
        <f t="shared" si="0"/>
        <v>2.1</v>
      </c>
      <c r="J29" s="27">
        <f t="shared" si="0"/>
        <v>0</v>
      </c>
      <c r="K29" s="27">
        <f t="shared" si="0"/>
        <v>1.1000000000000001</v>
      </c>
      <c r="L29" s="27">
        <v>1.1000000000000001</v>
      </c>
      <c r="M29" s="27">
        <f>M32-M28</f>
        <v>1.1000000000000001</v>
      </c>
      <c r="N29" s="27">
        <f>N32-N28</f>
        <v>0</v>
      </c>
      <c r="O29" s="27">
        <f>O32-O28</f>
        <v>1.1000000000000001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644.48</v>
      </c>
      <c r="G30" s="20">
        <v>640.64</v>
      </c>
      <c r="H30" s="21"/>
      <c r="I30" s="21">
        <v>650.88</v>
      </c>
      <c r="J30" s="20"/>
      <c r="K30" s="20">
        <v>631.12</v>
      </c>
      <c r="L30" s="21">
        <v>623.67999999999995</v>
      </c>
      <c r="M30" s="21">
        <v>627.36</v>
      </c>
      <c r="N30" s="20"/>
      <c r="O30" s="20">
        <v>637.91999999999996</v>
      </c>
      <c r="P30" s="21"/>
      <c r="Q30" s="21">
        <v>633.36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13.2</v>
      </c>
      <c r="G31" s="20">
        <v>13.5</v>
      </c>
      <c r="H31" s="21"/>
      <c r="I31" s="21">
        <v>13.6</v>
      </c>
      <c r="J31" s="20"/>
      <c r="K31" s="20">
        <v>13.5</v>
      </c>
      <c r="L31" s="21">
        <v>13.6</v>
      </c>
      <c r="M31" s="21">
        <v>13.6</v>
      </c>
      <c r="N31" s="20"/>
      <c r="O31" s="20">
        <v>13.2</v>
      </c>
      <c r="P31" s="21"/>
      <c r="Q31" s="21">
        <v>13.5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4.3</v>
      </c>
      <c r="G32" s="20">
        <v>4.5999999999999996</v>
      </c>
      <c r="H32" s="21"/>
      <c r="I32" s="21">
        <v>5</v>
      </c>
      <c r="J32" s="20"/>
      <c r="K32" s="20">
        <v>4.5</v>
      </c>
      <c r="L32" s="21">
        <v>3.9</v>
      </c>
      <c r="M32" s="21">
        <v>4</v>
      </c>
      <c r="N32" s="20"/>
      <c r="O32" s="20">
        <v>4.2</v>
      </c>
      <c r="P32" s="21"/>
      <c r="Q32" s="21">
        <v>4.8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v>8.8999999999999986</v>
      </c>
      <c r="G33" s="27">
        <f>G31-G32</f>
        <v>8.9</v>
      </c>
      <c r="H33" s="27">
        <f t="shared" ref="H33:Q33" si="1">H31-H32</f>
        <v>0</v>
      </c>
      <c r="I33" s="27">
        <f t="shared" si="1"/>
        <v>8.6</v>
      </c>
      <c r="J33" s="27">
        <f t="shared" si="1"/>
        <v>0</v>
      </c>
      <c r="K33" s="27">
        <f t="shared" si="1"/>
        <v>9</v>
      </c>
      <c r="L33" s="27">
        <v>9.6999999999999993</v>
      </c>
      <c r="M33" s="27">
        <f>M31-M32</f>
        <v>9.6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v>6623.4087759815238</v>
      </c>
      <c r="G34" s="28">
        <f>(G33*G30)/0.866</f>
        <v>6583.944572748268</v>
      </c>
      <c r="H34" s="28">
        <f t="shared" ref="H34:Q34" si="2">(H33*H30)/0.866</f>
        <v>0</v>
      </c>
      <c r="I34" s="28">
        <f t="shared" si="2"/>
        <v>6463.7043879907615</v>
      </c>
      <c r="J34" s="28">
        <f t="shared" si="2"/>
        <v>0</v>
      </c>
      <c r="K34" s="28">
        <f t="shared" si="2"/>
        <v>6558.9838337182446</v>
      </c>
      <c r="L34" s="28">
        <v>6985.7921478060034</v>
      </c>
      <c r="M34" s="28">
        <f>(M33*M30)/0.866</f>
        <v>6954.5681293302541</v>
      </c>
      <c r="N34" s="28">
        <f>(N33*N30)/0.866</f>
        <v>0</v>
      </c>
      <c r="O34" s="28">
        <f>(O33*O30)/0.866</f>
        <v>6629.6535796766739</v>
      </c>
      <c r="P34" s="28">
        <f t="shared" si="2"/>
        <v>0</v>
      </c>
      <c r="Q34" s="28">
        <f t="shared" si="2"/>
        <v>6362.8545034642029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0.79</v>
      </c>
      <c r="G35" s="20">
        <v>0.82</v>
      </c>
      <c r="H35" s="21"/>
      <c r="I35" s="21">
        <v>0.84</v>
      </c>
      <c r="J35" s="20"/>
      <c r="K35" s="20">
        <v>0.84</v>
      </c>
      <c r="L35" s="21">
        <v>0.79</v>
      </c>
      <c r="M35" s="21">
        <v>0.83</v>
      </c>
      <c r="N35" s="20"/>
      <c r="O35" s="20">
        <v>0.81</v>
      </c>
      <c r="P35" s="21"/>
      <c r="Q35" s="21">
        <v>0.83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35.6</v>
      </c>
      <c r="G36" s="20">
        <v>36.200000000000003</v>
      </c>
      <c r="H36" s="21"/>
      <c r="I36" s="21">
        <v>36.700000000000003</v>
      </c>
      <c r="J36" s="20"/>
      <c r="K36" s="20">
        <v>36.5</v>
      </c>
      <c r="L36" s="21">
        <v>36</v>
      </c>
      <c r="M36" s="21">
        <v>36.6</v>
      </c>
      <c r="N36" s="20"/>
      <c r="O36" s="20">
        <v>35.9</v>
      </c>
      <c r="P36" s="21"/>
      <c r="Q36" s="21">
        <v>36.299999999999997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35.1</v>
      </c>
      <c r="G37" s="20">
        <v>36.5</v>
      </c>
      <c r="H37" s="21"/>
      <c r="I37" s="21">
        <v>37.4</v>
      </c>
      <c r="J37" s="20"/>
      <c r="K37" s="20">
        <v>37.1</v>
      </c>
      <c r="L37" s="21">
        <v>35.4</v>
      </c>
      <c r="M37" s="21">
        <v>36.9</v>
      </c>
      <c r="N37" s="20"/>
      <c r="O37" s="20">
        <v>36.1</v>
      </c>
      <c r="P37" s="21"/>
      <c r="Q37" s="21">
        <v>37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v>2.5</v>
      </c>
      <c r="G38" s="27">
        <f>G37-G41</f>
        <v>2.3999999999999986</v>
      </c>
      <c r="H38" s="27">
        <v>1</v>
      </c>
      <c r="I38" s="27">
        <f t="shared" ref="I38:Q38" si="3">I37-I41</f>
        <v>3.7999999999999972</v>
      </c>
      <c r="J38" s="27">
        <f t="shared" si="3"/>
        <v>0</v>
      </c>
      <c r="K38" s="27">
        <f t="shared" si="3"/>
        <v>2.8000000000000043</v>
      </c>
      <c r="L38" s="27">
        <v>2.8999999999999986</v>
      </c>
      <c r="M38" s="27">
        <f>M37-M41</f>
        <v>2.8999999999999986</v>
      </c>
      <c r="N38" s="27">
        <f>N37-N41</f>
        <v>0</v>
      </c>
      <c r="O38" s="27">
        <f>O37-O41</f>
        <v>2.2000000000000028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27.5</v>
      </c>
      <c r="G40" s="20">
        <v>28.9</v>
      </c>
      <c r="H40" s="21"/>
      <c r="I40" s="21">
        <v>28.7</v>
      </c>
      <c r="J40" s="20"/>
      <c r="K40" s="20">
        <v>28.8</v>
      </c>
      <c r="L40" s="21">
        <v>27.1</v>
      </c>
      <c r="M40" s="21">
        <v>28.7</v>
      </c>
      <c r="N40" s="20"/>
      <c r="O40" s="20">
        <v>28.8</v>
      </c>
      <c r="P40" s="21"/>
      <c r="Q40" s="21">
        <v>29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32.6</v>
      </c>
      <c r="G41" s="20">
        <v>34.1</v>
      </c>
      <c r="H41" s="21"/>
      <c r="I41" s="21">
        <v>33.6</v>
      </c>
      <c r="J41" s="20"/>
      <c r="K41" s="20">
        <v>34.299999999999997</v>
      </c>
      <c r="L41" s="21">
        <v>32.5</v>
      </c>
      <c r="M41" s="21">
        <v>34</v>
      </c>
      <c r="N41" s="20"/>
      <c r="O41" s="20">
        <v>33.9</v>
      </c>
      <c r="P41" s="21"/>
      <c r="Q41" s="21">
        <v>34.200000000000003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v>5.1000000000000014</v>
      </c>
      <c r="G42" s="27">
        <f>G41-G40</f>
        <v>5.2000000000000028</v>
      </c>
      <c r="H42" s="27">
        <f t="shared" ref="H42:P42" si="4">H41-H40</f>
        <v>0</v>
      </c>
      <c r="I42" s="27">
        <f t="shared" si="4"/>
        <v>4.9000000000000021</v>
      </c>
      <c r="J42" s="27">
        <f t="shared" si="4"/>
        <v>0</v>
      </c>
      <c r="K42" s="27">
        <f t="shared" si="4"/>
        <v>5.4999999999999964</v>
      </c>
      <c r="L42" s="27">
        <v>5.3999999999999986</v>
      </c>
      <c r="M42" s="27">
        <f>M41-M40</f>
        <v>5.3000000000000007</v>
      </c>
      <c r="N42" s="27">
        <f>N41-N40</f>
        <v>0</v>
      </c>
      <c r="O42" s="27">
        <f>O41-O40</f>
        <v>5.0999999999999979</v>
      </c>
      <c r="P42" s="27">
        <f t="shared" si="4"/>
        <v>0</v>
      </c>
      <c r="Q42" s="27">
        <f>Q41-Q40</f>
        <v>5.2000000000000028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1287.8599999999999</v>
      </c>
      <c r="G43" s="20">
        <v>1292.2</v>
      </c>
      <c r="H43" s="21"/>
      <c r="I43" s="21">
        <v>1303.54</v>
      </c>
      <c r="J43" s="20"/>
      <c r="K43" s="20">
        <v>1287.58</v>
      </c>
      <c r="L43" s="21">
        <v>1299.2</v>
      </c>
      <c r="M43" s="20">
        <v>1297.94</v>
      </c>
      <c r="N43" s="20"/>
      <c r="O43" s="20">
        <v>1287.1600000000001</v>
      </c>
      <c r="P43" s="21"/>
      <c r="Q43" s="21">
        <v>1299.6199999999999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v>7584.3949191685924</v>
      </c>
      <c r="G44" s="28">
        <f>G42*G43/0.866</f>
        <v>7759.1685912240237</v>
      </c>
      <c r="H44" s="28">
        <f t="shared" ref="H44:Q44" si="5">H42*H43/0.866</f>
        <v>0</v>
      </c>
      <c r="I44" s="28">
        <f t="shared" si="5"/>
        <v>7375.6882217090097</v>
      </c>
      <c r="J44" s="28">
        <f t="shared" si="5"/>
        <v>0</v>
      </c>
      <c r="K44" s="28">
        <f t="shared" si="5"/>
        <v>8177.471131639717</v>
      </c>
      <c r="L44" s="28">
        <v>8101.2471131639704</v>
      </c>
      <c r="M44" s="28">
        <f>M42*M43/0.866</f>
        <v>7943.512702078523</v>
      </c>
      <c r="N44" s="28">
        <f>N42*N43/0.866</f>
        <v>0</v>
      </c>
      <c r="O44" s="28">
        <f>O42*O43/0.866</f>
        <v>7580.2725173210138</v>
      </c>
      <c r="P44" s="28">
        <f t="shared" si="5"/>
        <v>0</v>
      </c>
      <c r="Q44" s="28">
        <f t="shared" si="5"/>
        <v>7803.7228637413427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0.47</v>
      </c>
      <c r="H45" s="21"/>
      <c r="I45" s="21">
        <v>0.47</v>
      </c>
      <c r="J45" s="20"/>
      <c r="K45" s="20">
        <v>0.46</v>
      </c>
      <c r="L45" s="21">
        <v>0.46</v>
      </c>
      <c r="M45" s="21">
        <v>0.47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19.7</v>
      </c>
      <c r="G46" s="20">
        <v>20.100000000000001</v>
      </c>
      <c r="H46" s="21"/>
      <c r="I46" s="21">
        <v>19.8</v>
      </c>
      <c r="J46" s="20"/>
      <c r="K46" s="20">
        <v>19.7</v>
      </c>
      <c r="L46" s="21">
        <v>19.600000000000001</v>
      </c>
      <c r="M46" s="21">
        <v>19.8</v>
      </c>
      <c r="N46" s="20"/>
      <c r="O46" s="20">
        <v>19.600000000000001</v>
      </c>
      <c r="P46" s="21"/>
      <c r="Q46" s="21">
        <v>20.2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197.5</v>
      </c>
      <c r="G47" s="20">
        <v>201</v>
      </c>
      <c r="H47" s="21"/>
      <c r="I47" s="21">
        <v>133</v>
      </c>
      <c r="J47" s="20"/>
      <c r="K47" s="20">
        <v>204.8</v>
      </c>
      <c r="L47" s="21">
        <v>219.1</v>
      </c>
      <c r="M47" s="21">
        <v>204</v>
      </c>
      <c r="N47" s="20"/>
      <c r="O47" s="20">
        <v>151.30000000000001</v>
      </c>
      <c r="P47" s="21"/>
      <c r="Q47" s="21">
        <v>192.9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61">
        <v>5.89</v>
      </c>
      <c r="F49" s="20">
        <v>5.93</v>
      </c>
      <c r="G49" s="20">
        <v>5.93</v>
      </c>
      <c r="H49" s="21"/>
      <c r="I49" s="21">
        <v>5.23</v>
      </c>
      <c r="J49" s="20"/>
      <c r="K49" s="20">
        <v>5.54</v>
      </c>
      <c r="L49" s="21">
        <v>5.7</v>
      </c>
      <c r="M49" s="21">
        <v>5.78</v>
      </c>
      <c r="N49" s="20"/>
      <c r="O49" s="20">
        <v>5.63</v>
      </c>
      <c r="P49" s="21"/>
      <c r="Q49" s="21">
        <v>5.38</v>
      </c>
    </row>
    <row r="50" spans="2:17" ht="20.100000000000001" customHeight="1">
      <c r="B50" s="94" t="s">
        <v>91</v>
      </c>
      <c r="C50" s="94"/>
      <c r="D50" s="94"/>
      <c r="E50" s="6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6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0" zoomScaleNormal="60" zoomScaleSheetLayoutView="80" workbookViewId="0">
      <selection activeCell="L9" sqref="L9:L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45823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63" t="s">
        <v>18</v>
      </c>
      <c r="E10" s="15"/>
      <c r="F10" s="16"/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70.599999999999994</v>
      </c>
      <c r="H11" s="21">
        <v>80.400000000000006</v>
      </c>
      <c r="I11" s="21">
        <v>77.400000000000006</v>
      </c>
      <c r="J11" s="20"/>
      <c r="K11" s="20">
        <v>74.3</v>
      </c>
      <c r="L11" s="21">
        <v>71.8</v>
      </c>
      <c r="M11" s="21">
        <v>75.7</v>
      </c>
      <c r="N11" s="20"/>
      <c r="O11" s="20">
        <v>74.3</v>
      </c>
      <c r="P11" s="21"/>
      <c r="Q11" s="21">
        <v>73.8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0.6</v>
      </c>
      <c r="H12" s="21">
        <v>0</v>
      </c>
      <c r="I12" s="21">
        <v>0</v>
      </c>
      <c r="J12" s="20"/>
      <c r="K12" s="20">
        <v>0</v>
      </c>
      <c r="L12" s="21">
        <v>0.1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63.9</v>
      </c>
      <c r="H13" s="21">
        <v>76.400000000000006</v>
      </c>
      <c r="I13" s="21">
        <v>72.099999999999994</v>
      </c>
      <c r="J13" s="20"/>
      <c r="K13" s="20">
        <v>68.400000000000006</v>
      </c>
      <c r="L13" s="21">
        <v>68.7</v>
      </c>
      <c r="M13" s="21">
        <v>72.400000000000006</v>
      </c>
      <c r="N13" s="20"/>
      <c r="O13" s="20">
        <v>69.2</v>
      </c>
      <c r="P13" s="21"/>
      <c r="Q13" s="21">
        <v>68.099999999999994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69.8</v>
      </c>
      <c r="H14" s="21">
        <v>68</v>
      </c>
      <c r="I14" s="21">
        <v>70.7</v>
      </c>
      <c r="J14" s="20"/>
      <c r="K14" s="20">
        <v>64.7</v>
      </c>
      <c r="L14" s="21">
        <v>65.5</v>
      </c>
      <c r="M14" s="21">
        <v>67.599999999999994</v>
      </c>
      <c r="N14" s="20"/>
      <c r="O14" s="20">
        <v>74.599999999999994</v>
      </c>
      <c r="P14" s="21"/>
      <c r="Q14" s="21">
        <v>73.5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37.9</v>
      </c>
      <c r="H15" s="21">
        <v>51.8</v>
      </c>
      <c r="I15" s="21">
        <v>49.4</v>
      </c>
      <c r="J15" s="20"/>
      <c r="K15" s="20">
        <v>36.1</v>
      </c>
      <c r="L15" s="21">
        <v>31.2</v>
      </c>
      <c r="M15" s="21">
        <v>33.4</v>
      </c>
      <c r="N15" s="20"/>
      <c r="O15" s="20">
        <v>53.6</v>
      </c>
      <c r="P15" s="21"/>
      <c r="Q15" s="21">
        <v>43.9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>
        <v>6.6</v>
      </c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117.1</v>
      </c>
      <c r="H17" s="21">
        <v>117.2</v>
      </c>
      <c r="I17" s="21">
        <v>116.2</v>
      </c>
      <c r="J17" s="20"/>
      <c r="K17" s="20">
        <v>117.4</v>
      </c>
      <c r="L17" s="21">
        <v>114.4</v>
      </c>
      <c r="M17" s="21">
        <v>118.9</v>
      </c>
      <c r="N17" s="20"/>
      <c r="O17" s="20">
        <v>118.9</v>
      </c>
      <c r="P17" s="21"/>
      <c r="Q17" s="21">
        <v>119.3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1147</v>
      </c>
      <c r="H18" s="21">
        <v>1190</v>
      </c>
      <c r="I18" s="21">
        <v>1175</v>
      </c>
      <c r="J18" s="20"/>
      <c r="K18" s="20">
        <v>1176</v>
      </c>
      <c r="L18" s="21">
        <v>1164</v>
      </c>
      <c r="M18" s="21">
        <v>1204</v>
      </c>
      <c r="N18" s="20"/>
      <c r="O18" s="20">
        <v>1200</v>
      </c>
      <c r="P18" s="21"/>
      <c r="Q18" s="21">
        <v>1202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50808.9</v>
      </c>
      <c r="H19" s="21">
        <v>51740.4</v>
      </c>
      <c r="I19" s="21">
        <v>51731.1</v>
      </c>
      <c r="J19" s="20"/>
      <c r="K19" s="20">
        <v>49763.1</v>
      </c>
      <c r="L19" s="21">
        <v>52209.7</v>
      </c>
      <c r="M19" s="21">
        <v>52200.4</v>
      </c>
      <c r="N19" s="20"/>
      <c r="O19" s="20">
        <v>51368.800000000003</v>
      </c>
      <c r="P19" s="21"/>
      <c r="Q19" s="21">
        <v>51106.9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</v>
      </c>
      <c r="H22" s="21">
        <v>59.2</v>
      </c>
      <c r="I22" s="21">
        <v>59.2</v>
      </c>
      <c r="J22" s="20"/>
      <c r="K22" s="20">
        <v>57.6</v>
      </c>
      <c r="L22" s="21">
        <v>57.5</v>
      </c>
      <c r="M22" s="21">
        <v>57.5</v>
      </c>
      <c r="N22" s="20"/>
      <c r="O22" s="20">
        <v>58.7</v>
      </c>
      <c r="P22" s="21"/>
      <c r="Q22" s="21">
        <v>59.3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>
        <v>0.49</v>
      </c>
      <c r="I23" s="21">
        <v>0.5</v>
      </c>
      <c r="J23" s="20"/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>
        <v>44.9</v>
      </c>
      <c r="I25" s="21">
        <v>45</v>
      </c>
      <c r="J25" s="20"/>
      <c r="K25" s="20">
        <v>44.9</v>
      </c>
      <c r="L25" s="21">
        <v>45</v>
      </c>
      <c r="M25" s="21">
        <v>45</v>
      </c>
      <c r="N25" s="20"/>
      <c r="O25" s="20">
        <v>44.9</v>
      </c>
      <c r="P25" s="21"/>
      <c r="Q25" s="21">
        <v>44.7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>
        <v>0.21</v>
      </c>
      <c r="I26" s="21">
        <v>0.22</v>
      </c>
      <c r="J26" s="20"/>
      <c r="K26" s="20">
        <v>0.23</v>
      </c>
      <c r="L26" s="21">
        <v>0.22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>
        <v>3.1</v>
      </c>
      <c r="I27" s="21">
        <v>3.6</v>
      </c>
      <c r="J27" s="20"/>
      <c r="K27" s="20">
        <v>3.9</v>
      </c>
      <c r="L27" s="21">
        <v>3.7</v>
      </c>
      <c r="M27" s="21">
        <v>4.0999999999999996</v>
      </c>
      <c r="N27" s="20"/>
      <c r="O27" s="20">
        <v>4.4000000000000004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>
        <v>2.1</v>
      </c>
      <c r="I28" s="21">
        <v>2.7</v>
      </c>
      <c r="J28" s="20"/>
      <c r="K28" s="20">
        <v>3.3</v>
      </c>
      <c r="L28" s="21">
        <v>2.6</v>
      </c>
      <c r="M28" s="21">
        <v>3</v>
      </c>
      <c r="N28" s="20"/>
      <c r="O28" s="20">
        <v>3.3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0.50000000000000044</v>
      </c>
      <c r="H29" s="27">
        <f t="shared" ref="H29:Q29" si="0">H32-H28</f>
        <v>2.6999999999999997</v>
      </c>
      <c r="I29" s="27">
        <f t="shared" si="0"/>
        <v>2.2000000000000002</v>
      </c>
      <c r="J29" s="27">
        <f t="shared" si="0"/>
        <v>0</v>
      </c>
      <c r="K29" s="27">
        <f t="shared" si="0"/>
        <v>1.2999999999999998</v>
      </c>
      <c r="L29" s="27">
        <f>L32-L28</f>
        <v>1.2999999999999998</v>
      </c>
      <c r="M29" s="27">
        <f>M32-M28</f>
        <v>1</v>
      </c>
      <c r="N29" s="27">
        <f>N32-N28</f>
        <v>0</v>
      </c>
      <c r="O29" s="27">
        <f>O32-O28</f>
        <v>1.1000000000000005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628.88</v>
      </c>
      <c r="H30" s="21">
        <v>677.4</v>
      </c>
      <c r="I30" s="21">
        <v>631.91999999999996</v>
      </c>
      <c r="J30" s="20"/>
      <c r="K30" s="20">
        <v>638</v>
      </c>
      <c r="L30" s="21">
        <v>629.9</v>
      </c>
      <c r="M30" s="21">
        <v>634.64</v>
      </c>
      <c r="N30" s="20"/>
      <c r="O30" s="20">
        <v>637.67999999999995</v>
      </c>
      <c r="P30" s="21"/>
      <c r="Q30" s="21">
        <v>646.72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>
        <v>13</v>
      </c>
      <c r="I31" s="21">
        <v>13.5</v>
      </c>
      <c r="J31" s="20"/>
      <c r="K31" s="20">
        <v>13.4</v>
      </c>
      <c r="L31" s="21">
        <v>12.8</v>
      </c>
      <c r="M31" s="21">
        <v>13.5</v>
      </c>
      <c r="N31" s="20"/>
      <c r="O31" s="20">
        <v>13.4</v>
      </c>
      <c r="P31" s="21"/>
      <c r="Q31" s="21">
        <v>13.3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4.4000000000000004</v>
      </c>
      <c r="H32" s="21">
        <v>4.8</v>
      </c>
      <c r="I32" s="21">
        <v>4.9000000000000004</v>
      </c>
      <c r="J32" s="20"/>
      <c r="K32" s="20">
        <v>4.5999999999999996</v>
      </c>
      <c r="L32" s="21">
        <v>3.9</v>
      </c>
      <c r="M32" s="21">
        <v>4</v>
      </c>
      <c r="N32" s="20"/>
      <c r="O32" s="20">
        <v>4.4000000000000004</v>
      </c>
      <c r="P32" s="21"/>
      <c r="Q32" s="21">
        <v>4.7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</v>
      </c>
      <c r="H33" s="27">
        <f t="shared" ref="H33:Q33" si="1">H31-H32</f>
        <v>8.1999999999999993</v>
      </c>
      <c r="I33" s="27">
        <f t="shared" si="1"/>
        <v>8.6</v>
      </c>
      <c r="J33" s="27">
        <f t="shared" si="1"/>
        <v>0</v>
      </c>
      <c r="K33" s="27">
        <f t="shared" si="1"/>
        <v>8.8000000000000007</v>
      </c>
      <c r="L33" s="27">
        <f>L31-L32</f>
        <v>8.9</v>
      </c>
      <c r="M33" s="27">
        <f>M31-M32</f>
        <v>9.5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6608.3233256351041</v>
      </c>
      <c r="H34" s="28">
        <f t="shared" ref="H34:Q34" si="2">(H33*H30)/0.866</f>
        <v>6414.1801385681283</v>
      </c>
      <c r="I34" s="28">
        <f t="shared" si="2"/>
        <v>6275.4180138568126</v>
      </c>
      <c r="J34" s="28">
        <f t="shared" si="2"/>
        <v>0</v>
      </c>
      <c r="K34" s="28">
        <f t="shared" si="2"/>
        <v>6483.1408775981536</v>
      </c>
      <c r="L34" s="28">
        <f>(L33*L30)/0.866</f>
        <v>6473.5681293302541</v>
      </c>
      <c r="M34" s="28">
        <f>(M33*M30)/0.866</f>
        <v>6961.9861431870668</v>
      </c>
      <c r="N34" s="28">
        <f>(N33*N30)/0.866</f>
        <v>0</v>
      </c>
      <c r="O34" s="28">
        <f>(O33*O30)/0.866</f>
        <v>6627.1593533487294</v>
      </c>
      <c r="P34" s="28">
        <f t="shared" si="2"/>
        <v>0</v>
      </c>
      <c r="Q34" s="28">
        <f t="shared" si="2"/>
        <v>6422.3926096997702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>
        <v>0.84</v>
      </c>
      <c r="I35" s="21">
        <v>0.85</v>
      </c>
      <c r="J35" s="20"/>
      <c r="K35" s="20">
        <v>0.84</v>
      </c>
      <c r="L35" s="21">
        <v>0.82</v>
      </c>
      <c r="M35" s="21">
        <v>0.84</v>
      </c>
      <c r="N35" s="20"/>
      <c r="O35" s="20">
        <v>0.82</v>
      </c>
      <c r="P35" s="21"/>
      <c r="Q35" s="21">
        <v>0.84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36.200000000000003</v>
      </c>
      <c r="H36" s="21">
        <v>36.5</v>
      </c>
      <c r="I36" s="21">
        <v>36.6</v>
      </c>
      <c r="J36" s="20"/>
      <c r="K36" s="20">
        <v>36.5</v>
      </c>
      <c r="L36" s="21">
        <v>36.200000000000003</v>
      </c>
      <c r="M36" s="21">
        <v>36.6</v>
      </c>
      <c r="N36" s="20"/>
      <c r="O36" s="20">
        <v>35.799999999999997</v>
      </c>
      <c r="P36" s="21"/>
      <c r="Q36" s="21">
        <v>36.4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36.700000000000003</v>
      </c>
      <c r="H37" s="21">
        <v>37.4</v>
      </c>
      <c r="I37" s="21">
        <v>37.5</v>
      </c>
      <c r="J37" s="20"/>
      <c r="K37" s="20">
        <v>37.200000000000003</v>
      </c>
      <c r="L37" s="21">
        <v>36.6</v>
      </c>
      <c r="M37" s="21">
        <v>37.1</v>
      </c>
      <c r="N37" s="20"/>
      <c r="O37" s="20">
        <v>36.299999999999997</v>
      </c>
      <c r="P37" s="21"/>
      <c r="Q37" s="21">
        <v>37.200000000000003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2.3000000000000043</v>
      </c>
      <c r="H38" s="27">
        <v>1</v>
      </c>
      <c r="I38" s="27">
        <f t="shared" ref="I38:Q38" si="3">I37-I41</f>
        <v>3.6000000000000014</v>
      </c>
      <c r="J38" s="27">
        <f t="shared" si="3"/>
        <v>0</v>
      </c>
      <c r="K38" s="27">
        <f t="shared" si="3"/>
        <v>2.8000000000000043</v>
      </c>
      <c r="L38" s="27">
        <f>L37-L41</f>
        <v>2.6000000000000014</v>
      </c>
      <c r="M38" s="27">
        <f>M37-M41</f>
        <v>3</v>
      </c>
      <c r="N38" s="27">
        <f>N37-N41</f>
        <v>0</v>
      </c>
      <c r="O38" s="27">
        <f>O37-O41</f>
        <v>2.2999999999999972</v>
      </c>
      <c r="P38" s="27">
        <f t="shared" si="3"/>
        <v>0</v>
      </c>
      <c r="Q38" s="27">
        <f t="shared" si="3"/>
        <v>2.8000000000000043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29.2</v>
      </c>
      <c r="H40" s="21">
        <v>28.8</v>
      </c>
      <c r="I40" s="21">
        <v>29</v>
      </c>
      <c r="J40" s="20"/>
      <c r="K40" s="20">
        <v>29</v>
      </c>
      <c r="L40" s="21">
        <v>28.8</v>
      </c>
      <c r="M40" s="21">
        <v>28.9</v>
      </c>
      <c r="N40" s="20"/>
      <c r="O40" s="20">
        <v>29</v>
      </c>
      <c r="P40" s="21"/>
      <c r="Q40" s="21">
        <v>29.2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34.4</v>
      </c>
      <c r="H41" s="21">
        <v>33.700000000000003</v>
      </c>
      <c r="I41" s="21">
        <v>33.9</v>
      </c>
      <c r="J41" s="20"/>
      <c r="K41" s="20">
        <v>34.4</v>
      </c>
      <c r="L41" s="21">
        <v>34</v>
      </c>
      <c r="M41" s="21">
        <v>34.1</v>
      </c>
      <c r="N41" s="20"/>
      <c r="O41" s="20">
        <v>34</v>
      </c>
      <c r="P41" s="21"/>
      <c r="Q41" s="21">
        <v>34.4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5.1999999999999993</v>
      </c>
      <c r="H42" s="27">
        <f t="shared" ref="H42:P42" si="4">H41-H40</f>
        <v>4.9000000000000021</v>
      </c>
      <c r="I42" s="27">
        <f t="shared" si="4"/>
        <v>4.8999999999999986</v>
      </c>
      <c r="J42" s="27">
        <f t="shared" si="4"/>
        <v>0</v>
      </c>
      <c r="K42" s="27">
        <f t="shared" si="4"/>
        <v>5.3999999999999986</v>
      </c>
      <c r="L42" s="27">
        <f>L41-L40</f>
        <v>5.1999999999999993</v>
      </c>
      <c r="M42" s="27">
        <f>M41-M40</f>
        <v>5.2000000000000028</v>
      </c>
      <c r="N42" s="27">
        <f>N41-N40</f>
        <v>0</v>
      </c>
      <c r="O42" s="27">
        <f>O41-O40</f>
        <v>5</v>
      </c>
      <c r="P42" s="27">
        <f t="shared" si="4"/>
        <v>0</v>
      </c>
      <c r="Q42" s="27">
        <f>Q41-Q40</f>
        <v>5.1999999999999993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1301.1600000000001</v>
      </c>
      <c r="H43" s="21">
        <v>1285.2</v>
      </c>
      <c r="I43" s="21">
        <v>1300.5999999999999</v>
      </c>
      <c r="J43" s="20"/>
      <c r="K43" s="20">
        <v>1306.76</v>
      </c>
      <c r="L43" s="21">
        <v>1290</v>
      </c>
      <c r="M43" s="20">
        <v>1288.98</v>
      </c>
      <c r="N43" s="20"/>
      <c r="O43" s="20">
        <v>1291.22</v>
      </c>
      <c r="P43" s="21"/>
      <c r="Q43" s="21">
        <v>1297.94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7812.9699769053113</v>
      </c>
      <c r="H44" s="28">
        <f t="shared" ref="H44:Q44" si="5">H42*H43/0.866</f>
        <v>7271.9168591224052</v>
      </c>
      <c r="I44" s="28">
        <f t="shared" si="5"/>
        <v>7359.0531177829071</v>
      </c>
      <c r="J44" s="28">
        <f t="shared" si="5"/>
        <v>0</v>
      </c>
      <c r="K44" s="28">
        <f t="shared" si="5"/>
        <v>8148.3879907621222</v>
      </c>
      <c r="L44" s="28">
        <f>L42*L43/0.866</f>
        <v>7745.9584295612003</v>
      </c>
      <c r="M44" s="28">
        <f>M42*M43/0.866</f>
        <v>7739.8337182448076</v>
      </c>
      <c r="N44" s="28">
        <f>N42*N43/0.866</f>
        <v>0</v>
      </c>
      <c r="O44" s="28">
        <f>O42*O43/0.866</f>
        <v>7455.0808314087762</v>
      </c>
      <c r="P44" s="28">
        <f t="shared" si="5"/>
        <v>0</v>
      </c>
      <c r="Q44" s="28">
        <f t="shared" si="5"/>
        <v>7793.6351039260962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>
        <v>0.45</v>
      </c>
      <c r="I45" s="21">
        <v>0.46</v>
      </c>
      <c r="J45" s="20"/>
      <c r="K45" s="20">
        <v>0.47</v>
      </c>
      <c r="L45" s="21">
        <v>0.46</v>
      </c>
      <c r="M45" s="21">
        <v>0.46</v>
      </c>
      <c r="N45" s="20"/>
      <c r="O45" s="20">
        <v>0.46</v>
      </c>
      <c r="P45" s="21"/>
      <c r="Q45" s="21">
        <v>0.48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20.100000000000001</v>
      </c>
      <c r="H46" s="21">
        <v>19</v>
      </c>
      <c r="I46" s="21">
        <v>19.8</v>
      </c>
      <c r="J46" s="20"/>
      <c r="K46" s="20">
        <v>19.899999999999999</v>
      </c>
      <c r="L46" s="21">
        <v>19.5</v>
      </c>
      <c r="M46" s="21">
        <v>19.8</v>
      </c>
      <c r="N46" s="20"/>
      <c r="O46" s="20">
        <v>19.5</v>
      </c>
      <c r="P46" s="21"/>
      <c r="Q46" s="21">
        <v>20.3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189.3</v>
      </c>
      <c r="H47" s="21">
        <v>129.9</v>
      </c>
      <c r="I47" s="21">
        <v>127</v>
      </c>
      <c r="J47" s="20"/>
      <c r="K47" s="20">
        <v>209.5</v>
      </c>
      <c r="L47" s="21">
        <v>200.7</v>
      </c>
      <c r="M47" s="21">
        <v>216</v>
      </c>
      <c r="N47" s="20"/>
      <c r="O47" s="20">
        <v>160.5</v>
      </c>
      <c r="P47" s="21"/>
      <c r="Q47" s="21">
        <v>201.2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63">
        <v>5.89</v>
      </c>
      <c r="F49" s="20"/>
      <c r="G49" s="20">
        <v>5.77</v>
      </c>
      <c r="H49" s="21">
        <v>5.13</v>
      </c>
      <c r="I49" s="21">
        <v>5.59</v>
      </c>
      <c r="J49" s="20"/>
      <c r="K49" s="20">
        <v>5.65</v>
      </c>
      <c r="L49" s="21">
        <v>5.7</v>
      </c>
      <c r="M49" s="21">
        <v>5.72</v>
      </c>
      <c r="N49" s="20"/>
      <c r="O49" s="20">
        <v>5.63</v>
      </c>
      <c r="P49" s="21"/>
      <c r="Q49" s="21">
        <v>5.22</v>
      </c>
    </row>
    <row r="50" spans="2:17" ht="20.100000000000001" customHeight="1">
      <c r="B50" s="94" t="s">
        <v>91</v>
      </c>
      <c r="C50" s="94"/>
      <c r="D50" s="94"/>
      <c r="E50" s="6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6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C1" zoomScale="80" zoomScaleNormal="60" zoomScaleSheetLayoutView="80" workbookViewId="0">
      <selection activeCell="F9" sqref="F9:F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45824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65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74.599999999999994</v>
      </c>
      <c r="G11" s="20">
        <v>70.3</v>
      </c>
      <c r="H11" s="21"/>
      <c r="I11" s="21">
        <v>83</v>
      </c>
      <c r="J11" s="20"/>
      <c r="K11" s="20">
        <v>68.5</v>
      </c>
      <c r="L11" s="21"/>
      <c r="M11" s="21">
        <v>79.099999999999994</v>
      </c>
      <c r="N11" s="20">
        <v>78.099999999999994</v>
      </c>
      <c r="O11" s="20">
        <v>73.5</v>
      </c>
      <c r="P11" s="21"/>
      <c r="Q11" s="21">
        <v>74.900000000000006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0.1</v>
      </c>
      <c r="G12" s="20">
        <v>0.1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68.7</v>
      </c>
      <c r="G13" s="20">
        <v>64.599999999999994</v>
      </c>
      <c r="H13" s="21"/>
      <c r="I13" s="21">
        <v>79.900000000000006</v>
      </c>
      <c r="J13" s="20"/>
      <c r="K13" s="20">
        <v>64.400000000000006</v>
      </c>
      <c r="L13" s="21"/>
      <c r="M13" s="21">
        <v>74.5</v>
      </c>
      <c r="N13" s="20">
        <v>73.400000000000006</v>
      </c>
      <c r="O13" s="20">
        <v>68.7</v>
      </c>
      <c r="P13" s="21"/>
      <c r="Q13" s="21">
        <v>59.3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69.2</v>
      </c>
      <c r="G14" s="20">
        <v>69.5</v>
      </c>
      <c r="H14" s="21"/>
      <c r="I14" s="21">
        <v>70.3</v>
      </c>
      <c r="J14" s="20"/>
      <c r="K14" s="20">
        <v>64.8</v>
      </c>
      <c r="L14" s="21"/>
      <c r="M14" s="21">
        <v>68.400000000000006</v>
      </c>
      <c r="N14" s="20">
        <v>75.3</v>
      </c>
      <c r="O14" s="20">
        <v>72.8</v>
      </c>
      <c r="P14" s="21"/>
      <c r="Q14" s="21">
        <v>73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42</v>
      </c>
      <c r="G15" s="20">
        <v>42</v>
      </c>
      <c r="H15" s="21"/>
      <c r="I15" s="21">
        <v>57.1</v>
      </c>
      <c r="J15" s="20"/>
      <c r="K15" s="20">
        <v>41.3</v>
      </c>
      <c r="L15" s="21"/>
      <c r="M15" s="21">
        <v>37.4</v>
      </c>
      <c r="N15" s="20">
        <v>50.3</v>
      </c>
      <c r="O15" s="20">
        <v>58.1</v>
      </c>
      <c r="P15" s="21"/>
      <c r="Q15" s="21">
        <v>44.5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117</v>
      </c>
      <c r="G17" s="20">
        <v>115.2</v>
      </c>
      <c r="H17" s="21"/>
      <c r="I17" s="21">
        <v>118.1</v>
      </c>
      <c r="J17" s="20"/>
      <c r="K17" s="20">
        <v>111.7</v>
      </c>
      <c r="L17" s="21"/>
      <c r="M17" s="21">
        <v>116.9</v>
      </c>
      <c r="N17" s="20">
        <v>118</v>
      </c>
      <c r="O17" s="20">
        <v>113.8</v>
      </c>
      <c r="P17" s="21"/>
      <c r="Q17" s="21">
        <v>116.7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1153</v>
      </c>
      <c r="G18" s="20">
        <v>1126</v>
      </c>
      <c r="H18" s="21"/>
      <c r="I18" s="21">
        <v>1189</v>
      </c>
      <c r="J18" s="20"/>
      <c r="K18" s="20">
        <v>1131</v>
      </c>
      <c r="L18" s="21"/>
      <c r="M18" s="21">
        <v>1195</v>
      </c>
      <c r="N18" s="20">
        <v>1203</v>
      </c>
      <c r="O18" s="20">
        <v>1160</v>
      </c>
      <c r="P18" s="21"/>
      <c r="Q18" s="21">
        <v>1191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50827.3</v>
      </c>
      <c r="G19" s="20">
        <v>50819.4</v>
      </c>
      <c r="H19" s="21"/>
      <c r="I19" s="21">
        <v>51756.4</v>
      </c>
      <c r="J19" s="20"/>
      <c r="K19" s="20">
        <v>49773.9</v>
      </c>
      <c r="L19" s="21"/>
      <c r="M19" s="21">
        <v>52225.7</v>
      </c>
      <c r="N19" s="20">
        <v>51387.4</v>
      </c>
      <c r="O19" s="20">
        <v>51379.5</v>
      </c>
      <c r="P19" s="21"/>
      <c r="Q19" s="21">
        <v>51117.9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</v>
      </c>
      <c r="G22" s="20">
        <v>58.2</v>
      </c>
      <c r="H22" s="21"/>
      <c r="I22" s="21">
        <v>59.4</v>
      </c>
      <c r="J22" s="20"/>
      <c r="K22" s="20">
        <v>57.9</v>
      </c>
      <c r="L22" s="21"/>
      <c r="M22" s="21">
        <v>57.3</v>
      </c>
      <c r="N22" s="20">
        <v>58.5</v>
      </c>
      <c r="O22" s="20">
        <v>58.4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0.57999999999999996</v>
      </c>
      <c r="L23" s="21"/>
      <c r="M23" s="21">
        <v>0.64</v>
      </c>
      <c r="N23" s="20">
        <v>0.47</v>
      </c>
      <c r="O23" s="20">
        <v>0.47</v>
      </c>
      <c r="P23" s="21"/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45.1</v>
      </c>
      <c r="G25" s="20">
        <v>44.2</v>
      </c>
      <c r="H25" s="21"/>
      <c r="I25" s="21">
        <v>45.1</v>
      </c>
      <c r="J25" s="20"/>
      <c r="K25" s="20">
        <v>45</v>
      </c>
      <c r="L25" s="21"/>
      <c r="M25" s="21">
        <v>45</v>
      </c>
      <c r="N25" s="20">
        <v>44.8</v>
      </c>
      <c r="O25" s="20">
        <v>45.1</v>
      </c>
      <c r="P25" s="21"/>
      <c r="Q25" s="21">
        <v>44.8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0.25</v>
      </c>
      <c r="H26" s="21"/>
      <c r="I26" s="21">
        <v>0.21</v>
      </c>
      <c r="J26" s="20"/>
      <c r="K26" s="20">
        <v>0.22</v>
      </c>
      <c r="L26" s="21"/>
      <c r="M26" s="21">
        <v>0.21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</v>
      </c>
      <c r="G27" s="20">
        <v>4</v>
      </c>
      <c r="H27" s="21"/>
      <c r="I27" s="21">
        <v>2.7</v>
      </c>
      <c r="J27" s="20"/>
      <c r="K27" s="20">
        <v>4.2</v>
      </c>
      <c r="L27" s="21"/>
      <c r="M27" s="21">
        <v>3.4</v>
      </c>
      <c r="N27" s="20">
        <v>4.0999999999999996</v>
      </c>
      <c r="O27" s="20">
        <v>3.7</v>
      </c>
      <c r="P27" s="21"/>
      <c r="Q27" s="21">
        <v>4.5999999999999996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3.5</v>
      </c>
      <c r="G28" s="20">
        <v>3.5</v>
      </c>
      <c r="H28" s="21"/>
      <c r="I28" s="21">
        <v>4.9000000000000004</v>
      </c>
      <c r="J28" s="20"/>
      <c r="K28" s="20">
        <v>3.3</v>
      </c>
      <c r="L28" s="21"/>
      <c r="M28" s="21">
        <v>2.4</v>
      </c>
      <c r="N28" s="20">
        <v>3.2</v>
      </c>
      <c r="O28" s="20">
        <v>2.2000000000000002</v>
      </c>
      <c r="P28" s="21"/>
      <c r="Q28" s="21">
        <v>3.6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0.90000000000000036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-0.30000000000000071</v>
      </c>
      <c r="J29" s="27">
        <f t="shared" si="0"/>
        <v>0</v>
      </c>
      <c r="K29" s="27">
        <f t="shared" si="0"/>
        <v>1</v>
      </c>
      <c r="L29" s="27">
        <f>L32-L28</f>
        <v>0</v>
      </c>
      <c r="M29" s="27">
        <f>M32-M28</f>
        <v>1.5</v>
      </c>
      <c r="N29" s="27">
        <f>N32-N28</f>
        <v>1</v>
      </c>
      <c r="O29" s="27">
        <f>O32-O28</f>
        <v>1.5999999999999996</v>
      </c>
      <c r="P29" s="27">
        <f t="shared" si="0"/>
        <v>0</v>
      </c>
      <c r="Q29" s="27">
        <f t="shared" si="0"/>
        <v>0.89999999999999991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670.88</v>
      </c>
      <c r="G30" s="20">
        <v>634.79999999999995</v>
      </c>
      <c r="H30" s="21"/>
      <c r="I30" s="21">
        <v>645.20000000000005</v>
      </c>
      <c r="J30" s="20"/>
      <c r="K30" s="20">
        <v>633.5</v>
      </c>
      <c r="L30" s="21"/>
      <c r="M30" s="21">
        <v>630</v>
      </c>
      <c r="N30" s="20">
        <v>664.72</v>
      </c>
      <c r="O30" s="20">
        <v>639.20000000000005</v>
      </c>
      <c r="P30" s="21"/>
      <c r="Q30" s="21">
        <v>635.79999999999995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13.2</v>
      </c>
      <c r="G31" s="20">
        <v>13.4</v>
      </c>
      <c r="H31" s="21"/>
      <c r="I31" s="21">
        <v>13.5</v>
      </c>
      <c r="J31" s="20"/>
      <c r="K31" s="20">
        <v>13.2</v>
      </c>
      <c r="L31" s="21"/>
      <c r="M31" s="21">
        <v>13.7</v>
      </c>
      <c r="N31" s="20">
        <v>13.2</v>
      </c>
      <c r="O31" s="20">
        <v>12.7</v>
      </c>
      <c r="P31" s="21"/>
      <c r="Q31" s="21">
        <v>13.5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4.4000000000000004</v>
      </c>
      <c r="G32" s="20">
        <v>4.3</v>
      </c>
      <c r="H32" s="21"/>
      <c r="I32" s="21">
        <v>4.5999999999999996</v>
      </c>
      <c r="J32" s="20"/>
      <c r="K32" s="20">
        <v>4.3</v>
      </c>
      <c r="L32" s="21"/>
      <c r="M32" s="21">
        <v>3.9</v>
      </c>
      <c r="N32" s="20">
        <v>4.2</v>
      </c>
      <c r="O32" s="20">
        <v>3.8</v>
      </c>
      <c r="P32" s="21"/>
      <c r="Q32" s="21">
        <v>4.5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8.7999999999999989</v>
      </c>
      <c r="G33" s="27">
        <f>G31-G32</f>
        <v>9.1000000000000014</v>
      </c>
      <c r="H33" s="27">
        <f t="shared" ref="H33:Q33" si="1">H31-H32</f>
        <v>0</v>
      </c>
      <c r="I33" s="27">
        <f t="shared" si="1"/>
        <v>8.9</v>
      </c>
      <c r="J33" s="27">
        <f t="shared" si="1"/>
        <v>0</v>
      </c>
      <c r="K33" s="27">
        <f t="shared" si="1"/>
        <v>8.8999999999999986</v>
      </c>
      <c r="L33" s="27">
        <f>L31-L32</f>
        <v>0</v>
      </c>
      <c r="M33" s="27">
        <f>M31-M32</f>
        <v>9.7999999999999989</v>
      </c>
      <c r="N33" s="27">
        <f>N31-N32</f>
        <v>9</v>
      </c>
      <c r="O33" s="27">
        <f>O31-O32</f>
        <v>8.8999999999999986</v>
      </c>
      <c r="P33" s="27">
        <f t="shared" si="1"/>
        <v>0</v>
      </c>
      <c r="Q33" s="27">
        <f t="shared" si="1"/>
        <v>9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6817.2563510392611</v>
      </c>
      <c r="G34" s="28">
        <f>(G33*G30)/0.866</f>
        <v>6670.5311778290998</v>
      </c>
      <c r="H34" s="28">
        <f t="shared" ref="H34:Q34" si="2">(H33*H30)/0.866</f>
        <v>0</v>
      </c>
      <c r="I34" s="28">
        <f t="shared" si="2"/>
        <v>6630.8083140877607</v>
      </c>
      <c r="J34" s="28">
        <f t="shared" si="2"/>
        <v>0</v>
      </c>
      <c r="K34" s="28">
        <f t="shared" si="2"/>
        <v>6510.5658198614301</v>
      </c>
      <c r="L34" s="28">
        <f>(L33*L30)/0.866</f>
        <v>0</v>
      </c>
      <c r="M34" s="28">
        <f>(M33*M30)/0.866</f>
        <v>7129.3302540415698</v>
      </c>
      <c r="N34" s="28">
        <f>(N33*N30)/0.866</f>
        <v>6908.1755196304857</v>
      </c>
      <c r="O34" s="28">
        <f>(O33*O30)/0.866</f>
        <v>6569.1454965357962</v>
      </c>
      <c r="P34" s="28">
        <f t="shared" si="2"/>
        <v>0</v>
      </c>
      <c r="Q34" s="28">
        <f t="shared" si="2"/>
        <v>6607.6212471131639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0.73</v>
      </c>
      <c r="H35" s="21"/>
      <c r="I35" s="21">
        <v>0.81</v>
      </c>
      <c r="J35" s="20"/>
      <c r="K35" s="20">
        <v>0.79</v>
      </c>
      <c r="L35" s="21"/>
      <c r="M35" s="21">
        <v>0.79</v>
      </c>
      <c r="N35" s="20">
        <v>0.79</v>
      </c>
      <c r="O35" s="20">
        <v>0.77</v>
      </c>
      <c r="P35" s="21"/>
      <c r="Q35" s="21">
        <v>0.8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</v>
      </c>
      <c r="G36" s="20">
        <v>34.6</v>
      </c>
      <c r="H36" s="21"/>
      <c r="I36" s="21">
        <v>35.1</v>
      </c>
      <c r="J36" s="20"/>
      <c r="K36" s="20">
        <v>34.700000000000003</v>
      </c>
      <c r="L36" s="21"/>
      <c r="M36" s="21">
        <v>34.9</v>
      </c>
      <c r="N36" s="20">
        <v>34.6</v>
      </c>
      <c r="O36" s="20">
        <v>34</v>
      </c>
      <c r="P36" s="21"/>
      <c r="Q36" s="21">
        <v>34.9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35.6</v>
      </c>
      <c r="G37" s="20">
        <v>35</v>
      </c>
      <c r="H37" s="21"/>
      <c r="I37" s="21">
        <v>36.4</v>
      </c>
      <c r="J37" s="20"/>
      <c r="K37" s="20">
        <v>35.5</v>
      </c>
      <c r="L37" s="21"/>
      <c r="M37" s="21">
        <v>35.4</v>
      </c>
      <c r="N37" s="20">
        <v>35.200000000000003</v>
      </c>
      <c r="O37" s="20">
        <v>34.5</v>
      </c>
      <c r="P37" s="21"/>
      <c r="Q37" s="21">
        <v>35.700000000000003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2.3999999999999986</v>
      </c>
      <c r="G38" s="27">
        <f>G37-G41</f>
        <v>1.7000000000000028</v>
      </c>
      <c r="H38" s="27">
        <v>1</v>
      </c>
      <c r="I38" s="27">
        <f t="shared" ref="I38:Q38" si="3">I37-I41</f>
        <v>3.6000000000000014</v>
      </c>
      <c r="J38" s="27">
        <f t="shared" si="3"/>
        <v>0</v>
      </c>
      <c r="K38" s="27">
        <f t="shared" si="3"/>
        <v>2.2000000000000028</v>
      </c>
      <c r="L38" s="27">
        <f>L37-L41</f>
        <v>0</v>
      </c>
      <c r="M38" s="27">
        <f>M37-M41</f>
        <v>2.2999999999999972</v>
      </c>
      <c r="N38" s="27">
        <f>N37-N41</f>
        <v>2.5</v>
      </c>
      <c r="O38" s="27">
        <f>O37-O41</f>
        <v>1.6000000000000014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27.9</v>
      </c>
      <c r="G40" s="20">
        <v>27.9</v>
      </c>
      <c r="H40" s="21"/>
      <c r="I40" s="21">
        <v>27.8</v>
      </c>
      <c r="J40" s="20"/>
      <c r="K40" s="20">
        <v>28</v>
      </c>
      <c r="L40" s="21"/>
      <c r="M40" s="21">
        <v>27.9</v>
      </c>
      <c r="N40" s="20">
        <v>27.6</v>
      </c>
      <c r="O40" s="20">
        <v>27.6</v>
      </c>
      <c r="P40" s="21"/>
      <c r="Q40" s="21">
        <v>27.7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33.200000000000003</v>
      </c>
      <c r="G41" s="20">
        <v>33.299999999999997</v>
      </c>
      <c r="H41" s="21"/>
      <c r="I41" s="21">
        <v>32.799999999999997</v>
      </c>
      <c r="J41" s="20"/>
      <c r="K41" s="20">
        <v>33.299999999999997</v>
      </c>
      <c r="L41" s="21"/>
      <c r="M41" s="21">
        <v>33.1</v>
      </c>
      <c r="N41" s="20">
        <v>32.700000000000003</v>
      </c>
      <c r="O41" s="20">
        <v>32.9</v>
      </c>
      <c r="P41" s="21"/>
      <c r="Q41" s="21">
        <v>33.200000000000003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5.3000000000000043</v>
      </c>
      <c r="G42" s="27">
        <f>G41-G40</f>
        <v>5.3999999999999986</v>
      </c>
      <c r="H42" s="27">
        <f t="shared" ref="H42:P42" si="4">H41-H40</f>
        <v>0</v>
      </c>
      <c r="I42" s="27">
        <f t="shared" si="4"/>
        <v>4.9999999999999964</v>
      </c>
      <c r="J42" s="27">
        <f t="shared" si="4"/>
        <v>0</v>
      </c>
      <c r="K42" s="27">
        <f t="shared" si="4"/>
        <v>5.2999999999999972</v>
      </c>
      <c r="L42" s="27">
        <f>L41-L40</f>
        <v>0</v>
      </c>
      <c r="M42" s="27">
        <f>M41-M40</f>
        <v>5.2000000000000028</v>
      </c>
      <c r="N42" s="27">
        <f>N41-N40</f>
        <v>5.1000000000000014</v>
      </c>
      <c r="O42" s="27">
        <f>O41-O40</f>
        <v>5.2999999999999972</v>
      </c>
      <c r="P42" s="27">
        <f t="shared" si="4"/>
        <v>0</v>
      </c>
      <c r="Q42" s="27">
        <f>Q41-Q40</f>
        <v>5.5000000000000036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1293.5999999999999</v>
      </c>
      <c r="G43" s="20">
        <v>1292.5999999999999</v>
      </c>
      <c r="H43" s="21"/>
      <c r="I43" s="21">
        <v>1299.7</v>
      </c>
      <c r="J43" s="20"/>
      <c r="K43" s="20">
        <v>1301.7</v>
      </c>
      <c r="L43" s="21"/>
      <c r="M43" s="20">
        <v>1294.7</v>
      </c>
      <c r="N43" s="20">
        <v>1298.5</v>
      </c>
      <c r="O43" s="20">
        <v>1291</v>
      </c>
      <c r="P43" s="21"/>
      <c r="Q43" s="21">
        <v>1296.4000000000001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7916.951501154741</v>
      </c>
      <c r="G44" s="28">
        <f>G42*G43/0.866</f>
        <v>8060.0923787528836</v>
      </c>
      <c r="H44" s="28">
        <f t="shared" ref="H44:Q44" si="5">H42*H43/0.866</f>
        <v>0</v>
      </c>
      <c r="I44" s="28">
        <f t="shared" si="5"/>
        <v>7504.0415704387942</v>
      </c>
      <c r="J44" s="28">
        <f t="shared" si="5"/>
        <v>0</v>
      </c>
      <c r="K44" s="28">
        <f t="shared" si="5"/>
        <v>7966.5242494226286</v>
      </c>
      <c r="L44" s="28">
        <f>L42*L43/0.866</f>
        <v>0</v>
      </c>
      <c r="M44" s="28">
        <f>M42*M43/0.866</f>
        <v>7774.1801385681338</v>
      </c>
      <c r="N44" s="28">
        <f>N42*N43/0.866</f>
        <v>7647.0554272517347</v>
      </c>
      <c r="O44" s="28">
        <f>O42*O43/0.866</f>
        <v>7901.0392609699729</v>
      </c>
      <c r="P44" s="28">
        <f t="shared" si="5"/>
        <v>0</v>
      </c>
      <c r="Q44" s="28">
        <f t="shared" si="5"/>
        <v>8233.4872979214833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0.45</v>
      </c>
      <c r="H45" s="21"/>
      <c r="I45" s="21">
        <v>0.43</v>
      </c>
      <c r="J45" s="20"/>
      <c r="K45" s="20">
        <v>0.45</v>
      </c>
      <c r="L45" s="21"/>
      <c r="M45" s="21">
        <v>0.44</v>
      </c>
      <c r="N45" s="20">
        <v>0.44</v>
      </c>
      <c r="O45" s="20">
        <v>0.44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19.3</v>
      </c>
      <c r="G46" s="20">
        <v>19.7</v>
      </c>
      <c r="H46" s="21"/>
      <c r="I46" s="21">
        <v>18.100000000000001</v>
      </c>
      <c r="J46" s="20"/>
      <c r="K46" s="20">
        <v>19.100000000000001</v>
      </c>
      <c r="L46" s="21"/>
      <c r="M46" s="21">
        <v>18.7</v>
      </c>
      <c r="N46" s="20">
        <v>18.600000000000001</v>
      </c>
      <c r="O46" s="20">
        <v>18.2</v>
      </c>
      <c r="P46" s="21"/>
      <c r="Q46" s="21">
        <v>19.399999999999999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197</v>
      </c>
      <c r="G47" s="20">
        <v>200.6</v>
      </c>
      <c r="H47" s="21"/>
      <c r="I47" s="21">
        <v>119.6</v>
      </c>
      <c r="J47" s="20"/>
      <c r="K47" s="20">
        <v>199.1</v>
      </c>
      <c r="L47" s="21"/>
      <c r="M47" s="21">
        <v>209.5</v>
      </c>
      <c r="N47" s="20">
        <v>154.1</v>
      </c>
      <c r="O47" s="20">
        <v>158.6</v>
      </c>
      <c r="P47" s="21"/>
      <c r="Q47" s="21">
        <v>198.4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65">
        <v>5.89</v>
      </c>
      <c r="F49" s="20">
        <v>6.03</v>
      </c>
      <c r="G49" s="20">
        <v>6.15</v>
      </c>
      <c r="H49" s="21"/>
      <c r="I49" s="21">
        <v>5.64</v>
      </c>
      <c r="J49" s="20"/>
      <c r="K49" s="20">
        <v>5.87</v>
      </c>
      <c r="L49" s="21"/>
      <c r="M49" s="21">
        <v>5.9</v>
      </c>
      <c r="N49" s="20">
        <v>5.77</v>
      </c>
      <c r="O49" s="20">
        <v>5.88</v>
      </c>
      <c r="P49" s="21"/>
      <c r="Q49" s="21">
        <v>5.45</v>
      </c>
    </row>
    <row r="50" spans="2:17" ht="20.100000000000001" customHeight="1">
      <c r="B50" s="94" t="s">
        <v>91</v>
      </c>
      <c r="C50" s="94"/>
      <c r="D50" s="94"/>
      <c r="E50" s="6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6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0" zoomScaleNormal="60" zoomScaleSheetLayoutView="80" workbookViewId="0">
      <selection activeCell="H21" sqref="H21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45825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67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67.8</v>
      </c>
      <c r="H11" s="21"/>
      <c r="I11" s="21">
        <v>76.400000000000006</v>
      </c>
      <c r="J11" s="20">
        <v>74</v>
      </c>
      <c r="K11" s="20">
        <v>73.599999999999994</v>
      </c>
      <c r="L11" s="21">
        <v>77</v>
      </c>
      <c r="M11" s="21">
        <v>74.3</v>
      </c>
      <c r="N11" s="20"/>
      <c r="O11" s="20">
        <v>76.7</v>
      </c>
      <c r="P11" s="21"/>
      <c r="Q11" s="21">
        <v>74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>
        <v>0.1</v>
      </c>
      <c r="M12" s="21">
        <v>0.1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62</v>
      </c>
      <c r="H13" s="21"/>
      <c r="I13" s="21">
        <v>71.2</v>
      </c>
      <c r="J13" s="20">
        <v>69.400000000000006</v>
      </c>
      <c r="K13" s="20">
        <v>67.599999999999994</v>
      </c>
      <c r="L13" s="21">
        <v>74.7</v>
      </c>
      <c r="M13" s="21">
        <v>69.8</v>
      </c>
      <c r="N13" s="20"/>
      <c r="O13" s="20">
        <v>72.099999999999994</v>
      </c>
      <c r="P13" s="21"/>
      <c r="Q13" s="21">
        <v>69.099999999999994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69.5</v>
      </c>
      <c r="H14" s="21"/>
      <c r="I14" s="21">
        <v>70.599999999999994</v>
      </c>
      <c r="J14" s="20">
        <v>64.8</v>
      </c>
      <c r="K14" s="20">
        <v>63.5</v>
      </c>
      <c r="L14" s="21">
        <v>67.2</v>
      </c>
      <c r="M14" s="21">
        <v>67.900000000000006</v>
      </c>
      <c r="N14" s="20"/>
      <c r="O14" s="20">
        <v>74.599999999999994</v>
      </c>
      <c r="P14" s="21"/>
      <c r="Q14" s="21">
        <v>74.2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35.4</v>
      </c>
      <c r="H15" s="21"/>
      <c r="I15" s="21">
        <v>50.7</v>
      </c>
      <c r="J15" s="20">
        <v>41.5</v>
      </c>
      <c r="K15" s="20">
        <v>37.4</v>
      </c>
      <c r="L15" s="21">
        <v>35.799999999999997</v>
      </c>
      <c r="M15" s="21">
        <v>35.6</v>
      </c>
      <c r="N15" s="20"/>
      <c r="O15" s="20">
        <v>55.7</v>
      </c>
      <c r="P15" s="21"/>
      <c r="Q15" s="21">
        <v>41.5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113.8</v>
      </c>
      <c r="H17" s="21"/>
      <c r="I17" s="21">
        <v>114.9</v>
      </c>
      <c r="J17" s="20">
        <v>115.6</v>
      </c>
      <c r="K17" s="20">
        <v>115.2</v>
      </c>
      <c r="L17" s="21">
        <v>117.2</v>
      </c>
      <c r="M17" s="21">
        <v>115.7</v>
      </c>
      <c r="N17" s="20"/>
      <c r="O17" s="20">
        <v>120.4</v>
      </c>
      <c r="P17" s="21"/>
      <c r="Q17" s="21">
        <v>117.6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1123</v>
      </c>
      <c r="H18" s="21"/>
      <c r="I18" s="21">
        <v>1178</v>
      </c>
      <c r="J18" s="20">
        <v>1172</v>
      </c>
      <c r="K18" s="20">
        <v>1185</v>
      </c>
      <c r="L18" s="21">
        <v>1202</v>
      </c>
      <c r="M18" s="21">
        <v>1191</v>
      </c>
      <c r="N18" s="20"/>
      <c r="O18" s="20">
        <v>1219</v>
      </c>
      <c r="P18" s="21"/>
      <c r="Q18" s="21">
        <v>1205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50839.199999999997</v>
      </c>
      <c r="H19" s="21"/>
      <c r="I19" s="21">
        <v>51764.2</v>
      </c>
      <c r="J19" s="20">
        <v>49791.4</v>
      </c>
      <c r="K19" s="20">
        <v>49782.1</v>
      </c>
      <c r="L19" s="21">
        <v>52242.9</v>
      </c>
      <c r="M19" s="21">
        <v>52233.7</v>
      </c>
      <c r="N19" s="20"/>
      <c r="O19" s="20">
        <v>51396.3</v>
      </c>
      <c r="P19" s="21"/>
      <c r="Q19" s="21">
        <v>51126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58.9</v>
      </c>
      <c r="J22" s="20">
        <v>57.5</v>
      </c>
      <c r="K22" s="20">
        <v>57.9</v>
      </c>
      <c r="L22" s="21">
        <v>57.2</v>
      </c>
      <c r="M22" s="21">
        <v>57.4</v>
      </c>
      <c r="N22" s="20"/>
      <c r="O22" s="20">
        <v>58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>
        <v>0.52</v>
      </c>
      <c r="M23" s="21">
        <v>0.52</v>
      </c>
      <c r="N23" s="20"/>
      <c r="O23" s="20">
        <v>0.53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44.9</v>
      </c>
      <c r="H25" s="21"/>
      <c r="I25" s="21">
        <v>45.1</v>
      </c>
      <c r="J25" s="20">
        <v>44.9</v>
      </c>
      <c r="K25" s="20">
        <v>44.8</v>
      </c>
      <c r="L25" s="21">
        <v>45</v>
      </c>
      <c r="M25" s="21">
        <v>45.1</v>
      </c>
      <c r="N25" s="20"/>
      <c r="O25" s="20">
        <v>44.6</v>
      </c>
      <c r="P25" s="21"/>
      <c r="Q25" s="21">
        <v>45.2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0.23</v>
      </c>
      <c r="K26" s="20">
        <v>0.23</v>
      </c>
      <c r="L26" s="21">
        <v>0.22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4.2</v>
      </c>
      <c r="H27" s="21"/>
      <c r="I27" s="21">
        <v>3.5</v>
      </c>
      <c r="J27" s="20">
        <v>4</v>
      </c>
      <c r="K27" s="20">
        <v>4.0999999999999996</v>
      </c>
      <c r="L27" s="21">
        <v>3.7</v>
      </c>
      <c r="M27" s="21">
        <v>4.0999999999999996</v>
      </c>
      <c r="N27" s="20"/>
      <c r="O27" s="20">
        <v>4.5</v>
      </c>
      <c r="P27" s="21"/>
      <c r="Q27" s="21">
        <v>4.5999999999999996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2.7</v>
      </c>
      <c r="J28" s="20">
        <v>3.2</v>
      </c>
      <c r="K28" s="20">
        <v>3.4</v>
      </c>
      <c r="L28" s="21">
        <v>2.8</v>
      </c>
      <c r="M28" s="21">
        <v>2.9</v>
      </c>
      <c r="N28" s="20"/>
      <c r="O28" s="20">
        <v>3.1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2.2999999999999998</v>
      </c>
      <c r="J29" s="27">
        <f t="shared" si="0"/>
        <v>1.2999999999999998</v>
      </c>
      <c r="K29" s="27">
        <f t="shared" si="0"/>
        <v>0.80000000000000027</v>
      </c>
      <c r="L29" s="27">
        <f>L32-L28</f>
        <v>1.7000000000000002</v>
      </c>
      <c r="M29" s="27">
        <f>M32-M28</f>
        <v>1.1000000000000001</v>
      </c>
      <c r="N29" s="27">
        <f>N32-N28</f>
        <v>0</v>
      </c>
      <c r="O29" s="27">
        <f>O32-O28</f>
        <v>1.1000000000000001</v>
      </c>
      <c r="P29" s="27">
        <f t="shared" si="0"/>
        <v>0</v>
      </c>
      <c r="Q29" s="27">
        <f t="shared" si="0"/>
        <v>1.0999999999999996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644.29999999999995</v>
      </c>
      <c r="H30" s="21"/>
      <c r="I30" s="21">
        <v>637.29999999999995</v>
      </c>
      <c r="J30" s="20">
        <v>644.96</v>
      </c>
      <c r="K30" s="20">
        <v>636.29</v>
      </c>
      <c r="L30" s="21">
        <v>709.36</v>
      </c>
      <c r="M30" s="21">
        <v>675.7</v>
      </c>
      <c r="N30" s="20"/>
      <c r="O30" s="20">
        <v>655.4</v>
      </c>
      <c r="P30" s="21"/>
      <c r="Q30" s="21">
        <v>641.79999999999995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13.8</v>
      </c>
      <c r="H31" s="21"/>
      <c r="I31" s="21">
        <v>13.7</v>
      </c>
      <c r="J31" s="20">
        <v>13.5</v>
      </c>
      <c r="K31" s="20">
        <v>13.2</v>
      </c>
      <c r="L31" s="21">
        <v>13.3</v>
      </c>
      <c r="M31" s="21">
        <v>13.6</v>
      </c>
      <c r="N31" s="20"/>
      <c r="O31" s="20">
        <v>13.2</v>
      </c>
      <c r="P31" s="21"/>
      <c r="Q31" s="21">
        <v>13.4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5</v>
      </c>
      <c r="J32" s="20">
        <v>4.5</v>
      </c>
      <c r="K32" s="20">
        <v>4.2</v>
      </c>
      <c r="L32" s="21">
        <v>4.5</v>
      </c>
      <c r="M32" s="21">
        <v>4</v>
      </c>
      <c r="N32" s="20"/>
      <c r="O32" s="20">
        <v>4.2</v>
      </c>
      <c r="P32" s="21"/>
      <c r="Q32" s="21">
        <v>4.8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9.2000000000000011</v>
      </c>
      <c r="H33" s="27">
        <f t="shared" ref="H33:Q33" si="1">H31-H32</f>
        <v>0</v>
      </c>
      <c r="I33" s="27">
        <f t="shared" si="1"/>
        <v>8.6999999999999993</v>
      </c>
      <c r="J33" s="27">
        <f t="shared" si="1"/>
        <v>9</v>
      </c>
      <c r="K33" s="27">
        <f t="shared" si="1"/>
        <v>9</v>
      </c>
      <c r="L33" s="27">
        <f>L31-L32</f>
        <v>8.8000000000000007</v>
      </c>
      <c r="M33" s="27">
        <f>M31-M32</f>
        <v>9.6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6844.7575057736722</v>
      </c>
      <c r="H34" s="28">
        <f t="shared" ref="H34:Q34" si="2">(H33*H30)/0.866</f>
        <v>0</v>
      </c>
      <c r="I34" s="28">
        <f t="shared" si="2"/>
        <v>6402.4364896073894</v>
      </c>
      <c r="J34" s="28">
        <f t="shared" si="2"/>
        <v>6702.8175519630486</v>
      </c>
      <c r="K34" s="28">
        <f t="shared" si="2"/>
        <v>6612.7136258660503</v>
      </c>
      <c r="L34" s="28">
        <f>(L33*L30)/0.866</f>
        <v>7208.2771362586609</v>
      </c>
      <c r="M34" s="28">
        <f>(M33*M30)/0.866</f>
        <v>7490.4387990762125</v>
      </c>
      <c r="N34" s="28">
        <f>(N33*N30)/0.866</f>
        <v>0</v>
      </c>
      <c r="O34" s="28">
        <f>(O33*O30)/0.866</f>
        <v>6811.3163972286366</v>
      </c>
      <c r="P34" s="28">
        <f t="shared" si="2"/>
        <v>0</v>
      </c>
      <c r="Q34" s="28">
        <f t="shared" si="2"/>
        <v>6373.533487297922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0.84</v>
      </c>
      <c r="J35" s="20">
        <v>0.82</v>
      </c>
      <c r="K35" s="20">
        <v>0.83</v>
      </c>
      <c r="L35" s="21">
        <v>0.83</v>
      </c>
      <c r="M35" s="21">
        <v>0.83</v>
      </c>
      <c r="N35" s="20"/>
      <c r="O35" s="20">
        <v>0.81</v>
      </c>
      <c r="P35" s="21"/>
      <c r="Q35" s="21">
        <v>0.83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35.799999999999997</v>
      </c>
      <c r="H36" s="21"/>
      <c r="I36" s="21">
        <v>36.4</v>
      </c>
      <c r="J36" s="20">
        <v>35.4</v>
      </c>
      <c r="K36" s="20">
        <v>36.299999999999997</v>
      </c>
      <c r="L36" s="21">
        <v>35.4</v>
      </c>
      <c r="M36" s="21">
        <v>36.6</v>
      </c>
      <c r="N36" s="20"/>
      <c r="O36" s="20">
        <v>35.9</v>
      </c>
      <c r="P36" s="21"/>
      <c r="Q36" s="21">
        <v>36.200000000000003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36.4</v>
      </c>
      <c r="H37" s="21"/>
      <c r="I37" s="21">
        <v>37.299999999999997</v>
      </c>
      <c r="J37" s="20">
        <v>36.5</v>
      </c>
      <c r="K37" s="20">
        <v>37</v>
      </c>
      <c r="L37" s="21">
        <v>36.6</v>
      </c>
      <c r="M37" s="21">
        <v>36.9</v>
      </c>
      <c r="N37" s="20"/>
      <c r="O37" s="20">
        <v>36.1</v>
      </c>
      <c r="P37" s="21"/>
      <c r="Q37" s="21">
        <v>37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1.6999999999999957</v>
      </c>
      <c r="H38" s="27">
        <v>1</v>
      </c>
      <c r="I38" s="27">
        <f t="shared" ref="I38:Q38" si="3">I37-I41</f>
        <v>3.0999999999999943</v>
      </c>
      <c r="J38" s="27">
        <f t="shared" si="3"/>
        <v>2.8999999999999986</v>
      </c>
      <c r="K38" s="27">
        <f t="shared" si="3"/>
        <v>2.1000000000000014</v>
      </c>
      <c r="L38" s="27">
        <f>L37-L41</f>
        <v>3.1000000000000014</v>
      </c>
      <c r="M38" s="27">
        <f>M37-M41</f>
        <v>2.8999999999999986</v>
      </c>
      <c r="N38" s="27">
        <f>N37-N41</f>
        <v>0</v>
      </c>
      <c r="O38" s="27">
        <f>O37-O41</f>
        <v>2.2000000000000028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29.5</v>
      </c>
      <c r="H40" s="21"/>
      <c r="I40" s="21">
        <v>29.3</v>
      </c>
      <c r="J40" s="20">
        <v>28.3</v>
      </c>
      <c r="K40" s="20">
        <v>29.5</v>
      </c>
      <c r="L40" s="21">
        <v>28.1</v>
      </c>
      <c r="M40" s="21">
        <v>28.7</v>
      </c>
      <c r="N40" s="20"/>
      <c r="O40" s="20">
        <v>28.8</v>
      </c>
      <c r="P40" s="21"/>
      <c r="Q40" s="21">
        <v>29.2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34.700000000000003</v>
      </c>
      <c r="H41" s="21"/>
      <c r="I41" s="21">
        <v>34.200000000000003</v>
      </c>
      <c r="J41" s="20">
        <v>33.6</v>
      </c>
      <c r="K41" s="20">
        <v>34.9</v>
      </c>
      <c r="L41" s="21">
        <v>33.5</v>
      </c>
      <c r="M41" s="21">
        <v>34</v>
      </c>
      <c r="N41" s="20"/>
      <c r="O41" s="20">
        <v>33.9</v>
      </c>
      <c r="P41" s="21"/>
      <c r="Q41" s="21">
        <v>34.6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5.2000000000000028</v>
      </c>
      <c r="H42" s="27">
        <f t="shared" ref="H42:P42" si="4">H41-H40</f>
        <v>0</v>
      </c>
      <c r="I42" s="27">
        <f t="shared" si="4"/>
        <v>4.9000000000000021</v>
      </c>
      <c r="J42" s="27">
        <f t="shared" si="4"/>
        <v>5.3000000000000007</v>
      </c>
      <c r="K42" s="27">
        <f t="shared" si="4"/>
        <v>5.3999999999999986</v>
      </c>
      <c r="L42" s="27">
        <f>L41-L40</f>
        <v>5.3999999999999986</v>
      </c>
      <c r="M42" s="27">
        <f>M41-M40</f>
        <v>5.3000000000000007</v>
      </c>
      <c r="N42" s="27">
        <f>N41-N40</f>
        <v>0</v>
      </c>
      <c r="O42" s="27">
        <f>O41-O40</f>
        <v>5.0999999999999979</v>
      </c>
      <c r="P42" s="27">
        <f t="shared" si="4"/>
        <v>0</v>
      </c>
      <c r="Q42" s="27">
        <f>Q41-Q40</f>
        <v>5.4000000000000021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1296.8</v>
      </c>
      <c r="H43" s="21"/>
      <c r="I43" s="21">
        <v>1300.5</v>
      </c>
      <c r="J43" s="20">
        <v>1303.54</v>
      </c>
      <c r="K43" s="20">
        <v>1299</v>
      </c>
      <c r="L43" s="21">
        <v>1291.08</v>
      </c>
      <c r="M43" s="20">
        <v>1298</v>
      </c>
      <c r="N43" s="20"/>
      <c r="O43" s="20">
        <v>1297.0999999999999</v>
      </c>
      <c r="P43" s="21"/>
      <c r="Q43" s="21">
        <v>1297.5999999999999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7786.7898383371867</v>
      </c>
      <c r="H44" s="28">
        <f t="shared" ref="H44:Q44" si="5">H42*H43/0.866</f>
        <v>0</v>
      </c>
      <c r="I44" s="28">
        <f t="shared" si="5"/>
        <v>7358.4872979214815</v>
      </c>
      <c r="J44" s="28">
        <f t="shared" si="5"/>
        <v>7977.7852193995386</v>
      </c>
      <c r="K44" s="28">
        <f t="shared" si="5"/>
        <v>8099.9999999999982</v>
      </c>
      <c r="L44" s="28">
        <f>L42*L43/0.866</f>
        <v>8050.6143187066946</v>
      </c>
      <c r="M44" s="28">
        <f>M42*M43/0.866</f>
        <v>7943.8799076212481</v>
      </c>
      <c r="N44" s="28">
        <f>N42*N43/0.866</f>
        <v>0</v>
      </c>
      <c r="O44" s="28">
        <f>O42*O43/0.866</f>
        <v>7638.8106235565783</v>
      </c>
      <c r="P44" s="28">
        <f t="shared" si="5"/>
        <v>0</v>
      </c>
      <c r="Q44" s="28">
        <f t="shared" si="5"/>
        <v>8091.270207852197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0.45</v>
      </c>
      <c r="K45" s="20">
        <v>0.46</v>
      </c>
      <c r="L45" s="21">
        <v>0.45</v>
      </c>
      <c r="M45" s="21">
        <v>0.47</v>
      </c>
      <c r="N45" s="20"/>
      <c r="O45" s="20">
        <v>0.46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</v>
      </c>
      <c r="H46" s="21"/>
      <c r="I46" s="21">
        <v>19.600000000000001</v>
      </c>
      <c r="J46" s="20">
        <v>19.2</v>
      </c>
      <c r="K46" s="20">
        <v>19.600000000000001</v>
      </c>
      <c r="L46" s="21">
        <v>19.600000000000001</v>
      </c>
      <c r="M46" s="21">
        <v>19.8</v>
      </c>
      <c r="N46" s="20"/>
      <c r="O46" s="20">
        <v>19.600000000000001</v>
      </c>
      <c r="P46" s="21"/>
      <c r="Q46" s="21">
        <v>20.100000000000001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196.6</v>
      </c>
      <c r="H47" s="21"/>
      <c r="I47" s="21">
        <v>129.5</v>
      </c>
      <c r="J47" s="20">
        <v>209.6</v>
      </c>
      <c r="K47" s="20">
        <v>205</v>
      </c>
      <c r="L47" s="21">
        <v>207.3</v>
      </c>
      <c r="M47" s="21">
        <v>204</v>
      </c>
      <c r="N47" s="20"/>
      <c r="O47" s="20">
        <v>151.30000000000001</v>
      </c>
      <c r="P47" s="21"/>
      <c r="Q47" s="21">
        <v>197.8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67">
        <v>5.89</v>
      </c>
      <c r="F49" s="20"/>
      <c r="G49" s="20">
        <v>6.05</v>
      </c>
      <c r="H49" s="21"/>
      <c r="I49" s="21">
        <v>5.45</v>
      </c>
      <c r="J49" s="20">
        <v>5.84</v>
      </c>
      <c r="K49" s="20">
        <v>5.68</v>
      </c>
      <c r="L49" s="21">
        <v>5.81</v>
      </c>
      <c r="M49" s="21">
        <v>5.78</v>
      </c>
      <c r="N49" s="20"/>
      <c r="O49" s="20">
        <v>5.63</v>
      </c>
      <c r="P49" s="21"/>
      <c r="Q49" s="21">
        <v>5.27</v>
      </c>
    </row>
    <row r="50" spans="2:17" ht="20.100000000000001" customHeight="1">
      <c r="B50" s="94" t="s">
        <v>91</v>
      </c>
      <c r="C50" s="94"/>
      <c r="D50" s="94"/>
      <c r="E50" s="6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6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0" zoomScaleNormal="60" zoomScaleSheetLayoutView="80" workbookViewId="0">
      <selection activeCell="J19" sqref="J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45826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69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67.599999999999994</v>
      </c>
      <c r="H11" s="21"/>
      <c r="I11" s="21">
        <v>76.099999999999994</v>
      </c>
      <c r="J11" s="20">
        <v>73.2</v>
      </c>
      <c r="K11" s="20">
        <v>74</v>
      </c>
      <c r="L11" s="21"/>
      <c r="M11" s="21">
        <v>75.8</v>
      </c>
      <c r="N11" s="20">
        <v>77.900000000000006</v>
      </c>
      <c r="O11" s="20">
        <v>72.400000000000006</v>
      </c>
      <c r="P11" s="21"/>
      <c r="Q11" s="21">
        <v>73.099999999999994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61.8</v>
      </c>
      <c r="H13" s="21"/>
      <c r="I13" s="21">
        <v>71.7</v>
      </c>
      <c r="J13" s="20">
        <v>68.7</v>
      </c>
      <c r="K13" s="20">
        <v>69.400000000000006</v>
      </c>
      <c r="L13" s="21"/>
      <c r="M13" s="21">
        <v>73.7</v>
      </c>
      <c r="N13" s="20">
        <v>72.7</v>
      </c>
      <c r="O13" s="20">
        <v>76.3</v>
      </c>
      <c r="P13" s="21"/>
      <c r="Q13" s="21">
        <v>68.099999999999994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69.5</v>
      </c>
      <c r="H14" s="21"/>
      <c r="I14" s="21">
        <v>70.900000000000006</v>
      </c>
      <c r="J14" s="20">
        <v>65.3</v>
      </c>
      <c r="K14" s="20">
        <v>63.2</v>
      </c>
      <c r="L14" s="21"/>
      <c r="M14" s="21">
        <v>67.3</v>
      </c>
      <c r="N14" s="20">
        <v>74.7</v>
      </c>
      <c r="O14" s="20">
        <v>67.8</v>
      </c>
      <c r="P14" s="21"/>
      <c r="Q14" s="21">
        <v>73.900000000000006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36.9</v>
      </c>
      <c r="H15" s="21"/>
      <c r="I15" s="21">
        <v>54.2</v>
      </c>
      <c r="J15" s="20">
        <v>39.200000000000003</v>
      </c>
      <c r="K15" s="20">
        <v>39.700000000000003</v>
      </c>
      <c r="L15" s="21"/>
      <c r="M15" s="21">
        <v>37.1</v>
      </c>
      <c r="N15" s="20">
        <v>58.8</v>
      </c>
      <c r="O15" s="20"/>
      <c r="P15" s="21"/>
      <c r="Q15" s="21">
        <v>40.4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114</v>
      </c>
      <c r="H17" s="21"/>
      <c r="I17" s="21">
        <v>116.1</v>
      </c>
      <c r="J17" s="20">
        <v>116.3</v>
      </c>
      <c r="K17" s="20">
        <v>117.2</v>
      </c>
      <c r="L17" s="21"/>
      <c r="M17" s="21">
        <v>118.6</v>
      </c>
      <c r="N17" s="20">
        <v>118.8</v>
      </c>
      <c r="O17" s="20">
        <v>116</v>
      </c>
      <c r="P17" s="21"/>
      <c r="Q17" s="21">
        <v>117.6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1125</v>
      </c>
      <c r="H18" s="21"/>
      <c r="I18" s="21">
        <v>1171</v>
      </c>
      <c r="J18" s="20">
        <v>1180</v>
      </c>
      <c r="K18" s="20">
        <v>1180</v>
      </c>
      <c r="L18" s="21"/>
      <c r="M18" s="21">
        <v>1207</v>
      </c>
      <c r="N18" s="20">
        <v>1203</v>
      </c>
      <c r="O18" s="20">
        <v>1180</v>
      </c>
      <c r="P18" s="21"/>
      <c r="Q18" s="21">
        <v>1193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50849</v>
      </c>
      <c r="H19" s="21"/>
      <c r="I19" s="21">
        <v>51774.2</v>
      </c>
      <c r="J19" s="20">
        <v>49810.3</v>
      </c>
      <c r="K19" s="20">
        <v>49801.599999999999</v>
      </c>
      <c r="L19" s="21"/>
      <c r="M19" s="21">
        <v>52258.1</v>
      </c>
      <c r="N19" s="20">
        <v>51415.199999999997</v>
      </c>
      <c r="O19" s="20">
        <v>51406.5</v>
      </c>
      <c r="P19" s="21"/>
      <c r="Q19" s="21">
        <v>51136.6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58.2</v>
      </c>
      <c r="H22" s="21"/>
      <c r="I22" s="21">
        <v>59.1</v>
      </c>
      <c r="J22" s="20">
        <v>57.7</v>
      </c>
      <c r="K22" s="20">
        <v>57.5</v>
      </c>
      <c r="L22" s="21"/>
      <c r="M22" s="21">
        <v>57.5</v>
      </c>
      <c r="N22" s="20">
        <v>58.4</v>
      </c>
      <c r="O22" s="20">
        <v>58.5</v>
      </c>
      <c r="P22" s="21"/>
      <c r="Q22" s="21">
        <v>59.2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0.57999999999999996</v>
      </c>
      <c r="K23" s="20"/>
      <c r="L23" s="21"/>
      <c r="M23" s="21">
        <v>0.52</v>
      </c>
      <c r="N23" s="20">
        <v>0.47</v>
      </c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44.7</v>
      </c>
      <c r="H25" s="21"/>
      <c r="I25" s="21">
        <v>45.2</v>
      </c>
      <c r="J25" s="20">
        <v>45</v>
      </c>
      <c r="K25" s="20">
        <v>44</v>
      </c>
      <c r="L25" s="21"/>
      <c r="M25" s="21">
        <v>44.8</v>
      </c>
      <c r="N25" s="20">
        <v>45.4</v>
      </c>
      <c r="O25" s="20">
        <v>45</v>
      </c>
      <c r="P25" s="21"/>
      <c r="Q25" s="21">
        <v>44.7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0.22</v>
      </c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4.4000000000000004</v>
      </c>
      <c r="H27" s="21"/>
      <c r="I27" s="21">
        <v>3.5</v>
      </c>
      <c r="J27" s="20">
        <v>4.0999999999999996</v>
      </c>
      <c r="K27" s="20">
        <v>4.0999999999999996</v>
      </c>
      <c r="L27" s="21"/>
      <c r="M27" s="21">
        <v>4.0999999999999996</v>
      </c>
      <c r="N27" s="20">
        <v>4.4000000000000004</v>
      </c>
      <c r="O27" s="20">
        <v>4.3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2.7</v>
      </c>
      <c r="J28" s="20">
        <v>3.2</v>
      </c>
      <c r="K28" s="20">
        <v>3</v>
      </c>
      <c r="L28" s="21"/>
      <c r="M28" s="21">
        <v>2.9</v>
      </c>
      <c r="N28" s="20">
        <v>3.6</v>
      </c>
      <c r="O28" s="20">
        <v>3.2</v>
      </c>
      <c r="P28" s="21"/>
      <c r="Q28" s="21">
        <v>3.6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0.90000000000000036</v>
      </c>
      <c r="H29" s="27">
        <f t="shared" ref="H29:Q29" si="0">H32-H28</f>
        <v>0</v>
      </c>
      <c r="I29" s="27">
        <f t="shared" si="0"/>
        <v>2.2000000000000002</v>
      </c>
      <c r="J29" s="27">
        <f t="shared" si="0"/>
        <v>1.0999999999999996</v>
      </c>
      <c r="K29" s="27">
        <f t="shared" si="0"/>
        <v>1.0999999999999996</v>
      </c>
      <c r="L29" s="27">
        <f>L32-L28</f>
        <v>0</v>
      </c>
      <c r="M29" s="27">
        <f>M32-M28</f>
        <v>1.4</v>
      </c>
      <c r="N29" s="27">
        <f>N32-N28</f>
        <v>0.80000000000000027</v>
      </c>
      <c r="O29" s="27">
        <f>O32-O28</f>
        <v>1.3999999999999995</v>
      </c>
      <c r="P29" s="27">
        <f t="shared" si="0"/>
        <v>0</v>
      </c>
      <c r="Q29" s="27">
        <f t="shared" si="0"/>
        <v>0.29999999999999982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638.1</v>
      </c>
      <c r="H30" s="21"/>
      <c r="I30" s="21">
        <v>630.1</v>
      </c>
      <c r="J30" s="20">
        <v>629.79999999999995</v>
      </c>
      <c r="K30" s="20">
        <v>631.9</v>
      </c>
      <c r="L30" s="21"/>
      <c r="M30" s="21">
        <v>640.20000000000005</v>
      </c>
      <c r="N30" s="20">
        <v>386.4</v>
      </c>
      <c r="O30" s="20">
        <v>636.79999999999995</v>
      </c>
      <c r="P30" s="21"/>
      <c r="Q30" s="21">
        <v>630.70000000000005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13.7</v>
      </c>
      <c r="H31" s="21"/>
      <c r="I31" s="21">
        <v>14</v>
      </c>
      <c r="J31" s="20">
        <v>13.5</v>
      </c>
      <c r="K31" s="20">
        <v>13.3</v>
      </c>
      <c r="L31" s="21"/>
      <c r="M31" s="21">
        <v>13.4</v>
      </c>
      <c r="N31" s="20">
        <v>13.2</v>
      </c>
      <c r="O31" s="20">
        <v>13.9</v>
      </c>
      <c r="P31" s="21"/>
      <c r="Q31" s="21">
        <v>13.4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4.7</v>
      </c>
      <c r="H32" s="21"/>
      <c r="I32" s="21">
        <v>4.9000000000000004</v>
      </c>
      <c r="J32" s="20">
        <v>4.3</v>
      </c>
      <c r="K32" s="20">
        <v>4.0999999999999996</v>
      </c>
      <c r="L32" s="21"/>
      <c r="M32" s="21">
        <v>4.3</v>
      </c>
      <c r="N32" s="20">
        <v>4.4000000000000004</v>
      </c>
      <c r="O32" s="20">
        <v>4.5999999999999996</v>
      </c>
      <c r="P32" s="21"/>
      <c r="Q32" s="21">
        <v>3.9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</v>
      </c>
      <c r="H33" s="27">
        <f t="shared" ref="H33:Q33" si="1">H31-H32</f>
        <v>0</v>
      </c>
      <c r="I33" s="27">
        <f t="shared" si="1"/>
        <v>9.1</v>
      </c>
      <c r="J33" s="27">
        <f t="shared" si="1"/>
        <v>9.1999999999999993</v>
      </c>
      <c r="K33" s="27">
        <f t="shared" si="1"/>
        <v>9.2000000000000011</v>
      </c>
      <c r="L33" s="27">
        <f>L31-L32</f>
        <v>0</v>
      </c>
      <c r="M33" s="27">
        <f>M31-M32</f>
        <v>9.1000000000000014</v>
      </c>
      <c r="N33" s="27">
        <f>N31-N32</f>
        <v>8.7999999999999989</v>
      </c>
      <c r="O33" s="27">
        <f>O31-O32</f>
        <v>9.3000000000000007</v>
      </c>
      <c r="P33" s="27">
        <f t="shared" si="1"/>
        <v>0</v>
      </c>
      <c r="Q33" s="27">
        <f t="shared" si="1"/>
        <v>9.5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6631.5242494226331</v>
      </c>
      <c r="H34" s="28">
        <f t="shared" ref="H34:Q34" si="2">(H33*H30)/0.866</f>
        <v>0</v>
      </c>
      <c r="I34" s="28">
        <f t="shared" si="2"/>
        <v>6621.1431870669749</v>
      </c>
      <c r="J34" s="28">
        <f t="shared" si="2"/>
        <v>6690.7159353348716</v>
      </c>
      <c r="K34" s="28">
        <f t="shared" si="2"/>
        <v>6713.0254041570442</v>
      </c>
      <c r="L34" s="28">
        <f>(L33*L30)/0.866</f>
        <v>0</v>
      </c>
      <c r="M34" s="28">
        <f>(M33*M30)/0.866</f>
        <v>6727.2748267898405</v>
      </c>
      <c r="N34" s="28">
        <f>(N33*N30)/0.866</f>
        <v>3926.4665127020776</v>
      </c>
      <c r="O34" s="28">
        <f>(O33*O30)/0.866</f>
        <v>6838.6143187066973</v>
      </c>
      <c r="P34" s="28">
        <f t="shared" si="2"/>
        <v>0</v>
      </c>
      <c r="Q34" s="28">
        <f t="shared" si="2"/>
        <v>6918.7644341801397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0.82</v>
      </c>
      <c r="H35" s="21"/>
      <c r="I35" s="21">
        <v>0.83</v>
      </c>
      <c r="J35" s="20">
        <v>0.8</v>
      </c>
      <c r="K35" s="20">
        <v>0.83</v>
      </c>
      <c r="L35" s="21"/>
      <c r="M35" s="21">
        <v>0.82</v>
      </c>
      <c r="N35" s="20">
        <v>0.7</v>
      </c>
      <c r="O35" s="20">
        <v>0.81</v>
      </c>
      <c r="P35" s="21"/>
      <c r="Q35" s="21">
        <v>0.83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35.9</v>
      </c>
      <c r="H36" s="21"/>
      <c r="I36" s="21">
        <v>36.200000000000003</v>
      </c>
      <c r="J36" s="20">
        <v>35.200000000000003</v>
      </c>
      <c r="K36" s="20">
        <v>36.200000000000003</v>
      </c>
      <c r="L36" s="21"/>
      <c r="M36" s="21">
        <v>36.299999999999997</v>
      </c>
      <c r="N36" s="20">
        <v>34.299999999999997</v>
      </c>
      <c r="O36" s="20">
        <v>35.299999999999997</v>
      </c>
      <c r="P36" s="21"/>
      <c r="Q36" s="21">
        <v>36.200000000000003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36.200000000000003</v>
      </c>
      <c r="H37" s="21"/>
      <c r="I37" s="21">
        <v>37.1</v>
      </c>
      <c r="J37" s="20">
        <v>35.9</v>
      </c>
      <c r="K37" s="20">
        <v>36.9</v>
      </c>
      <c r="L37" s="21"/>
      <c r="M37" s="21">
        <v>36.700000000000003</v>
      </c>
      <c r="N37" s="20">
        <v>34.9</v>
      </c>
      <c r="O37" s="20">
        <v>35.799999999999997</v>
      </c>
      <c r="P37" s="21"/>
      <c r="Q37" s="21">
        <v>36.799999999999997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1.5</v>
      </c>
      <c r="H38" s="27">
        <f>H37-H41</f>
        <v>0</v>
      </c>
      <c r="I38" s="27">
        <f>I37-I41</f>
        <v>3.1000000000000014</v>
      </c>
      <c r="J38" s="27">
        <f t="shared" ref="J38:Q38" si="3">J37-J41</f>
        <v>2.1999999999999957</v>
      </c>
      <c r="K38" s="27">
        <f t="shared" si="3"/>
        <v>2.1000000000000014</v>
      </c>
      <c r="L38" s="27">
        <f>L37-L41</f>
        <v>0</v>
      </c>
      <c r="M38" s="27">
        <f>M37-M41</f>
        <v>2.2000000000000028</v>
      </c>
      <c r="N38" s="27">
        <f>N37-N41</f>
        <v>1.6999999999999957</v>
      </c>
      <c r="O38" s="27">
        <f>O37-O41</f>
        <v>1.5999999999999943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29.2</v>
      </c>
      <c r="H40" s="21"/>
      <c r="I40" s="21">
        <v>29.3</v>
      </c>
      <c r="J40" s="20">
        <v>28.2</v>
      </c>
      <c r="K40" s="20">
        <v>29.3</v>
      </c>
      <c r="L40" s="21"/>
      <c r="M40" s="21">
        <v>29.1</v>
      </c>
      <c r="N40" s="20">
        <v>27.8</v>
      </c>
      <c r="O40" s="20">
        <v>29</v>
      </c>
      <c r="P40" s="21"/>
      <c r="Q40" s="21">
        <v>29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34.700000000000003</v>
      </c>
      <c r="H41" s="21"/>
      <c r="I41" s="21">
        <v>34</v>
      </c>
      <c r="J41" s="20">
        <v>33.700000000000003</v>
      </c>
      <c r="K41" s="20">
        <v>34.799999999999997</v>
      </c>
      <c r="L41" s="21"/>
      <c r="M41" s="21">
        <v>34.5</v>
      </c>
      <c r="N41" s="20">
        <v>33.200000000000003</v>
      </c>
      <c r="O41" s="20">
        <v>34.200000000000003</v>
      </c>
      <c r="P41" s="21"/>
      <c r="Q41" s="21">
        <v>34.4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5.5000000000000036</v>
      </c>
      <c r="H42" s="27">
        <f t="shared" ref="H42:P42" si="4">H41-H40</f>
        <v>0</v>
      </c>
      <c r="I42" s="27">
        <f t="shared" si="4"/>
        <v>4.6999999999999993</v>
      </c>
      <c r="J42" s="27">
        <f t="shared" si="4"/>
        <v>5.5000000000000036</v>
      </c>
      <c r="K42" s="27">
        <f t="shared" si="4"/>
        <v>5.4999999999999964</v>
      </c>
      <c r="L42" s="27">
        <f>L41-L40</f>
        <v>0</v>
      </c>
      <c r="M42" s="27">
        <f>M41-M40</f>
        <v>5.3999999999999986</v>
      </c>
      <c r="N42" s="27">
        <f>N41-N40</f>
        <v>5.4000000000000021</v>
      </c>
      <c r="O42" s="27">
        <f>O41-O40</f>
        <v>5.2000000000000028</v>
      </c>
      <c r="P42" s="27">
        <f t="shared" si="4"/>
        <v>0</v>
      </c>
      <c r="Q42" s="27">
        <f>Q41-Q40</f>
        <v>5.3999999999999986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1300.7</v>
      </c>
      <c r="H43" s="21"/>
      <c r="I43" s="21">
        <v>1296.9000000000001</v>
      </c>
      <c r="J43" s="20">
        <v>1289.8</v>
      </c>
      <c r="K43" s="20">
        <v>1293.5999999999999</v>
      </c>
      <c r="L43" s="21"/>
      <c r="M43" s="20">
        <v>1301.4000000000001</v>
      </c>
      <c r="N43" s="20">
        <v>1302.0999999999999</v>
      </c>
      <c r="O43" s="20">
        <v>1293.9000000000001</v>
      </c>
      <c r="P43" s="21"/>
      <c r="Q43" s="21">
        <v>1298.3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8260.7967667436551</v>
      </c>
      <c r="H44" s="28">
        <f t="shared" ref="H44:Q44" si="5">H42*H43/0.866</f>
        <v>0</v>
      </c>
      <c r="I44" s="28">
        <f t="shared" si="5"/>
        <v>7038.6027713625863</v>
      </c>
      <c r="J44" s="28">
        <f t="shared" si="5"/>
        <v>8191.5704387990809</v>
      </c>
      <c r="K44" s="28">
        <f t="shared" si="5"/>
        <v>8215.704387990756</v>
      </c>
      <c r="L44" s="28">
        <f>L42*L43/0.866</f>
        <v>0</v>
      </c>
      <c r="M44" s="28">
        <f>M42*M43/0.866</f>
        <v>8114.965357967666</v>
      </c>
      <c r="N44" s="28">
        <f>N42*N43/0.866</f>
        <v>8119.3302540415725</v>
      </c>
      <c r="O44" s="28">
        <f>O42*O43/0.866</f>
        <v>7769.3764434180193</v>
      </c>
      <c r="P44" s="28">
        <f t="shared" si="5"/>
        <v>0</v>
      </c>
      <c r="Q44" s="28">
        <f t="shared" si="5"/>
        <v>8095.6351039260944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0.45</v>
      </c>
      <c r="K45" s="20">
        <v>0.46</v>
      </c>
      <c r="L45" s="21"/>
      <c r="M45" s="21">
        <v>0.46</v>
      </c>
      <c r="N45" s="20">
        <v>0.44</v>
      </c>
      <c r="O45" s="20">
        <v>0.46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</v>
      </c>
      <c r="H46" s="21"/>
      <c r="I46" s="21">
        <v>19.399999999999999</v>
      </c>
      <c r="J46" s="20">
        <v>19</v>
      </c>
      <c r="K46" s="20">
        <v>19.8</v>
      </c>
      <c r="L46" s="21"/>
      <c r="M46" s="21">
        <v>19.5</v>
      </c>
      <c r="N46" s="20">
        <v>18.600000000000001</v>
      </c>
      <c r="O46" s="20">
        <v>19.600000000000001</v>
      </c>
      <c r="P46" s="21"/>
      <c r="Q46" s="21">
        <v>20.100000000000001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199.5</v>
      </c>
      <c r="H47" s="21"/>
      <c r="I47" s="21">
        <v>121.3</v>
      </c>
      <c r="J47" s="20">
        <v>204.5</v>
      </c>
      <c r="K47" s="20">
        <v>202.4</v>
      </c>
      <c r="L47" s="21"/>
      <c r="M47" s="21">
        <v>208.8</v>
      </c>
      <c r="N47" s="20">
        <v>163.1</v>
      </c>
      <c r="O47" s="20">
        <v>170.6</v>
      </c>
      <c r="P47" s="21"/>
      <c r="Q47" s="21">
        <v>204.1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69">
        <v>5.89</v>
      </c>
      <c r="F49" s="20"/>
      <c r="G49" s="20">
        <v>5.96</v>
      </c>
      <c r="H49" s="21"/>
      <c r="I49" s="21">
        <v>5.66</v>
      </c>
      <c r="J49" s="20">
        <v>5.75</v>
      </c>
      <c r="K49" s="20">
        <v>5.77</v>
      </c>
      <c r="L49" s="21"/>
      <c r="M49" s="21">
        <v>5.68</v>
      </c>
      <c r="N49" s="20">
        <v>5.54</v>
      </c>
      <c r="O49" s="20">
        <v>5.87</v>
      </c>
      <c r="P49" s="21"/>
      <c r="Q49" s="21">
        <v>5.37</v>
      </c>
    </row>
    <row r="50" spans="2:17" ht="20.100000000000001" customHeight="1">
      <c r="B50" s="94" t="s">
        <v>91</v>
      </c>
      <c r="C50" s="94"/>
      <c r="D50" s="94"/>
      <c r="E50" s="6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6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5" zoomScaleNormal="60" workbookViewId="0">
      <selection activeCell="Q19" sqref="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45827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71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71.900000000000006</v>
      </c>
      <c r="G11" s="20">
        <v>72.099999999999994</v>
      </c>
      <c r="H11" s="21"/>
      <c r="I11" s="21">
        <v>81.400000000000006</v>
      </c>
      <c r="J11" s="20"/>
      <c r="K11" s="20">
        <v>73.8</v>
      </c>
      <c r="L11" s="21"/>
      <c r="M11" s="21">
        <v>75.3</v>
      </c>
      <c r="N11" s="20">
        <v>77.400000000000006</v>
      </c>
      <c r="O11" s="20">
        <v>75.599999999999994</v>
      </c>
      <c r="P11" s="21"/>
      <c r="Q11" s="21">
        <v>75.2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0.1</v>
      </c>
      <c r="G12" s="20">
        <v>0.1</v>
      </c>
      <c r="H12" s="21"/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66</v>
      </c>
      <c r="G13" s="20">
        <v>65.900000000000006</v>
      </c>
      <c r="H13" s="21"/>
      <c r="I13" s="21">
        <v>77.900000000000006</v>
      </c>
      <c r="J13" s="20"/>
      <c r="K13" s="20">
        <v>70.099999999999994</v>
      </c>
      <c r="L13" s="21"/>
      <c r="M13" s="21">
        <v>72</v>
      </c>
      <c r="N13" s="20">
        <v>75.3</v>
      </c>
      <c r="O13" s="20">
        <v>70.400000000000006</v>
      </c>
      <c r="P13" s="21"/>
      <c r="Q13" s="21">
        <v>70.8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67.3</v>
      </c>
      <c r="G14" s="20">
        <v>69</v>
      </c>
      <c r="H14" s="21"/>
      <c r="I14" s="21">
        <v>69.7</v>
      </c>
      <c r="J14" s="20"/>
      <c r="K14" s="20">
        <v>64.900000000000006</v>
      </c>
      <c r="L14" s="21"/>
      <c r="M14" s="21">
        <v>68.2</v>
      </c>
      <c r="N14" s="20">
        <v>72.900000000000006</v>
      </c>
      <c r="O14" s="20">
        <v>75</v>
      </c>
      <c r="P14" s="21"/>
      <c r="Q14" s="21">
        <v>73.2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40.799999999999997</v>
      </c>
      <c r="G15" s="20">
        <v>38.5</v>
      </c>
      <c r="H15" s="21"/>
      <c r="I15" s="21">
        <v>57.1</v>
      </c>
      <c r="J15" s="20"/>
      <c r="K15" s="20">
        <v>41.3</v>
      </c>
      <c r="L15" s="21"/>
      <c r="M15" s="21">
        <v>35.6</v>
      </c>
      <c r="N15" s="20">
        <v>54.2</v>
      </c>
      <c r="O15" s="20">
        <v>58</v>
      </c>
      <c r="P15" s="21"/>
      <c r="Q15" s="21">
        <v>42.6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/>
      <c r="M16" s="20">
        <v>6.6</v>
      </c>
      <c r="N16" s="20">
        <v>6.6</v>
      </c>
      <c r="O16" s="20">
        <v>6.6</v>
      </c>
      <c r="P16" s="20"/>
      <c r="Q16" s="20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118.6</v>
      </c>
      <c r="G17" s="20">
        <v>117.1</v>
      </c>
      <c r="H17" s="21"/>
      <c r="I17" s="21">
        <v>118.4</v>
      </c>
      <c r="J17" s="20"/>
      <c r="K17" s="20">
        <v>115.7</v>
      </c>
      <c r="L17" s="21"/>
      <c r="M17" s="21">
        <v>117.6</v>
      </c>
      <c r="N17" s="20">
        <v>121.3</v>
      </c>
      <c r="O17" s="20">
        <v>117.7</v>
      </c>
      <c r="P17" s="21"/>
      <c r="Q17" s="21">
        <v>118.6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1164</v>
      </c>
      <c r="G18" s="20">
        <v>1150</v>
      </c>
      <c r="H18" s="21"/>
      <c r="I18" s="21">
        <v>1197</v>
      </c>
      <c r="J18" s="20"/>
      <c r="K18" s="20">
        <v>1175</v>
      </c>
      <c r="L18" s="21"/>
      <c r="M18" s="21">
        <v>1194</v>
      </c>
      <c r="N18" s="20">
        <v>1229</v>
      </c>
      <c r="O18" s="20">
        <v>1194</v>
      </c>
      <c r="P18" s="21"/>
      <c r="Q18" s="21">
        <v>1200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50867.9</v>
      </c>
      <c r="G19" s="20">
        <v>50859</v>
      </c>
      <c r="H19" s="21"/>
      <c r="I19" s="21">
        <v>51787.5</v>
      </c>
      <c r="J19" s="20"/>
      <c r="K19" s="20">
        <v>49824</v>
      </c>
      <c r="L19" s="21"/>
      <c r="M19" s="21">
        <v>52268.3</v>
      </c>
      <c r="N19" s="20">
        <v>51434.2</v>
      </c>
      <c r="O19" s="20">
        <v>51241.7</v>
      </c>
      <c r="P19" s="21"/>
      <c r="Q19" s="21">
        <v>51425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58.2</v>
      </c>
      <c r="G22" s="20">
        <v>58.2</v>
      </c>
      <c r="H22" s="21"/>
      <c r="I22" s="21">
        <v>59.3</v>
      </c>
      <c r="J22" s="20"/>
      <c r="K22" s="20">
        <v>57.7</v>
      </c>
      <c r="L22" s="21"/>
      <c r="M22" s="21">
        <v>57.5</v>
      </c>
      <c r="N22" s="20">
        <v>58.5</v>
      </c>
      <c r="O22" s="20">
        <v>58.7</v>
      </c>
      <c r="P22" s="21"/>
      <c r="Q22" s="21">
        <v>59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0.53</v>
      </c>
      <c r="G23" s="20">
        <v>0.52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0.48</v>
      </c>
      <c r="O23" s="20">
        <v>0.48</v>
      </c>
      <c r="P23" s="21"/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</v>
      </c>
      <c r="G25" s="20">
        <v>45.1</v>
      </c>
      <c r="H25" s="21"/>
      <c r="I25" s="21">
        <v>44.8</v>
      </c>
      <c r="J25" s="20"/>
      <c r="K25" s="20">
        <v>45.1</v>
      </c>
      <c r="L25" s="21"/>
      <c r="M25" s="21">
        <v>44.8</v>
      </c>
      <c r="N25" s="20">
        <v>45.1</v>
      </c>
      <c r="O25" s="20">
        <v>44.9</v>
      </c>
      <c r="P25" s="21"/>
      <c r="Q25" s="21">
        <v>45.1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4.5</v>
      </c>
      <c r="G27" s="20">
        <v>4.2</v>
      </c>
      <c r="H27" s="21"/>
      <c r="I27" s="21">
        <v>3.2</v>
      </c>
      <c r="J27" s="20"/>
      <c r="K27" s="20">
        <v>4</v>
      </c>
      <c r="L27" s="21"/>
      <c r="M27" s="21">
        <v>4</v>
      </c>
      <c r="N27" s="20">
        <v>4.4000000000000004</v>
      </c>
      <c r="O27" s="20">
        <v>4.3</v>
      </c>
      <c r="P27" s="21"/>
      <c r="Q27" s="21">
        <v>4.5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4</v>
      </c>
      <c r="G28" s="20">
        <v>3.7</v>
      </c>
      <c r="H28" s="21"/>
      <c r="I28" s="21">
        <v>2.2999999999999998</v>
      </c>
      <c r="J28" s="20"/>
      <c r="K28" s="20">
        <v>3.3</v>
      </c>
      <c r="L28" s="21"/>
      <c r="M28" s="21">
        <v>2.8</v>
      </c>
      <c r="N28" s="20">
        <v>3.1</v>
      </c>
      <c r="O28" s="20">
        <v>3.3</v>
      </c>
      <c r="P28" s="21"/>
      <c r="Q28" s="21">
        <v>3.6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1.0999999999999996</v>
      </c>
      <c r="G29" s="27">
        <f t="shared" si="0"/>
        <v>1</v>
      </c>
      <c r="H29" s="27">
        <f t="shared" si="0"/>
        <v>0</v>
      </c>
      <c r="I29" s="27">
        <f t="shared" si="0"/>
        <v>2.4000000000000004</v>
      </c>
      <c r="J29" s="27">
        <f t="shared" si="0"/>
        <v>0</v>
      </c>
      <c r="K29" s="27">
        <f t="shared" si="0"/>
        <v>0.70000000000000018</v>
      </c>
      <c r="L29" s="27">
        <f>L32-L28</f>
        <v>0</v>
      </c>
      <c r="M29" s="27">
        <f>M32-M28</f>
        <v>1.6000000000000005</v>
      </c>
      <c r="N29" s="27">
        <f>N32-N28</f>
        <v>1.6</v>
      </c>
      <c r="O29" s="27">
        <f>O32-O28</f>
        <v>1.2999999999999998</v>
      </c>
      <c r="P29" s="27">
        <f t="shared" si="0"/>
        <v>0</v>
      </c>
      <c r="Q29" s="27">
        <f t="shared" si="0"/>
        <v>0.89999999999999991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697.9</v>
      </c>
      <c r="G30" s="20">
        <v>642.20000000000005</v>
      </c>
      <c r="H30" s="21"/>
      <c r="I30" s="21">
        <v>631.9</v>
      </c>
      <c r="J30" s="20"/>
      <c r="K30" s="20">
        <v>635.44000000000005</v>
      </c>
      <c r="L30" s="21"/>
      <c r="M30" s="21">
        <v>627.79999999999995</v>
      </c>
      <c r="N30" s="20">
        <v>687.9</v>
      </c>
      <c r="O30" s="20">
        <v>642.9</v>
      </c>
      <c r="P30" s="21"/>
      <c r="Q30" s="21">
        <v>639.4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13.6</v>
      </c>
      <c r="G31" s="20">
        <v>13.8</v>
      </c>
      <c r="H31" s="21"/>
      <c r="I31" s="21">
        <v>13.8</v>
      </c>
      <c r="J31" s="20"/>
      <c r="K31" s="20">
        <v>13.2</v>
      </c>
      <c r="L31" s="21"/>
      <c r="M31" s="21">
        <v>13.7</v>
      </c>
      <c r="N31" s="20">
        <v>13.7</v>
      </c>
      <c r="O31" s="20">
        <v>13.9</v>
      </c>
      <c r="P31" s="21"/>
      <c r="Q31" s="21">
        <v>13.5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5.0999999999999996</v>
      </c>
      <c r="G32" s="20">
        <v>4.7</v>
      </c>
      <c r="H32" s="21"/>
      <c r="I32" s="21">
        <v>4.7</v>
      </c>
      <c r="J32" s="20"/>
      <c r="K32" s="20">
        <v>4</v>
      </c>
      <c r="L32" s="21"/>
      <c r="M32" s="21">
        <v>4.4000000000000004</v>
      </c>
      <c r="N32" s="20">
        <v>4.7</v>
      </c>
      <c r="O32" s="20">
        <v>4.5999999999999996</v>
      </c>
      <c r="P32" s="21"/>
      <c r="Q32" s="21">
        <v>4.5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8.5</v>
      </c>
      <c r="G33" s="27">
        <f>G31-G32</f>
        <v>9.1000000000000014</v>
      </c>
      <c r="H33" s="27">
        <f t="shared" ref="H33:Q33" si="1">H31-H32</f>
        <v>0</v>
      </c>
      <c r="I33" s="27">
        <f t="shared" si="1"/>
        <v>9.1000000000000014</v>
      </c>
      <c r="J33" s="27">
        <f t="shared" si="1"/>
        <v>0</v>
      </c>
      <c r="K33" s="27">
        <f t="shared" si="1"/>
        <v>9.1999999999999993</v>
      </c>
      <c r="L33" s="27">
        <f>L31-L32</f>
        <v>0</v>
      </c>
      <c r="M33" s="27">
        <f>M31-M32</f>
        <v>9.2999999999999989</v>
      </c>
      <c r="N33" s="27">
        <f>N31-N32</f>
        <v>9</v>
      </c>
      <c r="O33" s="27">
        <f>O31-O32</f>
        <v>9.3000000000000007</v>
      </c>
      <c r="P33" s="27">
        <f t="shared" si="1"/>
        <v>0</v>
      </c>
      <c r="Q33" s="27">
        <f t="shared" si="1"/>
        <v>9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6850.0577367205542</v>
      </c>
      <c r="G34" s="28">
        <f>(G33*G30)/0.866</f>
        <v>6748.290993071595</v>
      </c>
      <c r="H34" s="28">
        <f t="shared" ref="H34:Q34" si="2">(H33*H30)/0.866</f>
        <v>0</v>
      </c>
      <c r="I34" s="28">
        <f t="shared" si="2"/>
        <v>6640.0577367205551</v>
      </c>
      <c r="J34" s="28">
        <f t="shared" si="2"/>
        <v>0</v>
      </c>
      <c r="K34" s="28">
        <f t="shared" si="2"/>
        <v>6750.6327944572749</v>
      </c>
      <c r="L34" s="28">
        <f>(L33*L30)/0.866</f>
        <v>0</v>
      </c>
      <c r="M34" s="28">
        <f>(M33*M30)/0.866</f>
        <v>6741.9630484988438</v>
      </c>
      <c r="N34" s="28">
        <f>(N33*N30)/0.866</f>
        <v>7149.0762124711309</v>
      </c>
      <c r="O34" s="28">
        <f>(O33*O30)/0.866</f>
        <v>6904.122401847575</v>
      </c>
      <c r="P34" s="28">
        <f t="shared" si="2"/>
        <v>0</v>
      </c>
      <c r="Q34" s="28">
        <f t="shared" si="2"/>
        <v>6645.0346420323322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0.81</v>
      </c>
      <c r="G35" s="20">
        <v>0.8</v>
      </c>
      <c r="H35" s="21"/>
      <c r="I35" s="21">
        <v>0.82</v>
      </c>
      <c r="J35" s="20"/>
      <c r="K35" s="20">
        <v>0.81</v>
      </c>
      <c r="L35" s="21"/>
      <c r="M35" s="21">
        <v>0.81</v>
      </c>
      <c r="N35" s="20">
        <v>0.8</v>
      </c>
      <c r="O35" s="20">
        <v>0.79</v>
      </c>
      <c r="P35" s="21"/>
      <c r="Q35" s="21">
        <v>0.81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35.700000000000003</v>
      </c>
      <c r="G36" s="20">
        <v>35.299999999999997</v>
      </c>
      <c r="H36" s="21"/>
      <c r="I36" s="21">
        <v>35.9</v>
      </c>
      <c r="J36" s="20"/>
      <c r="K36" s="20">
        <v>35.6</v>
      </c>
      <c r="L36" s="21"/>
      <c r="M36" s="21">
        <v>35.6</v>
      </c>
      <c r="N36" s="20">
        <v>35.200000000000003</v>
      </c>
      <c r="O36" s="20">
        <v>34.799999999999997</v>
      </c>
      <c r="P36" s="21"/>
      <c r="Q36" s="21">
        <v>35.5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36.200000000000003</v>
      </c>
      <c r="G37" s="20">
        <v>35.799999999999997</v>
      </c>
      <c r="H37" s="21"/>
      <c r="I37" s="21">
        <v>36.799999999999997</v>
      </c>
      <c r="J37" s="20"/>
      <c r="K37" s="20">
        <v>36.299999999999997</v>
      </c>
      <c r="L37" s="21"/>
      <c r="M37" s="21">
        <v>36.1</v>
      </c>
      <c r="N37" s="20">
        <v>35.299999999999997</v>
      </c>
      <c r="O37" s="20">
        <v>35.299999999999997</v>
      </c>
      <c r="P37" s="21"/>
      <c r="Q37" s="21">
        <v>36.299999999999997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1.6000000000000014</v>
      </c>
      <c r="G38" s="27">
        <f>G37-G41</f>
        <v>1.6999999999999957</v>
      </c>
      <c r="H38" s="27">
        <f>H37-H41</f>
        <v>0</v>
      </c>
      <c r="I38" s="27">
        <f>I37-I41</f>
        <v>3.2999999999999972</v>
      </c>
      <c r="J38" s="27">
        <f t="shared" ref="J38:Q38" si="3">J37-J41</f>
        <v>0</v>
      </c>
      <c r="K38" s="27">
        <f t="shared" si="3"/>
        <v>2.1999999999999957</v>
      </c>
      <c r="L38" s="27">
        <f>L37-L41</f>
        <v>0</v>
      </c>
      <c r="M38" s="27">
        <f>M37-M41</f>
        <v>2.2000000000000028</v>
      </c>
      <c r="N38" s="27">
        <f>N37-N41</f>
        <v>1.0999999999999943</v>
      </c>
      <c r="O38" s="27">
        <f>O37-O41</f>
        <v>1.5</v>
      </c>
      <c r="P38" s="27">
        <f t="shared" si="3"/>
        <v>0</v>
      </c>
      <c r="Q38" s="27">
        <f t="shared" si="3"/>
        <v>2.5999999999999943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28.9</v>
      </c>
      <c r="G40" s="20">
        <v>28.6</v>
      </c>
      <c r="H40" s="21"/>
      <c r="I40" s="21">
        <v>28.5</v>
      </c>
      <c r="J40" s="20"/>
      <c r="K40" s="20">
        <v>28.7</v>
      </c>
      <c r="L40" s="21"/>
      <c r="M40" s="21">
        <v>28.7</v>
      </c>
      <c r="N40" s="20">
        <v>28.7</v>
      </c>
      <c r="O40" s="20">
        <v>28.3</v>
      </c>
      <c r="P40" s="21"/>
      <c r="Q40" s="21">
        <v>28.4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34.6</v>
      </c>
      <c r="G41" s="20">
        <v>34.1</v>
      </c>
      <c r="H41" s="21"/>
      <c r="I41" s="21">
        <v>33.5</v>
      </c>
      <c r="J41" s="20"/>
      <c r="K41" s="20">
        <v>34.1</v>
      </c>
      <c r="L41" s="21"/>
      <c r="M41" s="21">
        <v>33.9</v>
      </c>
      <c r="N41" s="20">
        <v>34.200000000000003</v>
      </c>
      <c r="O41" s="20">
        <v>33.799999999999997</v>
      </c>
      <c r="P41" s="21"/>
      <c r="Q41" s="21">
        <v>33.700000000000003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5.7000000000000028</v>
      </c>
      <c r="G42" s="27">
        <f>G41-G40</f>
        <v>5.5</v>
      </c>
      <c r="H42" s="27">
        <f t="shared" ref="H42:Q42" si="4">H41-H40</f>
        <v>0</v>
      </c>
      <c r="I42" s="27">
        <f t="shared" si="4"/>
        <v>5</v>
      </c>
      <c r="J42" s="27">
        <f t="shared" si="4"/>
        <v>0</v>
      </c>
      <c r="K42" s="27">
        <f t="shared" si="4"/>
        <v>5.4000000000000021</v>
      </c>
      <c r="L42" s="27">
        <f>L41-L40</f>
        <v>0</v>
      </c>
      <c r="M42" s="27">
        <f>M41-M40</f>
        <v>5.1999999999999993</v>
      </c>
      <c r="N42" s="27">
        <f>N41-N40</f>
        <v>5.5000000000000036</v>
      </c>
      <c r="O42" s="27">
        <f>O41-O40</f>
        <v>5.4999999999999964</v>
      </c>
      <c r="P42" s="27">
        <f t="shared" si="4"/>
        <v>0</v>
      </c>
      <c r="Q42" s="27">
        <f t="shared" si="4"/>
        <v>5.3000000000000043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1303.8</v>
      </c>
      <c r="G43" s="20">
        <v>1296.0999999999999</v>
      </c>
      <c r="H43" s="21"/>
      <c r="I43" s="21">
        <v>1290.5999999999999</v>
      </c>
      <c r="J43" s="20"/>
      <c r="K43" s="20">
        <v>1304.9000000000001</v>
      </c>
      <c r="L43" s="21"/>
      <c r="M43" s="20">
        <v>1293.9000000000001</v>
      </c>
      <c r="N43" s="20">
        <v>1299.9000000000001</v>
      </c>
      <c r="O43" s="20">
        <v>1291.9000000000001</v>
      </c>
      <c r="P43" s="21"/>
      <c r="Q43" s="21">
        <v>1294.5999999999999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8581.5935334873029</v>
      </c>
      <c r="G44" s="28">
        <f>G42*G43/0.866</f>
        <v>8231.5819861431864</v>
      </c>
      <c r="H44" s="28">
        <f t="shared" ref="H44:Q44" si="5">H42*H43/0.866</f>
        <v>0</v>
      </c>
      <c r="I44" s="28">
        <f t="shared" si="5"/>
        <v>7451.5011547344111</v>
      </c>
      <c r="J44" s="28">
        <f t="shared" si="5"/>
        <v>0</v>
      </c>
      <c r="K44" s="28">
        <f t="shared" si="5"/>
        <v>8136.7898383371867</v>
      </c>
      <c r="L44" s="28">
        <f>L42*L43/0.866</f>
        <v>0</v>
      </c>
      <c r="M44" s="28">
        <f>M42*M43/0.866</f>
        <v>7769.3764434180139</v>
      </c>
      <c r="N44" s="28">
        <f>N42*N43/0.866</f>
        <v>8255.7159353348798</v>
      </c>
      <c r="O44" s="28">
        <f>O42*O43/0.866</f>
        <v>8204.9076212471082</v>
      </c>
      <c r="P44" s="28">
        <f t="shared" si="5"/>
        <v>0</v>
      </c>
      <c r="Q44" s="28">
        <f t="shared" si="5"/>
        <v>7923.0715935334929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0.47</v>
      </c>
      <c r="G45" s="20">
        <v>0.46</v>
      </c>
      <c r="H45" s="21"/>
      <c r="I45" s="21">
        <v>0.45</v>
      </c>
      <c r="J45" s="20"/>
      <c r="K45" s="20">
        <v>0.45</v>
      </c>
      <c r="L45" s="21"/>
      <c r="M45" s="21">
        <v>0.46</v>
      </c>
      <c r="N45" s="20">
        <v>0.45</v>
      </c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19.899999999999999</v>
      </c>
      <c r="G46" s="20">
        <v>19.5</v>
      </c>
      <c r="H46" s="21"/>
      <c r="I46" s="21">
        <v>18.7</v>
      </c>
      <c r="J46" s="20"/>
      <c r="K46" s="20">
        <v>19.3</v>
      </c>
      <c r="L46" s="21"/>
      <c r="M46" s="21">
        <v>19.2</v>
      </c>
      <c r="N46" s="20">
        <v>19</v>
      </c>
      <c r="O46" s="20">
        <v>19.600000000000001</v>
      </c>
      <c r="P46" s="21"/>
      <c r="Q46" s="21">
        <v>19.600000000000001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201.2</v>
      </c>
      <c r="G47" s="20">
        <v>202.9</v>
      </c>
      <c r="H47" s="21"/>
      <c r="I47" s="21">
        <v>122.5</v>
      </c>
      <c r="J47" s="20"/>
      <c r="K47" s="20">
        <v>205.4</v>
      </c>
      <c r="L47" s="21"/>
      <c r="M47" s="21">
        <v>214.9</v>
      </c>
      <c r="N47" s="20">
        <v>159.69999999999999</v>
      </c>
      <c r="O47" s="20">
        <v>160.30000000000001</v>
      </c>
      <c r="P47" s="21"/>
      <c r="Q47" s="21">
        <v>199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71">
        <v>5.89</v>
      </c>
      <c r="F49" s="20">
        <v>5.88</v>
      </c>
      <c r="G49" s="20">
        <v>5.84</v>
      </c>
      <c r="H49" s="21"/>
      <c r="I49" s="21">
        <v>5.61</v>
      </c>
      <c r="J49" s="20"/>
      <c r="K49" s="20">
        <v>5.79</v>
      </c>
      <c r="L49" s="21"/>
      <c r="M49" s="21">
        <v>5.74</v>
      </c>
      <c r="N49" s="20">
        <v>5.89</v>
      </c>
      <c r="O49" s="20">
        <v>5.74</v>
      </c>
      <c r="P49" s="21"/>
      <c r="Q49" s="21">
        <v>5.52</v>
      </c>
    </row>
    <row r="50" spans="2:17" ht="20.100000000000001" customHeight="1">
      <c r="B50" s="94" t="s">
        <v>91</v>
      </c>
      <c r="C50" s="94"/>
      <c r="D50" s="94"/>
      <c r="E50" s="7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7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24" zoomScale="85" zoomScaleNormal="60" workbookViewId="0">
      <selection activeCell="G47" sqref="G4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45828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73" t="s">
        <v>18</v>
      </c>
      <c r="E10" s="15"/>
      <c r="F10" s="17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6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73.5</v>
      </c>
      <c r="G11" s="20">
        <v>70</v>
      </c>
      <c r="H11" s="21"/>
      <c r="I11" s="21">
        <v>77.099999999999994</v>
      </c>
      <c r="J11" s="20"/>
      <c r="K11" s="20">
        <v>74.3</v>
      </c>
      <c r="L11" s="21">
        <v>75.599999999999994</v>
      </c>
      <c r="M11" s="21">
        <v>76.400000000000006</v>
      </c>
      <c r="N11" s="20"/>
      <c r="O11" s="20">
        <v>75.599999999999994</v>
      </c>
      <c r="P11" s="21"/>
      <c r="Q11" s="21">
        <v>72.099999999999994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</v>
      </c>
      <c r="G12" s="20">
        <v>0.1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68.400000000000006</v>
      </c>
      <c r="G13" s="20">
        <v>63.6</v>
      </c>
      <c r="H13" s="21"/>
      <c r="I13" s="21">
        <v>72.7</v>
      </c>
      <c r="J13" s="20"/>
      <c r="K13" s="20">
        <v>69</v>
      </c>
      <c r="L13" s="21">
        <v>73.3</v>
      </c>
      <c r="M13" s="21">
        <v>70.900000000000006</v>
      </c>
      <c r="N13" s="20"/>
      <c r="O13" s="20">
        <v>70.400000000000006</v>
      </c>
      <c r="P13" s="21"/>
      <c r="Q13" s="21">
        <v>65.7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69.599999999999994</v>
      </c>
      <c r="G14" s="20">
        <v>68.900000000000006</v>
      </c>
      <c r="H14" s="21"/>
      <c r="I14" s="21">
        <v>72.099999999999994</v>
      </c>
      <c r="J14" s="20"/>
      <c r="K14" s="20">
        <v>64.599999999999994</v>
      </c>
      <c r="L14" s="21">
        <v>68.900000000000006</v>
      </c>
      <c r="M14" s="21">
        <v>67.7</v>
      </c>
      <c r="N14" s="20"/>
      <c r="O14" s="20">
        <v>75</v>
      </c>
      <c r="P14" s="21"/>
      <c r="Q14" s="21">
        <v>72.7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41.7</v>
      </c>
      <c r="G15" s="20">
        <v>38</v>
      </c>
      <c r="H15" s="21"/>
      <c r="I15" s="21">
        <v>51.1</v>
      </c>
      <c r="J15" s="20"/>
      <c r="K15" s="20">
        <v>40.1</v>
      </c>
      <c r="L15" s="21">
        <v>36</v>
      </c>
      <c r="M15" s="21">
        <v>33.700000000000003</v>
      </c>
      <c r="N15" s="20"/>
      <c r="O15" s="20">
        <v>58</v>
      </c>
      <c r="P15" s="21"/>
      <c r="Q15" s="21">
        <v>44.8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0"/>
      <c r="I16" s="20">
        <v>6.6</v>
      </c>
      <c r="J16" s="20"/>
      <c r="K16" s="20">
        <v>6.6</v>
      </c>
      <c r="L16" s="20">
        <v>6.6</v>
      </c>
      <c r="M16" s="20">
        <v>6.6</v>
      </c>
      <c r="N16" s="20"/>
      <c r="O16" s="20">
        <v>6.6</v>
      </c>
      <c r="P16" s="20"/>
      <c r="Q16" s="20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117.5</v>
      </c>
      <c r="G17" s="20">
        <v>116.4</v>
      </c>
      <c r="H17" s="21"/>
      <c r="I17" s="21">
        <v>117.8</v>
      </c>
      <c r="J17" s="20"/>
      <c r="K17" s="20">
        <v>116.5</v>
      </c>
      <c r="L17" s="21">
        <v>116.1</v>
      </c>
      <c r="M17" s="21">
        <v>119.1</v>
      </c>
      <c r="N17" s="20"/>
      <c r="O17" s="20">
        <v>117.7</v>
      </c>
      <c r="P17" s="21"/>
      <c r="Q17" s="21">
        <v>116.8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1150</v>
      </c>
      <c r="G18" s="20">
        <v>1132</v>
      </c>
      <c r="H18" s="21"/>
      <c r="I18" s="21">
        <v>1191</v>
      </c>
      <c r="J18" s="20"/>
      <c r="K18" s="20">
        <v>1176</v>
      </c>
      <c r="L18" s="21">
        <v>1180</v>
      </c>
      <c r="M18" s="21">
        <v>1202</v>
      </c>
      <c r="N18" s="20"/>
      <c r="O18" s="20">
        <v>1194</v>
      </c>
      <c r="P18" s="21"/>
      <c r="Q18" s="21">
        <v>1175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50887.8</v>
      </c>
      <c r="G19" s="20">
        <v>50880.800000000003</v>
      </c>
      <c r="H19" s="21"/>
      <c r="I19" s="21">
        <v>51798.5</v>
      </c>
      <c r="J19" s="20"/>
      <c r="K19" s="20">
        <v>49829</v>
      </c>
      <c r="L19" s="21">
        <v>52288</v>
      </c>
      <c r="M19" s="21">
        <v>52280</v>
      </c>
      <c r="N19" s="20"/>
      <c r="O19" s="20">
        <v>51236.7</v>
      </c>
      <c r="P19" s="21"/>
      <c r="Q19" s="21">
        <v>51432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58.4</v>
      </c>
      <c r="G22" s="20">
        <v>58.2</v>
      </c>
      <c r="H22" s="21"/>
      <c r="I22" s="21">
        <v>59.5</v>
      </c>
      <c r="J22" s="20"/>
      <c r="K22" s="20">
        <v>57.7</v>
      </c>
      <c r="L22" s="21">
        <v>57.2</v>
      </c>
      <c r="M22" s="21">
        <v>57.6</v>
      </c>
      <c r="N22" s="20"/>
      <c r="O22" s="20">
        <v>58.7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44.9</v>
      </c>
      <c r="G25" s="20">
        <v>44.9</v>
      </c>
      <c r="H25" s="21"/>
      <c r="I25" s="21">
        <v>44.8</v>
      </c>
      <c r="J25" s="20"/>
      <c r="K25" s="20">
        <v>45</v>
      </c>
      <c r="L25" s="21">
        <v>45.1</v>
      </c>
      <c r="M25" s="21">
        <v>44.8</v>
      </c>
      <c r="N25" s="20"/>
      <c r="O25" s="20">
        <v>44.9</v>
      </c>
      <c r="P25" s="21"/>
      <c r="Q25" s="21">
        <v>45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0.22</v>
      </c>
      <c r="J26" s="20"/>
      <c r="K26" s="20">
        <v>0.23</v>
      </c>
      <c r="L26" s="21">
        <v>0.22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4.0999999999999996</v>
      </c>
      <c r="G27" s="20">
        <v>4.3</v>
      </c>
      <c r="H27" s="21"/>
      <c r="I27" s="21">
        <v>4</v>
      </c>
      <c r="J27" s="20"/>
      <c r="K27" s="20">
        <v>4.2</v>
      </c>
      <c r="L27" s="21">
        <v>3.6</v>
      </c>
      <c r="M27" s="21">
        <v>4.0999999999999996</v>
      </c>
      <c r="N27" s="20"/>
      <c r="O27" s="20">
        <v>4.3</v>
      </c>
      <c r="P27" s="21"/>
      <c r="Q27" s="21">
        <v>4.7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3.5</v>
      </c>
      <c r="G28" s="20">
        <v>4</v>
      </c>
      <c r="H28" s="21"/>
      <c r="I28" s="21">
        <v>2.9</v>
      </c>
      <c r="J28" s="20"/>
      <c r="K28" s="20">
        <v>3.3</v>
      </c>
      <c r="L28" s="21">
        <v>2.2999999999999998</v>
      </c>
      <c r="M28" s="21">
        <v>3</v>
      </c>
      <c r="N28" s="20"/>
      <c r="O28" s="20">
        <v>3.3</v>
      </c>
      <c r="P28" s="21"/>
      <c r="Q28" s="21">
        <v>3.8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 t="shared" ref="F29:Q29" si="0">F32-F28</f>
        <v>1.5</v>
      </c>
      <c r="G29" s="27">
        <f t="shared" si="0"/>
        <v>0.79999999999999982</v>
      </c>
      <c r="H29" s="27">
        <f t="shared" si="0"/>
        <v>0</v>
      </c>
      <c r="I29" s="27">
        <f t="shared" si="0"/>
        <v>2.1</v>
      </c>
      <c r="J29" s="27">
        <f t="shared" si="0"/>
        <v>0</v>
      </c>
      <c r="K29" s="27">
        <f t="shared" si="0"/>
        <v>0.70000000000000018</v>
      </c>
      <c r="L29" s="27">
        <f t="shared" si="0"/>
        <v>1.7000000000000002</v>
      </c>
      <c r="M29" s="27">
        <f t="shared" si="0"/>
        <v>1.2999999999999998</v>
      </c>
      <c r="N29" s="27">
        <f t="shared" si="0"/>
        <v>0</v>
      </c>
      <c r="O29" s="27">
        <f t="shared" si="0"/>
        <v>1.2999999999999998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691</v>
      </c>
      <c r="G30" s="20">
        <v>666.8</v>
      </c>
      <c r="H30" s="21"/>
      <c r="I30" s="21">
        <v>650.88</v>
      </c>
      <c r="J30" s="20"/>
      <c r="K30" s="20">
        <v>631.5</v>
      </c>
      <c r="L30" s="21">
        <v>640.20000000000005</v>
      </c>
      <c r="M30" s="21">
        <v>640</v>
      </c>
      <c r="N30" s="20"/>
      <c r="O30" s="20">
        <v>642.9</v>
      </c>
      <c r="P30" s="21"/>
      <c r="Q30" s="21">
        <v>634.1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13.7</v>
      </c>
      <c r="G31" s="20">
        <v>13.7</v>
      </c>
      <c r="H31" s="21"/>
      <c r="I31" s="21">
        <v>13.6</v>
      </c>
      <c r="J31" s="20"/>
      <c r="K31" s="20">
        <v>13.1</v>
      </c>
      <c r="L31" s="21">
        <v>13.5</v>
      </c>
      <c r="M31" s="21">
        <v>13.6</v>
      </c>
      <c r="N31" s="20"/>
      <c r="O31" s="20">
        <v>13.9</v>
      </c>
      <c r="P31" s="21"/>
      <c r="Q31" s="21">
        <v>13.6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5</v>
      </c>
      <c r="G32" s="20">
        <v>4.8</v>
      </c>
      <c r="H32" s="21"/>
      <c r="I32" s="21">
        <v>5</v>
      </c>
      <c r="J32" s="20"/>
      <c r="K32" s="20">
        <v>4</v>
      </c>
      <c r="L32" s="21">
        <v>4</v>
      </c>
      <c r="M32" s="21">
        <v>4.3</v>
      </c>
      <c r="N32" s="20"/>
      <c r="O32" s="20">
        <v>4.5999999999999996</v>
      </c>
      <c r="P32" s="21"/>
      <c r="Q32" s="21">
        <v>4.8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8.6999999999999993</v>
      </c>
      <c r="G33" s="27">
        <f t="shared" ref="G33:Q33" si="1">G31-G32</f>
        <v>8.8999999999999986</v>
      </c>
      <c r="H33" s="27">
        <f t="shared" si="1"/>
        <v>0</v>
      </c>
      <c r="I33" s="27">
        <f t="shared" si="1"/>
        <v>8.6</v>
      </c>
      <c r="J33" s="27">
        <f t="shared" si="1"/>
        <v>0</v>
      </c>
      <c r="K33" s="27">
        <f t="shared" si="1"/>
        <v>9.1</v>
      </c>
      <c r="L33" s="27">
        <f t="shared" si="1"/>
        <v>9.5</v>
      </c>
      <c r="M33" s="27">
        <f t="shared" si="1"/>
        <v>9.3000000000000007</v>
      </c>
      <c r="N33" s="27">
        <f t="shared" si="1"/>
        <v>0</v>
      </c>
      <c r="O33" s="27">
        <f t="shared" si="1"/>
        <v>9.3000000000000007</v>
      </c>
      <c r="P33" s="27">
        <f t="shared" si="1"/>
        <v>0</v>
      </c>
      <c r="Q33" s="27">
        <f t="shared" si="1"/>
        <v>8.8000000000000007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6941.9168591224015</v>
      </c>
      <c r="G34" s="28">
        <f t="shared" ref="G34:Q34" si="2">(G33*G30)/0.866</f>
        <v>6852.7944572748256</v>
      </c>
      <c r="H34" s="28">
        <f t="shared" si="2"/>
        <v>0</v>
      </c>
      <c r="I34" s="28">
        <f t="shared" si="2"/>
        <v>6463.7043879907615</v>
      </c>
      <c r="J34" s="28">
        <f t="shared" si="2"/>
        <v>0</v>
      </c>
      <c r="K34" s="28">
        <f t="shared" si="2"/>
        <v>6635.8545034642029</v>
      </c>
      <c r="L34" s="28">
        <f t="shared" si="2"/>
        <v>7022.9792147806011</v>
      </c>
      <c r="M34" s="28">
        <f t="shared" si="2"/>
        <v>6872.9792147806002</v>
      </c>
      <c r="N34" s="28">
        <f t="shared" si="2"/>
        <v>0</v>
      </c>
      <c r="O34" s="28">
        <f t="shared" si="2"/>
        <v>6904.122401847575</v>
      </c>
      <c r="P34" s="28">
        <f t="shared" si="2"/>
        <v>0</v>
      </c>
      <c r="Q34" s="28">
        <f t="shared" si="2"/>
        <v>6443.5103926097008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0.81</v>
      </c>
      <c r="H35" s="21"/>
      <c r="I35" s="21">
        <v>0.84</v>
      </c>
      <c r="J35" s="20"/>
      <c r="K35" s="20">
        <v>0.83</v>
      </c>
      <c r="L35" s="21">
        <v>0.8</v>
      </c>
      <c r="M35" s="21">
        <v>0.82</v>
      </c>
      <c r="N35" s="20"/>
      <c r="O35" s="20">
        <v>0.79</v>
      </c>
      <c r="P35" s="21"/>
      <c r="Q35" s="21">
        <v>0.82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34.299999999999997</v>
      </c>
      <c r="G36" s="20">
        <v>35.700000000000003</v>
      </c>
      <c r="H36" s="21"/>
      <c r="I36" s="21">
        <v>36.700000000000003</v>
      </c>
      <c r="J36" s="20"/>
      <c r="K36" s="20">
        <v>36</v>
      </c>
      <c r="L36" s="21">
        <v>34.6</v>
      </c>
      <c r="M36" s="21">
        <v>36.1</v>
      </c>
      <c r="N36" s="20"/>
      <c r="O36" s="20">
        <v>34.799999999999997</v>
      </c>
      <c r="P36" s="21"/>
      <c r="Q36" s="21">
        <v>35.799999999999997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34.9</v>
      </c>
      <c r="G37" s="20">
        <v>36.200000000000003</v>
      </c>
      <c r="H37" s="21"/>
      <c r="I37" s="21">
        <v>37.4</v>
      </c>
      <c r="J37" s="20"/>
      <c r="K37" s="20">
        <v>36.799999999999997</v>
      </c>
      <c r="L37" s="21">
        <v>35.200000000000003</v>
      </c>
      <c r="M37" s="21">
        <v>36.6</v>
      </c>
      <c r="N37" s="20"/>
      <c r="O37" s="20">
        <v>35.299999999999997</v>
      </c>
      <c r="P37" s="21"/>
      <c r="Q37" s="21">
        <v>36.6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1.6000000000000014</v>
      </c>
      <c r="G38" s="27">
        <f t="shared" ref="G38:Q38" si="3">G37-G41</f>
        <v>1.7000000000000028</v>
      </c>
      <c r="H38" s="27">
        <f t="shared" si="3"/>
        <v>0</v>
      </c>
      <c r="I38" s="27">
        <f t="shared" si="3"/>
        <v>3.7999999999999972</v>
      </c>
      <c r="J38" s="27">
        <f t="shared" si="3"/>
        <v>0</v>
      </c>
      <c r="K38" s="27">
        <f t="shared" si="3"/>
        <v>2.1999999999999957</v>
      </c>
      <c r="L38" s="27">
        <f t="shared" si="3"/>
        <v>2.3000000000000043</v>
      </c>
      <c r="M38" s="27">
        <f t="shared" si="3"/>
        <v>2.2000000000000028</v>
      </c>
      <c r="N38" s="27">
        <f t="shared" si="3"/>
        <v>0</v>
      </c>
      <c r="O38" s="27">
        <f t="shared" si="3"/>
        <v>1.5</v>
      </c>
      <c r="P38" s="27">
        <f t="shared" si="3"/>
        <v>0</v>
      </c>
      <c r="Q38" s="27">
        <f t="shared" si="3"/>
        <v>2.5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27.6</v>
      </c>
      <c r="G40" s="20">
        <v>29.2</v>
      </c>
      <c r="H40" s="21"/>
      <c r="I40" s="21">
        <v>28.7</v>
      </c>
      <c r="J40" s="20"/>
      <c r="K40" s="20">
        <v>29.2</v>
      </c>
      <c r="L40" s="21">
        <v>27.7</v>
      </c>
      <c r="M40" s="21">
        <v>29</v>
      </c>
      <c r="N40" s="20"/>
      <c r="O40" s="20">
        <v>28.3</v>
      </c>
      <c r="P40" s="21"/>
      <c r="Q40" s="21">
        <v>29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33.299999999999997</v>
      </c>
      <c r="G41" s="20">
        <v>34.5</v>
      </c>
      <c r="H41" s="21"/>
      <c r="I41" s="21">
        <v>33.6</v>
      </c>
      <c r="J41" s="20"/>
      <c r="K41" s="20">
        <v>34.6</v>
      </c>
      <c r="L41" s="21">
        <v>32.9</v>
      </c>
      <c r="M41" s="21">
        <v>34.4</v>
      </c>
      <c r="N41" s="20"/>
      <c r="O41" s="20">
        <v>33.799999999999997</v>
      </c>
      <c r="P41" s="21"/>
      <c r="Q41" s="21">
        <v>34.1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5.6999999999999957</v>
      </c>
      <c r="G42" s="27">
        <f t="shared" ref="G42:Q42" si="4">G41-G40</f>
        <v>5.3000000000000007</v>
      </c>
      <c r="H42" s="27">
        <f t="shared" si="4"/>
        <v>0</v>
      </c>
      <c r="I42" s="27">
        <f t="shared" si="4"/>
        <v>4.9000000000000021</v>
      </c>
      <c r="J42" s="27">
        <f t="shared" si="4"/>
        <v>0</v>
      </c>
      <c r="K42" s="27">
        <f t="shared" si="4"/>
        <v>5.4000000000000021</v>
      </c>
      <c r="L42" s="27">
        <f t="shared" si="4"/>
        <v>5.1999999999999993</v>
      </c>
      <c r="M42" s="27">
        <f t="shared" si="4"/>
        <v>5.3999999999999986</v>
      </c>
      <c r="N42" s="27">
        <f t="shared" si="4"/>
        <v>0</v>
      </c>
      <c r="O42" s="27">
        <f t="shared" si="4"/>
        <v>5.4999999999999964</v>
      </c>
      <c r="P42" s="27">
        <f t="shared" si="4"/>
        <v>0</v>
      </c>
      <c r="Q42" s="27">
        <f t="shared" si="4"/>
        <v>5.1000000000000014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1296.8</v>
      </c>
      <c r="G43" s="20">
        <v>1297.2</v>
      </c>
      <c r="H43" s="21"/>
      <c r="I43" s="21">
        <v>1303.54</v>
      </c>
      <c r="J43" s="20"/>
      <c r="K43" s="20">
        <v>1295.2</v>
      </c>
      <c r="L43" s="21">
        <v>1294</v>
      </c>
      <c r="M43" s="20">
        <v>1299.7</v>
      </c>
      <c r="N43" s="20"/>
      <c r="O43" s="20">
        <v>1291.9000000000001</v>
      </c>
      <c r="P43" s="21"/>
      <c r="Q43" s="21">
        <v>1297.0999999999999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8535.5196304849815</v>
      </c>
      <c r="G44" s="28">
        <f t="shared" ref="G44:Q44" si="5">G42*G43/0.866</f>
        <v>7938.9838337182455</v>
      </c>
      <c r="H44" s="28">
        <f t="shared" si="5"/>
        <v>0</v>
      </c>
      <c r="I44" s="28">
        <f t="shared" si="5"/>
        <v>7375.6882217090097</v>
      </c>
      <c r="J44" s="28">
        <f t="shared" si="5"/>
        <v>0</v>
      </c>
      <c r="K44" s="28">
        <f t="shared" si="5"/>
        <v>8076.3048498845301</v>
      </c>
      <c r="L44" s="28">
        <f t="shared" si="5"/>
        <v>7769.976905311778</v>
      </c>
      <c r="M44" s="28">
        <f t="shared" si="5"/>
        <v>8104.364896073901</v>
      </c>
      <c r="N44" s="28">
        <f t="shared" si="5"/>
        <v>0</v>
      </c>
      <c r="O44" s="28">
        <f t="shared" si="5"/>
        <v>8204.9076212471082</v>
      </c>
      <c r="P44" s="28">
        <f t="shared" si="5"/>
        <v>0</v>
      </c>
      <c r="Q44" s="28">
        <f t="shared" si="5"/>
        <v>7638.8106235565829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0.47</v>
      </c>
      <c r="H45" s="21"/>
      <c r="I45" s="21">
        <v>0.47</v>
      </c>
      <c r="J45" s="20"/>
      <c r="K45" s="20">
        <v>0.46</v>
      </c>
      <c r="L45" s="21">
        <v>0.44</v>
      </c>
      <c r="M45" s="21">
        <v>0.46</v>
      </c>
      <c r="N45" s="20"/>
      <c r="O45" s="20">
        <v>0.45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18.899999999999999</v>
      </c>
      <c r="G46" s="20">
        <v>20</v>
      </c>
      <c r="H46" s="21"/>
      <c r="I46" s="21">
        <v>19.8</v>
      </c>
      <c r="J46" s="20"/>
      <c r="K46" s="20">
        <v>19.7</v>
      </c>
      <c r="L46" s="21">
        <v>18.5</v>
      </c>
      <c r="M46" s="21">
        <v>19.8</v>
      </c>
      <c r="N46" s="20"/>
      <c r="O46" s="20">
        <v>19.600000000000001</v>
      </c>
      <c r="P46" s="21"/>
      <c r="Q46" s="21">
        <v>20.100000000000001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194.3</v>
      </c>
      <c r="G47" s="20">
        <v>207</v>
      </c>
      <c r="H47" s="21"/>
      <c r="I47" s="21">
        <v>133</v>
      </c>
      <c r="J47" s="20"/>
      <c r="K47" s="20">
        <v>202.7</v>
      </c>
      <c r="L47" s="21">
        <v>205.1</v>
      </c>
      <c r="M47" s="21">
        <v>216.2</v>
      </c>
      <c r="N47" s="20"/>
      <c r="O47" s="20">
        <v>160.30000000000001</v>
      </c>
      <c r="P47" s="21"/>
      <c r="Q47" s="21">
        <v>193.1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73">
        <v>5.89</v>
      </c>
      <c r="F49" s="20">
        <v>5.7</v>
      </c>
      <c r="G49" s="20">
        <v>5.86</v>
      </c>
      <c r="H49" s="21"/>
      <c r="I49" s="21">
        <v>5.23</v>
      </c>
      <c r="J49" s="20"/>
      <c r="K49" s="20">
        <v>5.73</v>
      </c>
      <c r="L49" s="21">
        <v>5.94</v>
      </c>
      <c r="M49" s="21">
        <v>5.65</v>
      </c>
      <c r="N49" s="20"/>
      <c r="O49" s="20">
        <v>5.74</v>
      </c>
      <c r="P49" s="21"/>
      <c r="Q49" s="21">
        <v>5.49</v>
      </c>
    </row>
    <row r="50" spans="2:17" ht="20.100000000000001" customHeight="1">
      <c r="B50" s="94" t="s">
        <v>91</v>
      </c>
      <c r="C50" s="94"/>
      <c r="D50" s="94"/>
      <c r="E50" s="7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7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A4" zoomScale="80" zoomScaleNormal="60" zoomScaleSheetLayoutView="80" workbookViewId="0">
      <selection activeCell="N20" sqref="N2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45829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75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71</v>
      </c>
      <c r="H11" s="21"/>
      <c r="I11" s="21">
        <v>81.099999999999994</v>
      </c>
      <c r="J11" s="20">
        <v>72.8</v>
      </c>
      <c r="K11" s="20">
        <v>71.8</v>
      </c>
      <c r="L11" s="21"/>
      <c r="M11" s="21">
        <v>77.400000000000006</v>
      </c>
      <c r="N11" s="20">
        <v>78.099999999999994</v>
      </c>
      <c r="O11" s="20">
        <v>77.2</v>
      </c>
      <c r="P11" s="21"/>
      <c r="Q11" s="21">
        <v>74.5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65.099999999999994</v>
      </c>
      <c r="H13" s="21"/>
      <c r="I13" s="21">
        <v>77.7</v>
      </c>
      <c r="J13" s="20">
        <v>69.099999999999994</v>
      </c>
      <c r="K13" s="20">
        <v>67.5</v>
      </c>
      <c r="L13" s="21"/>
      <c r="M13" s="21">
        <v>74.8</v>
      </c>
      <c r="N13" s="20">
        <v>73.7</v>
      </c>
      <c r="O13" s="20">
        <v>71.900000000000006</v>
      </c>
      <c r="P13" s="21"/>
      <c r="Q13" s="21">
        <v>68.7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68</v>
      </c>
      <c r="H14" s="21"/>
      <c r="I14" s="21">
        <v>69.900000000000006</v>
      </c>
      <c r="J14" s="20">
        <v>63.8</v>
      </c>
      <c r="K14" s="20">
        <v>63.6</v>
      </c>
      <c r="L14" s="21"/>
      <c r="M14" s="21">
        <v>67.099999999999994</v>
      </c>
      <c r="N14" s="20">
        <v>72.2</v>
      </c>
      <c r="O14" s="20">
        <v>73.900000000000006</v>
      </c>
      <c r="P14" s="21"/>
      <c r="Q14" s="21">
        <v>73.5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40</v>
      </c>
      <c r="H15" s="21"/>
      <c r="I15" s="21">
        <v>51.6</v>
      </c>
      <c r="J15" s="20">
        <v>41.4</v>
      </c>
      <c r="K15" s="20">
        <v>37.9</v>
      </c>
      <c r="L15" s="21"/>
      <c r="M15" s="21">
        <v>38.799999999999997</v>
      </c>
      <c r="N15" s="20">
        <v>56.7</v>
      </c>
      <c r="O15" s="20">
        <v>54.5</v>
      </c>
      <c r="P15" s="21"/>
      <c r="Q15" s="21">
        <v>44.7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117.2</v>
      </c>
      <c r="H17" s="21"/>
      <c r="I17" s="21">
        <v>117.9</v>
      </c>
      <c r="J17" s="20">
        <v>115.3</v>
      </c>
      <c r="K17" s="20">
        <v>116.2</v>
      </c>
      <c r="L17" s="21"/>
      <c r="M17" s="21">
        <v>120</v>
      </c>
      <c r="N17" s="20">
        <v>119.2</v>
      </c>
      <c r="O17" s="20">
        <v>118.8</v>
      </c>
      <c r="P17" s="21"/>
      <c r="Q17" s="21">
        <v>118.3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1153</v>
      </c>
      <c r="H18" s="21"/>
      <c r="I18" s="21">
        <v>1198</v>
      </c>
      <c r="J18" s="20">
        <v>1172</v>
      </c>
      <c r="K18" s="20">
        <v>1174</v>
      </c>
      <c r="L18" s="21"/>
      <c r="M18" s="21">
        <v>1218</v>
      </c>
      <c r="N18" s="20">
        <v>1220</v>
      </c>
      <c r="O18" s="20">
        <v>1207</v>
      </c>
      <c r="P18" s="21"/>
      <c r="Q18" s="21">
        <v>1194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50894.2</v>
      </c>
      <c r="H19" s="21"/>
      <c r="I19" s="21">
        <v>51802.2</v>
      </c>
      <c r="J19" s="20">
        <v>49851</v>
      </c>
      <c r="K19" s="20">
        <v>49841.7</v>
      </c>
      <c r="L19" s="21"/>
      <c r="M19" s="21">
        <v>52300.6</v>
      </c>
      <c r="N19" s="20">
        <v>51466</v>
      </c>
      <c r="O19" s="20">
        <v>51457.4</v>
      </c>
      <c r="P19" s="21"/>
      <c r="Q19" s="21">
        <v>51164.4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58.2</v>
      </c>
      <c r="H22" s="21"/>
      <c r="I22" s="21">
        <v>59.3</v>
      </c>
      <c r="J22" s="20">
        <v>57.6</v>
      </c>
      <c r="K22" s="20">
        <v>57.5</v>
      </c>
      <c r="L22" s="21"/>
      <c r="M22" s="21">
        <v>57.2</v>
      </c>
      <c r="N22" s="20">
        <v>58.4</v>
      </c>
      <c r="O22" s="20">
        <v>58.7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/>
      <c r="I23" s="21">
        <v>0.49</v>
      </c>
      <c r="J23" s="20">
        <v>0.59</v>
      </c>
      <c r="K23" s="20">
        <v>0.59</v>
      </c>
      <c r="L23" s="21"/>
      <c r="M23" s="21">
        <v>0.52</v>
      </c>
      <c r="N23" s="20">
        <v>0.48</v>
      </c>
      <c r="O23" s="20">
        <v>0.47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44.8</v>
      </c>
      <c r="H25" s="21"/>
      <c r="I25" s="21">
        <v>45.1</v>
      </c>
      <c r="J25" s="20">
        <v>45</v>
      </c>
      <c r="K25" s="20">
        <v>44.8</v>
      </c>
      <c r="L25" s="21"/>
      <c r="M25" s="21">
        <v>45.1</v>
      </c>
      <c r="N25" s="20">
        <v>45.1</v>
      </c>
      <c r="O25" s="20">
        <v>44.9</v>
      </c>
      <c r="P25" s="21"/>
      <c r="Q25" s="21">
        <v>44.9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0.21</v>
      </c>
      <c r="J26" s="20">
        <v>0.22</v>
      </c>
      <c r="K26" s="20">
        <v>0.23</v>
      </c>
      <c r="L26" s="21"/>
      <c r="M26" s="21">
        <v>0.22</v>
      </c>
      <c r="N26" s="20">
        <v>0.23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4.7</v>
      </c>
      <c r="H27" s="21"/>
      <c r="I27" s="21">
        <v>3.7</v>
      </c>
      <c r="J27" s="20">
        <v>4</v>
      </c>
      <c r="K27" s="20">
        <v>4</v>
      </c>
      <c r="L27" s="21"/>
      <c r="M27" s="21">
        <v>4.0999999999999996</v>
      </c>
      <c r="N27" s="20">
        <v>4.4000000000000004</v>
      </c>
      <c r="O27" s="20">
        <v>4.5999999999999996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4.0999999999999996</v>
      </c>
      <c r="H28" s="21"/>
      <c r="I28" s="21">
        <v>2.9</v>
      </c>
      <c r="J28" s="20">
        <v>3.2</v>
      </c>
      <c r="K28" s="20">
        <v>3.2</v>
      </c>
      <c r="L28" s="21"/>
      <c r="M28" s="21">
        <v>3</v>
      </c>
      <c r="N28" s="20">
        <v>3.6</v>
      </c>
      <c r="O28" s="20">
        <v>3.5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1</v>
      </c>
      <c r="H29" s="27">
        <f t="shared" ref="H29:Q29" si="0">H32-H28</f>
        <v>0</v>
      </c>
      <c r="I29" s="27">
        <f t="shared" si="0"/>
        <v>2.4</v>
      </c>
      <c r="J29" s="27">
        <f t="shared" si="0"/>
        <v>0.79999999999999982</v>
      </c>
      <c r="K29" s="27">
        <f t="shared" si="0"/>
        <v>0.79999999999999982</v>
      </c>
      <c r="L29" s="27">
        <f>L32-L28</f>
        <v>0</v>
      </c>
      <c r="M29" s="27">
        <f>M32-M28</f>
        <v>1.5</v>
      </c>
      <c r="N29" s="27">
        <f>N32-N28</f>
        <v>1.1999999999999997</v>
      </c>
      <c r="O29" s="27">
        <f>O32-O28</f>
        <v>1.2999999999999998</v>
      </c>
      <c r="P29" s="27">
        <f t="shared" si="0"/>
        <v>0</v>
      </c>
      <c r="Q29" s="27">
        <f t="shared" si="0"/>
        <v>1.0999999999999996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668.4</v>
      </c>
      <c r="H30" s="21"/>
      <c r="I30" s="21">
        <v>668.1</v>
      </c>
      <c r="J30" s="20">
        <v>625.23</v>
      </c>
      <c r="K30" s="20">
        <v>633.20000000000005</v>
      </c>
      <c r="L30" s="21"/>
      <c r="M30" s="21">
        <v>664.1</v>
      </c>
      <c r="N30" s="20">
        <v>722.9</v>
      </c>
      <c r="O30" s="20">
        <v>651.1</v>
      </c>
      <c r="P30" s="21"/>
      <c r="Q30" s="21">
        <v>634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13.8</v>
      </c>
      <c r="H31" s="21"/>
      <c r="I31" s="21">
        <v>13.8</v>
      </c>
      <c r="J31" s="20">
        <v>13.3</v>
      </c>
      <c r="K31" s="20">
        <v>13.1</v>
      </c>
      <c r="L31" s="21"/>
      <c r="M31" s="21">
        <v>13.7</v>
      </c>
      <c r="N31" s="20">
        <v>13.4</v>
      </c>
      <c r="O31" s="20">
        <v>13.8</v>
      </c>
      <c r="P31" s="21"/>
      <c r="Q31" s="21">
        <v>13.5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5.0999999999999996</v>
      </c>
      <c r="H32" s="21"/>
      <c r="I32" s="21">
        <v>5.3</v>
      </c>
      <c r="J32" s="20">
        <v>4</v>
      </c>
      <c r="K32" s="20">
        <v>4</v>
      </c>
      <c r="L32" s="21"/>
      <c r="M32" s="21">
        <v>4.5</v>
      </c>
      <c r="N32" s="20">
        <v>4.8</v>
      </c>
      <c r="O32" s="20">
        <v>4.8</v>
      </c>
      <c r="P32" s="21"/>
      <c r="Q32" s="21">
        <v>4.8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8.7000000000000011</v>
      </c>
      <c r="H33" s="27">
        <f t="shared" ref="H33:Q33" si="1">H31-H32</f>
        <v>0</v>
      </c>
      <c r="I33" s="27">
        <f t="shared" si="1"/>
        <v>8.5</v>
      </c>
      <c r="J33" s="27">
        <f t="shared" si="1"/>
        <v>9.3000000000000007</v>
      </c>
      <c r="K33" s="27">
        <f t="shared" si="1"/>
        <v>9.1</v>
      </c>
      <c r="L33" s="27">
        <f>L31-L32</f>
        <v>0</v>
      </c>
      <c r="M33" s="27">
        <f>M31-M32</f>
        <v>9.1999999999999993</v>
      </c>
      <c r="N33" s="27">
        <f>N31-N32</f>
        <v>8.6000000000000014</v>
      </c>
      <c r="O33" s="27">
        <f>O31-O32</f>
        <v>9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6714.8729792147815</v>
      </c>
      <c r="H34" s="28">
        <f t="shared" ref="H34:Q34" si="2">(H33*H30)/0.866</f>
        <v>0</v>
      </c>
      <c r="I34" s="28">
        <f t="shared" si="2"/>
        <v>6557.5635103926106</v>
      </c>
      <c r="J34" s="28">
        <f t="shared" si="2"/>
        <v>6714.3637413394936</v>
      </c>
      <c r="K34" s="28">
        <f t="shared" si="2"/>
        <v>6653.7182448036947</v>
      </c>
      <c r="L34" s="28">
        <f>(L33*L30)/0.866</f>
        <v>0</v>
      </c>
      <c r="M34" s="28">
        <f>(M33*M30)/0.866</f>
        <v>7055.1039260969974</v>
      </c>
      <c r="N34" s="28">
        <f>(N33*N30)/0.866</f>
        <v>7178.9145496535803</v>
      </c>
      <c r="O34" s="28">
        <f>(O33*O30)/0.866</f>
        <v>6766.6281755196314</v>
      </c>
      <c r="P34" s="28">
        <f t="shared" si="2"/>
        <v>0</v>
      </c>
      <c r="Q34" s="28">
        <f t="shared" si="2"/>
        <v>6369.2840646651266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0.83</v>
      </c>
      <c r="J35" s="20">
        <v>0.81</v>
      </c>
      <c r="K35" s="20">
        <v>0.82</v>
      </c>
      <c r="L35" s="21"/>
      <c r="M35" s="21">
        <v>0.82</v>
      </c>
      <c r="N35" s="20">
        <v>0.8</v>
      </c>
      <c r="O35" s="20">
        <v>0.86</v>
      </c>
      <c r="P35" s="21"/>
      <c r="Q35" s="21">
        <v>0.82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35.799999999999997</v>
      </c>
      <c r="H36" s="21"/>
      <c r="I36" s="21">
        <v>36.200000000000003</v>
      </c>
      <c r="J36" s="20">
        <v>35.4</v>
      </c>
      <c r="K36" s="20">
        <v>36</v>
      </c>
      <c r="L36" s="21"/>
      <c r="M36" s="21">
        <v>36</v>
      </c>
      <c r="N36" s="20">
        <v>34.9</v>
      </c>
      <c r="O36" s="20">
        <v>35.4</v>
      </c>
      <c r="P36" s="21"/>
      <c r="Q36" s="21">
        <v>36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36.200000000000003</v>
      </c>
      <c r="H37" s="21"/>
      <c r="I37" s="21">
        <v>37.1</v>
      </c>
      <c r="J37" s="20">
        <v>36.1</v>
      </c>
      <c r="K37" s="20">
        <v>36.700000000000003</v>
      </c>
      <c r="L37" s="21"/>
      <c r="M37" s="21">
        <v>36.5</v>
      </c>
      <c r="N37" s="20">
        <v>35.6</v>
      </c>
      <c r="O37" s="20">
        <v>35.799999999999997</v>
      </c>
      <c r="P37" s="21"/>
      <c r="Q37" s="21">
        <v>36.6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1.6000000000000014</v>
      </c>
      <c r="H38" s="27">
        <v>1</v>
      </c>
      <c r="I38" s="27">
        <f t="shared" ref="I38:Q38" si="3">I37-I41</f>
        <v>3.1000000000000014</v>
      </c>
      <c r="J38" s="27">
        <f t="shared" si="3"/>
        <v>2.2000000000000028</v>
      </c>
      <c r="K38" s="27">
        <f t="shared" si="3"/>
        <v>2.1000000000000014</v>
      </c>
      <c r="L38" s="27">
        <f>L37-L41</f>
        <v>0</v>
      </c>
      <c r="M38" s="27">
        <f>M37-M41</f>
        <v>2.2000000000000028</v>
      </c>
      <c r="N38" s="27">
        <f>N37-N41</f>
        <v>1.7000000000000028</v>
      </c>
      <c r="O38" s="27">
        <f>O37-O41</f>
        <v>1.5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</v>
      </c>
      <c r="H40" s="21"/>
      <c r="I40" s="21">
        <v>29</v>
      </c>
      <c r="J40" s="20">
        <v>28.5</v>
      </c>
      <c r="K40" s="20">
        <v>29.1</v>
      </c>
      <c r="L40" s="21"/>
      <c r="M40" s="21">
        <v>28.9</v>
      </c>
      <c r="N40" s="20">
        <v>28.4</v>
      </c>
      <c r="O40" s="20">
        <v>28.8</v>
      </c>
      <c r="P40" s="21"/>
      <c r="Q40" s="21">
        <v>28.9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34.6</v>
      </c>
      <c r="H41" s="21"/>
      <c r="I41" s="21">
        <v>34</v>
      </c>
      <c r="J41" s="20">
        <v>33.9</v>
      </c>
      <c r="K41" s="20">
        <v>34.6</v>
      </c>
      <c r="L41" s="21"/>
      <c r="M41" s="21">
        <v>34.299999999999997</v>
      </c>
      <c r="N41" s="20">
        <v>33.9</v>
      </c>
      <c r="O41" s="20">
        <v>34.299999999999997</v>
      </c>
      <c r="P41" s="21"/>
      <c r="Q41" s="21">
        <v>34.200000000000003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5.6000000000000014</v>
      </c>
      <c r="H42" s="27">
        <f t="shared" ref="H42:P42" si="4">H41-H40</f>
        <v>0</v>
      </c>
      <c r="I42" s="27">
        <f t="shared" si="4"/>
        <v>5</v>
      </c>
      <c r="J42" s="27">
        <f t="shared" si="4"/>
        <v>5.3999999999999986</v>
      </c>
      <c r="K42" s="27">
        <f t="shared" si="4"/>
        <v>5.5</v>
      </c>
      <c r="L42" s="27">
        <f>L41-L40</f>
        <v>0</v>
      </c>
      <c r="M42" s="27">
        <f>M41-M40</f>
        <v>5.3999999999999986</v>
      </c>
      <c r="N42" s="27">
        <f>N41-N40</f>
        <v>5.5</v>
      </c>
      <c r="O42" s="27">
        <f>O41-O40</f>
        <v>5.4999999999999964</v>
      </c>
      <c r="P42" s="27">
        <f t="shared" si="4"/>
        <v>0</v>
      </c>
      <c r="Q42" s="27">
        <f>Q41-Q40</f>
        <v>5.3000000000000043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1300.5</v>
      </c>
      <c r="H43" s="21"/>
      <c r="I43" s="21">
        <v>1302.5999999999999</v>
      </c>
      <c r="J43" s="20">
        <v>1297.2</v>
      </c>
      <c r="K43" s="20">
        <v>1296.3</v>
      </c>
      <c r="L43" s="21"/>
      <c r="M43" s="20">
        <v>1300</v>
      </c>
      <c r="N43" s="20">
        <v>1283.7</v>
      </c>
      <c r="O43" s="20">
        <v>1288.5999999999999</v>
      </c>
      <c r="P43" s="21"/>
      <c r="Q43" s="21">
        <v>1293.7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8409.6997690531207</v>
      </c>
      <c r="H44" s="28">
        <f t="shared" ref="H44:Q44" si="5">H42*H43/0.866</f>
        <v>0</v>
      </c>
      <c r="I44" s="28">
        <f t="shared" si="5"/>
        <v>7520.7852193995386</v>
      </c>
      <c r="J44" s="28">
        <f t="shared" si="5"/>
        <v>8088.7759815242471</v>
      </c>
      <c r="K44" s="28">
        <f t="shared" si="5"/>
        <v>8232.8521939953807</v>
      </c>
      <c r="L44" s="28">
        <f>L42*L43/0.866</f>
        <v>0</v>
      </c>
      <c r="M44" s="28">
        <f>M42*M43/0.866</f>
        <v>8106.2355658198594</v>
      </c>
      <c r="N44" s="28">
        <f>N42*N43/0.866</f>
        <v>8152.8290993071596</v>
      </c>
      <c r="O44" s="28">
        <f>O42*O43/0.866</f>
        <v>8183.949191685906</v>
      </c>
      <c r="P44" s="28">
        <f t="shared" si="5"/>
        <v>0</v>
      </c>
      <c r="Q44" s="28">
        <f t="shared" si="5"/>
        <v>7917.563510392617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/>
      <c r="I45" s="21">
        <v>0.45</v>
      </c>
      <c r="J45" s="20">
        <v>0.45</v>
      </c>
      <c r="K45" s="20">
        <v>0.46</v>
      </c>
      <c r="L45" s="21"/>
      <c r="M45" s="21">
        <v>0.46</v>
      </c>
      <c r="N45" s="20">
        <v>0.45</v>
      </c>
      <c r="O45" s="20">
        <v>0.45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</v>
      </c>
      <c r="H46" s="21"/>
      <c r="I46" s="21">
        <v>19.399999999999999</v>
      </c>
      <c r="J46" s="20">
        <v>19.100000000000001</v>
      </c>
      <c r="K46" s="20">
        <v>19.600000000000001</v>
      </c>
      <c r="L46" s="21"/>
      <c r="M46" s="21">
        <v>19.600000000000001</v>
      </c>
      <c r="N46" s="20">
        <v>19</v>
      </c>
      <c r="O46" s="20">
        <v>19.2</v>
      </c>
      <c r="P46" s="21"/>
      <c r="Q46" s="21">
        <v>20.100000000000001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200.4</v>
      </c>
      <c r="H47" s="21"/>
      <c r="I47" s="21">
        <v>123.2</v>
      </c>
      <c r="J47" s="20">
        <v>209.2</v>
      </c>
      <c r="K47" s="20">
        <v>203.6</v>
      </c>
      <c r="L47" s="21"/>
      <c r="M47" s="21">
        <v>205.6</v>
      </c>
      <c r="N47" s="20">
        <v>149.69999999999999</v>
      </c>
      <c r="O47" s="20">
        <v>165.1</v>
      </c>
      <c r="P47" s="21"/>
      <c r="Q47" s="21">
        <v>197.9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75">
        <v>5.89</v>
      </c>
      <c r="F49" s="20"/>
      <c r="G49" s="20">
        <v>5.64</v>
      </c>
      <c r="H49" s="21"/>
      <c r="I49" s="21">
        <v>5.26</v>
      </c>
      <c r="J49" s="20">
        <v>5.85</v>
      </c>
      <c r="K49" s="20">
        <v>5.73</v>
      </c>
      <c r="L49" s="21"/>
      <c r="M49" s="21">
        <v>5.7</v>
      </c>
      <c r="N49" s="20">
        <v>5.19</v>
      </c>
      <c r="O49" s="20">
        <v>5.54</v>
      </c>
      <c r="P49" s="21"/>
      <c r="Q49" s="21">
        <v>5.38</v>
      </c>
    </row>
    <row r="50" spans="2:17" ht="20.100000000000001" customHeight="1">
      <c r="B50" s="94" t="s">
        <v>91</v>
      </c>
      <c r="C50" s="94"/>
      <c r="D50" s="94"/>
      <c r="E50" s="7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7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0" zoomScaleNormal="60" zoomScaleSheetLayoutView="80" workbookViewId="0">
      <selection activeCell="N25" sqref="N25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45830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77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74.599999999999994</v>
      </c>
      <c r="G11" s="20">
        <v>73.400000000000006</v>
      </c>
      <c r="H11" s="21"/>
      <c r="I11" s="21">
        <v>80.099999999999994</v>
      </c>
      <c r="J11" s="20"/>
      <c r="K11" s="20">
        <v>73.8</v>
      </c>
      <c r="L11" s="21">
        <v>71.8</v>
      </c>
      <c r="M11" s="21">
        <v>77.599999999999994</v>
      </c>
      <c r="N11" s="20"/>
      <c r="O11" s="20">
        <v>76.599999999999994</v>
      </c>
      <c r="P11" s="21"/>
      <c r="Q11" s="21">
        <v>73.7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0.1</v>
      </c>
      <c r="G12" s="20">
        <v>0.8</v>
      </c>
      <c r="H12" s="21"/>
      <c r="I12" s="21">
        <v>0</v>
      </c>
      <c r="J12" s="20"/>
      <c r="K12" s="20">
        <v>0</v>
      </c>
      <c r="L12" s="21">
        <v>0.1</v>
      </c>
      <c r="M12" s="21">
        <v>0.1</v>
      </c>
      <c r="N12" s="20"/>
      <c r="O12" s="20">
        <v>0.2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68.7</v>
      </c>
      <c r="G13" s="20">
        <v>67.8</v>
      </c>
      <c r="H13" s="21"/>
      <c r="I13" s="21">
        <v>76.2</v>
      </c>
      <c r="J13" s="20"/>
      <c r="K13" s="20">
        <v>69.8</v>
      </c>
      <c r="L13" s="21">
        <v>68.7</v>
      </c>
      <c r="M13" s="21">
        <v>73.3</v>
      </c>
      <c r="N13" s="20"/>
      <c r="O13" s="20">
        <v>72.099999999999994</v>
      </c>
      <c r="P13" s="21"/>
      <c r="Q13" s="21">
        <v>68.7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69.2</v>
      </c>
      <c r="G14" s="20">
        <v>68.7</v>
      </c>
      <c r="H14" s="21"/>
      <c r="I14" s="21">
        <v>69.7</v>
      </c>
      <c r="J14" s="20"/>
      <c r="K14" s="20">
        <v>64.7</v>
      </c>
      <c r="L14" s="21">
        <v>65.5</v>
      </c>
      <c r="M14" s="21">
        <v>68.7</v>
      </c>
      <c r="N14" s="20"/>
      <c r="O14" s="20">
        <v>74.400000000000006</v>
      </c>
      <c r="P14" s="21"/>
      <c r="Q14" s="21">
        <v>73.900000000000006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42</v>
      </c>
      <c r="G15" s="20">
        <v>39.1</v>
      </c>
      <c r="H15" s="21"/>
      <c r="I15" s="21">
        <v>54.6</v>
      </c>
      <c r="J15" s="20"/>
      <c r="K15" s="20">
        <v>38.799999999999997</v>
      </c>
      <c r="L15" s="21">
        <v>31.2</v>
      </c>
      <c r="M15" s="21">
        <v>38.1</v>
      </c>
      <c r="N15" s="20"/>
      <c r="O15" s="20">
        <v>42</v>
      </c>
      <c r="P15" s="21"/>
      <c r="Q15" s="21">
        <v>46.3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117</v>
      </c>
      <c r="G17" s="20">
        <v>118.8</v>
      </c>
      <c r="H17" s="21"/>
      <c r="I17" s="21">
        <v>117.5</v>
      </c>
      <c r="J17" s="20"/>
      <c r="K17" s="20">
        <v>116.1</v>
      </c>
      <c r="L17" s="21">
        <v>114.4</v>
      </c>
      <c r="M17" s="21">
        <v>119.4</v>
      </c>
      <c r="N17" s="20"/>
      <c r="O17" s="20">
        <v>119.4</v>
      </c>
      <c r="P17" s="21"/>
      <c r="Q17" s="21">
        <v>118.3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1153</v>
      </c>
      <c r="G18" s="20">
        <v>1162</v>
      </c>
      <c r="H18" s="21"/>
      <c r="I18" s="21">
        <v>1194</v>
      </c>
      <c r="J18" s="20"/>
      <c r="K18" s="20">
        <v>1189</v>
      </c>
      <c r="L18" s="21">
        <v>1164</v>
      </c>
      <c r="M18" s="21">
        <v>1213</v>
      </c>
      <c r="N18" s="20"/>
      <c r="O18" s="20">
        <v>1208</v>
      </c>
      <c r="P18" s="21"/>
      <c r="Q18" s="21">
        <v>1199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50912.6</v>
      </c>
      <c r="G19" s="20">
        <v>50903.6</v>
      </c>
      <c r="H19" s="21"/>
      <c r="I19" s="21">
        <v>51811.5</v>
      </c>
      <c r="J19" s="20"/>
      <c r="K19" s="20">
        <v>49859.3</v>
      </c>
      <c r="L19" s="21">
        <v>52315.6</v>
      </c>
      <c r="M19" s="21">
        <v>52309.599999999999</v>
      </c>
      <c r="N19" s="20"/>
      <c r="O19" s="20">
        <v>51478.5</v>
      </c>
      <c r="P19" s="21"/>
      <c r="Q19" s="21">
        <v>51173.4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</v>
      </c>
      <c r="G22" s="20">
        <v>58.2</v>
      </c>
      <c r="H22" s="21"/>
      <c r="I22" s="21">
        <v>59.5</v>
      </c>
      <c r="J22" s="20"/>
      <c r="K22" s="20">
        <v>57.8</v>
      </c>
      <c r="L22" s="21">
        <v>57.5</v>
      </c>
      <c r="M22" s="21">
        <v>57.5</v>
      </c>
      <c r="N22" s="20"/>
      <c r="O22" s="20">
        <v>58.6</v>
      </c>
      <c r="P22" s="21"/>
      <c r="Q22" s="21">
        <v>59.4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0.52</v>
      </c>
      <c r="H23" s="21"/>
      <c r="I23" s="21">
        <v>0.49</v>
      </c>
      <c r="J23" s="20"/>
      <c r="K23" s="20">
        <v>0.57999999999999996</v>
      </c>
      <c r="L23" s="21">
        <v>0.52</v>
      </c>
      <c r="M23" s="21">
        <v>0.52</v>
      </c>
      <c r="N23" s="20"/>
      <c r="O23" s="20">
        <v>0.47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45.1</v>
      </c>
      <c r="G25" s="20">
        <v>45.1</v>
      </c>
      <c r="H25" s="21"/>
      <c r="I25" s="21">
        <v>44.8</v>
      </c>
      <c r="J25" s="20"/>
      <c r="K25" s="20">
        <v>44.7</v>
      </c>
      <c r="L25" s="21">
        <v>45</v>
      </c>
      <c r="M25" s="21">
        <v>44.9</v>
      </c>
      <c r="N25" s="20"/>
      <c r="O25" s="20">
        <v>44.9</v>
      </c>
      <c r="P25" s="21"/>
      <c r="Q25" s="21">
        <v>44.8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0.23</v>
      </c>
      <c r="G26" s="20">
        <v>0.23</v>
      </c>
      <c r="H26" s="21"/>
      <c r="I26" s="21">
        <v>0.22</v>
      </c>
      <c r="J26" s="20"/>
      <c r="K26" s="20">
        <v>0.23</v>
      </c>
      <c r="L26" s="21">
        <v>0.22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</v>
      </c>
      <c r="G27" s="20">
        <v>4.0999999999999996</v>
      </c>
      <c r="H27" s="21"/>
      <c r="I27" s="21">
        <v>3.5</v>
      </c>
      <c r="J27" s="20"/>
      <c r="K27" s="20">
        <v>4.2</v>
      </c>
      <c r="L27" s="21">
        <v>3.7</v>
      </c>
      <c r="M27" s="21">
        <v>4.2</v>
      </c>
      <c r="N27" s="20"/>
      <c r="O27" s="20">
        <v>4.4000000000000004</v>
      </c>
      <c r="P27" s="21"/>
      <c r="Q27" s="21">
        <v>5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3.5</v>
      </c>
      <c r="G28" s="20">
        <v>3.5</v>
      </c>
      <c r="H28" s="21"/>
      <c r="I28" s="21">
        <v>2.4</v>
      </c>
      <c r="J28" s="20"/>
      <c r="K28" s="20">
        <v>3.2</v>
      </c>
      <c r="L28" s="21">
        <v>2.6</v>
      </c>
      <c r="M28" s="21">
        <v>2.6</v>
      </c>
      <c r="N28" s="20"/>
      <c r="O28" s="20">
        <v>3.1</v>
      </c>
      <c r="P28" s="21"/>
      <c r="Q28" s="21">
        <v>3.5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v>0.90000000000000036</v>
      </c>
      <c r="G29" s="27">
        <f>G32-G28</f>
        <v>0.79999999999999982</v>
      </c>
      <c r="H29" s="27">
        <f t="shared" ref="H29:Q29" si="0">H32-H28</f>
        <v>0</v>
      </c>
      <c r="I29" s="27">
        <f t="shared" si="0"/>
        <v>2.3000000000000003</v>
      </c>
      <c r="J29" s="27">
        <f t="shared" si="0"/>
        <v>0</v>
      </c>
      <c r="K29" s="27">
        <f t="shared" si="0"/>
        <v>1.2999999999999998</v>
      </c>
      <c r="L29" s="27">
        <v>1.2999999999999998</v>
      </c>
      <c r="M29" s="27">
        <f>M32-M28</f>
        <v>1</v>
      </c>
      <c r="N29" s="27">
        <f>N32-N28</f>
        <v>0</v>
      </c>
      <c r="O29" s="27">
        <f>O32-O28</f>
        <v>0.99999999999999956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670.88</v>
      </c>
      <c r="G30" s="20">
        <v>656.16</v>
      </c>
      <c r="H30" s="21"/>
      <c r="I30" s="21">
        <v>660.64</v>
      </c>
      <c r="J30" s="20"/>
      <c r="K30" s="20">
        <v>627.84</v>
      </c>
      <c r="L30" s="21">
        <v>629.9</v>
      </c>
      <c r="M30" s="21">
        <v>641.91999999999996</v>
      </c>
      <c r="N30" s="20"/>
      <c r="O30" s="20">
        <v>640.16</v>
      </c>
      <c r="P30" s="21"/>
      <c r="Q30" s="21">
        <v>647.20000000000005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13.2</v>
      </c>
      <c r="G31" s="20">
        <v>13.2</v>
      </c>
      <c r="H31" s="21"/>
      <c r="I31" s="21">
        <v>13.3</v>
      </c>
      <c r="J31" s="20"/>
      <c r="K31" s="20">
        <v>13.5</v>
      </c>
      <c r="L31" s="21">
        <v>12.8</v>
      </c>
      <c r="M31" s="21">
        <v>13</v>
      </c>
      <c r="N31" s="20"/>
      <c r="O31" s="20">
        <v>13.3</v>
      </c>
      <c r="P31" s="21"/>
      <c r="Q31" s="21">
        <v>13.2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4.4000000000000004</v>
      </c>
      <c r="G32" s="20">
        <v>4.3</v>
      </c>
      <c r="H32" s="21"/>
      <c r="I32" s="21">
        <v>4.7</v>
      </c>
      <c r="J32" s="20"/>
      <c r="K32" s="20">
        <v>4.5</v>
      </c>
      <c r="L32" s="21">
        <v>3.9</v>
      </c>
      <c r="M32" s="21">
        <v>3.6</v>
      </c>
      <c r="N32" s="20"/>
      <c r="O32" s="20">
        <v>4.0999999999999996</v>
      </c>
      <c r="P32" s="21"/>
      <c r="Q32" s="21">
        <v>4.5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v>8.7999999999999989</v>
      </c>
      <c r="G33" s="27">
        <f>G31-G32</f>
        <v>8.8999999999999986</v>
      </c>
      <c r="H33" s="27">
        <f t="shared" ref="H33:Q33" si="1">H31-H32</f>
        <v>0</v>
      </c>
      <c r="I33" s="27">
        <f t="shared" si="1"/>
        <v>8.6000000000000014</v>
      </c>
      <c r="J33" s="27">
        <f t="shared" si="1"/>
        <v>0</v>
      </c>
      <c r="K33" s="27">
        <f t="shared" si="1"/>
        <v>9</v>
      </c>
      <c r="L33" s="27">
        <v>8.9</v>
      </c>
      <c r="M33" s="27">
        <f>M31-M32</f>
        <v>9.4</v>
      </c>
      <c r="N33" s="27">
        <f>N31-N32</f>
        <v>0</v>
      </c>
      <c r="O33" s="27">
        <f>O31-O32</f>
        <v>9.2000000000000011</v>
      </c>
      <c r="P33" s="27">
        <f t="shared" si="1"/>
        <v>0</v>
      </c>
      <c r="Q33" s="27">
        <f t="shared" si="1"/>
        <v>8.6999999999999993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v>6817.2563510392611</v>
      </c>
      <c r="G34" s="28">
        <f>(G33*G30)/0.866</f>
        <v>6743.4457274826773</v>
      </c>
      <c r="H34" s="28">
        <f t="shared" ref="H34:Q34" si="2">(H33*H30)/0.866</f>
        <v>0</v>
      </c>
      <c r="I34" s="28">
        <f t="shared" si="2"/>
        <v>6560.6281755196314</v>
      </c>
      <c r="J34" s="28">
        <f t="shared" si="2"/>
        <v>0</v>
      </c>
      <c r="K34" s="28">
        <f t="shared" si="2"/>
        <v>6524.8960739030026</v>
      </c>
      <c r="L34" s="28">
        <v>6473.5681293302541</v>
      </c>
      <c r="M34" s="28">
        <f>(M33*M30)/0.866</f>
        <v>6967.7228637413391</v>
      </c>
      <c r="N34" s="28">
        <f>(N33*N30)/0.866</f>
        <v>0</v>
      </c>
      <c r="O34" s="28">
        <f>(O33*O30)/0.866</f>
        <v>6800.7759815242498</v>
      </c>
      <c r="P34" s="28">
        <f t="shared" si="2"/>
        <v>0</v>
      </c>
      <c r="Q34" s="28">
        <f t="shared" si="2"/>
        <v>6501.8937644341804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</v>
      </c>
      <c r="H35" s="21"/>
      <c r="I35" s="21">
        <v>0.82</v>
      </c>
      <c r="J35" s="20"/>
      <c r="K35" s="20">
        <v>0.81</v>
      </c>
      <c r="L35" s="21">
        <v>0.82</v>
      </c>
      <c r="M35" s="21">
        <v>0.81</v>
      </c>
      <c r="N35" s="20"/>
      <c r="O35" s="20">
        <v>0.79</v>
      </c>
      <c r="P35" s="21"/>
      <c r="Q35" s="21">
        <v>0.81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</v>
      </c>
      <c r="G36" s="20">
        <v>35.200000000000003</v>
      </c>
      <c r="H36" s="21"/>
      <c r="I36" s="21">
        <v>35.799999999999997</v>
      </c>
      <c r="J36" s="20"/>
      <c r="K36" s="20">
        <v>35.5</v>
      </c>
      <c r="L36" s="21">
        <v>36.200000000000003</v>
      </c>
      <c r="M36" s="21">
        <v>35.6</v>
      </c>
      <c r="N36" s="20"/>
      <c r="O36" s="20">
        <v>34.9</v>
      </c>
      <c r="P36" s="21"/>
      <c r="Q36" s="21">
        <v>35.6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35.6</v>
      </c>
      <c r="G37" s="20">
        <v>35.700000000000003</v>
      </c>
      <c r="H37" s="21"/>
      <c r="I37" s="21">
        <v>36.6</v>
      </c>
      <c r="J37" s="20"/>
      <c r="K37" s="20">
        <v>36.200000000000003</v>
      </c>
      <c r="L37" s="21">
        <v>36.6</v>
      </c>
      <c r="M37" s="21">
        <v>35.9</v>
      </c>
      <c r="N37" s="20"/>
      <c r="O37" s="20">
        <v>35.299999999999997</v>
      </c>
      <c r="P37" s="21"/>
      <c r="Q37" s="21">
        <v>36.1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v>2.3999999999999986</v>
      </c>
      <c r="G38" s="27">
        <f>G37-G41</f>
        <v>2.4000000000000057</v>
      </c>
      <c r="H38" s="27">
        <v>1</v>
      </c>
      <c r="I38" s="27">
        <f t="shared" ref="I38:Q38" si="3">I37-I41</f>
        <v>3.7000000000000028</v>
      </c>
      <c r="J38" s="27">
        <f t="shared" si="3"/>
        <v>0</v>
      </c>
      <c r="K38" s="27">
        <f t="shared" si="3"/>
        <v>2.9000000000000057</v>
      </c>
      <c r="L38" s="27">
        <v>2.6000000000000014</v>
      </c>
      <c r="M38" s="27">
        <f>M37-M41</f>
        <v>3</v>
      </c>
      <c r="N38" s="27">
        <f>N37-N41</f>
        <v>0</v>
      </c>
      <c r="O38" s="27">
        <f>O37-O41</f>
        <v>2.3999999999999986</v>
      </c>
      <c r="P38" s="27">
        <f t="shared" si="3"/>
        <v>0</v>
      </c>
      <c r="Q38" s="27">
        <f t="shared" si="3"/>
        <v>2.8000000000000043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27.9</v>
      </c>
      <c r="G40" s="20">
        <v>28</v>
      </c>
      <c r="H40" s="21"/>
      <c r="I40" s="21">
        <v>27.9</v>
      </c>
      <c r="J40" s="20"/>
      <c r="K40" s="20">
        <v>27.9</v>
      </c>
      <c r="L40" s="21">
        <v>28.8</v>
      </c>
      <c r="M40" s="21">
        <v>27.8</v>
      </c>
      <c r="N40" s="20"/>
      <c r="O40" s="20">
        <v>27.8</v>
      </c>
      <c r="P40" s="21"/>
      <c r="Q40" s="21">
        <v>28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33.200000000000003</v>
      </c>
      <c r="G41" s="20">
        <v>33.299999999999997</v>
      </c>
      <c r="H41" s="21"/>
      <c r="I41" s="21">
        <v>32.9</v>
      </c>
      <c r="J41" s="20"/>
      <c r="K41" s="20">
        <v>33.299999999999997</v>
      </c>
      <c r="L41" s="21">
        <v>34</v>
      </c>
      <c r="M41" s="21">
        <v>32.9</v>
      </c>
      <c r="N41" s="20"/>
      <c r="O41" s="20">
        <v>32.9</v>
      </c>
      <c r="P41" s="21"/>
      <c r="Q41" s="21">
        <v>33.299999999999997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v>5.3000000000000043</v>
      </c>
      <c r="G42" s="27">
        <f>G41-G40</f>
        <v>5.2999999999999972</v>
      </c>
      <c r="H42" s="27">
        <f t="shared" ref="H42:P42" si="4">H41-H40</f>
        <v>0</v>
      </c>
      <c r="I42" s="27">
        <f t="shared" si="4"/>
        <v>5</v>
      </c>
      <c r="J42" s="27">
        <f t="shared" si="4"/>
        <v>0</v>
      </c>
      <c r="K42" s="27">
        <f t="shared" si="4"/>
        <v>5.3999999999999986</v>
      </c>
      <c r="L42" s="27">
        <v>5.1999999999999993</v>
      </c>
      <c r="M42" s="27">
        <f>M41-M40</f>
        <v>5.0999999999999979</v>
      </c>
      <c r="N42" s="27">
        <f>N41-N40</f>
        <v>0</v>
      </c>
      <c r="O42" s="27">
        <f>O41-O40</f>
        <v>5.0999999999999979</v>
      </c>
      <c r="P42" s="27">
        <f t="shared" si="4"/>
        <v>0</v>
      </c>
      <c r="Q42" s="27">
        <f>Q41-Q40</f>
        <v>5.2999999999999972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1293.5999999999999</v>
      </c>
      <c r="G43" s="20">
        <v>1301.72</v>
      </c>
      <c r="H43" s="21"/>
      <c r="I43" s="21">
        <v>1299.2</v>
      </c>
      <c r="J43" s="20"/>
      <c r="K43" s="20">
        <v>1295.42</v>
      </c>
      <c r="L43" s="21">
        <v>1290</v>
      </c>
      <c r="M43" s="20">
        <v>1296.26</v>
      </c>
      <c r="N43" s="20"/>
      <c r="O43" s="20">
        <v>1288.28</v>
      </c>
      <c r="P43" s="21"/>
      <c r="Q43" s="21">
        <v>1299.6199999999999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v>7916.951501154741</v>
      </c>
      <c r="G44" s="28">
        <f>G42*G43/0.866</f>
        <v>7966.6466512702036</v>
      </c>
      <c r="H44" s="28">
        <f t="shared" ref="H44:Q44" si="5">H42*H43/0.866</f>
        <v>0</v>
      </c>
      <c r="I44" s="28">
        <f t="shared" si="5"/>
        <v>7501.1547344110859</v>
      </c>
      <c r="J44" s="28">
        <f t="shared" si="5"/>
        <v>0</v>
      </c>
      <c r="K44" s="28">
        <f t="shared" si="5"/>
        <v>8077.6766743648941</v>
      </c>
      <c r="L44" s="28">
        <v>7745.9584295612003</v>
      </c>
      <c r="M44" s="28">
        <f>M42*M43/0.866</f>
        <v>7633.8637413394881</v>
      </c>
      <c r="N44" s="28">
        <f>N42*N43/0.866</f>
        <v>0</v>
      </c>
      <c r="O44" s="28">
        <f>O42*O43/0.866</f>
        <v>7586.8683602771334</v>
      </c>
      <c r="P44" s="28">
        <f t="shared" si="5"/>
        <v>0</v>
      </c>
      <c r="Q44" s="28">
        <f t="shared" si="5"/>
        <v>7953.7944572748211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0.45</v>
      </c>
      <c r="G45" s="20">
        <v>0.46</v>
      </c>
      <c r="H45" s="21"/>
      <c r="I45" s="21">
        <v>0.45</v>
      </c>
      <c r="J45" s="20"/>
      <c r="K45" s="20">
        <v>0.46</v>
      </c>
      <c r="L45" s="21">
        <v>0.46</v>
      </c>
      <c r="M45" s="21">
        <v>0.46</v>
      </c>
      <c r="N45" s="20"/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19.3</v>
      </c>
      <c r="G46" s="20">
        <v>19.7</v>
      </c>
      <c r="H46" s="21"/>
      <c r="I46" s="21">
        <v>18.899999999999999</v>
      </c>
      <c r="J46" s="20"/>
      <c r="K46" s="20">
        <v>19.100000000000001</v>
      </c>
      <c r="L46" s="21">
        <v>19.5</v>
      </c>
      <c r="M46" s="21">
        <v>19.399999999999999</v>
      </c>
      <c r="N46" s="20"/>
      <c r="O46" s="20">
        <v>18.7</v>
      </c>
      <c r="P46" s="21"/>
      <c r="Q46" s="21">
        <v>19.899999999999999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197</v>
      </c>
      <c r="G47" s="20">
        <v>208.4</v>
      </c>
      <c r="H47" s="21"/>
      <c r="I47" s="21">
        <v>132.80000000000001</v>
      </c>
      <c r="J47" s="20"/>
      <c r="K47" s="20">
        <v>200.1</v>
      </c>
      <c r="L47" s="21">
        <v>200.7</v>
      </c>
      <c r="M47" s="21">
        <v>212</v>
      </c>
      <c r="N47" s="20"/>
      <c r="O47" s="20">
        <v>161.19999999999999</v>
      </c>
      <c r="P47" s="21"/>
      <c r="Q47" s="21">
        <v>202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77">
        <v>5.89</v>
      </c>
      <c r="F49" s="20">
        <v>6.03</v>
      </c>
      <c r="G49" s="20">
        <v>5.67</v>
      </c>
      <c r="H49" s="21"/>
      <c r="I49" s="21">
        <v>5.39</v>
      </c>
      <c r="J49" s="20"/>
      <c r="K49" s="20">
        <v>5.74</v>
      </c>
      <c r="L49" s="21">
        <v>5.7</v>
      </c>
      <c r="M49" s="21">
        <v>5.58</v>
      </c>
      <c r="N49" s="20"/>
      <c r="O49" s="20">
        <v>5.54</v>
      </c>
      <c r="P49" s="21"/>
      <c r="Q49" s="21">
        <v>5.31</v>
      </c>
    </row>
    <row r="50" spans="2:17" ht="20.100000000000001" customHeight="1">
      <c r="B50" s="94" t="s">
        <v>91</v>
      </c>
      <c r="C50" s="94"/>
      <c r="D50" s="94"/>
      <c r="E50" s="7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7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0" zoomScaleNormal="60" zoomScaleSheetLayoutView="80" workbookViewId="0">
      <selection activeCell="C34" sqref="C34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45831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79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67.8</v>
      </c>
      <c r="H11" s="21"/>
      <c r="I11" s="21">
        <v>76.400000000000006</v>
      </c>
      <c r="J11" s="20">
        <v>73.400000000000006</v>
      </c>
      <c r="K11" s="20">
        <v>73.599999999999994</v>
      </c>
      <c r="L11" s="21"/>
      <c r="M11" s="21">
        <v>74.3</v>
      </c>
      <c r="N11" s="20">
        <v>79.3</v>
      </c>
      <c r="O11" s="20">
        <v>76.7</v>
      </c>
      <c r="P11" s="21"/>
      <c r="Q11" s="21">
        <v>74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62</v>
      </c>
      <c r="H13" s="21"/>
      <c r="I13" s="21">
        <v>71.2</v>
      </c>
      <c r="J13" s="20">
        <v>70.099999999999994</v>
      </c>
      <c r="K13" s="20">
        <v>67.599999999999994</v>
      </c>
      <c r="L13" s="21"/>
      <c r="M13" s="21">
        <v>69.8</v>
      </c>
      <c r="N13" s="20">
        <v>74.599999999999994</v>
      </c>
      <c r="O13" s="20">
        <v>72.099999999999994</v>
      </c>
      <c r="P13" s="21"/>
      <c r="Q13" s="21">
        <v>69.099999999999994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69.5</v>
      </c>
      <c r="H14" s="21"/>
      <c r="I14" s="21">
        <v>70.599999999999994</v>
      </c>
      <c r="J14" s="20">
        <v>64.3</v>
      </c>
      <c r="K14" s="20">
        <v>63.5</v>
      </c>
      <c r="L14" s="21"/>
      <c r="M14" s="21">
        <v>67.900000000000006</v>
      </c>
      <c r="N14" s="20">
        <v>74</v>
      </c>
      <c r="O14" s="20">
        <v>74.599999999999994</v>
      </c>
      <c r="P14" s="21"/>
      <c r="Q14" s="21">
        <v>74.2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35.4</v>
      </c>
      <c r="H15" s="21"/>
      <c r="I15" s="21">
        <v>50.7</v>
      </c>
      <c r="J15" s="20">
        <v>37.299999999999997</v>
      </c>
      <c r="K15" s="20">
        <v>37.4</v>
      </c>
      <c r="L15" s="21"/>
      <c r="M15" s="21">
        <v>35.6</v>
      </c>
      <c r="N15" s="20">
        <v>53.1</v>
      </c>
      <c r="O15" s="20">
        <v>55.7</v>
      </c>
      <c r="P15" s="21"/>
      <c r="Q15" s="21">
        <v>41.5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113.8</v>
      </c>
      <c r="H17" s="21"/>
      <c r="I17" s="21">
        <v>114.9</v>
      </c>
      <c r="J17" s="20">
        <v>117.4</v>
      </c>
      <c r="K17" s="20">
        <v>115.2</v>
      </c>
      <c r="L17" s="21"/>
      <c r="M17" s="21">
        <v>115.7</v>
      </c>
      <c r="N17" s="20">
        <v>121.9</v>
      </c>
      <c r="O17" s="20">
        <v>120.4</v>
      </c>
      <c r="P17" s="21"/>
      <c r="Q17" s="21">
        <v>117.6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1123</v>
      </c>
      <c r="H18" s="21"/>
      <c r="I18" s="21">
        <v>1178</v>
      </c>
      <c r="J18" s="20">
        <v>1184</v>
      </c>
      <c r="K18" s="20">
        <v>1185</v>
      </c>
      <c r="L18" s="21"/>
      <c r="M18" s="21">
        <v>1191</v>
      </c>
      <c r="N18" s="20">
        <v>1238</v>
      </c>
      <c r="O18" s="20">
        <v>1219</v>
      </c>
      <c r="P18" s="21"/>
      <c r="Q18" s="21">
        <v>1205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50920.4</v>
      </c>
      <c r="H19" s="21"/>
      <c r="I19" s="21">
        <v>51820.7</v>
      </c>
      <c r="J19" s="20">
        <v>49879.7</v>
      </c>
      <c r="K19" s="20">
        <v>49868.7</v>
      </c>
      <c r="L19" s="21"/>
      <c r="M19" s="21">
        <v>52327.5</v>
      </c>
      <c r="N19" s="20">
        <v>51498.7</v>
      </c>
      <c r="O19" s="20">
        <v>51487.8</v>
      </c>
      <c r="P19" s="21"/>
      <c r="Q19" s="21">
        <v>51182.3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58.9</v>
      </c>
      <c r="J22" s="20">
        <v>57.6</v>
      </c>
      <c r="K22" s="20">
        <v>57.9</v>
      </c>
      <c r="L22" s="21"/>
      <c r="M22" s="21">
        <v>57.4</v>
      </c>
      <c r="N22" s="20">
        <v>58.6</v>
      </c>
      <c r="O22" s="20">
        <v>58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/>
      <c r="M23" s="21">
        <v>0.52</v>
      </c>
      <c r="N23" s="20">
        <v>0.48</v>
      </c>
      <c r="O23" s="20">
        <v>0.53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44.9</v>
      </c>
      <c r="H25" s="21"/>
      <c r="I25" s="21">
        <v>45.1</v>
      </c>
      <c r="J25" s="20">
        <v>45</v>
      </c>
      <c r="K25" s="20">
        <v>44.8</v>
      </c>
      <c r="L25" s="21"/>
      <c r="M25" s="21">
        <v>45.1</v>
      </c>
      <c r="N25" s="20">
        <v>45.1</v>
      </c>
      <c r="O25" s="20">
        <v>44.6</v>
      </c>
      <c r="P25" s="21"/>
      <c r="Q25" s="21">
        <v>45.2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0.22</v>
      </c>
      <c r="K26" s="20">
        <v>0.23</v>
      </c>
      <c r="L26" s="21"/>
      <c r="M26" s="21">
        <v>0.22</v>
      </c>
      <c r="N26" s="20">
        <v>0.23</v>
      </c>
      <c r="O26" s="20">
        <v>0.23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4.2</v>
      </c>
      <c r="H27" s="21"/>
      <c r="I27" s="21">
        <v>3.5</v>
      </c>
      <c r="J27" s="20">
        <v>4</v>
      </c>
      <c r="K27" s="20">
        <v>4.0999999999999996</v>
      </c>
      <c r="L27" s="21"/>
      <c r="M27" s="21">
        <v>4.0999999999999996</v>
      </c>
      <c r="N27" s="20">
        <v>4.5999999999999996</v>
      </c>
      <c r="O27" s="20">
        <v>4.5</v>
      </c>
      <c r="P27" s="21"/>
      <c r="Q27" s="21">
        <v>4.5999999999999996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3.8</v>
      </c>
      <c r="H28" s="21"/>
      <c r="I28" s="21">
        <v>2.7</v>
      </c>
      <c r="J28" s="20">
        <v>3.4</v>
      </c>
      <c r="K28" s="20">
        <v>3.4</v>
      </c>
      <c r="L28" s="21"/>
      <c r="M28" s="21">
        <v>2.9</v>
      </c>
      <c r="N28" s="20">
        <v>3.5</v>
      </c>
      <c r="O28" s="20">
        <v>3.1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1</v>
      </c>
      <c r="H29" s="27">
        <f t="shared" ref="H29:Q29" si="0">H32-H28</f>
        <v>0</v>
      </c>
      <c r="I29" s="27">
        <f t="shared" si="0"/>
        <v>1.7999999999999998</v>
      </c>
      <c r="J29" s="27">
        <f t="shared" si="0"/>
        <v>0.69999999999999973</v>
      </c>
      <c r="K29" s="27">
        <f t="shared" si="0"/>
        <v>1.1000000000000001</v>
      </c>
      <c r="L29" s="27">
        <f>L32-L28</f>
        <v>0</v>
      </c>
      <c r="M29" s="27">
        <f>M32-M28</f>
        <v>0.89999999999999991</v>
      </c>
      <c r="N29" s="27">
        <f>N32-N28</f>
        <v>1.2999999999999998</v>
      </c>
      <c r="O29" s="27">
        <f>O32-O28</f>
        <v>1.3000000000000003</v>
      </c>
      <c r="P29" s="27">
        <f t="shared" si="0"/>
        <v>0</v>
      </c>
      <c r="Q29" s="27">
        <f t="shared" si="0"/>
        <v>0.89999999999999947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655.28</v>
      </c>
      <c r="H30" s="21"/>
      <c r="I30" s="21">
        <v>629.04</v>
      </c>
      <c r="J30" s="20">
        <v>625</v>
      </c>
      <c r="K30" s="20">
        <v>629.91999999999996</v>
      </c>
      <c r="L30" s="21"/>
      <c r="M30" s="21">
        <v>633.28</v>
      </c>
      <c r="N30" s="20">
        <v>689.3</v>
      </c>
      <c r="O30" s="20">
        <v>635.67999999999995</v>
      </c>
      <c r="P30" s="21"/>
      <c r="Q30" s="21">
        <v>637.36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13.5</v>
      </c>
      <c r="J31" s="20">
        <v>13.3</v>
      </c>
      <c r="K31" s="20">
        <v>13.6</v>
      </c>
      <c r="L31" s="21"/>
      <c r="M31" s="21">
        <v>13.3</v>
      </c>
      <c r="N31" s="20">
        <v>13.8</v>
      </c>
      <c r="O31" s="20">
        <v>13.5</v>
      </c>
      <c r="P31" s="21"/>
      <c r="Q31" s="21">
        <v>13.4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4.8</v>
      </c>
      <c r="H32" s="21"/>
      <c r="I32" s="21">
        <v>4.5</v>
      </c>
      <c r="J32" s="20">
        <v>4.0999999999999996</v>
      </c>
      <c r="K32" s="20">
        <v>4.5</v>
      </c>
      <c r="L32" s="21"/>
      <c r="M32" s="21">
        <v>3.8</v>
      </c>
      <c r="N32" s="20">
        <v>4.8</v>
      </c>
      <c r="O32" s="20">
        <v>4.4000000000000004</v>
      </c>
      <c r="P32" s="21"/>
      <c r="Q32" s="21">
        <v>4.5999999999999996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8.6999999999999993</v>
      </c>
      <c r="H33" s="27">
        <f t="shared" ref="H33:Q33" si="1">H31-H32</f>
        <v>0</v>
      </c>
      <c r="I33" s="27">
        <f t="shared" si="1"/>
        <v>9</v>
      </c>
      <c r="J33" s="27">
        <f t="shared" si="1"/>
        <v>9.2000000000000011</v>
      </c>
      <c r="K33" s="27">
        <f t="shared" si="1"/>
        <v>9.1</v>
      </c>
      <c r="L33" s="27">
        <f>L31-L32</f>
        <v>0</v>
      </c>
      <c r="M33" s="27">
        <f>M31-M32</f>
        <v>9.5</v>
      </c>
      <c r="N33" s="27">
        <f>N31-N32</f>
        <v>9</v>
      </c>
      <c r="O33" s="27">
        <f>O31-O32</f>
        <v>9.1</v>
      </c>
      <c r="P33" s="27">
        <f t="shared" si="1"/>
        <v>0</v>
      </c>
      <c r="Q33" s="27">
        <f t="shared" si="1"/>
        <v>8.8000000000000007</v>
      </c>
    </row>
    <row r="34" spans="2:17" ht="20.100000000000001" customHeight="1">
      <c r="B34" s="114"/>
      <c r="C34" s="22" t="s">
        <v>101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6583.066974595843</v>
      </c>
      <c r="H34" s="28">
        <f t="shared" ref="H34:Q34" si="2">(H33*H30)/0.866</f>
        <v>0</v>
      </c>
      <c r="I34" s="28">
        <f t="shared" si="2"/>
        <v>6537.3672055427251</v>
      </c>
      <c r="J34" s="28">
        <f t="shared" si="2"/>
        <v>6639.7228637413409</v>
      </c>
      <c r="K34" s="28">
        <f t="shared" si="2"/>
        <v>6619.2517321016157</v>
      </c>
      <c r="L34" s="28">
        <f>(L33*L30)/0.866</f>
        <v>0</v>
      </c>
      <c r="M34" s="28">
        <f>(M33*M30)/0.866</f>
        <v>6947.066974595843</v>
      </c>
      <c r="N34" s="28">
        <f>(N33*N30)/0.866</f>
        <v>7163.6258660508083</v>
      </c>
      <c r="O34" s="28">
        <f>(O33*O30)/0.866</f>
        <v>6679.7782909930711</v>
      </c>
      <c r="P34" s="28">
        <f t="shared" si="2"/>
        <v>0</v>
      </c>
      <c r="Q34" s="28">
        <f t="shared" si="2"/>
        <v>6476.6374133949203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</v>
      </c>
      <c r="J35" s="20">
        <v>0.84</v>
      </c>
      <c r="K35" s="20">
        <v>0.82</v>
      </c>
      <c r="L35" s="21"/>
      <c r="M35" s="21">
        <v>0.81</v>
      </c>
      <c r="N35" s="20">
        <v>0.81</v>
      </c>
      <c r="O35" s="20">
        <v>0.79</v>
      </c>
      <c r="P35" s="21"/>
      <c r="Q35" s="21">
        <v>0.81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35.799999999999997</v>
      </c>
      <c r="H36" s="21"/>
      <c r="I36" s="21">
        <v>36.4</v>
      </c>
      <c r="J36" s="20">
        <v>36.5</v>
      </c>
      <c r="K36" s="20">
        <v>36.299999999999997</v>
      </c>
      <c r="L36" s="21"/>
      <c r="M36" s="21">
        <v>36.6</v>
      </c>
      <c r="N36" s="20">
        <v>35.799999999999997</v>
      </c>
      <c r="O36" s="20">
        <v>35.9</v>
      </c>
      <c r="P36" s="21"/>
      <c r="Q36" s="21">
        <v>36.200000000000003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36.6</v>
      </c>
      <c r="H37" s="21"/>
      <c r="I37" s="21">
        <v>35.6</v>
      </c>
      <c r="J37" s="20">
        <v>37.200000000000003</v>
      </c>
      <c r="K37" s="20">
        <v>36.200000000000003</v>
      </c>
      <c r="L37" s="21"/>
      <c r="M37" s="21">
        <v>36.1</v>
      </c>
      <c r="N37" s="20">
        <v>36.299999999999997</v>
      </c>
      <c r="O37" s="20">
        <v>35.4</v>
      </c>
      <c r="P37" s="21"/>
      <c r="Q37" s="21">
        <v>36.200000000000003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3.7000000000000028</v>
      </c>
      <c r="H38" s="27">
        <v>1</v>
      </c>
      <c r="I38" s="27">
        <f t="shared" ref="I38:Q38" si="3">I37-I41</f>
        <v>2.3000000000000043</v>
      </c>
      <c r="J38" s="27">
        <f t="shared" si="3"/>
        <v>2.1000000000000014</v>
      </c>
      <c r="K38" s="27">
        <f t="shared" si="3"/>
        <v>2.8000000000000043</v>
      </c>
      <c r="L38" s="27">
        <f>L37-L41</f>
        <v>0</v>
      </c>
      <c r="M38" s="27">
        <f>M37-M41</f>
        <v>3.1000000000000014</v>
      </c>
      <c r="N38" s="27">
        <f>N37-N41</f>
        <v>1.5999999999999943</v>
      </c>
      <c r="O38" s="27">
        <f>O37-O41</f>
        <v>2.3999999999999986</v>
      </c>
      <c r="P38" s="27">
        <f t="shared" si="3"/>
        <v>0</v>
      </c>
      <c r="Q38" s="27">
        <f t="shared" si="3"/>
        <v>2.9000000000000057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27.9</v>
      </c>
      <c r="H40" s="21"/>
      <c r="I40" s="21">
        <v>28.2</v>
      </c>
      <c r="J40" s="20">
        <v>29.7</v>
      </c>
      <c r="K40" s="20">
        <v>28</v>
      </c>
      <c r="L40" s="21"/>
      <c r="M40" s="21">
        <v>27.7</v>
      </c>
      <c r="N40" s="20">
        <v>29.3</v>
      </c>
      <c r="O40" s="20">
        <v>27.9</v>
      </c>
      <c r="P40" s="21"/>
      <c r="Q40" s="21">
        <v>28.1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32.9</v>
      </c>
      <c r="H41" s="21"/>
      <c r="I41" s="21">
        <v>33.299999999999997</v>
      </c>
      <c r="J41" s="20">
        <v>35.1</v>
      </c>
      <c r="K41" s="20">
        <v>33.4</v>
      </c>
      <c r="L41" s="21"/>
      <c r="M41" s="21">
        <v>33</v>
      </c>
      <c r="N41" s="20">
        <v>34.700000000000003</v>
      </c>
      <c r="O41" s="20">
        <v>33</v>
      </c>
      <c r="P41" s="21"/>
      <c r="Q41" s="21">
        <v>33.299999999999997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</v>
      </c>
      <c r="H42" s="27">
        <f t="shared" ref="H42:P42" si="4">H41-H40</f>
        <v>0</v>
      </c>
      <c r="I42" s="27">
        <f t="shared" si="4"/>
        <v>5.0999999999999979</v>
      </c>
      <c r="J42" s="27">
        <f t="shared" si="4"/>
        <v>5.4000000000000021</v>
      </c>
      <c r="K42" s="27">
        <f t="shared" si="4"/>
        <v>5.3999999999999986</v>
      </c>
      <c r="L42" s="27">
        <f>L41-L40</f>
        <v>0</v>
      </c>
      <c r="M42" s="27">
        <f>M41-M40</f>
        <v>5.3000000000000007</v>
      </c>
      <c r="N42" s="27">
        <f>N41-N40</f>
        <v>5.4000000000000021</v>
      </c>
      <c r="O42" s="27">
        <f>O41-O40</f>
        <v>5.1000000000000014</v>
      </c>
      <c r="P42" s="27">
        <f t="shared" si="4"/>
        <v>0</v>
      </c>
      <c r="Q42" s="27">
        <f>Q41-Q40</f>
        <v>5.1999999999999957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1293.8800000000001</v>
      </c>
      <c r="H43" s="21"/>
      <c r="I43" s="21">
        <v>1298.5</v>
      </c>
      <c r="J43" s="20">
        <v>1299.8</v>
      </c>
      <c r="K43" s="20">
        <v>1303.26</v>
      </c>
      <c r="L43" s="21"/>
      <c r="M43" s="20">
        <v>1292.06</v>
      </c>
      <c r="N43" s="20">
        <v>1297.0999999999999</v>
      </c>
      <c r="O43" s="20">
        <v>1283.6600000000001</v>
      </c>
      <c r="P43" s="21"/>
      <c r="Q43" s="21">
        <v>1296.1199999999999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7470.4387990762134</v>
      </c>
      <c r="H44" s="28">
        <f t="shared" ref="H44:Q44" si="5">H42*H43/0.866</f>
        <v>0</v>
      </c>
      <c r="I44" s="28">
        <f t="shared" si="5"/>
        <v>7647.0554272517293</v>
      </c>
      <c r="J44" s="28">
        <f t="shared" si="5"/>
        <v>8104.9884526558926</v>
      </c>
      <c r="K44" s="28">
        <f t="shared" si="5"/>
        <v>8126.5635103926079</v>
      </c>
      <c r="L44" s="28">
        <f>L42*L43/0.866</f>
        <v>0</v>
      </c>
      <c r="M44" s="28">
        <f>M42*M43/0.866</f>
        <v>7907.5265588914554</v>
      </c>
      <c r="N44" s="28">
        <f>N42*N43/0.866</f>
        <v>8088.1524249422655</v>
      </c>
      <c r="O44" s="28">
        <f>O42*O43/0.866</f>
        <v>7559.6605080831432</v>
      </c>
      <c r="P44" s="28">
        <f t="shared" si="5"/>
        <v>0</v>
      </c>
      <c r="Q44" s="28">
        <f t="shared" si="5"/>
        <v>7782.7066974595773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0.46</v>
      </c>
      <c r="L45" s="21"/>
      <c r="M45" s="21">
        <v>0.47</v>
      </c>
      <c r="N45" s="20">
        <v>0.46</v>
      </c>
      <c r="O45" s="20">
        <v>0.46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</v>
      </c>
      <c r="H46" s="21"/>
      <c r="I46" s="21">
        <v>19.600000000000001</v>
      </c>
      <c r="J46" s="20">
        <v>19.8</v>
      </c>
      <c r="K46" s="20">
        <v>19.600000000000001</v>
      </c>
      <c r="L46" s="21"/>
      <c r="M46" s="21">
        <v>19.8</v>
      </c>
      <c r="N46" s="20">
        <v>19.5</v>
      </c>
      <c r="O46" s="20">
        <v>19.600000000000001</v>
      </c>
      <c r="P46" s="21"/>
      <c r="Q46" s="21">
        <v>20.100000000000001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196.6</v>
      </c>
      <c r="H47" s="21"/>
      <c r="I47" s="21">
        <v>129.5</v>
      </c>
      <c r="J47" s="20">
        <v>203.5</v>
      </c>
      <c r="K47" s="20">
        <v>205</v>
      </c>
      <c r="L47" s="21"/>
      <c r="M47" s="21">
        <v>204</v>
      </c>
      <c r="N47" s="20">
        <v>165.8</v>
      </c>
      <c r="O47" s="20">
        <v>151.30000000000001</v>
      </c>
      <c r="P47" s="21"/>
      <c r="Q47" s="21">
        <v>197.8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79">
        <v>5.89</v>
      </c>
      <c r="F49" s="20"/>
      <c r="G49" s="20">
        <v>6.05</v>
      </c>
      <c r="H49" s="21"/>
      <c r="I49" s="21">
        <v>5.45</v>
      </c>
      <c r="J49" s="20">
        <v>5.71</v>
      </c>
      <c r="K49" s="20">
        <v>5.68</v>
      </c>
      <c r="L49" s="21"/>
      <c r="M49" s="21">
        <v>5.78</v>
      </c>
      <c r="N49" s="20">
        <v>5.35</v>
      </c>
      <c r="O49" s="20">
        <v>5.63</v>
      </c>
      <c r="P49" s="21"/>
      <c r="Q49" s="21">
        <v>5.27</v>
      </c>
    </row>
    <row r="50" spans="2:17" ht="20.100000000000001" customHeight="1">
      <c r="B50" s="94" t="s">
        <v>91</v>
      </c>
      <c r="C50" s="94"/>
      <c r="D50" s="94"/>
      <c r="E50" s="7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7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0" zoomScaleNormal="60" zoomScaleSheetLayoutView="80" workbookViewId="0">
      <selection activeCell="L10" sqref="L10:L4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45832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81" t="s">
        <v>18</v>
      </c>
      <c r="E10" s="15"/>
      <c r="F10" s="17" t="s">
        <v>19</v>
      </c>
      <c r="G10" s="17" t="s">
        <v>19</v>
      </c>
      <c r="H10" s="18"/>
      <c r="I10" s="18" t="s">
        <v>19</v>
      </c>
      <c r="J10" s="17"/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73.400000000000006</v>
      </c>
      <c r="G11" s="20">
        <v>69.2</v>
      </c>
      <c r="H11" s="21"/>
      <c r="I11" s="21">
        <v>78</v>
      </c>
      <c r="J11" s="20"/>
      <c r="K11" s="20">
        <v>74</v>
      </c>
      <c r="L11" s="21">
        <v>76.099999999999994</v>
      </c>
      <c r="M11" s="21">
        <v>77.3</v>
      </c>
      <c r="N11" s="20"/>
      <c r="O11" s="20">
        <v>75.2</v>
      </c>
      <c r="P11" s="21"/>
      <c r="Q11" s="21">
        <v>73.900000000000006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0.6</v>
      </c>
      <c r="G12" s="20">
        <v>0.6</v>
      </c>
      <c r="H12" s="21"/>
      <c r="I12" s="21">
        <v>0</v>
      </c>
      <c r="J12" s="20"/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68.3</v>
      </c>
      <c r="G13" s="20">
        <v>63</v>
      </c>
      <c r="H13" s="21"/>
      <c r="I13" s="21">
        <v>73.5</v>
      </c>
      <c r="J13" s="20"/>
      <c r="K13" s="20">
        <v>69.5</v>
      </c>
      <c r="L13" s="21">
        <v>72.5</v>
      </c>
      <c r="M13" s="21" t="s">
        <v>102</v>
      </c>
      <c r="N13" s="20"/>
      <c r="O13" s="20">
        <v>69.7</v>
      </c>
      <c r="P13" s="21"/>
      <c r="Q13" s="21">
        <v>68.7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67.8</v>
      </c>
      <c r="G14" s="20">
        <v>69.5</v>
      </c>
      <c r="H14" s="21"/>
      <c r="I14" s="21">
        <v>71.099999999999994</v>
      </c>
      <c r="J14" s="20"/>
      <c r="K14" s="20">
        <v>64.3</v>
      </c>
      <c r="L14" s="21">
        <v>66.599999999999994</v>
      </c>
      <c r="M14" s="21">
        <v>67.8</v>
      </c>
      <c r="N14" s="20"/>
      <c r="O14" s="20">
        <v>74.400000000000006</v>
      </c>
      <c r="P14" s="21"/>
      <c r="Q14" s="21">
        <v>73.900000000000006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37.9</v>
      </c>
      <c r="G15" s="20">
        <v>39.1</v>
      </c>
      <c r="H15" s="21"/>
      <c r="I15" s="21">
        <v>54.6</v>
      </c>
      <c r="J15" s="20"/>
      <c r="K15" s="20">
        <v>40</v>
      </c>
      <c r="L15" s="21">
        <v>36.799999999999997</v>
      </c>
      <c r="M15" s="21">
        <v>34.1</v>
      </c>
      <c r="N15" s="20"/>
      <c r="O15" s="20">
        <v>56.1</v>
      </c>
      <c r="P15" s="21"/>
      <c r="Q15" s="21">
        <v>43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119.4</v>
      </c>
      <c r="G17" s="20">
        <v>114.7</v>
      </c>
      <c r="H17" s="21"/>
      <c r="I17" s="21">
        <v>116.3</v>
      </c>
      <c r="J17" s="20"/>
      <c r="K17" s="20">
        <v>115.2</v>
      </c>
      <c r="L17" s="21">
        <v>119.4</v>
      </c>
      <c r="M17" s="21">
        <v>117.7</v>
      </c>
      <c r="N17" s="20"/>
      <c r="O17" s="20">
        <v>116.7</v>
      </c>
      <c r="P17" s="21"/>
      <c r="Q17" s="21">
        <v>117.6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1163</v>
      </c>
      <c r="G18" s="20">
        <v>1145</v>
      </c>
      <c r="H18" s="21"/>
      <c r="I18" s="21">
        <v>1188</v>
      </c>
      <c r="J18" s="20"/>
      <c r="K18" s="20">
        <v>1186</v>
      </c>
      <c r="L18" s="21">
        <v>1208</v>
      </c>
      <c r="M18" s="21">
        <v>1208</v>
      </c>
      <c r="N18" s="20"/>
      <c r="O18" s="20">
        <v>1195</v>
      </c>
      <c r="P18" s="21"/>
      <c r="Q18" s="21">
        <v>1202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50939.6</v>
      </c>
      <c r="G19" s="20">
        <v>50930</v>
      </c>
      <c r="H19" s="21"/>
      <c r="I19" s="21">
        <v>51830.6</v>
      </c>
      <c r="J19" s="20"/>
      <c r="K19" s="20">
        <v>49891.3</v>
      </c>
      <c r="L19" s="21">
        <v>52347.1</v>
      </c>
      <c r="M19" s="21">
        <v>52337.4</v>
      </c>
      <c r="N19" s="20"/>
      <c r="O19" s="20">
        <v>51509.5</v>
      </c>
      <c r="P19" s="21"/>
      <c r="Q19" s="21">
        <v>51191.9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58.2</v>
      </c>
      <c r="G22" s="20">
        <v>58.1</v>
      </c>
      <c r="H22" s="21"/>
      <c r="I22" s="21">
        <v>59.1</v>
      </c>
      <c r="J22" s="20"/>
      <c r="K22" s="20">
        <v>57.9</v>
      </c>
      <c r="L22" s="21">
        <v>57.3</v>
      </c>
      <c r="M22" s="21">
        <v>57.4</v>
      </c>
      <c r="N22" s="20"/>
      <c r="O22" s="20">
        <v>58.6</v>
      </c>
      <c r="P22" s="21"/>
      <c r="Q22" s="21">
        <v>59.1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0.5</v>
      </c>
      <c r="J23" s="20"/>
      <c r="K23" s="20">
        <v>0.59</v>
      </c>
      <c r="L23" s="21">
        <v>0.52</v>
      </c>
      <c r="M23" s="21">
        <v>0.52</v>
      </c>
      <c r="N23" s="20"/>
      <c r="O23" s="20">
        <v>0.47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45.2</v>
      </c>
      <c r="G25" s="20">
        <v>44.9</v>
      </c>
      <c r="H25" s="21"/>
      <c r="I25" s="21">
        <v>45</v>
      </c>
      <c r="J25" s="20"/>
      <c r="K25" s="20">
        <v>45</v>
      </c>
      <c r="L25" s="21">
        <v>44.9</v>
      </c>
      <c r="M25" s="21">
        <v>45</v>
      </c>
      <c r="N25" s="20"/>
      <c r="O25" s="20">
        <v>45.1</v>
      </c>
      <c r="P25" s="21"/>
      <c r="Q25" s="21">
        <v>45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0.24</v>
      </c>
      <c r="G26" s="20">
        <v>0.25</v>
      </c>
      <c r="H26" s="21"/>
      <c r="I26" s="21">
        <v>0.22</v>
      </c>
      <c r="J26" s="20"/>
      <c r="K26" s="20">
        <v>0.22</v>
      </c>
      <c r="L26" s="21">
        <v>0.23</v>
      </c>
      <c r="M26" s="21">
        <v>0.22</v>
      </c>
      <c r="N26" s="20"/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4.0999999999999996</v>
      </c>
      <c r="G27" s="20">
        <v>4.5</v>
      </c>
      <c r="H27" s="21"/>
      <c r="I27" s="21">
        <v>4.3</v>
      </c>
      <c r="J27" s="20"/>
      <c r="K27" s="20">
        <v>4.2</v>
      </c>
      <c r="L27" s="21">
        <v>4.2</v>
      </c>
      <c r="M27" s="21">
        <v>3.9</v>
      </c>
      <c r="N27" s="20"/>
      <c r="O27" s="20">
        <v>4.2</v>
      </c>
      <c r="P27" s="21"/>
      <c r="Q27" s="21">
        <v>4.7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4</v>
      </c>
      <c r="G28" s="20">
        <v>3.9</v>
      </c>
      <c r="H28" s="21"/>
      <c r="I28" s="21">
        <v>3.5</v>
      </c>
      <c r="J28" s="20"/>
      <c r="K28" s="20">
        <v>3.3</v>
      </c>
      <c r="L28" s="21">
        <v>3.5</v>
      </c>
      <c r="M28" s="21">
        <v>2.9</v>
      </c>
      <c r="N28" s="20"/>
      <c r="O28" s="20">
        <v>3.3</v>
      </c>
      <c r="P28" s="21"/>
      <c r="Q28" s="21">
        <v>3.8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0.79999999999999982</v>
      </c>
      <c r="G29" s="27">
        <f>G32-G28</f>
        <v>0.69999999999999973</v>
      </c>
      <c r="H29" s="27">
        <f t="shared" ref="H29:Q29" si="0">H32-H28</f>
        <v>0</v>
      </c>
      <c r="I29" s="27">
        <f t="shared" si="0"/>
        <v>1.2999999999999998</v>
      </c>
      <c r="J29" s="27">
        <f t="shared" si="0"/>
        <v>0</v>
      </c>
      <c r="K29" s="27">
        <f t="shared" si="0"/>
        <v>1</v>
      </c>
      <c r="L29" s="27">
        <f>L32-L28</f>
        <v>1.0999999999999996</v>
      </c>
      <c r="M29" s="27">
        <f>M32-M28</f>
        <v>0.89999999999999991</v>
      </c>
      <c r="N29" s="27">
        <f>N32-N28</f>
        <v>0</v>
      </c>
      <c r="O29" s="27">
        <f>O32-O28</f>
        <v>1</v>
      </c>
      <c r="P29" s="27">
        <f t="shared" si="0"/>
        <v>0</v>
      </c>
      <c r="Q29" s="27">
        <f t="shared" si="0"/>
        <v>0.90000000000000036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698.24</v>
      </c>
      <c r="G30" s="20">
        <v>634.6</v>
      </c>
      <c r="H30" s="21"/>
      <c r="I30" s="21">
        <v>650.20000000000005</v>
      </c>
      <c r="J30" s="20"/>
      <c r="K30" s="20">
        <v>630.29999999999995</v>
      </c>
      <c r="L30" s="21">
        <v>684.64</v>
      </c>
      <c r="M30" s="21">
        <v>625.79999999999995</v>
      </c>
      <c r="N30" s="20"/>
      <c r="O30" s="20">
        <v>637.1</v>
      </c>
      <c r="P30" s="21"/>
      <c r="Q30" s="21">
        <v>645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13.2</v>
      </c>
      <c r="G31" s="20">
        <v>13.5</v>
      </c>
      <c r="H31" s="21"/>
      <c r="I31" s="21">
        <v>13.4</v>
      </c>
      <c r="J31" s="20"/>
      <c r="K31" s="20">
        <v>13.5</v>
      </c>
      <c r="L31" s="21">
        <v>13.6</v>
      </c>
      <c r="M31" s="21">
        <v>13.5</v>
      </c>
      <c r="N31" s="20"/>
      <c r="O31" s="20">
        <v>13.4</v>
      </c>
      <c r="P31" s="21"/>
      <c r="Q31" s="21">
        <v>13.5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4.8</v>
      </c>
      <c r="G32" s="20">
        <v>4.5999999999999996</v>
      </c>
      <c r="H32" s="21"/>
      <c r="I32" s="21">
        <v>4.8</v>
      </c>
      <c r="J32" s="20"/>
      <c r="K32" s="20">
        <v>4.3</v>
      </c>
      <c r="L32" s="21">
        <v>4.5999999999999996</v>
      </c>
      <c r="M32" s="21">
        <v>3.8</v>
      </c>
      <c r="N32" s="20"/>
      <c r="O32" s="20">
        <v>4.3</v>
      </c>
      <c r="P32" s="21"/>
      <c r="Q32" s="21">
        <v>4.7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8.3999999999999986</v>
      </c>
      <c r="G33" s="27">
        <f>G31-G32</f>
        <v>8.9</v>
      </c>
      <c r="H33" s="27">
        <f t="shared" ref="H33:Q33" si="1">H31-H32</f>
        <v>0</v>
      </c>
      <c r="I33" s="27">
        <f t="shared" si="1"/>
        <v>8.6000000000000014</v>
      </c>
      <c r="J33" s="27">
        <f t="shared" si="1"/>
        <v>0</v>
      </c>
      <c r="K33" s="27">
        <f t="shared" si="1"/>
        <v>9.1999999999999993</v>
      </c>
      <c r="L33" s="27">
        <f>L31-L32</f>
        <v>9</v>
      </c>
      <c r="M33" s="27">
        <f>M31-M32</f>
        <v>9.6999999999999993</v>
      </c>
      <c r="N33" s="27">
        <f>N31-N32</f>
        <v>0</v>
      </c>
      <c r="O33" s="27">
        <f>O31-O32</f>
        <v>9.1000000000000014</v>
      </c>
      <c r="P33" s="27">
        <f t="shared" si="1"/>
        <v>0</v>
      </c>
      <c r="Q33" s="27">
        <f t="shared" si="1"/>
        <v>8.8000000000000007</v>
      </c>
    </row>
    <row r="34" spans="2:17" ht="20.100000000000001" customHeight="1">
      <c r="B34" s="114"/>
      <c r="C34" s="22" t="s">
        <v>101</v>
      </c>
      <c r="D34" s="19" t="s">
        <v>67</v>
      </c>
      <c r="E34" s="19" t="s">
        <v>68</v>
      </c>
      <c r="F34" s="28">
        <f>(F33*F30)/0.866</f>
        <v>6772.7667436489601</v>
      </c>
      <c r="G34" s="28">
        <f>(G33*G30)/0.866</f>
        <v>6521.8706697459593</v>
      </c>
      <c r="H34" s="28">
        <f t="shared" ref="H34:Q34" si="2">(H33*H30)/0.866</f>
        <v>0</v>
      </c>
      <c r="I34" s="28">
        <f t="shared" si="2"/>
        <v>6456.9515011547355</v>
      </c>
      <c r="J34" s="28">
        <f t="shared" si="2"/>
        <v>0</v>
      </c>
      <c r="K34" s="28">
        <f t="shared" si="2"/>
        <v>6696.0277136258655</v>
      </c>
      <c r="L34" s="28">
        <f>(L33*L30)/0.866</f>
        <v>7115.1963048498847</v>
      </c>
      <c r="M34" s="28">
        <f>(M33*M30)/0.866</f>
        <v>7009.5381062355655</v>
      </c>
      <c r="N34" s="28">
        <f>(N33*N30)/0.866</f>
        <v>0</v>
      </c>
      <c r="O34" s="28">
        <f>(O33*O30)/0.866</f>
        <v>6694.6997690531198</v>
      </c>
      <c r="P34" s="28">
        <f t="shared" si="2"/>
        <v>0</v>
      </c>
      <c r="Q34" s="28">
        <f t="shared" si="2"/>
        <v>6554.2725173210174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0.82</v>
      </c>
      <c r="G35" s="20">
        <v>0.81</v>
      </c>
      <c r="H35" s="21"/>
      <c r="I35" s="21">
        <v>0.84</v>
      </c>
      <c r="J35" s="20"/>
      <c r="K35" s="20">
        <v>0.88</v>
      </c>
      <c r="L35" s="21">
        <v>0.83</v>
      </c>
      <c r="M35" s="21">
        <v>0.84</v>
      </c>
      <c r="N35" s="20"/>
      <c r="O35" s="20">
        <v>0.8</v>
      </c>
      <c r="P35" s="21"/>
      <c r="Q35" s="21">
        <v>0.83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35.4</v>
      </c>
      <c r="G36" s="20">
        <v>36</v>
      </c>
      <c r="H36" s="21"/>
      <c r="I36" s="21">
        <v>36.299999999999997</v>
      </c>
      <c r="J36" s="20"/>
      <c r="K36" s="20">
        <v>36.200000000000003</v>
      </c>
      <c r="L36" s="21">
        <v>35.9</v>
      </c>
      <c r="M36" s="21">
        <v>36.299999999999997</v>
      </c>
      <c r="N36" s="20"/>
      <c r="O36" s="20">
        <v>35.4</v>
      </c>
      <c r="P36" s="21"/>
      <c r="Q36" s="21">
        <v>36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36.4</v>
      </c>
      <c r="G37" s="20">
        <v>36.799999999999997</v>
      </c>
      <c r="H37" s="21"/>
      <c r="I37" s="21">
        <v>37.299999999999997</v>
      </c>
      <c r="J37" s="20"/>
      <c r="K37" s="20">
        <v>36.9</v>
      </c>
      <c r="L37" s="21">
        <v>36.799999999999997</v>
      </c>
      <c r="M37" s="21">
        <v>36.799999999999997</v>
      </c>
      <c r="N37" s="20"/>
      <c r="O37" s="20">
        <v>35.9</v>
      </c>
      <c r="P37" s="21"/>
      <c r="Q37" s="21">
        <v>36.799999999999997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2.3999999999999986</v>
      </c>
      <c r="G38" s="27">
        <f>G37-G41</f>
        <v>2.0999999999999943</v>
      </c>
      <c r="H38" s="27">
        <v>1</v>
      </c>
      <c r="I38" s="27">
        <f t="shared" ref="I38:Q38" si="3">I37-I41</f>
        <v>3.2999999999999972</v>
      </c>
      <c r="J38" s="27">
        <f t="shared" si="3"/>
        <v>0</v>
      </c>
      <c r="K38" s="27">
        <f t="shared" si="3"/>
        <v>2.1000000000000014</v>
      </c>
      <c r="L38" s="27">
        <f>L37-L41</f>
        <v>3</v>
      </c>
      <c r="M38" s="27">
        <f>M37-M41</f>
        <v>2.3999999999999986</v>
      </c>
      <c r="N38" s="27">
        <f>N37-N41</f>
        <v>0</v>
      </c>
      <c r="O38" s="27">
        <f>O37-O41</f>
        <v>1.6000000000000014</v>
      </c>
      <c r="P38" s="27">
        <f t="shared" si="3"/>
        <v>0</v>
      </c>
      <c r="Q38" s="27">
        <f t="shared" si="3"/>
        <v>2.3999999999999986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28.5</v>
      </c>
      <c r="G40" s="20">
        <v>29.3</v>
      </c>
      <c r="H40" s="21"/>
      <c r="I40" s="21">
        <v>29.3</v>
      </c>
      <c r="J40" s="20"/>
      <c r="K40" s="20">
        <v>29.1</v>
      </c>
      <c r="L40" s="21">
        <v>28.4</v>
      </c>
      <c r="M40" s="21">
        <v>29.3</v>
      </c>
      <c r="N40" s="20"/>
      <c r="O40" s="20">
        <v>29</v>
      </c>
      <c r="P40" s="21"/>
      <c r="Q40" s="21">
        <v>29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34</v>
      </c>
      <c r="G41" s="20">
        <v>34.700000000000003</v>
      </c>
      <c r="H41" s="21"/>
      <c r="I41" s="21">
        <v>34</v>
      </c>
      <c r="J41" s="20"/>
      <c r="K41" s="20">
        <v>34.799999999999997</v>
      </c>
      <c r="L41" s="21">
        <v>33.799999999999997</v>
      </c>
      <c r="M41" s="21">
        <v>34.4</v>
      </c>
      <c r="N41" s="20"/>
      <c r="O41" s="20">
        <v>34.299999999999997</v>
      </c>
      <c r="P41" s="21"/>
      <c r="Q41" s="21">
        <v>34.4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5.5</v>
      </c>
      <c r="G42" s="27">
        <f>G41-G40</f>
        <v>5.4000000000000021</v>
      </c>
      <c r="H42" s="27">
        <f t="shared" ref="H42:P42" si="4">H41-H40</f>
        <v>0</v>
      </c>
      <c r="I42" s="27">
        <f t="shared" si="4"/>
        <v>4.6999999999999993</v>
      </c>
      <c r="J42" s="27">
        <f t="shared" si="4"/>
        <v>0</v>
      </c>
      <c r="K42" s="27">
        <f t="shared" si="4"/>
        <v>5.6999999999999957</v>
      </c>
      <c r="L42" s="27">
        <f>L41-L40</f>
        <v>5.3999999999999986</v>
      </c>
      <c r="M42" s="27">
        <f>M41-M40</f>
        <v>5.0999999999999979</v>
      </c>
      <c r="N42" s="27">
        <f>N41-N40</f>
        <v>0</v>
      </c>
      <c r="O42" s="27">
        <f>O41-O40</f>
        <v>5.2999999999999972</v>
      </c>
      <c r="P42" s="27">
        <f t="shared" si="4"/>
        <v>0</v>
      </c>
      <c r="Q42" s="27">
        <f>Q41-Q40</f>
        <v>5.3999999999999986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1292.3399999999999</v>
      </c>
      <c r="G43" s="20">
        <v>1297.5999999999999</v>
      </c>
      <c r="H43" s="21"/>
      <c r="I43" s="21">
        <v>1288.2</v>
      </c>
      <c r="J43" s="20"/>
      <c r="K43" s="20">
        <v>1296.5</v>
      </c>
      <c r="L43" s="21">
        <v>1296.1199999999999</v>
      </c>
      <c r="M43" s="20">
        <v>1298.9000000000001</v>
      </c>
      <c r="N43" s="20"/>
      <c r="O43" s="20">
        <v>1288.9000000000001</v>
      </c>
      <c r="P43" s="21"/>
      <c r="Q43" s="21">
        <v>1296.9000000000001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8207.7020785219393</v>
      </c>
      <c r="G44" s="28">
        <f>G42*G43/0.866</f>
        <v>8091.270207852197</v>
      </c>
      <c r="H44" s="28">
        <f t="shared" ref="H44:Q44" si="5">H42*H43/0.866</f>
        <v>0</v>
      </c>
      <c r="I44" s="28">
        <f t="shared" si="5"/>
        <v>6991.3856812933018</v>
      </c>
      <c r="J44" s="28">
        <f t="shared" si="5"/>
        <v>0</v>
      </c>
      <c r="K44" s="28">
        <f t="shared" si="5"/>
        <v>8533.5450346420257</v>
      </c>
      <c r="L44" s="28">
        <f>L42*L43/0.866</f>
        <v>8082.041570438797</v>
      </c>
      <c r="M44" s="28">
        <f>M42*M43/0.866</f>
        <v>7649.4110854503433</v>
      </c>
      <c r="N44" s="28">
        <f>N42*N43/0.866</f>
        <v>0</v>
      </c>
      <c r="O44" s="28">
        <f>O42*O43/0.866</f>
        <v>7888.1870669745922</v>
      </c>
      <c r="P44" s="28">
        <f t="shared" si="5"/>
        <v>0</v>
      </c>
      <c r="Q44" s="28">
        <f t="shared" si="5"/>
        <v>8086.9053117782896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0.47</v>
      </c>
      <c r="H45" s="21"/>
      <c r="I45" s="21">
        <v>0.4</v>
      </c>
      <c r="J45" s="20"/>
      <c r="K45" s="20">
        <v>0.46</v>
      </c>
      <c r="L45" s="21">
        <v>0.46</v>
      </c>
      <c r="M45" s="21">
        <v>0.46</v>
      </c>
      <c r="N45" s="20"/>
      <c r="O45" s="20">
        <v>0.45</v>
      </c>
      <c r="P45" s="21"/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19.5</v>
      </c>
      <c r="G46" s="20">
        <v>20.100000000000001</v>
      </c>
      <c r="H46" s="21"/>
      <c r="I46" s="21">
        <v>19.399999999999999</v>
      </c>
      <c r="J46" s="20"/>
      <c r="K46" s="20">
        <v>19.600000000000001</v>
      </c>
      <c r="L46" s="21">
        <v>19.600000000000001</v>
      </c>
      <c r="M46" s="21">
        <v>19.7</v>
      </c>
      <c r="N46" s="20"/>
      <c r="O46" s="20">
        <v>19.2</v>
      </c>
      <c r="P46" s="21"/>
      <c r="Q46" s="21">
        <v>20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203.5</v>
      </c>
      <c r="G47" s="20">
        <v>197.8</v>
      </c>
      <c r="H47" s="21"/>
      <c r="I47" s="21">
        <v>120.8</v>
      </c>
      <c r="J47" s="20"/>
      <c r="K47" s="20">
        <v>204.1</v>
      </c>
      <c r="L47" s="21">
        <v>222.9</v>
      </c>
      <c r="M47" s="21">
        <v>214.6</v>
      </c>
      <c r="N47" s="20"/>
      <c r="O47" s="20">
        <v>164.8</v>
      </c>
      <c r="P47" s="21"/>
      <c r="Q47" s="21">
        <v>197.3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81">
        <v>5.89</v>
      </c>
      <c r="F49" s="20">
        <v>5.45</v>
      </c>
      <c r="G49" s="20">
        <v>5.87</v>
      </c>
      <c r="H49" s="21"/>
      <c r="I49" s="21">
        <v>5.49</v>
      </c>
      <c r="J49" s="20"/>
      <c r="K49" s="20">
        <v>5.69</v>
      </c>
      <c r="L49" s="21">
        <v>5.42</v>
      </c>
      <c r="M49" s="21">
        <v>5.82</v>
      </c>
      <c r="N49" s="20"/>
      <c r="O49" s="20">
        <v>5.71</v>
      </c>
      <c r="P49" s="21"/>
      <c r="Q49" s="21">
        <v>5.33</v>
      </c>
    </row>
    <row r="50" spans="2:17" ht="20.100000000000001" customHeight="1">
      <c r="B50" s="94" t="s">
        <v>91</v>
      </c>
      <c r="C50" s="94"/>
      <c r="D50" s="94"/>
      <c r="E50" s="8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8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0" zoomScaleNormal="60" zoomScaleSheetLayoutView="80" workbookViewId="0">
      <selection activeCell="D7" sqref="D7:Q7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45833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83" t="s">
        <v>18</v>
      </c>
      <c r="E10" s="15"/>
      <c r="F10" s="16"/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 t="s">
        <v>19</v>
      </c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69.400000000000006</v>
      </c>
      <c r="H11" s="21"/>
      <c r="I11" s="21">
        <v>77.7</v>
      </c>
      <c r="J11" s="20">
        <v>74.900000000000006</v>
      </c>
      <c r="K11" s="20">
        <v>74.3</v>
      </c>
      <c r="L11" s="21"/>
      <c r="M11" s="21">
        <v>76.099999999999994</v>
      </c>
      <c r="N11" s="20"/>
      <c r="O11" s="20">
        <v>72.400000000000006</v>
      </c>
      <c r="P11" s="21">
        <v>74.3</v>
      </c>
      <c r="Q11" s="21">
        <v>73.099999999999994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0.5</v>
      </c>
      <c r="H12" s="21"/>
      <c r="I12" s="21">
        <v>0</v>
      </c>
      <c r="J12" s="20">
        <v>0</v>
      </c>
      <c r="K12" s="20">
        <v>0</v>
      </c>
      <c r="L12" s="21"/>
      <c r="M12" s="21">
        <v>0</v>
      </c>
      <c r="N12" s="20"/>
      <c r="O12" s="20">
        <v>0</v>
      </c>
      <c r="P12" s="21">
        <v>0</v>
      </c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63.7</v>
      </c>
      <c r="H13" s="21"/>
      <c r="I13" s="21">
        <v>72.900000000000006</v>
      </c>
      <c r="J13" s="20">
        <v>69.8</v>
      </c>
      <c r="K13" s="20">
        <v>69.2</v>
      </c>
      <c r="L13" s="21"/>
      <c r="M13" s="21">
        <v>72.5</v>
      </c>
      <c r="N13" s="20"/>
      <c r="O13" s="20">
        <v>76.3</v>
      </c>
      <c r="P13" s="21">
        <v>69.7</v>
      </c>
      <c r="Q13" s="21">
        <v>68.099999999999994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69.3</v>
      </c>
      <c r="H14" s="21"/>
      <c r="I14" s="21">
        <v>70.7</v>
      </c>
      <c r="J14" s="20">
        <v>36.200000000000003</v>
      </c>
      <c r="K14" s="20">
        <v>64.400000000000006</v>
      </c>
      <c r="L14" s="21"/>
      <c r="M14" s="21">
        <v>67.5</v>
      </c>
      <c r="N14" s="20"/>
      <c r="O14" s="20">
        <v>67.8</v>
      </c>
      <c r="P14" s="21">
        <v>73.400000000000006</v>
      </c>
      <c r="Q14" s="21">
        <v>73.900000000000006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37.5</v>
      </c>
      <c r="H15" s="21"/>
      <c r="I15" s="21">
        <v>53.1</v>
      </c>
      <c r="J15" s="20">
        <v>64.2</v>
      </c>
      <c r="K15" s="20">
        <v>39.6</v>
      </c>
      <c r="L15" s="21"/>
      <c r="M15" s="21">
        <v>34.6</v>
      </c>
      <c r="N15" s="20"/>
      <c r="O15" s="20">
        <v>52.1</v>
      </c>
      <c r="P15" s="21">
        <v>40.9</v>
      </c>
      <c r="Q15" s="21">
        <v>40.4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/>
      <c r="M16" s="21">
        <v>6.6</v>
      </c>
      <c r="N16" s="20"/>
      <c r="O16" s="20">
        <v>6.6</v>
      </c>
      <c r="P16" s="21">
        <v>6.6</v>
      </c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116.4</v>
      </c>
      <c r="H17" s="21"/>
      <c r="I17" s="21">
        <v>117.5</v>
      </c>
      <c r="J17" s="20">
        <v>117.8</v>
      </c>
      <c r="K17" s="20">
        <v>117.1</v>
      </c>
      <c r="L17" s="21"/>
      <c r="M17" s="21">
        <v>118.6</v>
      </c>
      <c r="N17" s="20"/>
      <c r="O17" s="20">
        <v>116</v>
      </c>
      <c r="P17" s="21">
        <v>118</v>
      </c>
      <c r="Q17" s="21">
        <v>117.6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1132</v>
      </c>
      <c r="H18" s="21"/>
      <c r="I18" s="21">
        <v>1181</v>
      </c>
      <c r="J18" s="20">
        <v>1194</v>
      </c>
      <c r="K18" s="20">
        <v>1180</v>
      </c>
      <c r="L18" s="21"/>
      <c r="M18" s="21">
        <v>1207</v>
      </c>
      <c r="N18" s="20"/>
      <c r="O18" s="20">
        <v>1180</v>
      </c>
      <c r="P18" s="21">
        <v>1204</v>
      </c>
      <c r="Q18" s="21">
        <v>1193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50948.9</v>
      </c>
      <c r="H19" s="21"/>
      <c r="I19" s="21">
        <v>51839.9</v>
      </c>
      <c r="J19" s="20">
        <v>49909.599999999999</v>
      </c>
      <c r="K19" s="20">
        <v>49900.6</v>
      </c>
      <c r="L19" s="21"/>
      <c r="M19" s="21">
        <v>52361.2</v>
      </c>
      <c r="N19" s="20"/>
      <c r="O19" s="20">
        <v>51518.8</v>
      </c>
      <c r="P19" s="21">
        <v>51210.3</v>
      </c>
      <c r="Q19" s="21">
        <v>51201.3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58.1</v>
      </c>
      <c r="H22" s="21"/>
      <c r="I22" s="21">
        <v>59.3</v>
      </c>
      <c r="J22" s="20">
        <v>57.6</v>
      </c>
      <c r="K22" s="20">
        <v>57.5</v>
      </c>
      <c r="L22" s="21"/>
      <c r="M22" s="21">
        <v>57.5</v>
      </c>
      <c r="N22" s="20"/>
      <c r="O22" s="20">
        <v>58.5</v>
      </c>
      <c r="P22" s="21">
        <v>59.1</v>
      </c>
      <c r="Q22" s="21">
        <v>59.2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0.49</v>
      </c>
      <c r="J23" s="20">
        <v>0.59</v>
      </c>
      <c r="K23" s="20">
        <v>0.59</v>
      </c>
      <c r="L23" s="21"/>
      <c r="M23" s="21">
        <v>0.52</v>
      </c>
      <c r="N23" s="20"/>
      <c r="O23" s="20">
        <v>0.48</v>
      </c>
      <c r="P23" s="21">
        <v>0.5</v>
      </c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44.9</v>
      </c>
      <c r="H25" s="21"/>
      <c r="I25" s="21">
        <v>45</v>
      </c>
      <c r="J25" s="20">
        <v>45</v>
      </c>
      <c r="K25" s="20">
        <v>44.9</v>
      </c>
      <c r="L25" s="21"/>
      <c r="M25" s="21">
        <v>44.8</v>
      </c>
      <c r="N25" s="20"/>
      <c r="O25" s="20">
        <v>45</v>
      </c>
      <c r="P25" s="21">
        <v>45.1</v>
      </c>
      <c r="Q25" s="21">
        <v>44.7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0.25</v>
      </c>
      <c r="K26" s="20">
        <v>0.22</v>
      </c>
      <c r="L26" s="21"/>
      <c r="M26" s="21">
        <v>0.22</v>
      </c>
      <c r="N26" s="20"/>
      <c r="O26" s="20">
        <v>0.22</v>
      </c>
      <c r="P26" s="21">
        <v>0.23</v>
      </c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3.6</v>
      </c>
      <c r="J27" s="20">
        <v>4.0999999999999996</v>
      </c>
      <c r="K27" s="20">
        <v>3.9</v>
      </c>
      <c r="L27" s="21"/>
      <c r="M27" s="21">
        <v>4.0999999999999996</v>
      </c>
      <c r="N27" s="20"/>
      <c r="O27" s="20">
        <v>4.3</v>
      </c>
      <c r="P27" s="21">
        <v>4.8</v>
      </c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/>
      <c r="I28" s="21">
        <v>2.7</v>
      </c>
      <c r="J28" s="20">
        <v>3.5</v>
      </c>
      <c r="K28" s="20">
        <v>3.3</v>
      </c>
      <c r="L28" s="21"/>
      <c r="M28" s="21">
        <v>2.9</v>
      </c>
      <c r="N28" s="20"/>
      <c r="O28" s="20">
        <v>3.2</v>
      </c>
      <c r="P28" s="21">
        <v>3.7</v>
      </c>
      <c r="Q28" s="21">
        <v>3.6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0.69999999999999973</v>
      </c>
      <c r="H29" s="27">
        <f t="shared" ref="H29:Q29" si="0">H32-H28</f>
        <v>0</v>
      </c>
      <c r="I29" s="27">
        <f t="shared" si="0"/>
        <v>2.5999999999999996</v>
      </c>
      <c r="J29" s="27">
        <f t="shared" si="0"/>
        <v>1</v>
      </c>
      <c r="K29" s="27">
        <f t="shared" si="0"/>
        <v>0.79999999999999982</v>
      </c>
      <c r="L29" s="27">
        <f>L32-L28</f>
        <v>0</v>
      </c>
      <c r="M29" s="27">
        <f>M32-M28</f>
        <v>1.4</v>
      </c>
      <c r="N29" s="27">
        <f>N32-N28</f>
        <v>0</v>
      </c>
      <c r="O29" s="27">
        <f>O32-O28</f>
        <v>1.3999999999999995</v>
      </c>
      <c r="P29" s="27">
        <f t="shared" si="0"/>
        <v>1.2000000000000002</v>
      </c>
      <c r="Q29" s="27">
        <f t="shared" si="0"/>
        <v>0.29999999999999982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634.70000000000005</v>
      </c>
      <c r="H30" s="21"/>
      <c r="I30" s="21">
        <v>640.4</v>
      </c>
      <c r="J30" s="20">
        <v>632.79999999999995</v>
      </c>
      <c r="K30" s="20">
        <v>631.87</v>
      </c>
      <c r="L30" s="21"/>
      <c r="M30" s="21">
        <v>640.20000000000005</v>
      </c>
      <c r="N30" s="20"/>
      <c r="O30" s="20">
        <v>636.79999999999995</v>
      </c>
      <c r="P30" s="21">
        <v>636.4</v>
      </c>
      <c r="Q30" s="21">
        <v>630.70000000000005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13.9</v>
      </c>
      <c r="H31" s="21"/>
      <c r="I31" s="21">
        <v>13.9</v>
      </c>
      <c r="J31" s="20">
        <v>13.4</v>
      </c>
      <c r="K31" s="20">
        <v>13.1</v>
      </c>
      <c r="L31" s="21"/>
      <c r="M31" s="21">
        <v>13.4</v>
      </c>
      <c r="N31" s="20"/>
      <c r="O31" s="20">
        <v>13.9</v>
      </c>
      <c r="P31" s="21">
        <v>13.7</v>
      </c>
      <c r="Q31" s="21">
        <v>13.4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4.5999999999999996</v>
      </c>
      <c r="H32" s="21"/>
      <c r="I32" s="21">
        <v>5.3</v>
      </c>
      <c r="J32" s="20">
        <v>4.5</v>
      </c>
      <c r="K32" s="20">
        <v>4.0999999999999996</v>
      </c>
      <c r="L32" s="21"/>
      <c r="M32" s="21">
        <v>4.3</v>
      </c>
      <c r="N32" s="20"/>
      <c r="O32" s="20">
        <v>4.5999999999999996</v>
      </c>
      <c r="P32" s="21">
        <v>4.9000000000000004</v>
      </c>
      <c r="Q32" s="21">
        <v>3.9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9.3000000000000007</v>
      </c>
      <c r="H33" s="27">
        <f t="shared" ref="H33:Q33" si="1">H31-H32</f>
        <v>0</v>
      </c>
      <c r="I33" s="27">
        <f t="shared" si="1"/>
        <v>8.6000000000000014</v>
      </c>
      <c r="J33" s="27">
        <f t="shared" si="1"/>
        <v>8.9</v>
      </c>
      <c r="K33" s="27">
        <f t="shared" si="1"/>
        <v>9</v>
      </c>
      <c r="L33" s="27">
        <f>L31-L32</f>
        <v>0</v>
      </c>
      <c r="M33" s="27">
        <f>M31-M32</f>
        <v>9.1000000000000014</v>
      </c>
      <c r="N33" s="27">
        <f>N31-N32</f>
        <v>0</v>
      </c>
      <c r="O33" s="27">
        <f>O31-O32</f>
        <v>9.3000000000000007</v>
      </c>
      <c r="P33" s="27">
        <f t="shared" si="1"/>
        <v>8.7999999999999989</v>
      </c>
      <c r="Q33" s="27">
        <f t="shared" si="1"/>
        <v>9.5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6816.0623556581995</v>
      </c>
      <c r="H34" s="28">
        <f t="shared" ref="H34:Q34" si="2">(H33*H30)/0.866</f>
        <v>0</v>
      </c>
      <c r="I34" s="28">
        <f t="shared" si="2"/>
        <v>6359.6304849884536</v>
      </c>
      <c r="J34" s="28">
        <f t="shared" si="2"/>
        <v>6503.3718244803695</v>
      </c>
      <c r="K34" s="28">
        <f t="shared" si="2"/>
        <v>6566.778290993072</v>
      </c>
      <c r="L34" s="28">
        <f>(L33*L30)/0.866</f>
        <v>0</v>
      </c>
      <c r="M34" s="28">
        <f>(M33*M30)/0.866</f>
        <v>6727.2748267898405</v>
      </c>
      <c r="N34" s="28">
        <f>(N33*N30)/0.866</f>
        <v>0</v>
      </c>
      <c r="O34" s="28">
        <f>(O33*O30)/0.866</f>
        <v>6838.6143187066973</v>
      </c>
      <c r="P34" s="28">
        <f t="shared" si="2"/>
        <v>6466.8822170900676</v>
      </c>
      <c r="Q34" s="28">
        <f t="shared" si="2"/>
        <v>6918.7644341801397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/>
      <c r="I35" s="21">
        <v>0.84</v>
      </c>
      <c r="J35" s="20">
        <v>0.85</v>
      </c>
      <c r="K35" s="20">
        <v>0.83</v>
      </c>
      <c r="L35" s="21"/>
      <c r="M35" s="21">
        <v>0.82</v>
      </c>
      <c r="N35" s="20"/>
      <c r="O35" s="20">
        <v>0.81</v>
      </c>
      <c r="P35" s="21">
        <v>0.85</v>
      </c>
      <c r="Q35" s="21">
        <v>0.83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35.9</v>
      </c>
      <c r="H36" s="21"/>
      <c r="I36" s="21">
        <v>36.4</v>
      </c>
      <c r="J36" s="20">
        <v>37</v>
      </c>
      <c r="K36" s="20">
        <v>36.200000000000003</v>
      </c>
      <c r="L36" s="21"/>
      <c r="M36" s="21">
        <v>36.299999999999997</v>
      </c>
      <c r="N36" s="20"/>
      <c r="O36" s="20">
        <v>35.299999999999997</v>
      </c>
      <c r="P36" s="21">
        <v>36.799999999999997</v>
      </c>
      <c r="Q36" s="21">
        <v>36.200000000000003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36.4</v>
      </c>
      <c r="H37" s="21"/>
      <c r="I37" s="21">
        <v>37.299999999999997</v>
      </c>
      <c r="J37" s="20">
        <v>37.700000000000003</v>
      </c>
      <c r="K37" s="20">
        <v>36.9</v>
      </c>
      <c r="L37" s="21"/>
      <c r="M37" s="21">
        <v>36.700000000000003</v>
      </c>
      <c r="N37" s="20"/>
      <c r="O37" s="20">
        <v>35.799999999999997</v>
      </c>
      <c r="P37" s="21">
        <v>37.700000000000003</v>
      </c>
      <c r="Q37" s="21">
        <v>36.799999999999997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1.6999999999999957</v>
      </c>
      <c r="H38" s="27">
        <f>H37-H41</f>
        <v>0</v>
      </c>
      <c r="I38" s="27">
        <f>I37-I41</f>
        <v>3.2999999999999972</v>
      </c>
      <c r="J38" s="27">
        <f t="shared" ref="J38:Q38" si="3">J37-J41</f>
        <v>2.8000000000000043</v>
      </c>
      <c r="K38" s="27">
        <f t="shared" si="3"/>
        <v>2.1000000000000014</v>
      </c>
      <c r="L38" s="27">
        <f>L37-L41</f>
        <v>0</v>
      </c>
      <c r="M38" s="27">
        <f>M37-M41</f>
        <v>2.2000000000000028</v>
      </c>
      <c r="N38" s="27">
        <f>N37-N41</f>
        <v>0</v>
      </c>
      <c r="O38" s="27">
        <f>O37-O41</f>
        <v>1.5999999999999943</v>
      </c>
      <c r="P38" s="27">
        <f t="shared" si="3"/>
        <v>2.9000000000000057</v>
      </c>
      <c r="Q38" s="27">
        <f t="shared" si="3"/>
        <v>2.3999999999999986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29.4</v>
      </c>
      <c r="H40" s="21"/>
      <c r="I40" s="21">
        <v>29.3</v>
      </c>
      <c r="J40" s="20">
        <v>29.5</v>
      </c>
      <c r="K40" s="20">
        <v>29.3</v>
      </c>
      <c r="L40" s="21"/>
      <c r="M40" s="21">
        <v>29.1</v>
      </c>
      <c r="N40" s="20"/>
      <c r="O40" s="20">
        <v>29</v>
      </c>
      <c r="P40" s="21">
        <v>29.7</v>
      </c>
      <c r="Q40" s="21">
        <v>29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34.700000000000003</v>
      </c>
      <c r="H41" s="21"/>
      <c r="I41" s="21">
        <v>34</v>
      </c>
      <c r="J41" s="20">
        <v>34.9</v>
      </c>
      <c r="K41" s="20">
        <v>34.799999999999997</v>
      </c>
      <c r="L41" s="21"/>
      <c r="M41" s="21">
        <v>34.5</v>
      </c>
      <c r="N41" s="20"/>
      <c r="O41" s="20">
        <v>34.200000000000003</v>
      </c>
      <c r="P41" s="21">
        <v>34.799999999999997</v>
      </c>
      <c r="Q41" s="21">
        <v>34.4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5.3000000000000043</v>
      </c>
      <c r="H42" s="27">
        <f t="shared" ref="H42:P42" si="4">H41-H40</f>
        <v>0</v>
      </c>
      <c r="I42" s="27">
        <f t="shared" si="4"/>
        <v>4.6999999999999993</v>
      </c>
      <c r="J42" s="27">
        <f t="shared" si="4"/>
        <v>5.3999999999999986</v>
      </c>
      <c r="K42" s="27">
        <f t="shared" si="4"/>
        <v>5.4999999999999964</v>
      </c>
      <c r="L42" s="27">
        <f>L41-L40</f>
        <v>0</v>
      </c>
      <c r="M42" s="27">
        <f>M41-M40</f>
        <v>5.3999999999999986</v>
      </c>
      <c r="N42" s="27">
        <f>N41-N40</f>
        <v>0</v>
      </c>
      <c r="O42" s="27">
        <f>O41-O40</f>
        <v>5.2000000000000028</v>
      </c>
      <c r="P42" s="27">
        <f t="shared" si="4"/>
        <v>5.0999999999999979</v>
      </c>
      <c r="Q42" s="27">
        <f>Q41-Q40</f>
        <v>5.3999999999999986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1298.8</v>
      </c>
      <c r="H43" s="21"/>
      <c r="I43" s="21">
        <v>1297.0999999999999</v>
      </c>
      <c r="J43" s="20">
        <v>1292.6199999999999</v>
      </c>
      <c r="K43" s="20">
        <v>1295</v>
      </c>
      <c r="L43" s="21"/>
      <c r="M43" s="20">
        <v>1301.4000000000001</v>
      </c>
      <c r="N43" s="20"/>
      <c r="O43" s="20">
        <v>1293.9000000000001</v>
      </c>
      <c r="P43" s="21">
        <v>1298.08</v>
      </c>
      <c r="Q43" s="21">
        <v>1298.3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7948.7759815242553</v>
      </c>
      <c r="H44" s="28">
        <f t="shared" ref="H44:Q44" si="5">H42*H43/0.866</f>
        <v>0</v>
      </c>
      <c r="I44" s="28">
        <f t="shared" si="5"/>
        <v>7039.688221709006</v>
      </c>
      <c r="J44" s="28">
        <f t="shared" si="5"/>
        <v>8060.2170900692809</v>
      </c>
      <c r="K44" s="28">
        <f t="shared" si="5"/>
        <v>8224.5958429561142</v>
      </c>
      <c r="L44" s="28">
        <f>L42*L43/0.866</f>
        <v>0</v>
      </c>
      <c r="M44" s="28">
        <f>M42*M43/0.866</f>
        <v>8114.965357967666</v>
      </c>
      <c r="N44" s="28">
        <f>N42*N43/0.866</f>
        <v>0</v>
      </c>
      <c r="O44" s="28">
        <f>O42*O43/0.866</f>
        <v>7769.3764434180193</v>
      </c>
      <c r="P44" s="28">
        <f t="shared" si="5"/>
        <v>7644.5819861431837</v>
      </c>
      <c r="Q44" s="28">
        <f t="shared" si="5"/>
        <v>8095.6351039260944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0.47</v>
      </c>
      <c r="K45" s="20">
        <v>0.46</v>
      </c>
      <c r="L45" s="21"/>
      <c r="M45" s="21">
        <v>0.46</v>
      </c>
      <c r="N45" s="20"/>
      <c r="O45" s="20">
        <v>0.46</v>
      </c>
      <c r="P45" s="21">
        <v>0.47</v>
      </c>
      <c r="Q45" s="21">
        <v>0.47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</v>
      </c>
      <c r="H46" s="21"/>
      <c r="I46" s="21">
        <v>19.399999999999999</v>
      </c>
      <c r="J46" s="20">
        <v>20</v>
      </c>
      <c r="K46" s="20">
        <v>19.8</v>
      </c>
      <c r="L46" s="21"/>
      <c r="M46" s="21">
        <v>19.5</v>
      </c>
      <c r="N46" s="20"/>
      <c r="O46" s="20">
        <v>19.600000000000001</v>
      </c>
      <c r="P46" s="21">
        <v>20.3</v>
      </c>
      <c r="Q46" s="21">
        <v>20.100000000000001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200.5</v>
      </c>
      <c r="H47" s="21"/>
      <c r="I47" s="21">
        <v>121.3</v>
      </c>
      <c r="J47" s="20">
        <v>201.6</v>
      </c>
      <c r="K47" s="20">
        <v>202.4</v>
      </c>
      <c r="L47" s="21"/>
      <c r="M47" s="21">
        <v>208.8</v>
      </c>
      <c r="N47" s="20"/>
      <c r="O47" s="20">
        <v>170.6</v>
      </c>
      <c r="P47" s="21">
        <v>198.1</v>
      </c>
      <c r="Q47" s="21">
        <v>204.1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83">
        <v>5.89</v>
      </c>
      <c r="F49" s="20"/>
      <c r="G49" s="20">
        <v>6.09</v>
      </c>
      <c r="H49" s="21"/>
      <c r="I49" s="21">
        <v>5.66</v>
      </c>
      <c r="J49" s="20">
        <v>5.63</v>
      </c>
      <c r="K49" s="20">
        <v>5.77</v>
      </c>
      <c r="L49" s="21"/>
      <c r="M49" s="21">
        <v>5.68</v>
      </c>
      <c r="N49" s="20"/>
      <c r="O49" s="20">
        <v>5.87</v>
      </c>
      <c r="P49" s="21">
        <v>5.27</v>
      </c>
      <c r="Q49" s="21">
        <v>5.37</v>
      </c>
    </row>
    <row r="50" spans="2:17" ht="20.100000000000001" customHeight="1">
      <c r="B50" s="94" t="s">
        <v>91</v>
      </c>
      <c r="C50" s="94"/>
      <c r="D50" s="94"/>
      <c r="E50" s="8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8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0" zoomScaleNormal="60" zoomScaleSheetLayoutView="80" workbookViewId="0">
      <selection activeCell="P19" sqref="P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45834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85" t="s">
        <v>18</v>
      </c>
      <c r="E10" s="15"/>
      <c r="F10" s="16" t="s">
        <v>19</v>
      </c>
      <c r="G10" s="17" t="s">
        <v>19</v>
      </c>
      <c r="H10" s="18"/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 t="s">
        <v>19</v>
      </c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74.3</v>
      </c>
      <c r="G11" s="20">
        <v>70</v>
      </c>
      <c r="H11" s="21"/>
      <c r="I11" s="21">
        <v>81</v>
      </c>
      <c r="J11" s="20"/>
      <c r="K11" s="20">
        <v>73.2</v>
      </c>
      <c r="L11" s="21"/>
      <c r="M11" s="21">
        <v>73.5</v>
      </c>
      <c r="N11" s="20"/>
      <c r="O11" s="20">
        <v>74.599999999999994</v>
      </c>
      <c r="P11" s="21">
        <v>70.3</v>
      </c>
      <c r="Q11" s="21">
        <v>73.099999999999994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0.6</v>
      </c>
      <c r="G12" s="20">
        <v>0.6</v>
      </c>
      <c r="H12" s="21"/>
      <c r="I12" s="21">
        <v>0</v>
      </c>
      <c r="J12" s="20"/>
      <c r="K12" s="20">
        <v>0</v>
      </c>
      <c r="L12" s="21"/>
      <c r="M12" s="21">
        <v>0.1</v>
      </c>
      <c r="N12" s="20"/>
      <c r="O12" s="20">
        <v>0</v>
      </c>
      <c r="P12" s="21">
        <v>0</v>
      </c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68.900000000000006</v>
      </c>
      <c r="G13" s="20">
        <v>64</v>
      </c>
      <c r="H13" s="21"/>
      <c r="I13" s="21">
        <v>77</v>
      </c>
      <c r="J13" s="20"/>
      <c r="K13" s="20">
        <v>69.8</v>
      </c>
      <c r="L13" s="21"/>
      <c r="M13" s="21">
        <v>71.3</v>
      </c>
      <c r="N13" s="20"/>
      <c r="O13" s="20">
        <v>70.2</v>
      </c>
      <c r="P13" s="21">
        <v>66.900000000000006</v>
      </c>
      <c r="Q13" s="21">
        <v>69.7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69.8</v>
      </c>
      <c r="G14" s="20">
        <v>70</v>
      </c>
      <c r="H14" s="21"/>
      <c r="I14" s="21">
        <v>70.7</v>
      </c>
      <c r="J14" s="20"/>
      <c r="K14" s="20">
        <v>64.7</v>
      </c>
      <c r="L14" s="21"/>
      <c r="M14" s="21">
        <v>68</v>
      </c>
      <c r="N14" s="20"/>
      <c r="O14" s="20">
        <v>74.599999999999994</v>
      </c>
      <c r="P14" s="21">
        <v>74.8</v>
      </c>
      <c r="Q14" s="21">
        <v>67.900000000000006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39</v>
      </c>
      <c r="G15" s="20">
        <v>37.200000000000003</v>
      </c>
      <c r="H15" s="21"/>
      <c r="I15" s="21">
        <v>53</v>
      </c>
      <c r="J15" s="20"/>
      <c r="K15" s="20">
        <v>38.200000000000003</v>
      </c>
      <c r="L15" s="21"/>
      <c r="M15" s="21">
        <v>36.5</v>
      </c>
      <c r="N15" s="20"/>
      <c r="O15" s="20">
        <v>54.6</v>
      </c>
      <c r="P15" s="21">
        <v>35.700000000000003</v>
      </c>
      <c r="Q15" s="21">
        <v>35.4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 t="s">
        <v>103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/>
      <c r="O16" s="20">
        <v>6.6</v>
      </c>
      <c r="P16" s="21">
        <v>6.6</v>
      </c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119.8</v>
      </c>
      <c r="G17" s="20">
        <v>114.5</v>
      </c>
      <c r="H17" s="21"/>
      <c r="I17" s="21">
        <v>117.3</v>
      </c>
      <c r="J17" s="20"/>
      <c r="K17" s="20">
        <v>114.7</v>
      </c>
      <c r="L17" s="21"/>
      <c r="M17" s="21">
        <v>115.8</v>
      </c>
      <c r="N17" s="20"/>
      <c r="O17" s="20">
        <v>116.3</v>
      </c>
      <c r="P17" s="21">
        <v>118.1</v>
      </c>
      <c r="Q17" s="21">
        <v>114.8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1155</v>
      </c>
      <c r="G18" s="20">
        <v>1128</v>
      </c>
      <c r="H18" s="21"/>
      <c r="I18" s="21">
        <v>1200</v>
      </c>
      <c r="J18" s="20"/>
      <c r="K18" s="20">
        <v>1181</v>
      </c>
      <c r="L18" s="21"/>
      <c r="M18" s="21">
        <v>1189</v>
      </c>
      <c r="N18" s="20"/>
      <c r="O18" s="20">
        <v>1194</v>
      </c>
      <c r="P18" s="21">
        <v>1190</v>
      </c>
      <c r="Q18" s="21">
        <v>1172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50967.3</v>
      </c>
      <c r="G19" s="20">
        <v>50958.7</v>
      </c>
      <c r="H19" s="21"/>
      <c r="I19" s="21">
        <v>51849.8</v>
      </c>
      <c r="J19" s="20"/>
      <c r="K19" s="20">
        <v>49920</v>
      </c>
      <c r="L19" s="21"/>
      <c r="M19" s="21">
        <v>52371.3</v>
      </c>
      <c r="N19" s="20"/>
      <c r="O19" s="20">
        <v>51529</v>
      </c>
      <c r="P19" s="21">
        <v>51234.3</v>
      </c>
      <c r="Q19" s="21">
        <v>51226.7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 t="s">
        <v>104</v>
      </c>
      <c r="G22" s="20">
        <v>58.1</v>
      </c>
      <c r="H22" s="21"/>
      <c r="I22" s="21">
        <v>59.4</v>
      </c>
      <c r="J22" s="20"/>
      <c r="K22" s="20">
        <v>57.8</v>
      </c>
      <c r="L22" s="21"/>
      <c r="M22" s="21">
        <v>57.4</v>
      </c>
      <c r="N22" s="20"/>
      <c r="O22" s="20">
        <v>58.7</v>
      </c>
      <c r="P22" s="21">
        <v>59.2</v>
      </c>
      <c r="Q22" s="21">
        <v>58.7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/>
      <c r="O23" s="20">
        <v>0.49</v>
      </c>
      <c r="P23" s="21">
        <v>0.5</v>
      </c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45.2</v>
      </c>
      <c r="G25" s="20">
        <v>45.1</v>
      </c>
      <c r="H25" s="21"/>
      <c r="I25" s="21">
        <v>44.8</v>
      </c>
      <c r="J25" s="20"/>
      <c r="K25" s="20">
        <v>45</v>
      </c>
      <c r="L25" s="21"/>
      <c r="M25" s="21">
        <v>45</v>
      </c>
      <c r="N25" s="20"/>
      <c r="O25" s="20">
        <v>44.9</v>
      </c>
      <c r="P25" s="21">
        <v>45.2</v>
      </c>
      <c r="Q25" s="21">
        <v>45.1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0.82</v>
      </c>
      <c r="G26" s="20">
        <v>0.23</v>
      </c>
      <c r="H26" s="21"/>
      <c r="I26" s="21">
        <v>0.21</v>
      </c>
      <c r="J26" s="20"/>
      <c r="K26" s="20">
        <v>0.22</v>
      </c>
      <c r="L26" s="21"/>
      <c r="M26" s="21">
        <v>0.22</v>
      </c>
      <c r="N26" s="20"/>
      <c r="O26" s="20">
        <v>0.22</v>
      </c>
      <c r="P26" s="21">
        <v>0.24</v>
      </c>
      <c r="Q26" s="21">
        <v>0.22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3.9</v>
      </c>
      <c r="G27" s="20">
        <v>4.2</v>
      </c>
      <c r="H27" s="21"/>
      <c r="I27" s="21">
        <v>3.4</v>
      </c>
      <c r="J27" s="20"/>
      <c r="K27" s="20">
        <v>4.0999999999999996</v>
      </c>
      <c r="L27" s="21"/>
      <c r="M27" s="21">
        <v>4.0999999999999996</v>
      </c>
      <c r="N27" s="20"/>
      <c r="O27" s="20">
        <v>4.4000000000000004</v>
      </c>
      <c r="P27" s="21">
        <v>5.2</v>
      </c>
      <c r="Q27" s="21">
        <v>3.9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3.4</v>
      </c>
      <c r="G28" s="20">
        <v>3.6</v>
      </c>
      <c r="H28" s="21"/>
      <c r="I28" s="21">
        <v>2.4</v>
      </c>
      <c r="J28" s="20"/>
      <c r="K28" s="20">
        <v>3.3</v>
      </c>
      <c r="L28" s="21"/>
      <c r="M28" s="21">
        <v>3</v>
      </c>
      <c r="N28" s="20"/>
      <c r="O28" s="20">
        <v>3.5</v>
      </c>
      <c r="P28" s="21">
        <v>4.4000000000000004</v>
      </c>
      <c r="Q28" s="21">
        <v>2.9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1.9</v>
      </c>
      <c r="G29" s="27">
        <f>G32-G28</f>
        <v>0.99999999999999956</v>
      </c>
      <c r="H29" s="27">
        <f t="shared" ref="H29:Q29" si="0">H32-H28</f>
        <v>0</v>
      </c>
      <c r="I29" s="27">
        <f t="shared" si="0"/>
        <v>2.6999999999999997</v>
      </c>
      <c r="J29" s="27">
        <f t="shared" si="0"/>
        <v>0</v>
      </c>
      <c r="K29" s="27">
        <f t="shared" si="0"/>
        <v>0.70000000000000018</v>
      </c>
      <c r="L29" s="27">
        <f>L32-L28</f>
        <v>0</v>
      </c>
      <c r="M29" s="27">
        <f>M32-M28</f>
        <v>1.2999999999999998</v>
      </c>
      <c r="N29" s="27">
        <f>N32-N28</f>
        <v>0</v>
      </c>
      <c r="O29" s="27">
        <f>O32-O28</f>
        <v>1.0999999999999996</v>
      </c>
      <c r="P29" s="27">
        <f t="shared" si="0"/>
        <v>1.1999999999999993</v>
      </c>
      <c r="Q29" s="27">
        <f t="shared" si="0"/>
        <v>0.89999999999999991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694.8</v>
      </c>
      <c r="G30" s="20">
        <v>640.6</v>
      </c>
      <c r="H30" s="21"/>
      <c r="I30" s="21">
        <v>659.1</v>
      </c>
      <c r="J30" s="20"/>
      <c r="K30" s="20">
        <v>642.9</v>
      </c>
      <c r="L30" s="21"/>
      <c r="M30" s="21">
        <v>639.5</v>
      </c>
      <c r="N30" s="20"/>
      <c r="O30" s="20">
        <v>639.70000000000005</v>
      </c>
      <c r="P30" s="21">
        <v>681.9</v>
      </c>
      <c r="Q30" s="21">
        <v>634.4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13.5</v>
      </c>
      <c r="G31" s="20">
        <v>14</v>
      </c>
      <c r="H31" s="21"/>
      <c r="I31" s="21">
        <v>13.8</v>
      </c>
      <c r="J31" s="20"/>
      <c r="K31" s="20">
        <v>13.1</v>
      </c>
      <c r="L31" s="21"/>
      <c r="M31" s="21">
        <v>13.6</v>
      </c>
      <c r="N31" s="20"/>
      <c r="O31" s="20">
        <v>13.8</v>
      </c>
      <c r="P31" s="21">
        <v>13.9</v>
      </c>
      <c r="Q31" s="21">
        <v>12.7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5.3</v>
      </c>
      <c r="G32" s="20">
        <v>4.5999999999999996</v>
      </c>
      <c r="H32" s="21"/>
      <c r="I32" s="21">
        <v>5.0999999999999996</v>
      </c>
      <c r="J32" s="20"/>
      <c r="K32" s="20">
        <v>4</v>
      </c>
      <c r="L32" s="21"/>
      <c r="M32" s="21">
        <v>4.3</v>
      </c>
      <c r="N32" s="20"/>
      <c r="O32" s="20">
        <v>4.5999999999999996</v>
      </c>
      <c r="P32" s="21">
        <v>5.6</v>
      </c>
      <c r="Q32" s="21">
        <v>3.8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8.1999999999999993</v>
      </c>
      <c r="G33" s="27">
        <f>G31-G32</f>
        <v>9.4</v>
      </c>
      <c r="H33" s="27">
        <f t="shared" ref="H33:Q33" si="1">H31-H32</f>
        <v>0</v>
      </c>
      <c r="I33" s="27">
        <f t="shared" si="1"/>
        <v>8.7000000000000011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9.3000000000000007</v>
      </c>
      <c r="N33" s="27">
        <f>N31-N32</f>
        <v>0</v>
      </c>
      <c r="O33" s="27">
        <f>O31-O32</f>
        <v>9.2000000000000011</v>
      </c>
      <c r="P33" s="27">
        <f t="shared" si="1"/>
        <v>8.3000000000000007</v>
      </c>
      <c r="Q33" s="27">
        <f t="shared" si="1"/>
        <v>8.8999999999999986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6578.9376443417996</v>
      </c>
      <c r="G34" s="28">
        <f>(G33*G30)/0.866</f>
        <v>6953.3949191685915</v>
      </c>
      <c r="H34" s="28">
        <f t="shared" ref="H34:Q34" si="2">(H33*H30)/0.866</f>
        <v>0</v>
      </c>
      <c r="I34" s="28">
        <f t="shared" si="2"/>
        <v>6621.4434180138578</v>
      </c>
      <c r="J34" s="28">
        <f t="shared" si="2"/>
        <v>0</v>
      </c>
      <c r="K34" s="28">
        <f t="shared" si="2"/>
        <v>6755.6466512702073</v>
      </c>
      <c r="L34" s="28">
        <f>(L33*L30)/0.866</f>
        <v>0</v>
      </c>
      <c r="M34" s="28">
        <f>(M33*M30)/0.866</f>
        <v>6867.6096997690538</v>
      </c>
      <c r="N34" s="28">
        <f>(N33*N30)/0.866</f>
        <v>0</v>
      </c>
      <c r="O34" s="28">
        <f>(O33*O30)/0.866</f>
        <v>6795.8891454965369</v>
      </c>
      <c r="P34" s="28">
        <f t="shared" si="2"/>
        <v>6535.5311778290998</v>
      </c>
      <c r="Q34" s="28">
        <f t="shared" si="2"/>
        <v>6519.8152424942255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0.82</v>
      </c>
      <c r="G35" s="20">
        <v>0.82</v>
      </c>
      <c r="H35" s="21"/>
      <c r="I35" s="21">
        <v>0.83</v>
      </c>
      <c r="J35" s="20"/>
      <c r="K35" s="20">
        <v>0.82</v>
      </c>
      <c r="L35" s="21"/>
      <c r="M35" s="21">
        <v>0.82</v>
      </c>
      <c r="N35" s="20"/>
      <c r="O35" s="20">
        <v>0.82</v>
      </c>
      <c r="P35" s="21">
        <v>0.83</v>
      </c>
      <c r="Q35" s="21">
        <v>0.82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35.9</v>
      </c>
      <c r="G36" s="20">
        <v>35.4</v>
      </c>
      <c r="H36" s="21"/>
      <c r="I36" s="21">
        <v>36.1</v>
      </c>
      <c r="J36" s="20"/>
      <c r="K36" s="20">
        <v>35.799999999999997</v>
      </c>
      <c r="L36" s="21"/>
      <c r="M36" s="21">
        <v>35.9</v>
      </c>
      <c r="N36" s="20"/>
      <c r="O36" s="20">
        <v>35.200000000000003</v>
      </c>
      <c r="P36" s="21">
        <v>35.799999999999997</v>
      </c>
      <c r="Q36" s="21">
        <v>35.299999999999997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36.4</v>
      </c>
      <c r="G37" s="20">
        <v>36</v>
      </c>
      <c r="H37" s="21"/>
      <c r="I37" s="21">
        <v>37</v>
      </c>
      <c r="J37" s="20"/>
      <c r="K37" s="20">
        <v>36.5</v>
      </c>
      <c r="L37" s="21"/>
      <c r="M37" s="21">
        <v>36.4</v>
      </c>
      <c r="N37" s="20"/>
      <c r="O37" s="20">
        <v>35.6</v>
      </c>
      <c r="P37" s="21">
        <v>36.9</v>
      </c>
      <c r="Q37" s="21">
        <v>36.4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1.6999999999999957</v>
      </c>
      <c r="G38" s="27">
        <f>G37-G41</f>
        <v>1.7000000000000028</v>
      </c>
      <c r="H38" s="27">
        <f>H37-H41</f>
        <v>0</v>
      </c>
      <c r="I38" s="27">
        <f>I37-I41</f>
        <v>3.1000000000000014</v>
      </c>
      <c r="J38" s="27">
        <f t="shared" ref="J38:Q38" si="3">J37-J41</f>
        <v>0</v>
      </c>
      <c r="K38" s="27">
        <f t="shared" si="3"/>
        <v>2.1000000000000014</v>
      </c>
      <c r="L38" s="27">
        <f>L37-L41</f>
        <v>0</v>
      </c>
      <c r="M38" s="27">
        <f>M37-M41</f>
        <v>2.3999999999999986</v>
      </c>
      <c r="N38" s="27">
        <f>N37-N41</f>
        <v>0</v>
      </c>
      <c r="O38" s="27">
        <f>O37-O41</f>
        <v>1.5</v>
      </c>
      <c r="P38" s="27">
        <f t="shared" si="3"/>
        <v>2.5</v>
      </c>
      <c r="Q38" s="27">
        <f t="shared" si="3"/>
        <v>2.5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29.2</v>
      </c>
      <c r="G40" s="20">
        <v>29</v>
      </c>
      <c r="H40" s="21"/>
      <c r="I40" s="21">
        <v>28.8</v>
      </c>
      <c r="J40" s="20"/>
      <c r="K40" s="20">
        <v>29</v>
      </c>
      <c r="L40" s="21"/>
      <c r="M40" s="21">
        <v>28.9</v>
      </c>
      <c r="N40" s="20"/>
      <c r="O40" s="20">
        <v>28.6</v>
      </c>
      <c r="P40" s="21">
        <v>28.9</v>
      </c>
      <c r="Q40" s="21">
        <v>28.7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34.700000000000003</v>
      </c>
      <c r="G41" s="20">
        <v>34.299999999999997</v>
      </c>
      <c r="H41" s="21"/>
      <c r="I41" s="21">
        <v>33.9</v>
      </c>
      <c r="J41" s="20"/>
      <c r="K41" s="20">
        <v>34.4</v>
      </c>
      <c r="L41" s="21"/>
      <c r="M41" s="21">
        <v>34</v>
      </c>
      <c r="N41" s="20"/>
      <c r="O41" s="20">
        <v>34.1</v>
      </c>
      <c r="P41" s="21">
        <v>34.4</v>
      </c>
      <c r="Q41" s="21">
        <v>33.9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5.5000000000000036</v>
      </c>
      <c r="G42" s="27">
        <f>G41-G40</f>
        <v>5.2999999999999972</v>
      </c>
      <c r="H42" s="27">
        <f t="shared" ref="H42:P42" si="4">H41-H40</f>
        <v>0</v>
      </c>
      <c r="I42" s="27">
        <f t="shared" si="4"/>
        <v>5.0999999999999979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5.1000000000000014</v>
      </c>
      <c r="N42" s="27">
        <f>N41-N40</f>
        <v>0</v>
      </c>
      <c r="O42" s="27">
        <f>O41-O40</f>
        <v>5.5</v>
      </c>
      <c r="P42" s="27">
        <f t="shared" si="4"/>
        <v>5.5</v>
      </c>
      <c r="Q42" s="27">
        <f>Q41-Q40</f>
        <v>5.1999999999999993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1261.0999999999999</v>
      </c>
      <c r="G43" s="20">
        <v>1295.7</v>
      </c>
      <c r="H43" s="21"/>
      <c r="I43" s="21">
        <v>1294.9000000000001</v>
      </c>
      <c r="J43" s="20"/>
      <c r="K43" s="20">
        <v>1299</v>
      </c>
      <c r="L43" s="21"/>
      <c r="M43" s="20">
        <v>1293.4000000000001</v>
      </c>
      <c r="N43" s="20"/>
      <c r="O43" s="20">
        <v>1291.9000000000001</v>
      </c>
      <c r="P43" s="21">
        <v>1294</v>
      </c>
      <c r="Q43" s="21">
        <v>1299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8009.2956120092422</v>
      </c>
      <c r="G44" s="28">
        <f>G42*G43/0.866</f>
        <v>7929.8036951501117</v>
      </c>
      <c r="H44" s="28">
        <f t="shared" ref="H44:Q44" si="5">H42*H43/0.866</f>
        <v>0</v>
      </c>
      <c r="I44" s="28">
        <f t="shared" si="5"/>
        <v>7625.8545034642011</v>
      </c>
      <c r="J44" s="28">
        <f t="shared" si="5"/>
        <v>0</v>
      </c>
      <c r="K44" s="28">
        <f t="shared" si="5"/>
        <v>8099.9999999999982</v>
      </c>
      <c r="L44" s="28">
        <f>L42*L43/0.866</f>
        <v>0</v>
      </c>
      <c r="M44" s="28">
        <f>M42*M43/0.866</f>
        <v>7617.0207852194017</v>
      </c>
      <c r="N44" s="28">
        <f>N42*N43/0.866</f>
        <v>0</v>
      </c>
      <c r="O44" s="28">
        <f>O42*O43/0.866</f>
        <v>8204.9076212471136</v>
      </c>
      <c r="P44" s="28">
        <f t="shared" si="5"/>
        <v>8218.24480369515</v>
      </c>
      <c r="Q44" s="28">
        <f t="shared" si="5"/>
        <v>7799.9999999999991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0.46</v>
      </c>
      <c r="G45" s="20">
        <v>0.45</v>
      </c>
      <c r="H45" s="21"/>
      <c r="I45" s="21">
        <v>0.46</v>
      </c>
      <c r="J45" s="20"/>
      <c r="K45" s="20">
        <v>0.46</v>
      </c>
      <c r="L45" s="21"/>
      <c r="M45" s="21">
        <v>0.46</v>
      </c>
      <c r="N45" s="20"/>
      <c r="O45" s="20">
        <v>0.45</v>
      </c>
      <c r="P45" s="21">
        <v>0.48</v>
      </c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19.5</v>
      </c>
      <c r="G46" s="20">
        <v>19.7</v>
      </c>
      <c r="H46" s="21"/>
      <c r="I46" s="21">
        <v>19.100000000000001</v>
      </c>
      <c r="J46" s="20"/>
      <c r="K46" s="20">
        <v>19.5</v>
      </c>
      <c r="L46" s="21"/>
      <c r="M46" s="21">
        <v>19.600000000000001</v>
      </c>
      <c r="N46" s="20"/>
      <c r="O46" s="20">
        <v>19.2</v>
      </c>
      <c r="P46" s="21">
        <v>20.399999999999999</v>
      </c>
      <c r="Q46" s="21">
        <v>19.3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202.5</v>
      </c>
      <c r="G47" s="20">
        <v>205.8</v>
      </c>
      <c r="H47" s="21"/>
      <c r="I47" s="21">
        <v>127.3</v>
      </c>
      <c r="J47" s="20"/>
      <c r="K47" s="20">
        <v>199.3</v>
      </c>
      <c r="L47" s="21"/>
      <c r="M47" s="21">
        <v>205</v>
      </c>
      <c r="N47" s="20"/>
      <c r="O47" s="20">
        <v>156.80000000000001</v>
      </c>
      <c r="P47" s="21">
        <v>268.89999999999998</v>
      </c>
      <c r="Q47" s="21">
        <v>212.3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85">
        <v>5.89</v>
      </c>
      <c r="F49" s="20">
        <v>6</v>
      </c>
      <c r="G49" s="20">
        <v>6.1</v>
      </c>
      <c r="H49" s="21"/>
      <c r="I49" s="21">
        <v>5.38</v>
      </c>
      <c r="J49" s="20"/>
      <c r="K49" s="20">
        <v>5.69</v>
      </c>
      <c r="L49" s="21"/>
      <c r="M49" s="21">
        <v>5.86</v>
      </c>
      <c r="N49" s="20"/>
      <c r="O49" s="20">
        <v>5.73</v>
      </c>
      <c r="P49" s="21">
        <v>5.32</v>
      </c>
      <c r="Q49" s="21">
        <v>5.59</v>
      </c>
    </row>
    <row r="50" spans="2:17" ht="20.100000000000001" customHeight="1">
      <c r="B50" s="94" t="s">
        <v>91</v>
      </c>
      <c r="C50" s="94"/>
      <c r="D50" s="94"/>
      <c r="E50" s="85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84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0" zoomScaleNormal="60" zoomScaleSheetLayoutView="80" workbookViewId="0">
      <selection activeCell="Q19" sqref="Q19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45835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87" t="s">
        <v>18</v>
      </c>
      <c r="E10" s="15"/>
      <c r="F10" s="16"/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/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70.599999999999994</v>
      </c>
      <c r="H11" s="21"/>
      <c r="I11" s="21">
        <v>77.400000000000006</v>
      </c>
      <c r="J11" s="20">
        <v>75.2</v>
      </c>
      <c r="K11" s="20">
        <v>74.3</v>
      </c>
      <c r="L11" s="21">
        <v>76.3</v>
      </c>
      <c r="M11" s="21">
        <v>75.7</v>
      </c>
      <c r="N11" s="20"/>
      <c r="O11" s="20">
        <v>74.3</v>
      </c>
      <c r="P11" s="21"/>
      <c r="Q11" s="21">
        <v>73.8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0.6</v>
      </c>
      <c r="H12" s="21"/>
      <c r="I12" s="21">
        <v>0</v>
      </c>
      <c r="J12" s="20">
        <v>0</v>
      </c>
      <c r="K12" s="20">
        <v>0</v>
      </c>
      <c r="L12" s="21">
        <v>0</v>
      </c>
      <c r="M12" s="21">
        <v>0</v>
      </c>
      <c r="N12" s="20"/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63.9</v>
      </c>
      <c r="H13" s="21"/>
      <c r="I13" s="21">
        <v>72.099999999999994</v>
      </c>
      <c r="J13" s="20">
        <v>70.099999999999994</v>
      </c>
      <c r="K13" s="20">
        <v>68.400000000000006</v>
      </c>
      <c r="L13" s="21">
        <v>71.8</v>
      </c>
      <c r="M13" s="21">
        <v>72.400000000000006</v>
      </c>
      <c r="N13" s="20"/>
      <c r="O13" s="20">
        <v>69.2</v>
      </c>
      <c r="P13" s="21"/>
      <c r="Q13" s="21">
        <v>68.099999999999994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69.8</v>
      </c>
      <c r="H14" s="21"/>
      <c r="I14" s="21">
        <v>70.7</v>
      </c>
      <c r="J14" s="20">
        <v>64.599999999999994</v>
      </c>
      <c r="K14" s="20">
        <v>64.7</v>
      </c>
      <c r="L14" s="21">
        <v>67.2</v>
      </c>
      <c r="M14" s="21">
        <v>67.599999999999994</v>
      </c>
      <c r="N14" s="20"/>
      <c r="O14" s="20">
        <v>74.599999999999994</v>
      </c>
      <c r="P14" s="21"/>
      <c r="Q14" s="21">
        <v>73.5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37.9</v>
      </c>
      <c r="H15" s="21"/>
      <c r="I15" s="21">
        <v>49.4</v>
      </c>
      <c r="J15" s="20">
        <v>37.1</v>
      </c>
      <c r="K15" s="20">
        <v>36.1</v>
      </c>
      <c r="L15" s="21">
        <v>33.6</v>
      </c>
      <c r="M15" s="21">
        <v>33.4</v>
      </c>
      <c r="N15" s="20"/>
      <c r="O15" s="20">
        <v>53.6</v>
      </c>
      <c r="P15" s="21"/>
      <c r="Q15" s="21">
        <v>43.9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/>
      <c r="I16" s="21">
        <v>6.6</v>
      </c>
      <c r="J16" s="20">
        <v>6.6</v>
      </c>
      <c r="K16" s="20">
        <v>6.6</v>
      </c>
      <c r="L16" s="21">
        <v>6.6</v>
      </c>
      <c r="M16" s="21">
        <v>6.6</v>
      </c>
      <c r="N16" s="20"/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117.1</v>
      </c>
      <c r="H17" s="21"/>
      <c r="I17" s="21">
        <v>116.2</v>
      </c>
      <c r="J17" s="20">
        <v>117.7</v>
      </c>
      <c r="K17" s="20">
        <v>117.4</v>
      </c>
      <c r="L17" s="21">
        <v>118.5</v>
      </c>
      <c r="M17" s="21">
        <v>118.9</v>
      </c>
      <c r="N17" s="20"/>
      <c r="O17" s="20">
        <v>118.9</v>
      </c>
      <c r="P17" s="21"/>
      <c r="Q17" s="21">
        <v>119.3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1147</v>
      </c>
      <c r="H18" s="21"/>
      <c r="I18" s="21">
        <v>1175</v>
      </c>
      <c r="J18" s="20">
        <v>1189</v>
      </c>
      <c r="K18" s="20">
        <v>1176</v>
      </c>
      <c r="L18" s="21">
        <v>1204</v>
      </c>
      <c r="M18" s="21">
        <v>1204</v>
      </c>
      <c r="N18" s="20"/>
      <c r="O18" s="20">
        <v>1200</v>
      </c>
      <c r="P18" s="21"/>
      <c r="Q18" s="21">
        <v>1202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50980</v>
      </c>
      <c r="H19" s="21"/>
      <c r="I19" s="21">
        <v>51860</v>
      </c>
      <c r="J19" s="20">
        <v>49940.1</v>
      </c>
      <c r="K19" s="20">
        <v>49930</v>
      </c>
      <c r="L19" s="21">
        <v>52391.7</v>
      </c>
      <c r="M19" s="21">
        <v>52381.5</v>
      </c>
      <c r="N19" s="20"/>
      <c r="O19" s="20">
        <v>51539</v>
      </c>
      <c r="P19" s="21"/>
      <c r="Q19" s="21">
        <v>51250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58</v>
      </c>
      <c r="H22" s="21"/>
      <c r="I22" s="21">
        <v>59.2</v>
      </c>
      <c r="J22" s="20">
        <v>57.7</v>
      </c>
      <c r="K22" s="20">
        <v>57.6</v>
      </c>
      <c r="L22" s="21">
        <v>57.5</v>
      </c>
      <c r="M22" s="21">
        <v>57.5</v>
      </c>
      <c r="N22" s="20"/>
      <c r="O22" s="20">
        <v>58.7</v>
      </c>
      <c r="P22" s="21"/>
      <c r="Q22" s="21">
        <v>59.3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0.53</v>
      </c>
      <c r="H23" s="21"/>
      <c r="I23" s="21">
        <v>0.5</v>
      </c>
      <c r="J23" s="20">
        <v>0.59</v>
      </c>
      <c r="K23" s="20">
        <v>0.59</v>
      </c>
      <c r="L23" s="21">
        <v>0.52</v>
      </c>
      <c r="M23" s="21">
        <v>0.52</v>
      </c>
      <c r="N23" s="20"/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45.1</v>
      </c>
      <c r="H25" s="21"/>
      <c r="I25" s="21">
        <v>45</v>
      </c>
      <c r="J25" s="20">
        <v>45.1</v>
      </c>
      <c r="K25" s="20">
        <v>44.9</v>
      </c>
      <c r="L25" s="21">
        <v>44.9</v>
      </c>
      <c r="M25" s="21">
        <v>45</v>
      </c>
      <c r="N25" s="20"/>
      <c r="O25" s="20">
        <v>44.9</v>
      </c>
      <c r="P25" s="21"/>
      <c r="Q25" s="21">
        <v>44.7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0.23</v>
      </c>
      <c r="H26" s="21"/>
      <c r="I26" s="21">
        <v>0.22</v>
      </c>
      <c r="J26" s="20">
        <v>0.23</v>
      </c>
      <c r="K26" s="20">
        <v>0.23</v>
      </c>
      <c r="L26" s="21">
        <v>0.22</v>
      </c>
      <c r="M26" s="21">
        <v>0.22</v>
      </c>
      <c r="N26" s="20"/>
      <c r="O26" s="20">
        <v>0.23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/>
      <c r="I27" s="21">
        <v>3.6</v>
      </c>
      <c r="J27" s="20">
        <v>4.0999999999999996</v>
      </c>
      <c r="K27" s="20">
        <v>3.9</v>
      </c>
      <c r="L27" s="21">
        <v>4.0999999999999996</v>
      </c>
      <c r="M27" s="21">
        <v>4.0999999999999996</v>
      </c>
      <c r="N27" s="20"/>
      <c r="O27" s="20">
        <v>4.4000000000000004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/>
      <c r="I28" s="21">
        <v>2.7</v>
      </c>
      <c r="J28" s="20">
        <v>3.4</v>
      </c>
      <c r="K28" s="20">
        <v>3.3</v>
      </c>
      <c r="L28" s="21">
        <v>3</v>
      </c>
      <c r="M28" s="21">
        <v>3</v>
      </c>
      <c r="N28" s="20"/>
      <c r="O28" s="20">
        <v>3.3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0.50000000000000044</v>
      </c>
      <c r="H29" s="27">
        <f t="shared" ref="H29:Q29" si="0">H32-H28</f>
        <v>0</v>
      </c>
      <c r="I29" s="27">
        <f t="shared" si="0"/>
        <v>2.2000000000000002</v>
      </c>
      <c r="J29" s="27">
        <f t="shared" si="0"/>
        <v>0.69999999999999973</v>
      </c>
      <c r="K29" s="27">
        <f t="shared" si="0"/>
        <v>1.2999999999999998</v>
      </c>
      <c r="L29" s="27">
        <f>L32-L28</f>
        <v>1.4000000000000004</v>
      </c>
      <c r="M29" s="27">
        <f>M32-M28</f>
        <v>1</v>
      </c>
      <c r="N29" s="27">
        <f>N32-N28</f>
        <v>0</v>
      </c>
      <c r="O29" s="27">
        <f>O32-O28</f>
        <v>1.1000000000000005</v>
      </c>
      <c r="P29" s="27">
        <f t="shared" si="0"/>
        <v>0</v>
      </c>
      <c r="Q29" s="27">
        <f t="shared" si="0"/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628.88</v>
      </c>
      <c r="H30" s="21"/>
      <c r="I30" s="21">
        <v>631.91999999999996</v>
      </c>
      <c r="J30" s="20">
        <v>636.82000000000005</v>
      </c>
      <c r="K30" s="20">
        <v>638</v>
      </c>
      <c r="L30" s="21">
        <v>638.29999999999995</v>
      </c>
      <c r="M30" s="21">
        <v>634.64</v>
      </c>
      <c r="N30" s="20"/>
      <c r="O30" s="20">
        <v>637.67999999999995</v>
      </c>
      <c r="P30" s="21"/>
      <c r="Q30" s="21">
        <v>646.72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/>
      <c r="I31" s="21">
        <v>13.5</v>
      </c>
      <c r="J31" s="20">
        <v>13.3</v>
      </c>
      <c r="K31" s="20">
        <v>13.4</v>
      </c>
      <c r="L31" s="21">
        <v>13.6</v>
      </c>
      <c r="M31" s="21">
        <v>13.5</v>
      </c>
      <c r="N31" s="20"/>
      <c r="O31" s="20">
        <v>13.4</v>
      </c>
      <c r="P31" s="21"/>
      <c r="Q31" s="21">
        <v>13.3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4.4000000000000004</v>
      </c>
      <c r="H32" s="21"/>
      <c r="I32" s="21">
        <v>4.9000000000000004</v>
      </c>
      <c r="J32" s="20">
        <v>4.0999999999999996</v>
      </c>
      <c r="K32" s="20">
        <v>4.5999999999999996</v>
      </c>
      <c r="L32" s="21">
        <v>4.4000000000000004</v>
      </c>
      <c r="M32" s="21">
        <v>4</v>
      </c>
      <c r="N32" s="20"/>
      <c r="O32" s="20">
        <v>4.4000000000000004</v>
      </c>
      <c r="P32" s="21"/>
      <c r="Q32" s="21">
        <v>4.7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9.1</v>
      </c>
      <c r="H33" s="27">
        <f t="shared" ref="H33:Q33" si="1">H31-H32</f>
        <v>0</v>
      </c>
      <c r="I33" s="27">
        <f t="shared" si="1"/>
        <v>8.6</v>
      </c>
      <c r="J33" s="27">
        <f t="shared" si="1"/>
        <v>9.2000000000000011</v>
      </c>
      <c r="K33" s="27">
        <f t="shared" si="1"/>
        <v>8.8000000000000007</v>
      </c>
      <c r="L33" s="27">
        <f>L31-L32</f>
        <v>9.1999999999999993</v>
      </c>
      <c r="M33" s="27">
        <f>M31-M32</f>
        <v>9.5</v>
      </c>
      <c r="N33" s="27">
        <f>N31-N32</f>
        <v>0</v>
      </c>
      <c r="O33" s="27">
        <f>O31-O32</f>
        <v>9</v>
      </c>
      <c r="P33" s="27">
        <f t="shared" si="1"/>
        <v>0</v>
      </c>
      <c r="Q33" s="27">
        <f t="shared" si="1"/>
        <v>8.6000000000000014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6608.3233256351041</v>
      </c>
      <c r="H34" s="28">
        <f t="shared" ref="H34:Q34" si="2">(H33*H30)/0.866</f>
        <v>0</v>
      </c>
      <c r="I34" s="28">
        <f t="shared" si="2"/>
        <v>6275.4180138568126</v>
      </c>
      <c r="J34" s="28">
        <f t="shared" si="2"/>
        <v>6765.2933025404172</v>
      </c>
      <c r="K34" s="28">
        <f t="shared" si="2"/>
        <v>6483.1408775981536</v>
      </c>
      <c r="L34" s="28">
        <f>(L33*L30)/0.866</f>
        <v>6781.0161662817536</v>
      </c>
      <c r="M34" s="28">
        <f>(M33*M30)/0.866</f>
        <v>6961.9861431870668</v>
      </c>
      <c r="N34" s="28">
        <f>(N33*N30)/0.866</f>
        <v>0</v>
      </c>
      <c r="O34" s="28">
        <f>(O33*O30)/0.866</f>
        <v>6627.1593533487294</v>
      </c>
      <c r="P34" s="28">
        <f t="shared" si="2"/>
        <v>0</v>
      </c>
      <c r="Q34" s="28">
        <f t="shared" si="2"/>
        <v>6422.3926096997702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0.83</v>
      </c>
      <c r="H35" s="21"/>
      <c r="I35" s="21">
        <v>0.85</v>
      </c>
      <c r="J35" s="20">
        <v>0.84</v>
      </c>
      <c r="K35" s="20">
        <v>0.84</v>
      </c>
      <c r="L35" s="21">
        <v>0.83</v>
      </c>
      <c r="M35" s="21">
        <v>0.84</v>
      </c>
      <c r="N35" s="20"/>
      <c r="O35" s="20">
        <v>0.82</v>
      </c>
      <c r="P35" s="21"/>
      <c r="Q35" s="21">
        <v>0.84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36.200000000000003</v>
      </c>
      <c r="H36" s="21"/>
      <c r="I36" s="21">
        <v>36.6</v>
      </c>
      <c r="J36" s="20">
        <v>36.6</v>
      </c>
      <c r="K36" s="20">
        <v>36.5</v>
      </c>
      <c r="L36" s="21">
        <v>36.700000000000003</v>
      </c>
      <c r="M36" s="21">
        <v>36.6</v>
      </c>
      <c r="N36" s="20"/>
      <c r="O36" s="20">
        <v>35.799999999999997</v>
      </c>
      <c r="P36" s="21"/>
      <c r="Q36" s="21">
        <v>36.4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36.700000000000003</v>
      </c>
      <c r="H37" s="21"/>
      <c r="I37" s="21">
        <v>37.5</v>
      </c>
      <c r="J37" s="20">
        <v>37.200000000000003</v>
      </c>
      <c r="K37" s="20">
        <v>37.200000000000003</v>
      </c>
      <c r="L37" s="21">
        <v>37.1</v>
      </c>
      <c r="M37" s="21">
        <v>37.1</v>
      </c>
      <c r="N37" s="20"/>
      <c r="O37" s="20">
        <v>36.299999999999997</v>
      </c>
      <c r="P37" s="21"/>
      <c r="Q37" s="21">
        <v>37.200000000000003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2.3000000000000043</v>
      </c>
      <c r="H38" s="27">
        <v>1</v>
      </c>
      <c r="I38" s="27">
        <f t="shared" ref="I38:Q38" si="3">I37-I41</f>
        <v>3.6000000000000014</v>
      </c>
      <c r="J38" s="27">
        <f t="shared" si="3"/>
        <v>2</v>
      </c>
      <c r="K38" s="27">
        <f t="shared" si="3"/>
        <v>2.8000000000000043</v>
      </c>
      <c r="L38" s="27">
        <f>L37-L41</f>
        <v>2.2000000000000028</v>
      </c>
      <c r="M38" s="27">
        <f>M37-M41</f>
        <v>3</v>
      </c>
      <c r="N38" s="27">
        <f>N37-N41</f>
        <v>0</v>
      </c>
      <c r="O38" s="27">
        <f>O37-O41</f>
        <v>2.2999999999999972</v>
      </c>
      <c r="P38" s="27">
        <f t="shared" si="3"/>
        <v>0</v>
      </c>
      <c r="Q38" s="27">
        <f t="shared" si="3"/>
        <v>2.8000000000000043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29.2</v>
      </c>
      <c r="H40" s="21"/>
      <c r="I40" s="21">
        <v>29</v>
      </c>
      <c r="J40" s="20">
        <v>29.7</v>
      </c>
      <c r="K40" s="20">
        <v>29</v>
      </c>
      <c r="L40" s="21">
        <v>29.6</v>
      </c>
      <c r="M40" s="21">
        <v>28.9</v>
      </c>
      <c r="N40" s="20"/>
      <c r="O40" s="20">
        <v>29</v>
      </c>
      <c r="P40" s="21"/>
      <c r="Q40" s="21">
        <v>29.2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34.4</v>
      </c>
      <c r="H41" s="21"/>
      <c r="I41" s="21">
        <v>33.9</v>
      </c>
      <c r="J41" s="20">
        <v>35.200000000000003</v>
      </c>
      <c r="K41" s="20">
        <v>34.4</v>
      </c>
      <c r="L41" s="21">
        <v>34.9</v>
      </c>
      <c r="M41" s="21">
        <v>34.1</v>
      </c>
      <c r="N41" s="20"/>
      <c r="O41" s="20">
        <v>34</v>
      </c>
      <c r="P41" s="21"/>
      <c r="Q41" s="21">
        <v>34.4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5.1999999999999993</v>
      </c>
      <c r="H42" s="27">
        <f t="shared" ref="H42:P42" si="4">H41-H40</f>
        <v>0</v>
      </c>
      <c r="I42" s="27">
        <f t="shared" si="4"/>
        <v>4.8999999999999986</v>
      </c>
      <c r="J42" s="27">
        <f t="shared" si="4"/>
        <v>5.5000000000000036</v>
      </c>
      <c r="K42" s="27">
        <f t="shared" si="4"/>
        <v>5.3999999999999986</v>
      </c>
      <c r="L42" s="27">
        <f>L41-L40</f>
        <v>5.2999999999999972</v>
      </c>
      <c r="M42" s="27">
        <f>M41-M40</f>
        <v>5.2000000000000028</v>
      </c>
      <c r="N42" s="27">
        <f>N41-N40</f>
        <v>0</v>
      </c>
      <c r="O42" s="27">
        <f>O41-O40</f>
        <v>5</v>
      </c>
      <c r="P42" s="27">
        <f t="shared" si="4"/>
        <v>0</v>
      </c>
      <c r="Q42" s="27">
        <f>Q41-Q40</f>
        <v>5.1999999999999993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1301.1600000000001</v>
      </c>
      <c r="H43" s="21"/>
      <c r="I43" s="21">
        <v>1300.5999999999999</v>
      </c>
      <c r="J43" s="20">
        <v>1307.7</v>
      </c>
      <c r="K43" s="20">
        <v>1306.76</v>
      </c>
      <c r="L43" s="21">
        <v>1296.7</v>
      </c>
      <c r="M43" s="20">
        <v>1288.98</v>
      </c>
      <c r="N43" s="20"/>
      <c r="O43" s="20">
        <v>1291.22</v>
      </c>
      <c r="P43" s="21"/>
      <c r="Q43" s="21">
        <v>1297.94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7812.9699769053113</v>
      </c>
      <c r="H44" s="28">
        <f t="shared" ref="H44:Q44" si="5">H42*H43/0.866</f>
        <v>0</v>
      </c>
      <c r="I44" s="28">
        <f t="shared" si="5"/>
        <v>7359.0531177829071</v>
      </c>
      <c r="J44" s="28">
        <f t="shared" si="5"/>
        <v>8305.2540415704443</v>
      </c>
      <c r="K44" s="28">
        <f t="shared" si="5"/>
        <v>8148.3879907621222</v>
      </c>
      <c r="L44" s="28">
        <f>L42*L43/0.866</f>
        <v>7935.9237875288645</v>
      </c>
      <c r="M44" s="28">
        <f>M42*M43/0.866</f>
        <v>7739.8337182448076</v>
      </c>
      <c r="N44" s="28">
        <f>N42*N43/0.866</f>
        <v>0</v>
      </c>
      <c r="O44" s="28">
        <f>O42*O43/0.866</f>
        <v>7455.0808314087762</v>
      </c>
      <c r="P44" s="28">
        <f t="shared" si="5"/>
        <v>0</v>
      </c>
      <c r="Q44" s="28">
        <f t="shared" si="5"/>
        <v>7793.6351039260962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0.47</v>
      </c>
      <c r="H45" s="21"/>
      <c r="I45" s="21">
        <v>0.46</v>
      </c>
      <c r="J45" s="20">
        <v>0.46</v>
      </c>
      <c r="K45" s="20">
        <v>0.47</v>
      </c>
      <c r="L45" s="21">
        <v>0.47</v>
      </c>
      <c r="M45" s="21">
        <v>0.46</v>
      </c>
      <c r="N45" s="20"/>
      <c r="O45" s="20">
        <v>0.46</v>
      </c>
      <c r="P45" s="21"/>
      <c r="Q45" s="21">
        <v>0.48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20.100000000000001</v>
      </c>
      <c r="H46" s="21"/>
      <c r="I46" s="21">
        <v>19.8</v>
      </c>
      <c r="J46" s="20">
        <v>19.899999999999999</v>
      </c>
      <c r="K46" s="20">
        <v>19.899999999999999</v>
      </c>
      <c r="L46" s="21">
        <v>26</v>
      </c>
      <c r="M46" s="21">
        <v>19.8</v>
      </c>
      <c r="N46" s="20"/>
      <c r="O46" s="20">
        <v>19.5</v>
      </c>
      <c r="P46" s="21"/>
      <c r="Q46" s="21">
        <v>20.3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189.3</v>
      </c>
      <c r="H47" s="21"/>
      <c r="I47" s="21">
        <v>127</v>
      </c>
      <c r="J47" s="20">
        <v>205.5</v>
      </c>
      <c r="K47" s="20">
        <v>209.5</v>
      </c>
      <c r="L47" s="21">
        <v>208.4</v>
      </c>
      <c r="M47" s="21">
        <v>216</v>
      </c>
      <c r="N47" s="20"/>
      <c r="O47" s="20">
        <v>160.5</v>
      </c>
      <c r="P47" s="21"/>
      <c r="Q47" s="21">
        <v>201.2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87">
        <v>5.89</v>
      </c>
      <c r="F49" s="20"/>
      <c r="G49" s="20">
        <v>5.77</v>
      </c>
      <c r="H49" s="21"/>
      <c r="I49" s="21">
        <v>5.59</v>
      </c>
      <c r="J49" s="20">
        <v>5.67</v>
      </c>
      <c r="K49" s="20">
        <v>5.65</v>
      </c>
      <c r="L49" s="21">
        <v>5.65</v>
      </c>
      <c r="M49" s="21">
        <v>5.72</v>
      </c>
      <c r="N49" s="20"/>
      <c r="O49" s="20">
        <v>5.63</v>
      </c>
      <c r="P49" s="21"/>
      <c r="Q49" s="21">
        <v>5.22</v>
      </c>
    </row>
    <row r="50" spans="2:17" ht="20.100000000000001" customHeight="1">
      <c r="B50" s="94" t="s">
        <v>91</v>
      </c>
      <c r="C50" s="94"/>
      <c r="D50" s="94"/>
      <c r="E50" s="87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86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topLeftCell="B1" zoomScale="80" zoomScaleNormal="60" zoomScaleSheetLayoutView="80" workbookViewId="0">
      <selection activeCell="N9" sqref="N9:N51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45836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89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76.2</v>
      </c>
      <c r="G11" s="20">
        <v>70.599999999999994</v>
      </c>
      <c r="H11" s="21"/>
      <c r="I11" s="21">
        <v>80.8</v>
      </c>
      <c r="J11" s="20"/>
      <c r="K11" s="20">
        <v>75.3</v>
      </c>
      <c r="L11" s="21"/>
      <c r="M11" s="21">
        <v>75.400000000000006</v>
      </c>
      <c r="N11" s="20">
        <v>79</v>
      </c>
      <c r="O11" s="20">
        <v>74.3</v>
      </c>
      <c r="P11" s="21"/>
      <c r="Q11" s="21">
        <v>74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0.4</v>
      </c>
      <c r="G12" s="20">
        <v>0.6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71.599999999999994</v>
      </c>
      <c r="G13" s="20">
        <v>63.9</v>
      </c>
      <c r="H13" s="21"/>
      <c r="I13" s="21">
        <v>76.900000000000006</v>
      </c>
      <c r="J13" s="20"/>
      <c r="K13" s="20">
        <v>71</v>
      </c>
      <c r="L13" s="21"/>
      <c r="M13" s="21">
        <v>70.400000000000006</v>
      </c>
      <c r="N13" s="20">
        <v>46.8</v>
      </c>
      <c r="O13" s="20">
        <v>71</v>
      </c>
      <c r="P13" s="21"/>
      <c r="Q13" s="21">
        <v>68.7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69</v>
      </c>
      <c r="G14" s="20">
        <v>69.8</v>
      </c>
      <c r="H14" s="21"/>
      <c r="I14" s="21">
        <v>69.400000000000006</v>
      </c>
      <c r="J14" s="20"/>
      <c r="K14" s="20">
        <v>64.599999999999994</v>
      </c>
      <c r="L14" s="21"/>
      <c r="M14" s="21">
        <v>68.7</v>
      </c>
      <c r="N14" s="20">
        <v>76.599999999999994</v>
      </c>
      <c r="O14" s="20">
        <v>74.400000000000006</v>
      </c>
      <c r="P14" s="21"/>
      <c r="Q14" s="21">
        <v>76.599999999999994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40.4</v>
      </c>
      <c r="G15" s="20">
        <v>37.9</v>
      </c>
      <c r="H15" s="21"/>
      <c r="I15" s="21">
        <v>53.1</v>
      </c>
      <c r="J15" s="20"/>
      <c r="K15" s="20">
        <v>39.4</v>
      </c>
      <c r="L15" s="21"/>
      <c r="M15" s="21">
        <v>34.5</v>
      </c>
      <c r="N15" s="20">
        <v>58.7</v>
      </c>
      <c r="O15" s="20">
        <v>45</v>
      </c>
      <c r="P15" s="21"/>
      <c r="Q15" s="21">
        <v>45.4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116.3</v>
      </c>
      <c r="G17" s="20">
        <v>117.1</v>
      </c>
      <c r="H17" s="21"/>
      <c r="I17" s="21">
        <v>117.5</v>
      </c>
      <c r="J17" s="20"/>
      <c r="K17" s="20">
        <v>117.7</v>
      </c>
      <c r="L17" s="21"/>
      <c r="M17" s="21">
        <v>117.1</v>
      </c>
      <c r="N17" s="20">
        <v>118.3</v>
      </c>
      <c r="O17" s="20">
        <v>117.4</v>
      </c>
      <c r="P17" s="21"/>
      <c r="Q17" s="21">
        <v>117.8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1146</v>
      </c>
      <c r="G18" s="20">
        <v>1147</v>
      </c>
      <c r="H18" s="21"/>
      <c r="I18" s="21">
        <v>1194</v>
      </c>
      <c r="J18" s="20"/>
      <c r="K18" s="20">
        <v>1191</v>
      </c>
      <c r="L18" s="21"/>
      <c r="M18" s="21">
        <v>1192</v>
      </c>
      <c r="N18" s="20">
        <v>1201</v>
      </c>
      <c r="O18" s="20">
        <v>1197</v>
      </c>
      <c r="P18" s="21"/>
      <c r="Q18" s="21">
        <v>1191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50999</v>
      </c>
      <c r="G19" s="20">
        <v>50990</v>
      </c>
      <c r="H19" s="21"/>
      <c r="I19" s="21">
        <v>51868</v>
      </c>
      <c r="J19" s="20"/>
      <c r="K19" s="20">
        <v>49939</v>
      </c>
      <c r="L19" s="21"/>
      <c r="M19" s="21">
        <v>52398.1</v>
      </c>
      <c r="N19" s="20">
        <v>51556.9</v>
      </c>
      <c r="O19" s="20">
        <v>51550.7</v>
      </c>
      <c r="P19" s="21"/>
      <c r="Q19" s="21">
        <v>51259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58.3</v>
      </c>
      <c r="G22" s="20">
        <v>58</v>
      </c>
      <c r="H22" s="21"/>
      <c r="I22" s="21">
        <v>59.2</v>
      </c>
      <c r="J22" s="20"/>
      <c r="K22" s="20">
        <v>57.9</v>
      </c>
      <c r="L22" s="21"/>
      <c r="M22" s="21">
        <v>57.5</v>
      </c>
      <c r="N22" s="20">
        <v>58.3</v>
      </c>
      <c r="O22" s="20">
        <v>58.5</v>
      </c>
      <c r="P22" s="21"/>
      <c r="Q22" s="21">
        <v>59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0.48</v>
      </c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44.9</v>
      </c>
      <c r="G25" s="20">
        <v>45.1</v>
      </c>
      <c r="H25" s="21"/>
      <c r="I25" s="21">
        <v>45</v>
      </c>
      <c r="J25" s="20"/>
      <c r="K25" s="20">
        <v>44.9</v>
      </c>
      <c r="L25" s="21"/>
      <c r="M25" s="21">
        <v>44.8</v>
      </c>
      <c r="N25" s="20">
        <v>45.1</v>
      </c>
      <c r="O25" s="20">
        <v>45</v>
      </c>
      <c r="P25" s="21"/>
      <c r="Q25" s="21">
        <v>45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0.23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3.5</v>
      </c>
      <c r="G27" s="20">
        <v>4.3</v>
      </c>
      <c r="H27" s="21"/>
      <c r="I27" s="21">
        <v>3.3</v>
      </c>
      <c r="J27" s="20"/>
      <c r="K27" s="20">
        <v>4</v>
      </c>
      <c r="L27" s="21"/>
      <c r="M27" s="21">
        <v>4.0999999999999996</v>
      </c>
      <c r="N27" s="20">
        <v>3.9</v>
      </c>
      <c r="O27" s="20">
        <v>4.5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2.9</v>
      </c>
      <c r="G28" s="20">
        <v>3.9</v>
      </c>
      <c r="H28" s="21"/>
      <c r="I28" s="21">
        <v>2</v>
      </c>
      <c r="J28" s="20"/>
      <c r="K28" s="20">
        <v>3.3</v>
      </c>
      <c r="L28" s="21"/>
      <c r="M28" s="21">
        <v>2.8</v>
      </c>
      <c r="N28" s="20">
        <v>2.8</v>
      </c>
      <c r="O28" s="20">
        <v>2.8</v>
      </c>
      <c r="P28" s="21"/>
      <c r="Q28" s="21">
        <v>3.2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1.4</v>
      </c>
      <c r="G29" s="27">
        <v>0.50000000000000044</v>
      </c>
      <c r="H29" s="27">
        <f t="shared" ref="H29:P29" si="0">H32-H28</f>
        <v>0</v>
      </c>
      <c r="I29" s="27">
        <v>2.0999999999999996</v>
      </c>
      <c r="J29" s="27">
        <f t="shared" si="0"/>
        <v>0</v>
      </c>
      <c r="K29" s="27">
        <v>1.2000000000000002</v>
      </c>
      <c r="L29" s="27">
        <f>L32-L28</f>
        <v>0</v>
      </c>
      <c r="M29" s="27">
        <v>1.1000000000000001</v>
      </c>
      <c r="N29" s="27">
        <f>N32-N28</f>
        <v>1.2999999999999998</v>
      </c>
      <c r="O29" s="27">
        <v>1.1000000000000001</v>
      </c>
      <c r="P29" s="27">
        <f t="shared" si="0"/>
        <v>0</v>
      </c>
      <c r="Q29" s="27"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639.1</v>
      </c>
      <c r="G30" s="20">
        <v>628.88</v>
      </c>
      <c r="H30" s="21"/>
      <c r="I30" s="21">
        <v>633.04</v>
      </c>
      <c r="J30" s="20"/>
      <c r="K30" s="20">
        <v>629.52</v>
      </c>
      <c r="L30" s="21"/>
      <c r="M30" s="21">
        <v>623.67999999999995</v>
      </c>
      <c r="N30" s="20">
        <v>635.4</v>
      </c>
      <c r="O30" s="20">
        <v>636.4</v>
      </c>
      <c r="P30" s="21"/>
      <c r="Q30" s="21">
        <v>635.76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13.8</v>
      </c>
      <c r="G31" s="20">
        <v>13.5</v>
      </c>
      <c r="H31" s="21"/>
      <c r="I31" s="21">
        <v>13</v>
      </c>
      <c r="J31" s="20"/>
      <c r="K31" s="20">
        <v>13.5</v>
      </c>
      <c r="L31" s="21"/>
      <c r="M31" s="21">
        <v>13.6</v>
      </c>
      <c r="N31" s="20">
        <v>13.8</v>
      </c>
      <c r="O31" s="20">
        <v>13</v>
      </c>
      <c r="P31" s="21"/>
      <c r="Q31" s="21">
        <v>12.9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4.3</v>
      </c>
      <c r="G32" s="20">
        <v>4.4000000000000004</v>
      </c>
      <c r="H32" s="21"/>
      <c r="I32" s="21">
        <v>4.0999999999999996</v>
      </c>
      <c r="J32" s="20"/>
      <c r="K32" s="20">
        <v>4.5</v>
      </c>
      <c r="L32" s="21"/>
      <c r="M32" s="21">
        <v>3.9</v>
      </c>
      <c r="N32" s="20">
        <v>4.0999999999999996</v>
      </c>
      <c r="O32" s="20">
        <v>3.9</v>
      </c>
      <c r="P32" s="21"/>
      <c r="Q32" s="21">
        <v>4.2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9.5</v>
      </c>
      <c r="G33" s="27">
        <v>9.1</v>
      </c>
      <c r="H33" s="27">
        <f t="shared" ref="H33:P33" si="1">H31-H32</f>
        <v>0</v>
      </c>
      <c r="I33" s="27">
        <v>8.9</v>
      </c>
      <c r="J33" s="27">
        <f t="shared" si="1"/>
        <v>0</v>
      </c>
      <c r="K33" s="27">
        <v>9</v>
      </c>
      <c r="L33" s="27">
        <f>L31-L32</f>
        <v>0</v>
      </c>
      <c r="M33" s="27">
        <v>9.6999999999999993</v>
      </c>
      <c r="N33" s="27">
        <f>N31-N32</f>
        <v>9.7000000000000011</v>
      </c>
      <c r="O33" s="27">
        <v>9.1</v>
      </c>
      <c r="P33" s="27">
        <f t="shared" si="1"/>
        <v>0</v>
      </c>
      <c r="Q33" s="27">
        <v>8.6999999999999993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7010.9122401847571</v>
      </c>
      <c r="G34" s="28">
        <v>6608.3233256351041</v>
      </c>
      <c r="H34" s="28">
        <f t="shared" ref="H34:P34" si="2">(H33*H30)/0.866</f>
        <v>0</v>
      </c>
      <c r="I34" s="28">
        <v>6505.8383371824475</v>
      </c>
      <c r="J34" s="28">
        <f t="shared" si="2"/>
        <v>0</v>
      </c>
      <c r="K34" s="28">
        <v>6542.3556581986149</v>
      </c>
      <c r="L34" s="28">
        <f>(L33*L30)/0.866</f>
        <v>0</v>
      </c>
      <c r="M34" s="28">
        <v>6985.7921478060034</v>
      </c>
      <c r="N34" s="28">
        <f>(N33*N30)/0.866</f>
        <v>7117.066974595843</v>
      </c>
      <c r="O34" s="28">
        <v>6687.344110854503</v>
      </c>
      <c r="P34" s="28">
        <f t="shared" si="2"/>
        <v>0</v>
      </c>
      <c r="Q34" s="28">
        <v>6386.9653579676669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0.83</v>
      </c>
      <c r="H35" s="21"/>
      <c r="I35" s="21">
        <v>0.81</v>
      </c>
      <c r="J35" s="20"/>
      <c r="K35" s="20">
        <v>0.8</v>
      </c>
      <c r="L35" s="21"/>
      <c r="M35" s="21">
        <v>0.79</v>
      </c>
      <c r="N35" s="20">
        <v>0.8</v>
      </c>
      <c r="O35" s="20">
        <v>0.77</v>
      </c>
      <c r="P35" s="21"/>
      <c r="Q35" s="21">
        <v>0.8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34.200000000000003</v>
      </c>
      <c r="G36" s="20">
        <v>36.200000000000003</v>
      </c>
      <c r="H36" s="21"/>
      <c r="I36" s="21">
        <v>36.200000000000003</v>
      </c>
      <c r="J36" s="20"/>
      <c r="K36" s="20">
        <v>35.9</v>
      </c>
      <c r="L36" s="21"/>
      <c r="M36" s="21">
        <v>36</v>
      </c>
      <c r="N36" s="20">
        <v>33.799999999999997</v>
      </c>
      <c r="O36" s="20">
        <v>35.299999999999997</v>
      </c>
      <c r="P36" s="21"/>
      <c r="Q36" s="21">
        <v>35.799999999999997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34.799999999999997</v>
      </c>
      <c r="G37" s="20">
        <v>36.700000000000003</v>
      </c>
      <c r="H37" s="21"/>
      <c r="I37" s="21">
        <v>36</v>
      </c>
      <c r="J37" s="20"/>
      <c r="K37" s="20">
        <v>35.6</v>
      </c>
      <c r="L37" s="21"/>
      <c r="M37" s="21">
        <v>35.4</v>
      </c>
      <c r="N37" s="20">
        <v>34.4</v>
      </c>
      <c r="O37" s="20">
        <v>34.6</v>
      </c>
      <c r="P37" s="21"/>
      <c r="Q37" s="21">
        <v>35.6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1.5999999999999943</v>
      </c>
      <c r="G38" s="27">
        <v>2.3000000000000043</v>
      </c>
      <c r="H38" s="27">
        <v>1</v>
      </c>
      <c r="I38" s="27">
        <v>3.7000000000000028</v>
      </c>
      <c r="J38" s="27">
        <f t="shared" ref="J38:P38" si="3">J37-J41</f>
        <v>0</v>
      </c>
      <c r="K38" s="27">
        <v>2.8000000000000043</v>
      </c>
      <c r="L38" s="27">
        <f>L37-L41</f>
        <v>0</v>
      </c>
      <c r="M38" s="27">
        <v>2.8999999999999986</v>
      </c>
      <c r="N38" s="27">
        <f>N37-N41</f>
        <v>1.6000000000000014</v>
      </c>
      <c r="O38" s="27">
        <v>2.3999999999999986</v>
      </c>
      <c r="P38" s="27">
        <f t="shared" si="3"/>
        <v>0</v>
      </c>
      <c r="Q38" s="27">
        <v>2.8999999999999986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27.5</v>
      </c>
      <c r="G40" s="20">
        <v>29.2</v>
      </c>
      <c r="H40" s="21"/>
      <c r="I40" s="21">
        <v>27.3</v>
      </c>
      <c r="J40" s="20"/>
      <c r="K40" s="20">
        <v>27.4</v>
      </c>
      <c r="L40" s="21"/>
      <c r="M40" s="21">
        <v>27.1</v>
      </c>
      <c r="N40" s="20">
        <v>27.4</v>
      </c>
      <c r="O40" s="20">
        <v>27.2</v>
      </c>
      <c r="P40" s="21"/>
      <c r="Q40" s="21">
        <v>27.5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33.200000000000003</v>
      </c>
      <c r="G41" s="20">
        <v>34.4</v>
      </c>
      <c r="H41" s="21"/>
      <c r="I41" s="21">
        <v>32.299999999999997</v>
      </c>
      <c r="J41" s="20"/>
      <c r="K41" s="20">
        <v>32.799999999999997</v>
      </c>
      <c r="L41" s="21"/>
      <c r="M41" s="21">
        <v>32.5</v>
      </c>
      <c r="N41" s="20">
        <v>32.799999999999997</v>
      </c>
      <c r="O41" s="20">
        <v>32.200000000000003</v>
      </c>
      <c r="P41" s="21"/>
      <c r="Q41" s="21">
        <v>32.700000000000003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5.7000000000000028</v>
      </c>
      <c r="G42" s="27">
        <v>5.1999999999999993</v>
      </c>
      <c r="H42" s="27">
        <f t="shared" ref="H42:P42" si="4">H41-H40</f>
        <v>0</v>
      </c>
      <c r="I42" s="27">
        <v>4.9999999999999964</v>
      </c>
      <c r="J42" s="27">
        <f t="shared" si="4"/>
        <v>0</v>
      </c>
      <c r="K42" s="27">
        <v>5.3999999999999986</v>
      </c>
      <c r="L42" s="27">
        <f>L41-L40</f>
        <v>0</v>
      </c>
      <c r="M42" s="27">
        <v>5.3999999999999986</v>
      </c>
      <c r="N42" s="27">
        <f>N41-N40</f>
        <v>5.3999999999999986</v>
      </c>
      <c r="O42" s="27">
        <v>5.0000000000000036</v>
      </c>
      <c r="P42" s="27">
        <f t="shared" si="4"/>
        <v>0</v>
      </c>
      <c r="Q42" s="27">
        <v>5.2000000000000028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1295.0999999999999</v>
      </c>
      <c r="G43" s="20">
        <v>1301.1600000000001</v>
      </c>
      <c r="H43" s="21"/>
      <c r="I43" s="21">
        <v>1296.4000000000001</v>
      </c>
      <c r="J43" s="20"/>
      <c r="K43" s="20">
        <v>1295</v>
      </c>
      <c r="L43" s="21"/>
      <c r="M43" s="20">
        <v>1299.2</v>
      </c>
      <c r="N43" s="20">
        <v>1297.5</v>
      </c>
      <c r="O43" s="20">
        <v>1291.3599999999999</v>
      </c>
      <c r="P43" s="21"/>
      <c r="Q43" s="21">
        <v>1293.5999999999999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8524.3302540415752</v>
      </c>
      <c r="G44" s="28">
        <v>7812.9699769053113</v>
      </c>
      <c r="H44" s="28">
        <f t="shared" ref="H44:P44" si="5">H42*H43/0.866</f>
        <v>0</v>
      </c>
      <c r="I44" s="28">
        <v>7484.9884526558835</v>
      </c>
      <c r="J44" s="28">
        <f t="shared" si="5"/>
        <v>0</v>
      </c>
      <c r="K44" s="28">
        <v>8075.0577367205524</v>
      </c>
      <c r="L44" s="28">
        <f>L42*L43/0.866</f>
        <v>0</v>
      </c>
      <c r="M44" s="28">
        <v>8101.2471131639704</v>
      </c>
      <c r="N44" s="28">
        <f>N42*N43/0.866</f>
        <v>8090.6466512702054</v>
      </c>
      <c r="O44" s="28">
        <v>7455.8891454965406</v>
      </c>
      <c r="P44" s="28">
        <f t="shared" si="5"/>
        <v>0</v>
      </c>
      <c r="Q44" s="28">
        <v>7767.5750577367244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0.44</v>
      </c>
      <c r="G45" s="20">
        <v>0.47</v>
      </c>
      <c r="H45" s="21"/>
      <c r="I45" s="21">
        <v>0.45</v>
      </c>
      <c r="J45" s="20"/>
      <c r="K45" s="20">
        <v>0.46</v>
      </c>
      <c r="L45" s="21"/>
      <c r="M45" s="21">
        <v>0.46</v>
      </c>
      <c r="N45" s="20">
        <v>0.43</v>
      </c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18.399999999999999</v>
      </c>
      <c r="G46" s="20">
        <v>20.100000000000001</v>
      </c>
      <c r="H46" s="21"/>
      <c r="I46" s="21">
        <v>19.100000000000001</v>
      </c>
      <c r="J46" s="20"/>
      <c r="K46" s="20">
        <v>19.2</v>
      </c>
      <c r="L46" s="21"/>
      <c r="M46" s="21">
        <v>19.600000000000001</v>
      </c>
      <c r="N46" s="20">
        <v>17.899999999999999</v>
      </c>
      <c r="O46" s="20">
        <v>19.100000000000001</v>
      </c>
      <c r="P46" s="21"/>
      <c r="Q46" s="21">
        <v>20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207.5</v>
      </c>
      <c r="G47" s="20">
        <v>189.3</v>
      </c>
      <c r="H47" s="21"/>
      <c r="I47" s="21">
        <v>132.19999999999999</v>
      </c>
      <c r="J47" s="20"/>
      <c r="K47" s="20">
        <v>207.1</v>
      </c>
      <c r="L47" s="21"/>
      <c r="M47" s="21">
        <v>219.1</v>
      </c>
      <c r="N47" s="20">
        <v>158.9</v>
      </c>
      <c r="O47" s="20">
        <v>162.5</v>
      </c>
      <c r="P47" s="21"/>
      <c r="Q47" s="21">
        <v>195.8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89">
        <v>5.89</v>
      </c>
      <c r="F49" s="20">
        <v>6.18</v>
      </c>
      <c r="G49" s="20">
        <v>5.77</v>
      </c>
      <c r="H49" s="21"/>
      <c r="I49" s="21">
        <v>5.57</v>
      </c>
      <c r="J49" s="20"/>
      <c r="K49" s="20">
        <v>5.64</v>
      </c>
      <c r="L49" s="21"/>
      <c r="M49" s="21">
        <v>5.7</v>
      </c>
      <c r="N49" s="20">
        <v>5.96</v>
      </c>
      <c r="O49" s="20">
        <v>5.8</v>
      </c>
      <c r="P49" s="21"/>
      <c r="Q49" s="21">
        <v>5.57</v>
      </c>
    </row>
    <row r="50" spans="2:17" ht="20.100000000000001" customHeight="1">
      <c r="B50" s="94" t="s">
        <v>91</v>
      </c>
      <c r="C50" s="94"/>
      <c r="D50" s="94"/>
      <c r="E50" s="89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88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tabSelected="1" view="pageBreakPreview" topLeftCell="B1" zoomScale="80" zoomScaleNormal="60" zoomScaleSheetLayoutView="80" workbookViewId="0">
      <selection activeCell="B10" sqref="B10:C10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45837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93" t="s">
        <v>18</v>
      </c>
      <c r="E10" s="15"/>
      <c r="F10" s="16" t="s">
        <v>19</v>
      </c>
      <c r="G10" s="17" t="s">
        <v>19</v>
      </c>
      <c r="H10" s="18" t="s">
        <v>19</v>
      </c>
      <c r="I10" s="18" t="s">
        <v>19</v>
      </c>
      <c r="J10" s="17" t="s">
        <v>19</v>
      </c>
      <c r="K10" s="17" t="s">
        <v>19</v>
      </c>
      <c r="L10" s="18" t="s">
        <v>19</v>
      </c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>
        <v>76.2</v>
      </c>
      <c r="G11" s="20">
        <v>70.599999999999994</v>
      </c>
      <c r="H11" s="21"/>
      <c r="I11" s="21">
        <v>80.8</v>
      </c>
      <c r="J11" s="20"/>
      <c r="K11" s="20">
        <v>75.3</v>
      </c>
      <c r="L11" s="21"/>
      <c r="M11" s="21">
        <v>75.400000000000006</v>
      </c>
      <c r="N11" s="20">
        <v>79</v>
      </c>
      <c r="O11" s="20">
        <v>74.3</v>
      </c>
      <c r="P11" s="21"/>
      <c r="Q11" s="21">
        <v>74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>
        <v>0.4</v>
      </c>
      <c r="G12" s="20">
        <v>0.6</v>
      </c>
      <c r="H12" s="21"/>
      <c r="I12" s="21">
        <v>0</v>
      </c>
      <c r="J12" s="20"/>
      <c r="K12" s="20">
        <v>0</v>
      </c>
      <c r="L12" s="21"/>
      <c r="M12" s="21">
        <v>0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>
        <v>71.599999999999994</v>
      </c>
      <c r="G13" s="20">
        <v>63.9</v>
      </c>
      <c r="H13" s="21"/>
      <c r="I13" s="21">
        <v>76.900000000000006</v>
      </c>
      <c r="J13" s="20"/>
      <c r="K13" s="20">
        <v>71</v>
      </c>
      <c r="L13" s="21"/>
      <c r="M13" s="21">
        <v>70.400000000000006</v>
      </c>
      <c r="N13" s="20">
        <v>46.8</v>
      </c>
      <c r="O13" s="20">
        <v>71</v>
      </c>
      <c r="P13" s="21"/>
      <c r="Q13" s="21">
        <v>68.7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>
        <v>69</v>
      </c>
      <c r="G14" s="20">
        <v>69.8</v>
      </c>
      <c r="H14" s="21"/>
      <c r="I14" s="21">
        <v>69.400000000000006</v>
      </c>
      <c r="J14" s="20"/>
      <c r="K14" s="20">
        <v>64.599999999999994</v>
      </c>
      <c r="L14" s="21"/>
      <c r="M14" s="21">
        <v>68.7</v>
      </c>
      <c r="N14" s="20">
        <v>76.599999999999994</v>
      </c>
      <c r="O14" s="20">
        <v>74.400000000000006</v>
      </c>
      <c r="P14" s="21"/>
      <c r="Q14" s="21">
        <v>76.599999999999994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>
        <v>40.4</v>
      </c>
      <c r="G15" s="20">
        <v>37.9</v>
      </c>
      <c r="H15" s="21"/>
      <c r="I15" s="21">
        <v>53.1</v>
      </c>
      <c r="J15" s="20"/>
      <c r="K15" s="20">
        <v>39.4</v>
      </c>
      <c r="L15" s="21"/>
      <c r="M15" s="21">
        <v>34.5</v>
      </c>
      <c r="N15" s="20">
        <v>58.7</v>
      </c>
      <c r="O15" s="20">
        <v>45</v>
      </c>
      <c r="P15" s="21"/>
      <c r="Q15" s="21">
        <v>45.4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>
        <v>6.6</v>
      </c>
      <c r="G16" s="20">
        <v>6.6</v>
      </c>
      <c r="H16" s="21"/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>
        <v>116.3</v>
      </c>
      <c r="G17" s="20">
        <v>117.1</v>
      </c>
      <c r="H17" s="21"/>
      <c r="I17" s="21">
        <v>117.5</v>
      </c>
      <c r="J17" s="20"/>
      <c r="K17" s="20">
        <v>117.7</v>
      </c>
      <c r="L17" s="21"/>
      <c r="M17" s="21">
        <v>117.1</v>
      </c>
      <c r="N17" s="20">
        <v>118.3</v>
      </c>
      <c r="O17" s="20">
        <v>117.4</v>
      </c>
      <c r="P17" s="21"/>
      <c r="Q17" s="21">
        <v>117.8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>
        <v>1146</v>
      </c>
      <c r="G18" s="20">
        <v>1147</v>
      </c>
      <c r="H18" s="21"/>
      <c r="I18" s="21">
        <v>1194</v>
      </c>
      <c r="J18" s="20"/>
      <c r="K18" s="20">
        <v>1191</v>
      </c>
      <c r="L18" s="21"/>
      <c r="M18" s="21">
        <v>1192</v>
      </c>
      <c r="N18" s="20">
        <v>1201</v>
      </c>
      <c r="O18" s="20">
        <v>1197</v>
      </c>
      <c r="P18" s="21"/>
      <c r="Q18" s="21">
        <v>1191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>
        <v>50999</v>
      </c>
      <c r="G19" s="20">
        <v>50990</v>
      </c>
      <c r="H19" s="21"/>
      <c r="I19" s="21">
        <v>51868</v>
      </c>
      <c r="J19" s="20"/>
      <c r="K19" s="20">
        <v>49939</v>
      </c>
      <c r="L19" s="21"/>
      <c r="M19" s="21">
        <v>52398.1</v>
      </c>
      <c r="N19" s="20">
        <v>51556.9</v>
      </c>
      <c r="O19" s="20">
        <v>51550.7</v>
      </c>
      <c r="P19" s="21"/>
      <c r="Q19" s="21">
        <v>51259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>
        <v>58.3</v>
      </c>
      <c r="G22" s="20">
        <v>58</v>
      </c>
      <c r="H22" s="21"/>
      <c r="I22" s="21">
        <v>59.2</v>
      </c>
      <c r="J22" s="20"/>
      <c r="K22" s="20">
        <v>57.9</v>
      </c>
      <c r="L22" s="21"/>
      <c r="M22" s="21">
        <v>57.5</v>
      </c>
      <c r="N22" s="20">
        <v>58.3</v>
      </c>
      <c r="O22" s="20">
        <v>58.5</v>
      </c>
      <c r="P22" s="21"/>
      <c r="Q22" s="21">
        <v>59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>
        <v>0.52</v>
      </c>
      <c r="G23" s="20">
        <v>0.53</v>
      </c>
      <c r="H23" s="21"/>
      <c r="I23" s="21">
        <v>0.49</v>
      </c>
      <c r="J23" s="20"/>
      <c r="K23" s="20">
        <v>0.57999999999999996</v>
      </c>
      <c r="L23" s="21"/>
      <c r="M23" s="21">
        <v>0.52</v>
      </c>
      <c r="N23" s="20">
        <v>0.48</v>
      </c>
      <c r="O23" s="20">
        <v>0.48</v>
      </c>
      <c r="P23" s="21"/>
      <c r="Q23" s="21">
        <v>0.5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>
        <v>44.9</v>
      </c>
      <c r="G25" s="20">
        <v>45.1</v>
      </c>
      <c r="H25" s="21"/>
      <c r="I25" s="21">
        <v>45</v>
      </c>
      <c r="J25" s="20"/>
      <c r="K25" s="20">
        <v>44.9</v>
      </c>
      <c r="L25" s="21"/>
      <c r="M25" s="21">
        <v>44.8</v>
      </c>
      <c r="N25" s="20">
        <v>45.1</v>
      </c>
      <c r="O25" s="20">
        <v>45</v>
      </c>
      <c r="P25" s="21"/>
      <c r="Q25" s="21">
        <v>45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>
        <v>0.22</v>
      </c>
      <c r="G26" s="20">
        <v>0.23</v>
      </c>
      <c r="H26" s="21"/>
      <c r="I26" s="21">
        <v>0.21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>
        <v>3.5</v>
      </c>
      <c r="G27" s="20">
        <v>4.3</v>
      </c>
      <c r="H27" s="21"/>
      <c r="I27" s="21">
        <v>3.3</v>
      </c>
      <c r="J27" s="20"/>
      <c r="K27" s="20">
        <v>4</v>
      </c>
      <c r="L27" s="21"/>
      <c r="M27" s="21">
        <v>4.0999999999999996</v>
      </c>
      <c r="N27" s="20">
        <v>3.9</v>
      </c>
      <c r="O27" s="20">
        <v>4.5</v>
      </c>
      <c r="P27" s="21"/>
      <c r="Q27" s="21">
        <v>4.8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>
        <v>2.9</v>
      </c>
      <c r="G28" s="20">
        <v>3.9</v>
      </c>
      <c r="H28" s="21"/>
      <c r="I28" s="21">
        <v>2</v>
      </c>
      <c r="J28" s="20"/>
      <c r="K28" s="20">
        <v>3.3</v>
      </c>
      <c r="L28" s="21"/>
      <c r="M28" s="21">
        <v>2.8</v>
      </c>
      <c r="N28" s="20">
        <v>2.8</v>
      </c>
      <c r="O28" s="20">
        <v>2.8</v>
      </c>
      <c r="P28" s="21"/>
      <c r="Q28" s="21">
        <v>3.2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1.4</v>
      </c>
      <c r="G29" s="27">
        <v>0.50000000000000044</v>
      </c>
      <c r="H29" s="27">
        <f t="shared" ref="H29:P29" si="0">H32-H28</f>
        <v>0</v>
      </c>
      <c r="I29" s="27">
        <v>2.0999999999999996</v>
      </c>
      <c r="J29" s="27">
        <f t="shared" si="0"/>
        <v>0</v>
      </c>
      <c r="K29" s="27">
        <v>1.2000000000000002</v>
      </c>
      <c r="L29" s="27">
        <f>L32-L28</f>
        <v>0</v>
      </c>
      <c r="M29" s="27">
        <v>1.1000000000000001</v>
      </c>
      <c r="N29" s="27">
        <f>N32-N28</f>
        <v>1.2999999999999998</v>
      </c>
      <c r="O29" s="27">
        <v>1.1000000000000001</v>
      </c>
      <c r="P29" s="27">
        <f t="shared" si="0"/>
        <v>0</v>
      </c>
      <c r="Q29" s="27">
        <v>1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>
        <v>639.1</v>
      </c>
      <c r="G30" s="20">
        <v>628.88</v>
      </c>
      <c r="H30" s="21"/>
      <c r="I30" s="21">
        <v>633.04</v>
      </c>
      <c r="J30" s="20"/>
      <c r="K30" s="20">
        <v>629.52</v>
      </c>
      <c r="L30" s="21"/>
      <c r="M30" s="21">
        <v>623.67999999999995</v>
      </c>
      <c r="N30" s="20">
        <v>635.4</v>
      </c>
      <c r="O30" s="20">
        <v>636.4</v>
      </c>
      <c r="P30" s="21"/>
      <c r="Q30" s="21">
        <v>635.76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>
        <v>13.8</v>
      </c>
      <c r="G31" s="20">
        <v>13.5</v>
      </c>
      <c r="H31" s="21"/>
      <c r="I31" s="21">
        <v>13</v>
      </c>
      <c r="J31" s="20"/>
      <c r="K31" s="20">
        <v>13.5</v>
      </c>
      <c r="L31" s="21"/>
      <c r="M31" s="21">
        <v>13.6</v>
      </c>
      <c r="N31" s="20">
        <v>13.8</v>
      </c>
      <c r="O31" s="20">
        <v>13</v>
      </c>
      <c r="P31" s="21"/>
      <c r="Q31" s="21">
        <v>12.9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>
        <v>4.3</v>
      </c>
      <c r="G32" s="20">
        <v>4.4000000000000004</v>
      </c>
      <c r="H32" s="21"/>
      <c r="I32" s="21">
        <v>4.0999999999999996</v>
      </c>
      <c r="J32" s="20"/>
      <c r="K32" s="20">
        <v>4.5</v>
      </c>
      <c r="L32" s="21"/>
      <c r="M32" s="21">
        <v>3.9</v>
      </c>
      <c r="N32" s="20">
        <v>4.0999999999999996</v>
      </c>
      <c r="O32" s="20">
        <v>3.9</v>
      </c>
      <c r="P32" s="21"/>
      <c r="Q32" s="21">
        <v>4.2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9.5</v>
      </c>
      <c r="G33" s="27">
        <v>9.1</v>
      </c>
      <c r="H33" s="27">
        <f t="shared" ref="H33:P33" si="1">H31-H32</f>
        <v>0</v>
      </c>
      <c r="I33" s="27">
        <v>8.9</v>
      </c>
      <c r="J33" s="27">
        <f t="shared" si="1"/>
        <v>0</v>
      </c>
      <c r="K33" s="27">
        <v>9</v>
      </c>
      <c r="L33" s="27">
        <f>L31-L32</f>
        <v>0</v>
      </c>
      <c r="M33" s="27">
        <v>9.6999999999999993</v>
      </c>
      <c r="N33" s="27">
        <f>N31-N32</f>
        <v>9.7000000000000011</v>
      </c>
      <c r="O33" s="27">
        <v>9.1</v>
      </c>
      <c r="P33" s="27">
        <f t="shared" si="1"/>
        <v>0</v>
      </c>
      <c r="Q33" s="27">
        <v>8.6999999999999993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7010.9122401847571</v>
      </c>
      <c r="G34" s="28">
        <v>6608.3233256351041</v>
      </c>
      <c r="H34" s="28">
        <f t="shared" ref="H34:P34" si="2">(H33*H30)/0.866</f>
        <v>0</v>
      </c>
      <c r="I34" s="28">
        <v>6505.8383371824475</v>
      </c>
      <c r="J34" s="28">
        <f t="shared" si="2"/>
        <v>0</v>
      </c>
      <c r="K34" s="28">
        <v>6542.3556581986149</v>
      </c>
      <c r="L34" s="28">
        <f>(L33*L30)/0.866</f>
        <v>0</v>
      </c>
      <c r="M34" s="28">
        <v>6985.7921478060034</v>
      </c>
      <c r="N34" s="28">
        <f>(N33*N30)/0.866</f>
        <v>7117.066974595843</v>
      </c>
      <c r="O34" s="28">
        <v>6687.344110854503</v>
      </c>
      <c r="P34" s="28">
        <f t="shared" si="2"/>
        <v>0</v>
      </c>
      <c r="Q34" s="28">
        <v>6386.9653579676669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>
        <v>0.8</v>
      </c>
      <c r="G35" s="20">
        <v>0.83</v>
      </c>
      <c r="H35" s="21"/>
      <c r="I35" s="21">
        <v>0.81</v>
      </c>
      <c r="J35" s="20"/>
      <c r="K35" s="20">
        <v>0.8</v>
      </c>
      <c r="L35" s="21"/>
      <c r="M35" s="21">
        <v>0.79</v>
      </c>
      <c r="N35" s="20">
        <v>0.8</v>
      </c>
      <c r="O35" s="20">
        <v>0.77</v>
      </c>
      <c r="P35" s="21"/>
      <c r="Q35" s="21">
        <v>0.8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>
        <v>34.200000000000003</v>
      </c>
      <c r="G36" s="20">
        <v>36.200000000000003</v>
      </c>
      <c r="H36" s="21"/>
      <c r="I36" s="21">
        <v>36.200000000000003</v>
      </c>
      <c r="J36" s="20"/>
      <c r="K36" s="20">
        <v>35.9</v>
      </c>
      <c r="L36" s="21"/>
      <c r="M36" s="21">
        <v>36</v>
      </c>
      <c r="N36" s="20">
        <v>33.799999999999997</v>
      </c>
      <c r="O36" s="20">
        <v>35.299999999999997</v>
      </c>
      <c r="P36" s="21"/>
      <c r="Q36" s="21">
        <v>35.799999999999997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>
        <v>34.799999999999997</v>
      </c>
      <c r="G37" s="20">
        <v>36.700000000000003</v>
      </c>
      <c r="H37" s="21"/>
      <c r="I37" s="21">
        <v>36</v>
      </c>
      <c r="J37" s="20"/>
      <c r="K37" s="20">
        <v>35.6</v>
      </c>
      <c r="L37" s="21"/>
      <c r="M37" s="21">
        <v>35.4</v>
      </c>
      <c r="N37" s="20">
        <v>34.4</v>
      </c>
      <c r="O37" s="20">
        <v>34.6</v>
      </c>
      <c r="P37" s="21"/>
      <c r="Q37" s="21">
        <v>35.6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1.5999999999999943</v>
      </c>
      <c r="G38" s="27">
        <v>2.3000000000000043</v>
      </c>
      <c r="H38" s="27">
        <v>1</v>
      </c>
      <c r="I38" s="27">
        <v>3.7000000000000028</v>
      </c>
      <c r="J38" s="27">
        <f t="shared" ref="J38:P38" si="3">J37-J41</f>
        <v>0</v>
      </c>
      <c r="K38" s="27">
        <v>2.8000000000000043</v>
      </c>
      <c r="L38" s="27">
        <f>L37-L41</f>
        <v>0</v>
      </c>
      <c r="M38" s="27">
        <v>2.8999999999999986</v>
      </c>
      <c r="N38" s="27">
        <f>N37-N41</f>
        <v>1.6000000000000014</v>
      </c>
      <c r="O38" s="27">
        <v>2.3999999999999986</v>
      </c>
      <c r="P38" s="27">
        <f t="shared" si="3"/>
        <v>0</v>
      </c>
      <c r="Q38" s="27">
        <v>2.8999999999999986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>
        <v>27.5</v>
      </c>
      <c r="G40" s="20">
        <v>29.2</v>
      </c>
      <c r="H40" s="21"/>
      <c r="I40" s="21">
        <v>27.3</v>
      </c>
      <c r="J40" s="20"/>
      <c r="K40" s="20">
        <v>27.4</v>
      </c>
      <c r="L40" s="21"/>
      <c r="M40" s="21">
        <v>27.1</v>
      </c>
      <c r="N40" s="20">
        <v>27.4</v>
      </c>
      <c r="O40" s="20">
        <v>27.2</v>
      </c>
      <c r="P40" s="21"/>
      <c r="Q40" s="21">
        <v>27.5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>
        <v>33.200000000000003</v>
      </c>
      <c r="G41" s="20">
        <v>34.4</v>
      </c>
      <c r="H41" s="21"/>
      <c r="I41" s="21">
        <v>32.299999999999997</v>
      </c>
      <c r="J41" s="20"/>
      <c r="K41" s="20">
        <v>32.799999999999997</v>
      </c>
      <c r="L41" s="21"/>
      <c r="M41" s="21">
        <v>32.5</v>
      </c>
      <c r="N41" s="20">
        <v>32.799999999999997</v>
      </c>
      <c r="O41" s="20">
        <v>32.200000000000003</v>
      </c>
      <c r="P41" s="21"/>
      <c r="Q41" s="21">
        <v>32.700000000000003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5.7000000000000028</v>
      </c>
      <c r="G42" s="27">
        <v>5.1999999999999993</v>
      </c>
      <c r="H42" s="27">
        <f t="shared" ref="H42:P42" si="4">H41-H40</f>
        <v>0</v>
      </c>
      <c r="I42" s="27">
        <v>4.9999999999999964</v>
      </c>
      <c r="J42" s="27">
        <f t="shared" si="4"/>
        <v>0</v>
      </c>
      <c r="K42" s="27">
        <v>5.3999999999999986</v>
      </c>
      <c r="L42" s="27">
        <f>L41-L40</f>
        <v>0</v>
      </c>
      <c r="M42" s="27">
        <v>5.3999999999999986</v>
      </c>
      <c r="N42" s="27">
        <f>N41-N40</f>
        <v>5.3999999999999986</v>
      </c>
      <c r="O42" s="27">
        <v>5.0000000000000036</v>
      </c>
      <c r="P42" s="27">
        <f t="shared" si="4"/>
        <v>0</v>
      </c>
      <c r="Q42" s="27">
        <v>5.2000000000000028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>
        <v>1295.0999999999999</v>
      </c>
      <c r="G43" s="20">
        <v>1301.1600000000001</v>
      </c>
      <c r="H43" s="21"/>
      <c r="I43" s="21">
        <v>1296.4000000000001</v>
      </c>
      <c r="J43" s="20"/>
      <c r="K43" s="20">
        <v>1295</v>
      </c>
      <c r="L43" s="21"/>
      <c r="M43" s="20">
        <v>1299.2</v>
      </c>
      <c r="N43" s="20">
        <v>1297.5</v>
      </c>
      <c r="O43" s="20">
        <v>1291.3599999999999</v>
      </c>
      <c r="P43" s="21"/>
      <c r="Q43" s="21">
        <v>1293.5999999999999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8524.3302540415752</v>
      </c>
      <c r="G44" s="28">
        <v>7812.9699769053113</v>
      </c>
      <c r="H44" s="28">
        <f t="shared" ref="H44:P44" si="5">H42*H43/0.866</f>
        <v>0</v>
      </c>
      <c r="I44" s="28">
        <v>7484.9884526558835</v>
      </c>
      <c r="J44" s="28">
        <f t="shared" si="5"/>
        <v>0</v>
      </c>
      <c r="K44" s="28">
        <v>8075.0577367205524</v>
      </c>
      <c r="L44" s="28">
        <f>L42*L43/0.866</f>
        <v>0</v>
      </c>
      <c r="M44" s="28">
        <v>8101.2471131639704</v>
      </c>
      <c r="N44" s="28">
        <f>N42*N43/0.866</f>
        <v>8090.6466512702054</v>
      </c>
      <c r="O44" s="28">
        <v>7455.8891454965406</v>
      </c>
      <c r="P44" s="28">
        <f t="shared" si="5"/>
        <v>0</v>
      </c>
      <c r="Q44" s="28">
        <v>7767.5750577367244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>
        <v>0.44</v>
      </c>
      <c r="G45" s="20">
        <v>0.47</v>
      </c>
      <c r="H45" s="21"/>
      <c r="I45" s="21">
        <v>0.45</v>
      </c>
      <c r="J45" s="20"/>
      <c r="K45" s="20">
        <v>0.46</v>
      </c>
      <c r="L45" s="21"/>
      <c r="M45" s="21">
        <v>0.46</v>
      </c>
      <c r="N45" s="20">
        <v>0.43</v>
      </c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>
        <v>18.399999999999999</v>
      </c>
      <c r="G46" s="20">
        <v>20.100000000000001</v>
      </c>
      <c r="H46" s="21"/>
      <c r="I46" s="21">
        <v>19.100000000000001</v>
      </c>
      <c r="J46" s="20"/>
      <c r="K46" s="20">
        <v>19.2</v>
      </c>
      <c r="L46" s="21"/>
      <c r="M46" s="21">
        <v>19.600000000000001</v>
      </c>
      <c r="N46" s="20">
        <v>17.899999999999999</v>
      </c>
      <c r="O46" s="20">
        <v>19.100000000000001</v>
      </c>
      <c r="P46" s="21"/>
      <c r="Q46" s="21">
        <v>20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>
        <v>207.5</v>
      </c>
      <c r="G47" s="20">
        <v>189.3</v>
      </c>
      <c r="H47" s="21"/>
      <c r="I47" s="21">
        <v>132.19999999999999</v>
      </c>
      <c r="J47" s="20"/>
      <c r="K47" s="20">
        <v>207.1</v>
      </c>
      <c r="L47" s="21"/>
      <c r="M47" s="21">
        <v>219.1</v>
      </c>
      <c r="N47" s="20">
        <v>158.9</v>
      </c>
      <c r="O47" s="20">
        <v>162.5</v>
      </c>
      <c r="P47" s="21"/>
      <c r="Q47" s="21">
        <v>195.8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93">
        <v>5.89</v>
      </c>
      <c r="F49" s="20">
        <v>6.18</v>
      </c>
      <c r="G49" s="20">
        <v>5.77</v>
      </c>
      <c r="H49" s="21"/>
      <c r="I49" s="21">
        <v>5.57</v>
      </c>
      <c r="J49" s="20"/>
      <c r="K49" s="20">
        <v>5.64</v>
      </c>
      <c r="L49" s="21"/>
      <c r="M49" s="21">
        <v>5.7</v>
      </c>
      <c r="N49" s="20">
        <v>5.96</v>
      </c>
      <c r="O49" s="20">
        <v>5.8</v>
      </c>
      <c r="P49" s="21"/>
      <c r="Q49" s="21">
        <v>5.57</v>
      </c>
    </row>
    <row r="50" spans="2:17" ht="20.100000000000001" customHeight="1">
      <c r="B50" s="94" t="s">
        <v>91</v>
      </c>
      <c r="C50" s="94"/>
      <c r="D50" s="94"/>
      <c r="E50" s="93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92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9"/>
  <sheetViews>
    <sheetView view="pageBreakPreview" zoomScale="80" zoomScaleNormal="60" zoomScaleSheetLayoutView="80" workbookViewId="0">
      <selection activeCell="K16" sqref="K16"/>
    </sheetView>
  </sheetViews>
  <sheetFormatPr defaultColWidth="9" defaultRowHeight="15"/>
  <cols>
    <col min="1" max="1" width="3.85546875" customWidth="1"/>
    <col min="2" max="2" width="25.85546875" customWidth="1"/>
    <col min="3" max="3" width="60.5703125" customWidth="1"/>
    <col min="4" max="4" width="20.5703125" customWidth="1"/>
    <col min="5" max="5" width="22.7109375" customWidth="1"/>
    <col min="6" max="17" width="14.7109375" customWidth="1"/>
  </cols>
  <sheetData>
    <row r="1" spans="2:17" ht="15.75" thickBot="1"/>
    <row r="2" spans="2:17" ht="15.75" thickBot="1">
      <c r="B2" s="95"/>
      <c r="C2" s="98" t="s">
        <v>0</v>
      </c>
      <c r="D2" s="99"/>
      <c r="E2" s="99"/>
      <c r="F2" s="99"/>
      <c r="G2" s="99"/>
      <c r="H2" s="99"/>
      <c r="I2" s="99"/>
      <c r="J2" s="99"/>
      <c r="K2" s="99"/>
      <c r="L2" s="99"/>
      <c r="M2" s="100"/>
      <c r="N2" s="1" t="s">
        <v>1</v>
      </c>
      <c r="O2" s="2"/>
      <c r="P2" s="2"/>
      <c r="Q2" s="3"/>
    </row>
    <row r="3" spans="2:17" ht="15.75" thickBot="1">
      <c r="B3" s="96"/>
      <c r="C3" s="101"/>
      <c r="D3" s="102"/>
      <c r="E3" s="102"/>
      <c r="F3" s="102"/>
      <c r="G3" s="102"/>
      <c r="H3" s="102"/>
      <c r="I3" s="102"/>
      <c r="J3" s="102"/>
      <c r="K3" s="102"/>
      <c r="L3" s="102"/>
      <c r="M3" s="103"/>
      <c r="N3" s="4" t="s">
        <v>2</v>
      </c>
      <c r="O3" s="5" t="s">
        <v>3</v>
      </c>
      <c r="P3" s="5"/>
      <c r="Q3" s="6"/>
    </row>
    <row r="4" spans="2:17" ht="15.75" thickBot="1">
      <c r="B4" s="96"/>
      <c r="C4" s="101"/>
      <c r="D4" s="102"/>
      <c r="E4" s="102"/>
      <c r="F4" s="102"/>
      <c r="G4" s="102"/>
      <c r="H4" s="102"/>
      <c r="I4" s="102"/>
      <c r="J4" s="102"/>
      <c r="K4" s="102"/>
      <c r="L4" s="102"/>
      <c r="M4" s="103"/>
      <c r="N4" s="4" t="s">
        <v>4</v>
      </c>
      <c r="O4" s="5"/>
      <c r="P4" s="5"/>
      <c r="Q4" s="6"/>
    </row>
    <row r="5" spans="2:17" ht="15.75" thickBot="1">
      <c r="B5" s="97"/>
      <c r="C5" s="104"/>
      <c r="D5" s="105"/>
      <c r="E5" s="105"/>
      <c r="F5" s="105"/>
      <c r="G5" s="105"/>
      <c r="H5" s="105"/>
      <c r="I5" s="105"/>
      <c r="J5" s="105"/>
      <c r="K5" s="105"/>
      <c r="L5" s="105"/>
      <c r="M5" s="106"/>
      <c r="N5" s="7" t="s">
        <v>5</v>
      </c>
      <c r="O5" s="8"/>
      <c r="P5" s="8"/>
      <c r="Q5" s="9"/>
    </row>
    <row r="7" spans="2:17">
      <c r="B7" s="107" t="s">
        <v>6</v>
      </c>
      <c r="C7" s="108"/>
      <c r="D7" s="109">
        <v>45838</v>
      </c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1"/>
    </row>
    <row r="8" spans="2:17">
      <c r="B8" s="94" t="s">
        <v>7</v>
      </c>
      <c r="C8" s="94"/>
      <c r="D8" s="94"/>
      <c r="E8" s="112" t="s">
        <v>8</v>
      </c>
      <c r="F8" s="114" t="s">
        <v>9</v>
      </c>
      <c r="G8" s="114"/>
      <c r="H8" s="115" t="s">
        <v>10</v>
      </c>
      <c r="I8" s="115"/>
      <c r="J8" s="114" t="s">
        <v>11</v>
      </c>
      <c r="K8" s="114"/>
      <c r="L8" s="115" t="s">
        <v>12</v>
      </c>
      <c r="M8" s="115"/>
      <c r="N8" s="114" t="s">
        <v>13</v>
      </c>
      <c r="O8" s="114"/>
      <c r="P8" s="115" t="s">
        <v>14</v>
      </c>
      <c r="Q8" s="115"/>
    </row>
    <row r="9" spans="2:17">
      <c r="B9" s="107" t="s">
        <v>15</v>
      </c>
      <c r="C9" s="116"/>
      <c r="D9" s="108"/>
      <c r="E9" s="113"/>
      <c r="F9" s="10">
        <v>0.375</v>
      </c>
      <c r="G9" s="11" t="s">
        <v>16</v>
      </c>
      <c r="H9" s="12">
        <v>0.375</v>
      </c>
      <c r="I9" s="13" t="s">
        <v>16</v>
      </c>
      <c r="J9" s="10">
        <v>0.375</v>
      </c>
      <c r="K9" s="11" t="s">
        <v>16</v>
      </c>
      <c r="L9" s="12">
        <v>0.375</v>
      </c>
      <c r="M9" s="13" t="s">
        <v>16</v>
      </c>
      <c r="N9" s="10">
        <v>0.375</v>
      </c>
      <c r="O9" s="11" t="s">
        <v>16</v>
      </c>
      <c r="P9" s="12">
        <v>0.375</v>
      </c>
      <c r="Q9" s="13" t="s">
        <v>16</v>
      </c>
    </row>
    <row r="10" spans="2:17" ht="26.25" customHeight="1">
      <c r="B10" s="117" t="s">
        <v>17</v>
      </c>
      <c r="C10" s="118"/>
      <c r="D10" s="91" t="s">
        <v>18</v>
      </c>
      <c r="E10" s="15"/>
      <c r="F10" s="16"/>
      <c r="G10" s="17" t="s">
        <v>19</v>
      </c>
      <c r="H10" s="18" t="s">
        <v>19</v>
      </c>
      <c r="I10" s="18" t="s">
        <v>19</v>
      </c>
      <c r="J10" s="17"/>
      <c r="K10" s="17" t="s">
        <v>19</v>
      </c>
      <c r="L10" s="18"/>
      <c r="M10" s="18" t="s">
        <v>19</v>
      </c>
      <c r="N10" s="17" t="s">
        <v>19</v>
      </c>
      <c r="O10" s="17" t="s">
        <v>19</v>
      </c>
      <c r="P10" s="18"/>
      <c r="Q10" s="18" t="s">
        <v>19</v>
      </c>
    </row>
    <row r="11" spans="2:17" ht="20.100000000000001" customHeight="1">
      <c r="B11" s="94" t="s">
        <v>20</v>
      </c>
      <c r="C11" s="94"/>
      <c r="D11" s="19" t="s">
        <v>21</v>
      </c>
      <c r="E11" s="19" t="s">
        <v>22</v>
      </c>
      <c r="F11" s="20"/>
      <c r="G11" s="20">
        <v>70.5</v>
      </c>
      <c r="H11" s="21">
        <v>70.599999999999994</v>
      </c>
      <c r="I11" s="21">
        <v>82.5</v>
      </c>
      <c r="J11" s="20"/>
      <c r="K11" s="20">
        <v>74.900000000000006</v>
      </c>
      <c r="L11" s="21"/>
      <c r="M11" s="21">
        <v>77.2</v>
      </c>
      <c r="N11" s="20">
        <v>79</v>
      </c>
      <c r="O11" s="20">
        <v>76.5</v>
      </c>
      <c r="P11" s="21"/>
      <c r="Q11" s="21">
        <v>73.3</v>
      </c>
    </row>
    <row r="12" spans="2:17" ht="20.100000000000001" customHeight="1">
      <c r="B12" s="94" t="s">
        <v>23</v>
      </c>
      <c r="C12" s="94"/>
      <c r="D12" s="19" t="s">
        <v>21</v>
      </c>
      <c r="E12" s="19" t="s">
        <v>22</v>
      </c>
      <c r="F12" s="20"/>
      <c r="G12" s="20">
        <v>0.8</v>
      </c>
      <c r="H12" s="21">
        <v>0.6</v>
      </c>
      <c r="I12" s="21">
        <v>0</v>
      </c>
      <c r="J12" s="20"/>
      <c r="K12" s="20">
        <v>0</v>
      </c>
      <c r="L12" s="21"/>
      <c r="M12" s="21">
        <v>0.1</v>
      </c>
      <c r="N12" s="20">
        <v>0</v>
      </c>
      <c r="O12" s="20">
        <v>0</v>
      </c>
      <c r="P12" s="21"/>
      <c r="Q12" s="21">
        <v>0</v>
      </c>
    </row>
    <row r="13" spans="2:17" ht="20.100000000000001" customHeight="1">
      <c r="B13" s="94" t="s">
        <v>24</v>
      </c>
      <c r="C13" s="94"/>
      <c r="D13" s="19" t="s">
        <v>21</v>
      </c>
      <c r="E13" s="19" t="s">
        <v>22</v>
      </c>
      <c r="F13" s="20"/>
      <c r="G13" s="20">
        <v>65.2</v>
      </c>
      <c r="H13" s="21">
        <v>63.9</v>
      </c>
      <c r="I13" s="21">
        <v>79.2</v>
      </c>
      <c r="J13" s="20"/>
      <c r="K13" s="20">
        <v>69.2</v>
      </c>
      <c r="L13" s="21"/>
      <c r="M13" s="21">
        <v>72.5</v>
      </c>
      <c r="N13" s="20">
        <v>46.8</v>
      </c>
      <c r="O13" s="20">
        <v>71.099999999999994</v>
      </c>
      <c r="P13" s="21"/>
      <c r="Q13" s="21">
        <v>67.400000000000006</v>
      </c>
    </row>
    <row r="14" spans="2:17" ht="20.100000000000001" customHeight="1">
      <c r="B14" s="94" t="s">
        <v>25</v>
      </c>
      <c r="C14" s="94"/>
      <c r="D14" s="19" t="s">
        <v>21</v>
      </c>
      <c r="E14" s="19" t="s">
        <v>22</v>
      </c>
      <c r="F14" s="20"/>
      <c r="G14" s="20">
        <v>69</v>
      </c>
      <c r="H14" s="21">
        <v>69.8</v>
      </c>
      <c r="I14" s="21">
        <v>69.7</v>
      </c>
      <c r="J14" s="20"/>
      <c r="K14" s="20">
        <v>65.2</v>
      </c>
      <c r="L14" s="21"/>
      <c r="M14" s="21">
        <v>69.400000000000006</v>
      </c>
      <c r="N14" s="20">
        <v>76.599999999999994</v>
      </c>
      <c r="O14" s="20">
        <v>73.599999999999994</v>
      </c>
      <c r="P14" s="21"/>
      <c r="Q14" s="21">
        <v>71.2</v>
      </c>
    </row>
    <row r="15" spans="2:17" ht="20.100000000000001" customHeight="1">
      <c r="B15" s="94" t="s">
        <v>26</v>
      </c>
      <c r="C15" s="94"/>
      <c r="D15" s="19" t="s">
        <v>21</v>
      </c>
      <c r="E15" s="19" t="s">
        <v>22</v>
      </c>
      <c r="F15" s="20"/>
      <c r="G15" s="20">
        <v>39.299999999999997</v>
      </c>
      <c r="H15" s="21">
        <v>37.9</v>
      </c>
      <c r="I15" s="21">
        <v>55.6</v>
      </c>
      <c r="J15" s="20"/>
      <c r="K15" s="20">
        <v>41.7</v>
      </c>
      <c r="L15" s="21"/>
      <c r="M15" s="21">
        <v>37.1</v>
      </c>
      <c r="N15" s="20">
        <v>58.7</v>
      </c>
      <c r="O15" s="20">
        <v>58.3</v>
      </c>
      <c r="P15" s="21"/>
      <c r="Q15" s="21">
        <v>64.5</v>
      </c>
    </row>
    <row r="16" spans="2:17" ht="20.100000000000001" customHeight="1">
      <c r="B16" s="114" t="s">
        <v>27</v>
      </c>
      <c r="C16" s="22" t="s">
        <v>28</v>
      </c>
      <c r="D16" s="19" t="s">
        <v>29</v>
      </c>
      <c r="E16" s="19" t="s">
        <v>30</v>
      </c>
      <c r="F16" s="20"/>
      <c r="G16" s="20">
        <v>6.6</v>
      </c>
      <c r="H16" s="21">
        <v>6.6</v>
      </c>
      <c r="I16" s="21">
        <v>6.6</v>
      </c>
      <c r="J16" s="20"/>
      <c r="K16" s="20">
        <v>6.6</v>
      </c>
      <c r="L16" s="21"/>
      <c r="M16" s="21">
        <v>6.6</v>
      </c>
      <c r="N16" s="20">
        <v>6.6</v>
      </c>
      <c r="O16" s="20">
        <v>6.6</v>
      </c>
      <c r="P16" s="21"/>
      <c r="Q16" s="21">
        <v>6.6</v>
      </c>
    </row>
    <row r="17" spans="2:17" ht="20.100000000000001" customHeight="1">
      <c r="B17" s="114"/>
      <c r="C17" s="22" t="s">
        <v>31</v>
      </c>
      <c r="D17" s="19" t="s">
        <v>32</v>
      </c>
      <c r="E17" s="19" t="s">
        <v>33</v>
      </c>
      <c r="F17" s="20"/>
      <c r="G17" s="20">
        <v>116.5</v>
      </c>
      <c r="H17" s="21">
        <v>117.1</v>
      </c>
      <c r="I17" s="21">
        <v>119.8</v>
      </c>
      <c r="J17" s="20"/>
      <c r="K17" s="20">
        <v>117.4</v>
      </c>
      <c r="L17" s="21"/>
      <c r="M17" s="21">
        <v>118.6</v>
      </c>
      <c r="N17" s="20">
        <v>118.3</v>
      </c>
      <c r="O17" s="20">
        <v>119.5</v>
      </c>
      <c r="P17" s="21"/>
      <c r="Q17" s="21">
        <v>117.4</v>
      </c>
    </row>
    <row r="18" spans="2:17" ht="20.100000000000001" customHeight="1">
      <c r="B18" s="114"/>
      <c r="C18" s="22" t="s">
        <v>34</v>
      </c>
      <c r="D18" s="19" t="s">
        <v>35</v>
      </c>
      <c r="E18" s="19" t="s">
        <v>36</v>
      </c>
      <c r="F18" s="20"/>
      <c r="G18" s="20">
        <v>1141</v>
      </c>
      <c r="H18" s="21">
        <v>1147</v>
      </c>
      <c r="I18" s="21">
        <v>1211</v>
      </c>
      <c r="J18" s="20"/>
      <c r="K18" s="20">
        <v>1179</v>
      </c>
      <c r="L18" s="21"/>
      <c r="M18" s="21">
        <v>1202</v>
      </c>
      <c r="N18" s="20">
        <v>1201</v>
      </c>
      <c r="O18" s="20">
        <v>1194</v>
      </c>
      <c r="P18" s="21"/>
      <c r="Q18" s="21">
        <v>1182</v>
      </c>
    </row>
    <row r="19" spans="2:17" ht="20.100000000000001" customHeight="1">
      <c r="B19" s="114" t="s">
        <v>37</v>
      </c>
      <c r="C19" s="22" t="s">
        <v>38</v>
      </c>
      <c r="D19" s="19" t="s">
        <v>39</v>
      </c>
      <c r="E19" s="23" t="s">
        <v>40</v>
      </c>
      <c r="F19" s="20"/>
      <c r="G19" s="20">
        <v>51016.3</v>
      </c>
      <c r="H19" s="21">
        <v>50990</v>
      </c>
      <c r="I19" s="21">
        <v>51887.4</v>
      </c>
      <c r="J19" s="20"/>
      <c r="K19" s="20">
        <v>49975.7</v>
      </c>
      <c r="L19" s="21"/>
      <c r="M19" s="21">
        <v>52433.2</v>
      </c>
      <c r="N19" s="20">
        <v>51556.9</v>
      </c>
      <c r="O19" s="20">
        <v>51580.9</v>
      </c>
      <c r="P19" s="21"/>
      <c r="Q19" s="21">
        <v>51276.4</v>
      </c>
    </row>
    <row r="20" spans="2:17" ht="20.100000000000001" customHeight="1">
      <c r="B20" s="114"/>
      <c r="C20" s="22" t="s">
        <v>41</v>
      </c>
      <c r="D20" s="19" t="s">
        <v>42</v>
      </c>
      <c r="E20" s="19" t="s">
        <v>43</v>
      </c>
      <c r="F20" s="20"/>
      <c r="G20" s="20"/>
      <c r="H20" s="21"/>
      <c r="I20" s="21"/>
      <c r="J20" s="20"/>
      <c r="K20" s="20"/>
      <c r="L20" s="21"/>
      <c r="M20" s="21"/>
      <c r="N20" s="20"/>
      <c r="O20" s="20"/>
      <c r="P20" s="21"/>
      <c r="Q20" s="21"/>
    </row>
    <row r="21" spans="2:17" ht="20.100000000000001" customHeight="1">
      <c r="B21" s="114"/>
      <c r="C21" s="22" t="s">
        <v>44</v>
      </c>
      <c r="D21" s="19" t="s">
        <v>42</v>
      </c>
      <c r="E21" s="19" t="s">
        <v>45</v>
      </c>
      <c r="F21" s="20"/>
      <c r="G21" s="20"/>
      <c r="H21" s="21"/>
      <c r="I21" s="21"/>
      <c r="J21" s="20"/>
      <c r="K21" s="20"/>
      <c r="L21" s="21"/>
      <c r="M21" s="21"/>
      <c r="N21" s="20"/>
      <c r="O21" s="20"/>
      <c r="P21" s="21"/>
      <c r="Q21" s="21"/>
    </row>
    <row r="22" spans="2:17" ht="20.100000000000001" customHeight="1">
      <c r="B22" s="114"/>
      <c r="C22" s="22" t="s">
        <v>46</v>
      </c>
      <c r="D22" s="19" t="s">
        <v>42</v>
      </c>
      <c r="E22" s="19" t="s">
        <v>47</v>
      </c>
      <c r="F22" s="20"/>
      <c r="G22" s="20">
        <v>59.1</v>
      </c>
      <c r="H22" s="21">
        <v>58</v>
      </c>
      <c r="I22" s="21">
        <v>59.5</v>
      </c>
      <c r="J22" s="20"/>
      <c r="K22" s="20">
        <v>57.8</v>
      </c>
      <c r="L22" s="21"/>
      <c r="M22" s="21">
        <v>57.6</v>
      </c>
      <c r="N22" s="20">
        <v>58.3</v>
      </c>
      <c r="O22" s="20">
        <v>58.3</v>
      </c>
      <c r="P22" s="21"/>
      <c r="Q22" s="21">
        <v>60.4</v>
      </c>
    </row>
    <row r="23" spans="2:17" ht="60">
      <c r="B23" s="114"/>
      <c r="C23" s="24" t="s">
        <v>48</v>
      </c>
      <c r="D23" s="20" t="s">
        <v>49</v>
      </c>
      <c r="E23" s="25" t="s">
        <v>50</v>
      </c>
      <c r="F23" s="20"/>
      <c r="G23" s="20">
        <v>0.52</v>
      </c>
      <c r="H23" s="21">
        <v>0.53</v>
      </c>
      <c r="I23" s="21">
        <v>0.49</v>
      </c>
      <c r="J23" s="20"/>
      <c r="K23" s="20">
        <v>0.59</v>
      </c>
      <c r="L23" s="21"/>
      <c r="M23" s="21">
        <v>0.59</v>
      </c>
      <c r="N23" s="20">
        <v>0.48</v>
      </c>
      <c r="O23" s="20">
        <v>0.47</v>
      </c>
      <c r="P23" s="21"/>
      <c r="Q23" s="21">
        <v>0.49</v>
      </c>
    </row>
    <row r="24" spans="2:17" ht="39.75" customHeight="1">
      <c r="B24" s="114"/>
      <c r="C24" s="24" t="s">
        <v>51</v>
      </c>
      <c r="D24" s="19"/>
      <c r="E24" s="19"/>
      <c r="F24" s="20"/>
      <c r="G24" s="20"/>
      <c r="H24" s="21"/>
      <c r="I24" s="21"/>
      <c r="J24" s="20"/>
      <c r="K24" s="20"/>
      <c r="L24" s="20"/>
      <c r="M24" s="21"/>
      <c r="N24" s="20"/>
      <c r="O24" s="20"/>
      <c r="P24" s="21"/>
      <c r="Q24" s="21"/>
    </row>
    <row r="25" spans="2:17" ht="20.100000000000001" customHeight="1">
      <c r="B25" s="114"/>
      <c r="C25" s="22" t="s">
        <v>52</v>
      </c>
      <c r="D25" s="19" t="s">
        <v>42</v>
      </c>
      <c r="E25" s="19" t="s">
        <v>53</v>
      </c>
      <c r="F25" s="20"/>
      <c r="G25" s="20">
        <v>45.7</v>
      </c>
      <c r="H25" s="21">
        <v>45.1</v>
      </c>
      <c r="I25" s="21">
        <v>44.9</v>
      </c>
      <c r="J25" s="20"/>
      <c r="K25" s="20">
        <v>44.8</v>
      </c>
      <c r="L25" s="21"/>
      <c r="M25" s="21">
        <v>44.8</v>
      </c>
      <c r="N25" s="20">
        <v>45.1</v>
      </c>
      <c r="O25" s="20">
        <v>44.6</v>
      </c>
      <c r="P25" s="21"/>
      <c r="Q25" s="21">
        <v>45.6</v>
      </c>
    </row>
    <row r="26" spans="2:17" ht="20.100000000000001" customHeight="1">
      <c r="B26" s="114" t="s">
        <v>54</v>
      </c>
      <c r="C26" s="22" t="s">
        <v>55</v>
      </c>
      <c r="D26" s="19" t="s">
        <v>49</v>
      </c>
      <c r="E26" s="26" t="s">
        <v>56</v>
      </c>
      <c r="F26" s="20"/>
      <c r="G26" s="20">
        <v>0.24</v>
      </c>
      <c r="H26" s="21">
        <v>0.23</v>
      </c>
      <c r="I26" s="21">
        <v>0.22</v>
      </c>
      <c r="J26" s="20"/>
      <c r="K26" s="20">
        <v>0.23</v>
      </c>
      <c r="L26" s="21"/>
      <c r="M26" s="21">
        <v>0.22</v>
      </c>
      <c r="N26" s="20">
        <v>0.22</v>
      </c>
      <c r="O26" s="20">
        <v>0.22</v>
      </c>
      <c r="P26" s="21"/>
      <c r="Q26" s="21">
        <v>0.23</v>
      </c>
    </row>
    <row r="27" spans="2:17" ht="20.100000000000001" customHeight="1">
      <c r="B27" s="114"/>
      <c r="C27" s="22" t="s">
        <v>57</v>
      </c>
      <c r="D27" s="19" t="s">
        <v>42</v>
      </c>
      <c r="E27" s="19" t="s">
        <v>43</v>
      </c>
      <c r="F27" s="20"/>
      <c r="G27" s="20">
        <v>4.3</v>
      </c>
      <c r="H27" s="21">
        <v>4.3</v>
      </c>
      <c r="I27" s="21">
        <v>3.3</v>
      </c>
      <c r="J27" s="20"/>
      <c r="K27" s="20">
        <v>3.9</v>
      </c>
      <c r="L27" s="21"/>
      <c r="M27" s="21">
        <v>4</v>
      </c>
      <c r="N27" s="20">
        <v>3.9</v>
      </c>
      <c r="O27" s="20">
        <v>4.2</v>
      </c>
      <c r="P27" s="21"/>
      <c r="Q27" s="21">
        <v>4.7</v>
      </c>
    </row>
    <row r="28" spans="2:17" ht="20.100000000000001" customHeight="1">
      <c r="B28" s="114"/>
      <c r="C28" s="22" t="s">
        <v>58</v>
      </c>
      <c r="D28" s="19" t="s">
        <v>42</v>
      </c>
      <c r="E28" s="19" t="s">
        <v>43</v>
      </c>
      <c r="F28" s="20"/>
      <c r="G28" s="20">
        <v>3.9</v>
      </c>
      <c r="H28" s="21">
        <v>3.9</v>
      </c>
      <c r="I28" s="21">
        <v>2.2999999999999998</v>
      </c>
      <c r="J28" s="20"/>
      <c r="K28" s="20">
        <v>3.3</v>
      </c>
      <c r="L28" s="21"/>
      <c r="M28" s="21">
        <v>3</v>
      </c>
      <c r="N28" s="20">
        <v>2.8</v>
      </c>
      <c r="O28" s="20">
        <v>2.9</v>
      </c>
      <c r="P28" s="21"/>
      <c r="Q28" s="21">
        <v>3.7</v>
      </c>
    </row>
    <row r="29" spans="2:17" ht="20.100000000000001" customHeight="1">
      <c r="B29" s="114"/>
      <c r="C29" s="22" t="s">
        <v>59</v>
      </c>
      <c r="D29" s="19" t="s">
        <v>42</v>
      </c>
      <c r="E29" s="19" t="s">
        <v>43</v>
      </c>
      <c r="F29" s="27">
        <f>F32-F28</f>
        <v>0</v>
      </c>
      <c r="G29" s="27">
        <f>G32-G28</f>
        <v>0.80000000000000027</v>
      </c>
      <c r="H29" s="27">
        <v>0.50000000000000044</v>
      </c>
      <c r="I29" s="27">
        <f t="shared" ref="I29:Q29" si="0">I32-I28</f>
        <v>2.2999999999999998</v>
      </c>
      <c r="J29" s="27">
        <f t="shared" si="0"/>
        <v>0</v>
      </c>
      <c r="K29" s="27">
        <f t="shared" si="0"/>
        <v>1.1000000000000005</v>
      </c>
      <c r="L29" s="27">
        <f>L32-L28</f>
        <v>0</v>
      </c>
      <c r="M29" s="27">
        <f>M32-M28</f>
        <v>1</v>
      </c>
      <c r="N29" s="27">
        <v>1.2999999999999998</v>
      </c>
      <c r="O29" s="27">
        <f>O32-O28</f>
        <v>1</v>
      </c>
      <c r="P29" s="27">
        <f t="shared" si="0"/>
        <v>0</v>
      </c>
      <c r="Q29" s="27">
        <f t="shared" si="0"/>
        <v>0.89999999999999947</v>
      </c>
    </row>
    <row r="30" spans="2:17" ht="20.100000000000001" customHeight="1">
      <c r="B30" s="114"/>
      <c r="C30" s="22" t="s">
        <v>60</v>
      </c>
      <c r="D30" s="19" t="s">
        <v>61</v>
      </c>
      <c r="E30" s="19" t="s">
        <v>62</v>
      </c>
      <c r="F30" s="20"/>
      <c r="G30" s="20">
        <v>649.76</v>
      </c>
      <c r="H30" s="21">
        <v>628.88</v>
      </c>
      <c r="I30" s="21">
        <v>626.08000000000004</v>
      </c>
      <c r="J30" s="20"/>
      <c r="K30" s="20">
        <v>634.48</v>
      </c>
      <c r="L30" s="21"/>
      <c r="M30" s="21">
        <v>635.67999999999995</v>
      </c>
      <c r="N30" s="20">
        <v>635.4</v>
      </c>
      <c r="O30" s="20">
        <v>646.79999999999995</v>
      </c>
      <c r="P30" s="21"/>
      <c r="Q30" s="21">
        <v>627.6</v>
      </c>
    </row>
    <row r="31" spans="2:17" ht="20.100000000000001" customHeight="1">
      <c r="B31" s="114"/>
      <c r="C31" s="22" t="s">
        <v>63</v>
      </c>
      <c r="D31" s="19" t="s">
        <v>42</v>
      </c>
      <c r="E31" s="19">
        <v>13.5</v>
      </c>
      <c r="F31" s="20"/>
      <c r="G31" s="20">
        <v>13.5</v>
      </c>
      <c r="H31" s="21">
        <v>13.5</v>
      </c>
      <c r="I31" s="21">
        <v>13.7</v>
      </c>
      <c r="J31" s="20"/>
      <c r="K31" s="20">
        <v>13.5</v>
      </c>
      <c r="L31" s="21"/>
      <c r="M31" s="21">
        <v>13.6</v>
      </c>
      <c r="N31" s="20">
        <v>13.8</v>
      </c>
      <c r="O31" s="20">
        <v>13</v>
      </c>
      <c r="P31" s="21"/>
      <c r="Q31" s="21">
        <v>13.6</v>
      </c>
    </row>
    <row r="32" spans="2:17" ht="20.100000000000001" customHeight="1">
      <c r="B32" s="114"/>
      <c r="C32" s="22" t="s">
        <v>64</v>
      </c>
      <c r="D32" s="19" t="s">
        <v>42</v>
      </c>
      <c r="E32" s="19">
        <v>4</v>
      </c>
      <c r="F32" s="20"/>
      <c r="G32" s="20">
        <v>4.7</v>
      </c>
      <c r="H32" s="21">
        <v>4.4000000000000004</v>
      </c>
      <c r="I32" s="21">
        <v>4.5999999999999996</v>
      </c>
      <c r="J32" s="20"/>
      <c r="K32" s="20">
        <v>4.4000000000000004</v>
      </c>
      <c r="L32" s="21"/>
      <c r="M32" s="21">
        <v>4</v>
      </c>
      <c r="N32" s="20">
        <v>4.0999999999999996</v>
      </c>
      <c r="O32" s="20">
        <v>3.9</v>
      </c>
      <c r="P32" s="21"/>
      <c r="Q32" s="21">
        <v>4.5999999999999996</v>
      </c>
    </row>
    <row r="33" spans="2:17" ht="20.100000000000001" customHeight="1">
      <c r="B33" s="114"/>
      <c r="C33" s="22" t="s">
        <v>65</v>
      </c>
      <c r="D33" s="19" t="s">
        <v>42</v>
      </c>
      <c r="E33" s="19">
        <v>9.5</v>
      </c>
      <c r="F33" s="27">
        <f>F31-F32</f>
        <v>0</v>
      </c>
      <c r="G33" s="27">
        <f>G31-G32</f>
        <v>8.8000000000000007</v>
      </c>
      <c r="H33" s="27">
        <v>9.1</v>
      </c>
      <c r="I33" s="27">
        <f t="shared" ref="I33:Q33" si="1">I31-I32</f>
        <v>9.1</v>
      </c>
      <c r="J33" s="27">
        <f t="shared" si="1"/>
        <v>0</v>
      </c>
      <c r="K33" s="27">
        <f t="shared" si="1"/>
        <v>9.1</v>
      </c>
      <c r="L33" s="27">
        <f>L31-L32</f>
        <v>0</v>
      </c>
      <c r="M33" s="27">
        <f>M31-M32</f>
        <v>9.6</v>
      </c>
      <c r="N33" s="27">
        <v>9.7000000000000011</v>
      </c>
      <c r="O33" s="27">
        <f>O31-O32</f>
        <v>9.1</v>
      </c>
      <c r="P33" s="27">
        <f t="shared" si="1"/>
        <v>0</v>
      </c>
      <c r="Q33" s="27">
        <f t="shared" si="1"/>
        <v>9</v>
      </c>
    </row>
    <row r="34" spans="2:17" ht="20.100000000000001" customHeight="1">
      <c r="B34" s="114"/>
      <c r="C34" s="22" t="s">
        <v>66</v>
      </c>
      <c r="D34" s="19" t="s">
        <v>67</v>
      </c>
      <c r="E34" s="19" t="s">
        <v>68</v>
      </c>
      <c r="F34" s="28">
        <f>(F33*F30)/0.866</f>
        <v>0</v>
      </c>
      <c r="G34" s="28">
        <f>(G33*G30)/0.866</f>
        <v>6602.6420323325647</v>
      </c>
      <c r="H34" s="28">
        <v>6608.3233256351041</v>
      </c>
      <c r="I34" s="28">
        <f t="shared" ref="I34:Q34" si="2">(I33*I30)/0.866</f>
        <v>6578.900692840647</v>
      </c>
      <c r="J34" s="28">
        <f t="shared" si="2"/>
        <v>0</v>
      </c>
      <c r="K34" s="28">
        <f t="shared" si="2"/>
        <v>6667.1685912240182</v>
      </c>
      <c r="L34" s="28">
        <f>(L33*L30)/0.866</f>
        <v>0</v>
      </c>
      <c r="M34" s="28">
        <f>(M33*M30)/0.866</f>
        <v>7046.79907621247</v>
      </c>
      <c r="N34" s="28">
        <v>7117.066974595843</v>
      </c>
      <c r="O34" s="28">
        <f>(O33*O30)/0.866</f>
        <v>6796.6281755196296</v>
      </c>
      <c r="P34" s="28">
        <f t="shared" si="2"/>
        <v>0</v>
      </c>
      <c r="Q34" s="28">
        <f t="shared" si="2"/>
        <v>6522.4018475750581</v>
      </c>
    </row>
    <row r="35" spans="2:17" ht="20.100000000000001" customHeight="1">
      <c r="B35" s="114" t="s">
        <v>69</v>
      </c>
      <c r="C35" s="22" t="s">
        <v>70</v>
      </c>
      <c r="D35" s="19" t="s">
        <v>49</v>
      </c>
      <c r="E35" s="19" t="s">
        <v>71</v>
      </c>
      <c r="F35" s="20"/>
      <c r="G35" s="20">
        <v>0.81</v>
      </c>
      <c r="H35" s="21">
        <v>0.83</v>
      </c>
      <c r="I35" s="21">
        <v>0.83</v>
      </c>
      <c r="J35" s="20"/>
      <c r="K35" s="20">
        <v>0.82</v>
      </c>
      <c r="L35" s="21"/>
      <c r="M35" s="21">
        <v>0.82</v>
      </c>
      <c r="N35" s="20">
        <v>0.8</v>
      </c>
      <c r="O35" s="20">
        <v>0.79</v>
      </c>
      <c r="P35" s="21"/>
      <c r="Q35" s="21">
        <v>0.82</v>
      </c>
    </row>
    <row r="36" spans="2:17" ht="20.100000000000001" customHeight="1">
      <c r="B36" s="114"/>
      <c r="C36" s="22" t="s">
        <v>72</v>
      </c>
      <c r="D36" s="19" t="s">
        <v>42</v>
      </c>
      <c r="E36" s="19" t="s">
        <v>43</v>
      </c>
      <c r="F36" s="20"/>
      <c r="G36" s="20">
        <v>35.299999999999997</v>
      </c>
      <c r="H36" s="21">
        <v>36.200000000000003</v>
      </c>
      <c r="I36" s="21">
        <v>35.9</v>
      </c>
      <c r="J36" s="20"/>
      <c r="K36" s="20">
        <v>35.6</v>
      </c>
      <c r="L36" s="21"/>
      <c r="M36" s="21">
        <v>35.6</v>
      </c>
      <c r="N36" s="20">
        <v>33.799999999999997</v>
      </c>
      <c r="O36" s="20">
        <v>34.799999999999997</v>
      </c>
      <c r="P36" s="21"/>
      <c r="Q36" s="21">
        <v>34.5</v>
      </c>
    </row>
    <row r="37" spans="2:17" ht="20.100000000000001" customHeight="1">
      <c r="B37" s="114"/>
      <c r="C37" s="22" t="s">
        <v>73</v>
      </c>
      <c r="D37" s="19" t="s">
        <v>42</v>
      </c>
      <c r="E37" s="19" t="s">
        <v>43</v>
      </c>
      <c r="F37" s="20"/>
      <c r="G37" s="20">
        <v>35.9</v>
      </c>
      <c r="H37" s="21">
        <v>36.700000000000003</v>
      </c>
      <c r="I37" s="21">
        <v>36.9</v>
      </c>
      <c r="J37" s="20"/>
      <c r="K37" s="20">
        <v>36.4</v>
      </c>
      <c r="L37" s="21"/>
      <c r="M37" s="21">
        <v>36.299999999999997</v>
      </c>
      <c r="N37" s="20">
        <v>34.4</v>
      </c>
      <c r="O37" s="20">
        <v>35.4</v>
      </c>
      <c r="P37" s="21"/>
      <c r="Q37" s="21">
        <v>36.299999999999997</v>
      </c>
    </row>
    <row r="38" spans="2:17" ht="20.100000000000001" customHeight="1">
      <c r="B38" s="114"/>
      <c r="C38" s="24" t="s">
        <v>74</v>
      </c>
      <c r="D38" s="19" t="s">
        <v>42</v>
      </c>
      <c r="E38" s="19" t="s">
        <v>75</v>
      </c>
      <c r="F38" s="27">
        <f>F37-F41</f>
        <v>0</v>
      </c>
      <c r="G38" s="27">
        <f>G37-G41</f>
        <v>2.5</v>
      </c>
      <c r="H38" s="27">
        <v>2.3000000000000043</v>
      </c>
      <c r="I38" s="27">
        <f t="shared" ref="I38:Q38" si="3">I37-I41</f>
        <v>3.7999999999999972</v>
      </c>
      <c r="J38" s="27">
        <f t="shared" si="3"/>
        <v>0</v>
      </c>
      <c r="K38" s="27">
        <f t="shared" si="3"/>
        <v>2.8999999999999986</v>
      </c>
      <c r="L38" s="27">
        <f>L37-L41</f>
        <v>0</v>
      </c>
      <c r="M38" s="27">
        <f>M37-M41</f>
        <v>3</v>
      </c>
      <c r="N38" s="27">
        <v>1.6000000000000014</v>
      </c>
      <c r="O38" s="27">
        <f>O37-O41</f>
        <v>2.2999999999999972</v>
      </c>
      <c r="P38" s="27">
        <f t="shared" si="3"/>
        <v>0</v>
      </c>
      <c r="Q38" s="27">
        <f t="shared" si="3"/>
        <v>2.7999999999999972</v>
      </c>
    </row>
    <row r="39" spans="2:17" ht="20.100000000000001" customHeight="1">
      <c r="B39" s="114"/>
      <c r="C39" s="22" t="s">
        <v>76</v>
      </c>
      <c r="D39" s="19" t="s">
        <v>77</v>
      </c>
      <c r="E39" s="19"/>
      <c r="F39" s="20"/>
      <c r="G39" s="20"/>
      <c r="H39" s="21"/>
      <c r="I39" s="21"/>
      <c r="J39" s="20"/>
      <c r="K39" s="20"/>
      <c r="L39" s="21"/>
      <c r="M39" s="21"/>
      <c r="N39" s="20"/>
      <c r="O39" s="20"/>
      <c r="P39" s="21"/>
      <c r="Q39" s="21"/>
    </row>
    <row r="40" spans="2:17" ht="20.100000000000001" customHeight="1">
      <c r="B40" s="114"/>
      <c r="C40" s="22" t="s">
        <v>78</v>
      </c>
      <c r="D40" s="19" t="s">
        <v>42</v>
      </c>
      <c r="E40" s="19">
        <v>30.8</v>
      </c>
      <c r="F40" s="20"/>
      <c r="G40" s="20">
        <v>28.3</v>
      </c>
      <c r="H40" s="21">
        <v>29.2</v>
      </c>
      <c r="I40" s="21">
        <v>28.1</v>
      </c>
      <c r="J40" s="20"/>
      <c r="K40" s="20">
        <v>28.1</v>
      </c>
      <c r="L40" s="21"/>
      <c r="M40" s="21">
        <v>27.9</v>
      </c>
      <c r="N40" s="20">
        <v>27.4</v>
      </c>
      <c r="O40" s="20">
        <v>28</v>
      </c>
      <c r="P40" s="21"/>
      <c r="Q40" s="21">
        <v>28.3</v>
      </c>
    </row>
    <row r="41" spans="2:17" ht="20.100000000000001" customHeight="1">
      <c r="B41" s="114"/>
      <c r="C41" s="22" t="s">
        <v>79</v>
      </c>
      <c r="D41" s="19" t="s">
        <v>42</v>
      </c>
      <c r="E41" s="19">
        <v>36.4</v>
      </c>
      <c r="F41" s="20"/>
      <c r="G41" s="20">
        <v>33.4</v>
      </c>
      <c r="H41" s="21">
        <v>34.4</v>
      </c>
      <c r="I41" s="21">
        <v>33.1</v>
      </c>
      <c r="J41" s="20"/>
      <c r="K41" s="20">
        <v>33.5</v>
      </c>
      <c r="L41" s="21"/>
      <c r="M41" s="21">
        <v>33.299999999999997</v>
      </c>
      <c r="N41" s="20">
        <v>32.799999999999997</v>
      </c>
      <c r="O41" s="20">
        <v>33.1</v>
      </c>
      <c r="P41" s="21"/>
      <c r="Q41" s="21">
        <v>33.5</v>
      </c>
    </row>
    <row r="42" spans="2:17" ht="20.100000000000001" customHeight="1">
      <c r="B42" s="114"/>
      <c r="C42" s="22" t="s">
        <v>80</v>
      </c>
      <c r="D42" s="19" t="s">
        <v>42</v>
      </c>
      <c r="E42" s="19">
        <v>5.6</v>
      </c>
      <c r="F42" s="27">
        <f>F41-F40</f>
        <v>0</v>
      </c>
      <c r="G42" s="27">
        <f>G41-G40</f>
        <v>5.0999999999999979</v>
      </c>
      <c r="H42" s="27">
        <v>5.1999999999999993</v>
      </c>
      <c r="I42" s="27">
        <f t="shared" ref="I42:P42" si="4">I41-I40</f>
        <v>5</v>
      </c>
      <c r="J42" s="27">
        <f t="shared" si="4"/>
        <v>0</v>
      </c>
      <c r="K42" s="27">
        <f t="shared" si="4"/>
        <v>5.3999999999999986</v>
      </c>
      <c r="L42" s="27">
        <f>L41-L40</f>
        <v>0</v>
      </c>
      <c r="M42" s="27">
        <f>M41-M40</f>
        <v>5.3999999999999986</v>
      </c>
      <c r="N42" s="27">
        <v>5.3999999999999986</v>
      </c>
      <c r="O42" s="27">
        <f>O41-O40</f>
        <v>5.1000000000000014</v>
      </c>
      <c r="P42" s="27">
        <f t="shared" si="4"/>
        <v>0</v>
      </c>
      <c r="Q42" s="27">
        <f>Q41-Q40</f>
        <v>5.1999999999999993</v>
      </c>
    </row>
    <row r="43" spans="2:17" ht="20.100000000000001" customHeight="1">
      <c r="B43" s="114"/>
      <c r="C43" s="22" t="s">
        <v>81</v>
      </c>
      <c r="D43" s="19" t="s">
        <v>61</v>
      </c>
      <c r="E43" s="19">
        <v>1273.0999999999999</v>
      </c>
      <c r="F43" s="20"/>
      <c r="G43" s="20">
        <v>1300.5999999999999</v>
      </c>
      <c r="H43" s="21">
        <v>1301.1600000000001</v>
      </c>
      <c r="I43" s="21">
        <v>1296.54</v>
      </c>
      <c r="J43" s="20"/>
      <c r="K43" s="20">
        <v>1293.46</v>
      </c>
      <c r="L43" s="21"/>
      <c r="M43" s="20">
        <v>1292.48</v>
      </c>
      <c r="N43" s="20">
        <v>1297.5</v>
      </c>
      <c r="O43" s="20">
        <v>1264.76</v>
      </c>
      <c r="P43" s="21"/>
      <c r="Q43" s="21">
        <v>1287.72</v>
      </c>
    </row>
    <row r="44" spans="2:17" ht="20.100000000000001" customHeight="1">
      <c r="B44" s="114"/>
      <c r="C44" s="22" t="s">
        <v>82</v>
      </c>
      <c r="D44" s="19" t="s">
        <v>67</v>
      </c>
      <c r="E44" s="19">
        <v>8226.9</v>
      </c>
      <c r="F44" s="28">
        <f>F42*F43/0.866</f>
        <v>0</v>
      </c>
      <c r="G44" s="28">
        <f>G42*G43/0.866</f>
        <v>7659.4226327944534</v>
      </c>
      <c r="H44" s="28">
        <v>7812.9699769053113</v>
      </c>
      <c r="I44" s="28">
        <f t="shared" ref="I44:Q44" si="5">I42*I43/0.866</f>
        <v>7485.7967667436487</v>
      </c>
      <c r="J44" s="28">
        <f t="shared" si="5"/>
        <v>0</v>
      </c>
      <c r="K44" s="28">
        <f t="shared" si="5"/>
        <v>8065.4549653579661</v>
      </c>
      <c r="L44" s="28">
        <f>L42*L43/0.866</f>
        <v>0</v>
      </c>
      <c r="M44" s="28">
        <f>M42*M43/0.866</f>
        <v>8059.3441108545012</v>
      </c>
      <c r="N44" s="28">
        <v>8090.6466512702054</v>
      </c>
      <c r="O44" s="28">
        <f>O42*O43/0.866</f>
        <v>7448.3556581986159</v>
      </c>
      <c r="P44" s="28">
        <f t="shared" si="5"/>
        <v>0</v>
      </c>
      <c r="Q44" s="28">
        <f t="shared" si="5"/>
        <v>7732.2678983833712</v>
      </c>
    </row>
    <row r="45" spans="2:17" ht="20.100000000000001" customHeight="1">
      <c r="B45" s="114" t="s">
        <v>83</v>
      </c>
      <c r="C45" s="22" t="s">
        <v>84</v>
      </c>
      <c r="D45" s="19" t="s">
        <v>49</v>
      </c>
      <c r="E45" s="19" t="s">
        <v>85</v>
      </c>
      <c r="F45" s="20"/>
      <c r="G45" s="20">
        <v>0.46</v>
      </c>
      <c r="H45" s="21">
        <v>0.47</v>
      </c>
      <c r="I45" s="21">
        <v>0.46</v>
      </c>
      <c r="J45" s="20"/>
      <c r="K45" s="20">
        <v>0.46</v>
      </c>
      <c r="L45" s="21"/>
      <c r="M45" s="21">
        <v>0.46</v>
      </c>
      <c r="N45" s="20">
        <v>0.43</v>
      </c>
      <c r="O45" s="20">
        <v>0.45</v>
      </c>
      <c r="P45" s="21"/>
      <c r="Q45" s="21">
        <v>0.46</v>
      </c>
    </row>
    <row r="46" spans="2:17" ht="20.100000000000001" customHeight="1">
      <c r="B46" s="114"/>
      <c r="C46" s="22" t="s">
        <v>86</v>
      </c>
      <c r="D46" s="19" t="s">
        <v>42</v>
      </c>
      <c r="E46" s="19" t="s">
        <v>43</v>
      </c>
      <c r="F46" s="20"/>
      <c r="G46" s="20">
        <v>19.5</v>
      </c>
      <c r="H46" s="21">
        <v>20.100000000000001</v>
      </c>
      <c r="I46" s="21">
        <v>18.8</v>
      </c>
      <c r="J46" s="20"/>
      <c r="K46" s="20">
        <v>19.3</v>
      </c>
      <c r="L46" s="21"/>
      <c r="M46" s="21">
        <v>19.399999999999999</v>
      </c>
      <c r="N46" s="20">
        <v>17.899999999999999</v>
      </c>
      <c r="O46" s="20">
        <v>18.899999999999999</v>
      </c>
      <c r="P46" s="21"/>
      <c r="Q46" s="21">
        <v>19.7</v>
      </c>
    </row>
    <row r="47" spans="2:17" ht="20.100000000000001" customHeight="1">
      <c r="B47" s="114"/>
      <c r="C47" s="22" t="s">
        <v>87</v>
      </c>
      <c r="D47" s="19" t="s">
        <v>77</v>
      </c>
      <c r="E47" s="19" t="s">
        <v>77</v>
      </c>
      <c r="F47" s="20"/>
      <c r="G47" s="20">
        <v>195</v>
      </c>
      <c r="H47" s="21">
        <v>189.3</v>
      </c>
      <c r="I47" s="21">
        <v>119.6</v>
      </c>
      <c r="J47" s="20"/>
      <c r="K47" s="20">
        <v>201.4</v>
      </c>
      <c r="L47" s="21"/>
      <c r="M47" s="21">
        <v>215.7</v>
      </c>
      <c r="N47" s="20">
        <v>158.9</v>
      </c>
      <c r="O47" s="20">
        <v>157.6</v>
      </c>
      <c r="P47" s="21"/>
      <c r="Q47" s="21">
        <v>226</v>
      </c>
    </row>
    <row r="48" spans="2:17" ht="20.100000000000001" customHeight="1">
      <c r="B48" s="94" t="s">
        <v>88</v>
      </c>
      <c r="C48" s="94"/>
      <c r="D48" s="94"/>
      <c r="E48" s="29" t="s">
        <v>89</v>
      </c>
      <c r="F48" s="20"/>
      <c r="G48" s="20"/>
      <c r="H48" s="21"/>
      <c r="I48" s="21"/>
      <c r="J48" s="20"/>
      <c r="K48" s="20"/>
      <c r="L48" s="21"/>
      <c r="M48" s="21"/>
      <c r="N48" s="20"/>
      <c r="O48" s="20"/>
      <c r="P48" s="21"/>
      <c r="Q48" s="21"/>
    </row>
    <row r="49" spans="2:17" ht="20.100000000000001" customHeight="1">
      <c r="B49" s="94" t="s">
        <v>90</v>
      </c>
      <c r="C49" s="94"/>
      <c r="D49" s="94"/>
      <c r="E49" s="91">
        <v>5.89</v>
      </c>
      <c r="F49" s="20"/>
      <c r="G49" s="20">
        <v>5.79</v>
      </c>
      <c r="H49" s="21">
        <v>5.77</v>
      </c>
      <c r="I49" s="21">
        <v>5.8</v>
      </c>
      <c r="J49" s="20"/>
      <c r="K49" s="20">
        <v>5.76</v>
      </c>
      <c r="L49" s="21"/>
      <c r="M49" s="21">
        <v>5.72</v>
      </c>
      <c r="N49" s="20">
        <v>5.96</v>
      </c>
      <c r="O49" s="20">
        <v>5.64</v>
      </c>
      <c r="P49" s="21"/>
      <c r="Q49" s="21">
        <v>5.49</v>
      </c>
    </row>
    <row r="50" spans="2:17" ht="20.100000000000001" customHeight="1">
      <c r="B50" s="94" t="s">
        <v>91</v>
      </c>
      <c r="C50" s="94"/>
      <c r="D50" s="94"/>
      <c r="E50" s="91"/>
      <c r="F50" s="20"/>
      <c r="G50" s="20"/>
      <c r="H50" s="21"/>
      <c r="I50" s="21"/>
      <c r="J50" s="20"/>
      <c r="K50" s="20"/>
      <c r="L50" s="21"/>
      <c r="M50" s="21"/>
      <c r="N50" s="20"/>
      <c r="O50" s="20"/>
      <c r="P50" s="21"/>
      <c r="Q50" s="21"/>
    </row>
    <row r="51" spans="2:17" ht="20.100000000000001" customHeight="1" thickBot="1">
      <c r="B51" s="94" t="s">
        <v>92</v>
      </c>
      <c r="C51" s="94"/>
      <c r="D51" s="94"/>
      <c r="E51" s="90"/>
      <c r="F51" s="20"/>
      <c r="G51" s="20"/>
      <c r="H51" s="21"/>
      <c r="I51" s="21"/>
      <c r="J51" s="20"/>
      <c r="K51" s="20"/>
      <c r="L51" s="21"/>
      <c r="M51" s="21"/>
      <c r="N51" s="20"/>
      <c r="O51" s="20"/>
      <c r="P51" s="21"/>
      <c r="Q51" s="21"/>
    </row>
    <row r="52" spans="2:17">
      <c r="B52" t="s">
        <v>93</v>
      </c>
      <c r="C52" s="1" t="s">
        <v>94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</row>
    <row r="53" spans="2:17">
      <c r="C53" s="31" t="s">
        <v>95</v>
      </c>
      <c r="Q53" s="32"/>
    </row>
    <row r="54" spans="2:17">
      <c r="C54" s="31" t="s">
        <v>96</v>
      </c>
      <c r="Q54" s="32"/>
    </row>
    <row r="55" spans="2:17">
      <c r="C55" s="31"/>
      <c r="Q55" s="32"/>
    </row>
    <row r="56" spans="2:17">
      <c r="C56" s="31"/>
      <c r="Q56" s="32"/>
    </row>
    <row r="57" spans="2:17">
      <c r="C57" s="31" t="s">
        <v>97</v>
      </c>
      <c r="F57" s="33" t="b">
        <v>0</v>
      </c>
      <c r="G57" s="34" t="s">
        <v>98</v>
      </c>
      <c r="Q57" s="32"/>
    </row>
    <row r="58" spans="2:17">
      <c r="C58" s="31" t="s">
        <v>97</v>
      </c>
      <c r="F58" s="20" t="s">
        <v>99</v>
      </c>
      <c r="G58" s="35" t="s">
        <v>100</v>
      </c>
      <c r="Q58" s="32"/>
    </row>
    <row r="59" spans="2:17" ht="15.75" thickBot="1"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9" right="0.23622047244094499" top="0.74803149606299202" bottom="0.74803149606299202" header="0.31496062992126" footer="0.31496062992126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Haidir Mustafa</dc:creator>
  <cp:lastModifiedBy>TNEC-92090184</cp:lastModifiedBy>
  <dcterms:created xsi:type="dcterms:W3CDTF">2025-03-31T16:35:29Z</dcterms:created>
  <dcterms:modified xsi:type="dcterms:W3CDTF">2025-09-24T01:38:22Z</dcterms:modified>
</cp:coreProperties>
</file>