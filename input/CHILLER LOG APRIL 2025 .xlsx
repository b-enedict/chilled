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NEC-92090184\Desktop\DCP OFFICIAL\Load profile\CHILLER LOG\2025\"/>
    </mc:Choice>
  </mc:AlternateContent>
  <bookViews>
    <workbookView xWindow="13545" yWindow="30" windowWidth="13635" windowHeight="15375" firstSheet="3" activeTab="28"/>
  </bookViews>
  <sheets>
    <sheet name="1" sheetId="2" r:id="rId1"/>
    <sheet name="2" sheetId="3" r:id="rId2"/>
    <sheet name="3" sheetId="4" r:id="rId3"/>
    <sheet name="4" sheetId="5" r:id="rId4"/>
    <sheet name="5" sheetId="6" r:id="rId5"/>
    <sheet name="7" sheetId="8" r:id="rId6"/>
    <sheet name="8" sheetId="7" r:id="rId7"/>
    <sheet name="9" sheetId="9" r:id="rId8"/>
    <sheet name="10" sheetId="10" r:id="rId9"/>
    <sheet name="11" sheetId="11" r:id="rId10"/>
    <sheet name="12" sheetId="12" r:id="rId11"/>
    <sheet name="13" sheetId="13" r:id="rId12"/>
    <sheet name="14" sheetId="14" r:id="rId13"/>
    <sheet name="15" sheetId="15" r:id="rId14"/>
    <sheet name="16" sheetId="16" r:id="rId15"/>
    <sheet name="17" sheetId="17" r:id="rId16"/>
    <sheet name="18" sheetId="18" r:id="rId17"/>
    <sheet name="19" sheetId="19" r:id="rId18"/>
    <sheet name="20" sheetId="20" r:id="rId19"/>
    <sheet name="21" sheetId="21" r:id="rId20"/>
    <sheet name="22" sheetId="22" r:id="rId21"/>
    <sheet name="23" sheetId="23" r:id="rId22"/>
    <sheet name="24" sheetId="24" r:id="rId23"/>
    <sheet name="25" sheetId="25" r:id="rId24"/>
    <sheet name="26" sheetId="26" r:id="rId25"/>
    <sheet name="27" sheetId="27" r:id="rId26"/>
    <sheet name="28" sheetId="28" r:id="rId27"/>
    <sheet name="29" sheetId="29" r:id="rId28"/>
    <sheet name="30" sheetId="30" r:id="rId2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4" i="30" l="1"/>
  <c r="Q42" i="30"/>
  <c r="Q44" i="30" s="1"/>
  <c r="P42" i="30"/>
  <c r="P44" i="30" s="1"/>
  <c r="O42" i="30"/>
  <c r="O44" i="30" s="1"/>
  <c r="N42" i="30"/>
  <c r="N44" i="30" s="1"/>
  <c r="M42" i="30"/>
  <c r="M44" i="30" s="1"/>
  <c r="L42" i="30"/>
  <c r="L44" i="30" s="1"/>
  <c r="K42" i="30"/>
  <c r="K44" i="30" s="1"/>
  <c r="J42" i="30"/>
  <c r="J44" i="30" s="1"/>
  <c r="I42" i="30"/>
  <c r="I44" i="30" s="1"/>
  <c r="H42" i="30"/>
  <c r="G42" i="30"/>
  <c r="G44" i="30" s="1"/>
  <c r="F42" i="30"/>
  <c r="F44" i="30" s="1"/>
  <c r="Q38" i="30"/>
  <c r="P38" i="30"/>
  <c r="O38" i="30"/>
  <c r="N38" i="30"/>
  <c r="M38" i="30"/>
  <c r="L38" i="30"/>
  <c r="K38" i="30"/>
  <c r="J38" i="30"/>
  <c r="I38" i="30"/>
  <c r="G38" i="30"/>
  <c r="F38" i="30"/>
  <c r="Q34" i="30"/>
  <c r="P34" i="30"/>
  <c r="Q33" i="30"/>
  <c r="P33" i="30"/>
  <c r="O33" i="30"/>
  <c r="O34" i="30" s="1"/>
  <c r="N33" i="30"/>
  <c r="N34" i="30" s="1"/>
  <c r="M33" i="30"/>
  <c r="M34" i="30" s="1"/>
  <c r="L33" i="30"/>
  <c r="L34" i="30" s="1"/>
  <c r="K33" i="30"/>
  <c r="K34" i="30" s="1"/>
  <c r="J33" i="30"/>
  <c r="J34" i="30" s="1"/>
  <c r="I33" i="30"/>
  <c r="I34" i="30" s="1"/>
  <c r="H33" i="30"/>
  <c r="H34" i="30" s="1"/>
  <c r="G33" i="30"/>
  <c r="G34" i="30" s="1"/>
  <c r="F33" i="30"/>
  <c r="F34" i="30" s="1"/>
  <c r="Q29" i="30"/>
  <c r="P29" i="30"/>
  <c r="O29" i="30"/>
  <c r="N29" i="30"/>
  <c r="M29" i="30"/>
  <c r="L29" i="30"/>
  <c r="K29" i="30"/>
  <c r="J29" i="30"/>
  <c r="I29" i="30"/>
  <c r="H29" i="30"/>
  <c r="G29" i="30"/>
  <c r="F29" i="30"/>
  <c r="H44" i="29" l="1"/>
  <c r="Q42" i="29"/>
  <c r="Q44" i="29" s="1"/>
  <c r="P42" i="29"/>
  <c r="P44" i="29" s="1"/>
  <c r="O42" i="29"/>
  <c r="O44" i="29" s="1"/>
  <c r="N42" i="29"/>
  <c r="N44" i="29" s="1"/>
  <c r="M42" i="29"/>
  <c r="M44" i="29" s="1"/>
  <c r="L42" i="29"/>
  <c r="L44" i="29" s="1"/>
  <c r="K42" i="29"/>
  <c r="K44" i="29" s="1"/>
  <c r="J42" i="29"/>
  <c r="J44" i="29" s="1"/>
  <c r="I42" i="29"/>
  <c r="I44" i="29" s="1"/>
  <c r="H42" i="29"/>
  <c r="G42" i="29"/>
  <c r="G44" i="29" s="1"/>
  <c r="F42" i="29"/>
  <c r="F44" i="29" s="1"/>
  <c r="Q38" i="29"/>
  <c r="P38" i="29"/>
  <c r="O38" i="29"/>
  <c r="N38" i="29"/>
  <c r="M38" i="29"/>
  <c r="L38" i="29"/>
  <c r="K38" i="29"/>
  <c r="J38" i="29"/>
  <c r="I38" i="29"/>
  <c r="G38" i="29"/>
  <c r="F38" i="29"/>
  <c r="H34" i="29"/>
  <c r="Q33" i="29"/>
  <c r="Q34" i="29" s="1"/>
  <c r="P33" i="29"/>
  <c r="P34" i="29" s="1"/>
  <c r="O33" i="29"/>
  <c r="O34" i="29" s="1"/>
  <c r="N33" i="29"/>
  <c r="N34" i="29" s="1"/>
  <c r="M33" i="29"/>
  <c r="M34" i="29" s="1"/>
  <c r="L33" i="29"/>
  <c r="L34" i="29" s="1"/>
  <c r="K33" i="29"/>
  <c r="K34" i="29" s="1"/>
  <c r="J33" i="29"/>
  <c r="J34" i="29" s="1"/>
  <c r="I33" i="29"/>
  <c r="I34" i="29" s="1"/>
  <c r="H33" i="29"/>
  <c r="G33" i="29"/>
  <c r="G34" i="29" s="1"/>
  <c r="F33" i="29"/>
  <c r="F34" i="29" s="1"/>
  <c r="Q29" i="29"/>
  <c r="P29" i="29"/>
  <c r="O29" i="29"/>
  <c r="N29" i="29"/>
  <c r="M29" i="29"/>
  <c r="L29" i="29"/>
  <c r="K29" i="29"/>
  <c r="J29" i="29"/>
  <c r="I29" i="29"/>
  <c r="H29" i="29"/>
  <c r="G29" i="29"/>
  <c r="F29" i="29"/>
  <c r="H44" i="28" l="1"/>
  <c r="G44" i="28"/>
  <c r="F44" i="28"/>
  <c r="Q42" i="28"/>
  <c r="Q44" i="28" s="1"/>
  <c r="P42" i="28"/>
  <c r="P44" i="28" s="1"/>
  <c r="O42" i="28"/>
  <c r="O44" i="28" s="1"/>
  <c r="N42" i="28"/>
  <c r="N44" i="28" s="1"/>
  <c r="M42" i="28"/>
  <c r="M44" i="28" s="1"/>
  <c r="L42" i="28"/>
  <c r="L44" i="28" s="1"/>
  <c r="K42" i="28"/>
  <c r="K44" i="28" s="1"/>
  <c r="J42" i="28"/>
  <c r="J44" i="28" s="1"/>
  <c r="I42" i="28"/>
  <c r="I44" i="28" s="1"/>
  <c r="H42" i="28"/>
  <c r="G42" i="28"/>
  <c r="F42" i="28"/>
  <c r="Q38" i="28"/>
  <c r="P38" i="28"/>
  <c r="O38" i="28"/>
  <c r="N38" i="28"/>
  <c r="M38" i="28"/>
  <c r="L38" i="28"/>
  <c r="K38" i="28"/>
  <c r="J38" i="28"/>
  <c r="I38" i="28"/>
  <c r="G38" i="28"/>
  <c r="F38" i="28"/>
  <c r="P34" i="28"/>
  <c r="Q33" i="28"/>
  <c r="Q34" i="28" s="1"/>
  <c r="P33" i="28"/>
  <c r="O33" i="28"/>
  <c r="O34" i="28" s="1"/>
  <c r="N33" i="28"/>
  <c r="N34" i="28" s="1"/>
  <c r="M33" i="28"/>
  <c r="M34" i="28" s="1"/>
  <c r="L33" i="28"/>
  <c r="L34" i="28" s="1"/>
  <c r="K33" i="28"/>
  <c r="K34" i="28" s="1"/>
  <c r="J33" i="28"/>
  <c r="J34" i="28" s="1"/>
  <c r="I33" i="28"/>
  <c r="I34" i="28" s="1"/>
  <c r="H33" i="28"/>
  <c r="H34" i="28" s="1"/>
  <c r="G33" i="28"/>
  <c r="G34" i="28" s="1"/>
  <c r="F33" i="28"/>
  <c r="F34" i="28" s="1"/>
  <c r="Q29" i="28"/>
  <c r="P29" i="28"/>
  <c r="O29" i="28"/>
  <c r="N29" i="28"/>
  <c r="M29" i="28"/>
  <c r="L29" i="28"/>
  <c r="K29" i="28"/>
  <c r="J29" i="28"/>
  <c r="I29" i="28"/>
  <c r="H29" i="28"/>
  <c r="G29" i="28"/>
  <c r="F29" i="28"/>
  <c r="F44" i="27" l="1"/>
  <c r="Q42" i="27"/>
  <c r="Q44" i="27" s="1"/>
  <c r="P42" i="27"/>
  <c r="P44" i="27" s="1"/>
  <c r="O42" i="27"/>
  <c r="O44" i="27" s="1"/>
  <c r="N42" i="27"/>
  <c r="N44" i="27" s="1"/>
  <c r="M42" i="27"/>
  <c r="M44" i="27" s="1"/>
  <c r="L42" i="27"/>
  <c r="L44" i="27" s="1"/>
  <c r="K42" i="27"/>
  <c r="K44" i="27" s="1"/>
  <c r="J42" i="27"/>
  <c r="J44" i="27" s="1"/>
  <c r="I42" i="27"/>
  <c r="I44" i="27" s="1"/>
  <c r="H42" i="27"/>
  <c r="H44" i="27" s="1"/>
  <c r="G42" i="27"/>
  <c r="G44" i="27" s="1"/>
  <c r="F42" i="27"/>
  <c r="Q38" i="27"/>
  <c r="P38" i="27"/>
  <c r="O38" i="27"/>
  <c r="N38" i="27"/>
  <c r="M38" i="27"/>
  <c r="L38" i="27"/>
  <c r="K38" i="27"/>
  <c r="J38" i="27"/>
  <c r="I38" i="27"/>
  <c r="G38" i="27"/>
  <c r="F38" i="27"/>
  <c r="Q33" i="27"/>
  <c r="Q34" i="27" s="1"/>
  <c r="P33" i="27"/>
  <c r="P34" i="27" s="1"/>
  <c r="O33" i="27"/>
  <c r="O34" i="27" s="1"/>
  <c r="N33" i="27"/>
  <c r="N34" i="27" s="1"/>
  <c r="M33" i="27"/>
  <c r="M34" i="27" s="1"/>
  <c r="L33" i="27"/>
  <c r="L34" i="27" s="1"/>
  <c r="K33" i="27"/>
  <c r="K34" i="27" s="1"/>
  <c r="J33" i="27"/>
  <c r="J34" i="27" s="1"/>
  <c r="I33" i="27"/>
  <c r="I34" i="27" s="1"/>
  <c r="H33" i="27"/>
  <c r="H34" i="27" s="1"/>
  <c r="G33" i="27"/>
  <c r="G34" i="27" s="1"/>
  <c r="F33" i="27"/>
  <c r="F34" i="27" s="1"/>
  <c r="Q29" i="27"/>
  <c r="P29" i="27"/>
  <c r="O29" i="27"/>
  <c r="N29" i="27"/>
  <c r="M29" i="27"/>
  <c r="L29" i="27"/>
  <c r="K29" i="27"/>
  <c r="J29" i="27"/>
  <c r="I29" i="27"/>
  <c r="H29" i="27"/>
  <c r="G29" i="27"/>
  <c r="F29" i="27"/>
  <c r="H44" i="26" l="1"/>
  <c r="Q42" i="26"/>
  <c r="Q44" i="26" s="1"/>
  <c r="P42" i="26"/>
  <c r="P44" i="26" s="1"/>
  <c r="O42" i="26"/>
  <c r="O44" i="26" s="1"/>
  <c r="N42" i="26"/>
  <c r="N44" i="26" s="1"/>
  <c r="M42" i="26"/>
  <c r="M44" i="26" s="1"/>
  <c r="L42" i="26"/>
  <c r="L44" i="26" s="1"/>
  <c r="K42" i="26"/>
  <c r="K44" i="26" s="1"/>
  <c r="J42" i="26"/>
  <c r="J44" i="26" s="1"/>
  <c r="I42" i="26"/>
  <c r="I44" i="26" s="1"/>
  <c r="H42" i="26"/>
  <c r="G42" i="26"/>
  <c r="G44" i="26" s="1"/>
  <c r="F42" i="26"/>
  <c r="F44" i="26" s="1"/>
  <c r="Q38" i="26"/>
  <c r="P38" i="26"/>
  <c r="O38" i="26"/>
  <c r="N38" i="26"/>
  <c r="M38" i="26"/>
  <c r="L38" i="26"/>
  <c r="K38" i="26"/>
  <c r="J38" i="26"/>
  <c r="I38" i="26"/>
  <c r="G38" i="26"/>
  <c r="F38" i="26"/>
  <c r="Q33" i="26"/>
  <c r="Q34" i="26" s="1"/>
  <c r="P33" i="26"/>
  <c r="P34" i="26" s="1"/>
  <c r="O33" i="26"/>
  <c r="O34" i="26" s="1"/>
  <c r="N33" i="26"/>
  <c r="N34" i="26" s="1"/>
  <c r="M33" i="26"/>
  <c r="M34" i="26" s="1"/>
  <c r="L33" i="26"/>
  <c r="L34" i="26" s="1"/>
  <c r="K33" i="26"/>
  <c r="K34" i="26" s="1"/>
  <c r="J33" i="26"/>
  <c r="J34" i="26" s="1"/>
  <c r="I33" i="26"/>
  <c r="I34" i="26" s="1"/>
  <c r="H33" i="26"/>
  <c r="H34" i="26" s="1"/>
  <c r="G33" i="26"/>
  <c r="G34" i="26" s="1"/>
  <c r="F33" i="26"/>
  <c r="F34" i="26" s="1"/>
  <c r="Q29" i="26"/>
  <c r="P29" i="26"/>
  <c r="O29" i="26"/>
  <c r="N29" i="26"/>
  <c r="M29" i="26"/>
  <c r="L29" i="26"/>
  <c r="K29" i="26"/>
  <c r="J29" i="26"/>
  <c r="I29" i="26"/>
  <c r="H29" i="26"/>
  <c r="G29" i="26"/>
  <c r="F29" i="26"/>
  <c r="N33" i="25" l="1"/>
  <c r="Q44" i="25" l="1"/>
  <c r="H44" i="25"/>
  <c r="G44" i="25"/>
  <c r="F44" i="25"/>
  <c r="Q42" i="25"/>
  <c r="P42" i="25"/>
  <c r="P44" i="25" s="1"/>
  <c r="O42" i="25"/>
  <c r="O44" i="25" s="1"/>
  <c r="N42" i="25"/>
  <c r="N44" i="25" s="1"/>
  <c r="M42" i="25"/>
  <c r="M44" i="25" s="1"/>
  <c r="L42" i="25"/>
  <c r="L44" i="25" s="1"/>
  <c r="K42" i="25"/>
  <c r="K44" i="25" s="1"/>
  <c r="J42" i="25"/>
  <c r="J44" i="25" s="1"/>
  <c r="I42" i="25"/>
  <c r="I44" i="25" s="1"/>
  <c r="H42" i="25"/>
  <c r="G42" i="25"/>
  <c r="F42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Q34" i="25"/>
  <c r="P34" i="25"/>
  <c r="O34" i="25"/>
  <c r="M34" i="25"/>
  <c r="Q33" i="25"/>
  <c r="P33" i="25"/>
  <c r="O33" i="25"/>
  <c r="N34" i="25"/>
  <c r="M33" i="25"/>
  <c r="L33" i="25"/>
  <c r="L34" i="25" s="1"/>
  <c r="K33" i="25"/>
  <c r="K34" i="25" s="1"/>
  <c r="J33" i="25"/>
  <c r="J34" i="25" s="1"/>
  <c r="I33" i="25"/>
  <c r="I34" i="25" s="1"/>
  <c r="H33" i="25"/>
  <c r="H34" i="25" s="1"/>
  <c r="G33" i="25"/>
  <c r="G34" i="25" s="1"/>
  <c r="F33" i="25"/>
  <c r="F34" i="25" s="1"/>
  <c r="Q29" i="25"/>
  <c r="P29" i="25"/>
  <c r="O29" i="25"/>
  <c r="N29" i="25"/>
  <c r="M29" i="25"/>
  <c r="L29" i="25"/>
  <c r="K29" i="25"/>
  <c r="J29" i="25"/>
  <c r="I29" i="25"/>
  <c r="H29" i="25"/>
  <c r="G29" i="25"/>
  <c r="P44" i="24" l="1"/>
  <c r="O44" i="24"/>
  <c r="M44" i="24"/>
  <c r="K44" i="24"/>
  <c r="Q42" i="24"/>
  <c r="Q44" i="24" s="1"/>
  <c r="P42" i="24"/>
  <c r="O42" i="24"/>
  <c r="N42" i="24"/>
  <c r="N44" i="24" s="1"/>
  <c r="M42" i="24"/>
  <c r="L42" i="24"/>
  <c r="L44" i="24" s="1"/>
  <c r="K42" i="24"/>
  <c r="J42" i="24"/>
  <c r="J44" i="24" s="1"/>
  <c r="I42" i="24"/>
  <c r="I44" i="24" s="1"/>
  <c r="H42" i="24"/>
  <c r="H44" i="24" s="1"/>
  <c r="G42" i="24"/>
  <c r="G44" i="24" s="1"/>
  <c r="F42" i="24"/>
  <c r="F44" i="24" s="1"/>
  <c r="Q38" i="24"/>
  <c r="P38" i="24"/>
  <c r="O38" i="24"/>
  <c r="N38" i="24"/>
  <c r="M38" i="24"/>
  <c r="L38" i="24"/>
  <c r="K38" i="24"/>
  <c r="J38" i="24"/>
  <c r="I38" i="24"/>
  <c r="G38" i="24"/>
  <c r="F38" i="24"/>
  <c r="P34" i="24"/>
  <c r="O34" i="24"/>
  <c r="N34" i="24"/>
  <c r="M34" i="24"/>
  <c r="K34" i="24"/>
  <c r="J34" i="24"/>
  <c r="I34" i="24"/>
  <c r="H34" i="24"/>
  <c r="G34" i="24"/>
  <c r="Q33" i="24"/>
  <c r="Q34" i="24" s="1"/>
  <c r="P33" i="24"/>
  <c r="O33" i="24"/>
  <c r="N33" i="24"/>
  <c r="M33" i="24"/>
  <c r="L33" i="24"/>
  <c r="L34" i="24" s="1"/>
  <c r="K33" i="24"/>
  <c r="J33" i="24"/>
  <c r="I33" i="24"/>
  <c r="H33" i="24"/>
  <c r="G33" i="24"/>
  <c r="F33" i="24"/>
  <c r="F34" i="24" s="1"/>
  <c r="Q29" i="24"/>
  <c r="P29" i="24"/>
  <c r="O29" i="24"/>
  <c r="N29" i="24"/>
  <c r="M29" i="24"/>
  <c r="L29" i="24"/>
  <c r="K29" i="24"/>
  <c r="J29" i="24"/>
  <c r="I29" i="24"/>
  <c r="H29" i="24"/>
  <c r="G29" i="24"/>
  <c r="F29" i="24"/>
  <c r="Q42" i="23" l="1"/>
  <c r="Q44" i="23" s="1"/>
  <c r="P42" i="23"/>
  <c r="P44" i="23" s="1"/>
  <c r="O42" i="23"/>
  <c r="O44" i="23" s="1"/>
  <c r="N42" i="23"/>
  <c r="N44" i="23" s="1"/>
  <c r="M42" i="23"/>
  <c r="M44" i="23" s="1"/>
  <c r="L42" i="23"/>
  <c r="L44" i="23" s="1"/>
  <c r="K42" i="23"/>
  <c r="K44" i="23" s="1"/>
  <c r="J42" i="23"/>
  <c r="J44" i="23" s="1"/>
  <c r="I42" i="23"/>
  <c r="I44" i="23" s="1"/>
  <c r="H42" i="23"/>
  <c r="H44" i="23" s="1"/>
  <c r="G42" i="23"/>
  <c r="G44" i="23" s="1"/>
  <c r="F44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Q33" i="23"/>
  <c r="Q34" i="23" s="1"/>
  <c r="P33" i="23"/>
  <c r="P34" i="23" s="1"/>
  <c r="O33" i="23"/>
  <c r="O34" i="23" s="1"/>
  <c r="N33" i="23"/>
  <c r="N34" i="23" s="1"/>
  <c r="M33" i="23"/>
  <c r="M34" i="23" s="1"/>
  <c r="L33" i="23"/>
  <c r="L34" i="23" s="1"/>
  <c r="K33" i="23"/>
  <c r="K34" i="23" s="1"/>
  <c r="J33" i="23"/>
  <c r="J34" i="23" s="1"/>
  <c r="I33" i="23"/>
  <c r="I34" i="23" s="1"/>
  <c r="H33" i="23"/>
  <c r="H34" i="23" s="1"/>
  <c r="G33" i="23"/>
  <c r="G34" i="23" s="1"/>
  <c r="F33" i="23"/>
  <c r="F34" i="23" s="1"/>
  <c r="Q29" i="23"/>
  <c r="P29" i="23"/>
  <c r="O29" i="23"/>
  <c r="N29" i="23"/>
  <c r="M29" i="23"/>
  <c r="L29" i="23"/>
  <c r="K29" i="23"/>
  <c r="J29" i="23"/>
  <c r="I29" i="23"/>
  <c r="H29" i="23"/>
  <c r="G29" i="23"/>
  <c r="Q42" i="22" l="1"/>
  <c r="Q44" i="22" s="1"/>
  <c r="P42" i="22"/>
  <c r="P44" i="22" s="1"/>
  <c r="O42" i="22"/>
  <c r="O44" i="22" s="1"/>
  <c r="N42" i="22"/>
  <c r="N44" i="22" s="1"/>
  <c r="M42" i="22"/>
  <c r="M44" i="22" s="1"/>
  <c r="L42" i="22"/>
  <c r="L44" i="22" s="1"/>
  <c r="K42" i="22"/>
  <c r="K44" i="22" s="1"/>
  <c r="J42" i="22"/>
  <c r="J44" i="22" s="1"/>
  <c r="I42" i="22"/>
  <c r="I44" i="22" s="1"/>
  <c r="H42" i="22"/>
  <c r="H44" i="22" s="1"/>
  <c r="G42" i="22"/>
  <c r="G44" i="22" s="1"/>
  <c r="F42" i="22"/>
  <c r="F44" i="22" s="1"/>
  <c r="Q38" i="22"/>
  <c r="P38" i="22"/>
  <c r="O38" i="22"/>
  <c r="N38" i="22"/>
  <c r="M38" i="22"/>
  <c r="L38" i="22"/>
  <c r="K38" i="22"/>
  <c r="J38" i="22"/>
  <c r="I38" i="22"/>
  <c r="H38" i="22"/>
  <c r="G38" i="22"/>
  <c r="F38" i="22"/>
  <c r="Q33" i="22"/>
  <c r="Q34" i="22" s="1"/>
  <c r="P33" i="22"/>
  <c r="P34" i="22" s="1"/>
  <c r="O33" i="22"/>
  <c r="O34" i="22" s="1"/>
  <c r="N33" i="22"/>
  <c r="N34" i="22" s="1"/>
  <c r="M33" i="22"/>
  <c r="M34" i="22" s="1"/>
  <c r="L33" i="22"/>
  <c r="L34" i="22" s="1"/>
  <c r="K33" i="22"/>
  <c r="K34" i="22" s="1"/>
  <c r="J33" i="22"/>
  <c r="J34" i="22" s="1"/>
  <c r="I33" i="22"/>
  <c r="I34" i="22" s="1"/>
  <c r="H33" i="22"/>
  <c r="H34" i="22" s="1"/>
  <c r="G33" i="22"/>
  <c r="G34" i="22" s="1"/>
  <c r="F33" i="22"/>
  <c r="F34" i="22" s="1"/>
  <c r="Q29" i="22"/>
  <c r="P29" i="22"/>
  <c r="O29" i="22"/>
  <c r="N29" i="22"/>
  <c r="M29" i="22"/>
  <c r="L29" i="22"/>
  <c r="K29" i="22"/>
  <c r="J29" i="22"/>
  <c r="I29" i="22"/>
  <c r="H29" i="22"/>
  <c r="G29" i="22"/>
  <c r="Q42" i="21"/>
  <c r="Q44" i="21" s="1"/>
  <c r="P42" i="21"/>
  <c r="P44" i="21" s="1"/>
  <c r="O42" i="21"/>
  <c r="O44" i="21" s="1"/>
  <c r="N42" i="21"/>
  <c r="N44" i="21" s="1"/>
  <c r="M42" i="21"/>
  <c r="M44" i="21" s="1"/>
  <c r="L42" i="21"/>
  <c r="L44" i="21" s="1"/>
  <c r="K42" i="21"/>
  <c r="K44" i="21" s="1"/>
  <c r="J42" i="21"/>
  <c r="J44" i="21" s="1"/>
  <c r="I42" i="21"/>
  <c r="I44" i="21" s="1"/>
  <c r="H42" i="21"/>
  <c r="H44" i="21" s="1"/>
  <c r="G42" i="21"/>
  <c r="G44" i="21" s="1"/>
  <c r="F42" i="21"/>
  <c r="F44" i="21" s="1"/>
  <c r="Q38" i="21"/>
  <c r="P38" i="21"/>
  <c r="O38" i="21"/>
  <c r="N38" i="21"/>
  <c r="M38" i="21"/>
  <c r="L38" i="21"/>
  <c r="K38" i="21"/>
  <c r="J38" i="21"/>
  <c r="I38" i="21"/>
  <c r="H38" i="21"/>
  <c r="G38" i="21"/>
  <c r="F38" i="21"/>
  <c r="Q33" i="21"/>
  <c r="Q34" i="21" s="1"/>
  <c r="P33" i="21"/>
  <c r="P34" i="21" s="1"/>
  <c r="O33" i="21"/>
  <c r="O34" i="21" s="1"/>
  <c r="N33" i="21"/>
  <c r="N34" i="21" s="1"/>
  <c r="M33" i="21"/>
  <c r="M34" i="21" s="1"/>
  <c r="L33" i="21"/>
  <c r="L34" i="21" s="1"/>
  <c r="K33" i="21"/>
  <c r="K34" i="21" s="1"/>
  <c r="J33" i="21"/>
  <c r="J34" i="21" s="1"/>
  <c r="I33" i="21"/>
  <c r="I34" i="21" s="1"/>
  <c r="H33" i="21"/>
  <c r="H34" i="21" s="1"/>
  <c r="G33" i="21"/>
  <c r="G34" i="21" s="1"/>
  <c r="F33" i="21"/>
  <c r="F34" i="21" s="1"/>
  <c r="Q29" i="21"/>
  <c r="P29" i="21"/>
  <c r="O29" i="21"/>
  <c r="N29" i="21"/>
  <c r="M29" i="21"/>
  <c r="L29" i="21"/>
  <c r="K29" i="21"/>
  <c r="J29" i="21"/>
  <c r="I29" i="21"/>
  <c r="H29" i="21"/>
  <c r="G29" i="21"/>
  <c r="F29" i="21"/>
  <c r="N38" i="20"/>
  <c r="Q42" i="20"/>
  <c r="Q44" i="20" s="1"/>
  <c r="P42" i="20"/>
  <c r="P44" i="20" s="1"/>
  <c r="O42" i="20"/>
  <c r="O44" i="20" s="1"/>
  <c r="N42" i="20"/>
  <c r="N44" i="20" s="1"/>
  <c r="M42" i="20"/>
  <c r="M44" i="20" s="1"/>
  <c r="L42" i="20"/>
  <c r="L44" i="20" s="1"/>
  <c r="K42" i="20"/>
  <c r="K44" i="20" s="1"/>
  <c r="J42" i="20"/>
  <c r="J44" i="20" s="1"/>
  <c r="I42" i="20"/>
  <c r="I44" i="20" s="1"/>
  <c r="H42" i="20"/>
  <c r="H44" i="20" s="1"/>
  <c r="G42" i="20"/>
  <c r="G44" i="20" s="1"/>
  <c r="F42" i="20"/>
  <c r="F44" i="20" s="1"/>
  <c r="Q38" i="20"/>
  <c r="P38" i="20"/>
  <c r="O38" i="20"/>
  <c r="M38" i="20"/>
  <c r="L38" i="20"/>
  <c r="K38" i="20"/>
  <c r="J38" i="20"/>
  <c r="I38" i="20"/>
  <c r="H38" i="20"/>
  <c r="G38" i="20"/>
  <c r="F38" i="20"/>
  <c r="Q33" i="20"/>
  <c r="Q34" i="20" s="1"/>
  <c r="P33" i="20"/>
  <c r="P34" i="20" s="1"/>
  <c r="O33" i="20"/>
  <c r="O34" i="20" s="1"/>
  <c r="N33" i="20"/>
  <c r="N34" i="20" s="1"/>
  <c r="M33" i="20"/>
  <c r="M34" i="20" s="1"/>
  <c r="L33" i="20"/>
  <c r="L34" i="20" s="1"/>
  <c r="K33" i="20"/>
  <c r="K34" i="20" s="1"/>
  <c r="J33" i="20"/>
  <c r="J34" i="20" s="1"/>
  <c r="I33" i="20"/>
  <c r="I34" i="20" s="1"/>
  <c r="H33" i="20"/>
  <c r="H34" i="20" s="1"/>
  <c r="G33" i="20"/>
  <c r="G34" i="20" s="1"/>
  <c r="F33" i="20"/>
  <c r="F34" i="20" s="1"/>
  <c r="Q29" i="20"/>
  <c r="P29" i="20"/>
  <c r="O29" i="20"/>
  <c r="N29" i="20"/>
  <c r="M29" i="20"/>
  <c r="L29" i="20"/>
  <c r="K29" i="20"/>
  <c r="J29" i="20"/>
  <c r="I29" i="20"/>
  <c r="H29" i="20"/>
  <c r="G29" i="20"/>
  <c r="F29" i="20"/>
  <c r="Q42" i="19"/>
  <c r="Q44" i="19" s="1"/>
  <c r="P42" i="19"/>
  <c r="P44" i="19" s="1"/>
  <c r="O42" i="19"/>
  <c r="O44" i="19" s="1"/>
  <c r="N42" i="19"/>
  <c r="N44" i="19" s="1"/>
  <c r="M42" i="19"/>
  <c r="M44" i="19" s="1"/>
  <c r="L42" i="19"/>
  <c r="L44" i="19" s="1"/>
  <c r="K42" i="19"/>
  <c r="K44" i="19" s="1"/>
  <c r="J42" i="19"/>
  <c r="J44" i="19" s="1"/>
  <c r="I42" i="19"/>
  <c r="I44" i="19" s="1"/>
  <c r="H42" i="19"/>
  <c r="H44" i="19" s="1"/>
  <c r="G42" i="19"/>
  <c r="G44" i="19" s="1"/>
  <c r="F42" i="19"/>
  <c r="F44" i="19" s="1"/>
  <c r="Q38" i="19"/>
  <c r="P38" i="19"/>
  <c r="O38" i="19"/>
  <c r="N38" i="19"/>
  <c r="M38" i="19"/>
  <c r="L38" i="19"/>
  <c r="K38" i="19"/>
  <c r="J38" i="19"/>
  <c r="I38" i="19"/>
  <c r="G38" i="19"/>
  <c r="F38" i="19"/>
  <c r="O34" i="19"/>
  <c r="Q33" i="19"/>
  <c r="Q34" i="19" s="1"/>
  <c r="P33" i="19"/>
  <c r="P34" i="19" s="1"/>
  <c r="O33" i="19"/>
  <c r="N33" i="19"/>
  <c r="N34" i="19" s="1"/>
  <c r="M33" i="19"/>
  <c r="M34" i="19" s="1"/>
  <c r="L33" i="19"/>
  <c r="L34" i="19" s="1"/>
  <c r="K33" i="19"/>
  <c r="K34" i="19" s="1"/>
  <c r="J33" i="19"/>
  <c r="J34" i="19" s="1"/>
  <c r="I33" i="19"/>
  <c r="I34" i="19" s="1"/>
  <c r="H33" i="19"/>
  <c r="H34" i="19" s="1"/>
  <c r="G33" i="19"/>
  <c r="G34" i="19" s="1"/>
  <c r="F33" i="19"/>
  <c r="F34" i="19" s="1"/>
  <c r="Q29" i="19"/>
  <c r="P29" i="19"/>
  <c r="O29" i="19"/>
  <c r="N29" i="19"/>
  <c r="M29" i="19"/>
  <c r="L29" i="19"/>
  <c r="K29" i="19"/>
  <c r="J29" i="19"/>
  <c r="I29" i="19"/>
  <c r="H29" i="19"/>
  <c r="G29" i="19"/>
  <c r="F29" i="19"/>
  <c r="Q42" i="18"/>
  <c r="Q44" i="18" s="1"/>
  <c r="P42" i="18"/>
  <c r="P44" i="18" s="1"/>
  <c r="O42" i="18"/>
  <c r="O44" i="18" s="1"/>
  <c r="N42" i="18"/>
  <c r="N44" i="18" s="1"/>
  <c r="M42" i="18"/>
  <c r="M44" i="18" s="1"/>
  <c r="L42" i="18"/>
  <c r="L44" i="18" s="1"/>
  <c r="K42" i="18"/>
  <c r="K44" i="18" s="1"/>
  <c r="J42" i="18"/>
  <c r="J44" i="18" s="1"/>
  <c r="I42" i="18"/>
  <c r="I44" i="18" s="1"/>
  <c r="H42" i="18"/>
  <c r="H44" i="18" s="1"/>
  <c r="G42" i="18"/>
  <c r="G44" i="18" s="1"/>
  <c r="F42" i="18"/>
  <c r="F44" i="18" s="1"/>
  <c r="Q38" i="18"/>
  <c r="P38" i="18"/>
  <c r="O38" i="18"/>
  <c r="N38" i="18"/>
  <c r="M38" i="18"/>
  <c r="L38" i="18"/>
  <c r="K38" i="18"/>
  <c r="J38" i="18"/>
  <c r="I38" i="18"/>
  <c r="G38" i="18"/>
  <c r="F38" i="18"/>
  <c r="Q34" i="18"/>
  <c r="Q33" i="18"/>
  <c r="P33" i="18"/>
  <c r="P34" i="18" s="1"/>
  <c r="O33" i="18"/>
  <c r="O34" i="18" s="1"/>
  <c r="N33" i="18"/>
  <c r="N34" i="18" s="1"/>
  <c r="M33" i="18"/>
  <c r="M34" i="18" s="1"/>
  <c r="L33" i="18"/>
  <c r="L34" i="18" s="1"/>
  <c r="K33" i="18"/>
  <c r="K34" i="18" s="1"/>
  <c r="J33" i="18"/>
  <c r="J34" i="18" s="1"/>
  <c r="I33" i="18"/>
  <c r="I34" i="18" s="1"/>
  <c r="H33" i="18"/>
  <c r="H34" i="18" s="1"/>
  <c r="G33" i="18"/>
  <c r="G34" i="18" s="1"/>
  <c r="F33" i="18"/>
  <c r="F34" i="18" s="1"/>
  <c r="Q29" i="18"/>
  <c r="P29" i="18"/>
  <c r="O29" i="18"/>
  <c r="N29" i="18"/>
  <c r="M29" i="18"/>
  <c r="L29" i="18"/>
  <c r="K29" i="18"/>
  <c r="J29" i="18"/>
  <c r="I29" i="18"/>
  <c r="H29" i="18"/>
  <c r="G29" i="18"/>
  <c r="F29" i="18"/>
  <c r="H38" i="17"/>
  <c r="I38" i="17"/>
  <c r="N42" i="17"/>
  <c r="N44" i="17" s="1"/>
  <c r="F44" i="17"/>
  <c r="Q42" i="17"/>
  <c r="Q44" i="17" s="1"/>
  <c r="P42" i="17"/>
  <c r="P44" i="17" s="1"/>
  <c r="O42" i="17"/>
  <c r="O44" i="17" s="1"/>
  <c r="M42" i="17"/>
  <c r="M44" i="17" s="1"/>
  <c r="L42" i="17"/>
  <c r="L44" i="17" s="1"/>
  <c r="K42" i="17"/>
  <c r="K44" i="17" s="1"/>
  <c r="J42" i="17"/>
  <c r="J44" i="17" s="1"/>
  <c r="I42" i="17"/>
  <c r="I44" i="17" s="1"/>
  <c r="H42" i="17"/>
  <c r="H44" i="17" s="1"/>
  <c r="G42" i="17"/>
  <c r="G44" i="17" s="1"/>
  <c r="F42" i="17"/>
  <c r="Q38" i="17"/>
  <c r="P38" i="17"/>
  <c r="O38" i="17"/>
  <c r="N38" i="17"/>
  <c r="M38" i="17"/>
  <c r="L38" i="17"/>
  <c r="K38" i="17"/>
  <c r="J38" i="17"/>
  <c r="G38" i="17"/>
  <c r="F38" i="17"/>
  <c r="F34" i="17"/>
  <c r="Q33" i="17"/>
  <c r="Q34" i="17" s="1"/>
  <c r="P33" i="17"/>
  <c r="P34" i="17" s="1"/>
  <c r="O33" i="17"/>
  <c r="O34" i="17" s="1"/>
  <c r="N33" i="17"/>
  <c r="N34" i="17" s="1"/>
  <c r="M33" i="17"/>
  <c r="M34" i="17" s="1"/>
  <c r="L33" i="17"/>
  <c r="L34" i="17" s="1"/>
  <c r="K33" i="17"/>
  <c r="K34" i="17" s="1"/>
  <c r="J33" i="17"/>
  <c r="J34" i="17" s="1"/>
  <c r="I33" i="17"/>
  <c r="I34" i="17" s="1"/>
  <c r="H33" i="17"/>
  <c r="H34" i="17" s="1"/>
  <c r="G33" i="17"/>
  <c r="G34" i="17" s="1"/>
  <c r="F33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P44" i="16"/>
  <c r="Q42" i="16"/>
  <c r="Q44" i="16" s="1"/>
  <c r="P42" i="16"/>
  <c r="O42" i="16"/>
  <c r="O44" i="16" s="1"/>
  <c r="N42" i="16"/>
  <c r="N44" i="16" s="1"/>
  <c r="M42" i="16"/>
  <c r="M44" i="16" s="1"/>
  <c r="L42" i="16"/>
  <c r="L44" i="16" s="1"/>
  <c r="K42" i="16"/>
  <c r="K44" i="16" s="1"/>
  <c r="J42" i="16"/>
  <c r="J44" i="16" s="1"/>
  <c r="I42" i="16"/>
  <c r="I44" i="16" s="1"/>
  <c r="H42" i="16"/>
  <c r="H44" i="16" s="1"/>
  <c r="G42" i="16"/>
  <c r="G44" i="16" s="1"/>
  <c r="F42" i="16"/>
  <c r="F44" i="16" s="1"/>
  <c r="Q38" i="16"/>
  <c r="P38" i="16"/>
  <c r="O38" i="16"/>
  <c r="N38" i="16"/>
  <c r="M38" i="16"/>
  <c r="L38" i="16"/>
  <c r="K38" i="16"/>
  <c r="J38" i="16"/>
  <c r="I38" i="16"/>
  <c r="G38" i="16"/>
  <c r="F38" i="16"/>
  <c r="Q33" i="16"/>
  <c r="Q34" i="16" s="1"/>
  <c r="P33" i="16"/>
  <c r="P34" i="16" s="1"/>
  <c r="O33" i="16"/>
  <c r="O34" i="16" s="1"/>
  <c r="N33" i="16"/>
  <c r="N34" i="16" s="1"/>
  <c r="M33" i="16"/>
  <c r="M34" i="16" s="1"/>
  <c r="L33" i="16"/>
  <c r="L34" i="16" s="1"/>
  <c r="K33" i="16"/>
  <c r="K34" i="16" s="1"/>
  <c r="J33" i="16"/>
  <c r="J34" i="16" s="1"/>
  <c r="I33" i="16"/>
  <c r="I34" i="16" s="1"/>
  <c r="H33" i="16"/>
  <c r="H34" i="16" s="1"/>
  <c r="G33" i="16"/>
  <c r="G34" i="16" s="1"/>
  <c r="F33" i="16"/>
  <c r="F34" i="16" s="1"/>
  <c r="Q29" i="16"/>
  <c r="P29" i="16"/>
  <c r="O29" i="16"/>
  <c r="N29" i="16"/>
  <c r="M29" i="16"/>
  <c r="L29" i="16"/>
  <c r="K29" i="16"/>
  <c r="J29" i="16"/>
  <c r="I29" i="16"/>
  <c r="H29" i="16"/>
  <c r="G29" i="16"/>
  <c r="F29" i="16"/>
  <c r="F44" i="15"/>
  <c r="Q42" i="15"/>
  <c r="Q44" i="15" s="1"/>
  <c r="P42" i="15"/>
  <c r="P44" i="15" s="1"/>
  <c r="O42" i="15"/>
  <c r="O44" i="15" s="1"/>
  <c r="N42" i="15"/>
  <c r="N44" i="15" s="1"/>
  <c r="M42" i="15"/>
  <c r="M44" i="15" s="1"/>
  <c r="L42" i="15"/>
  <c r="L44" i="15" s="1"/>
  <c r="K42" i="15"/>
  <c r="K44" i="15" s="1"/>
  <c r="J42" i="15"/>
  <c r="J44" i="15" s="1"/>
  <c r="I42" i="15"/>
  <c r="I44" i="15" s="1"/>
  <c r="H42" i="15"/>
  <c r="H44" i="15" s="1"/>
  <c r="G42" i="15"/>
  <c r="G44" i="15" s="1"/>
  <c r="F42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Q33" i="15"/>
  <c r="Q34" i="15" s="1"/>
  <c r="P33" i="15"/>
  <c r="P34" i="15" s="1"/>
  <c r="O33" i="15"/>
  <c r="O34" i="15" s="1"/>
  <c r="N33" i="15"/>
  <c r="N34" i="15" s="1"/>
  <c r="M33" i="15"/>
  <c r="M34" i="15" s="1"/>
  <c r="L33" i="15"/>
  <c r="L34" i="15" s="1"/>
  <c r="K33" i="15"/>
  <c r="K34" i="15" s="1"/>
  <c r="J33" i="15"/>
  <c r="J34" i="15" s="1"/>
  <c r="I33" i="15"/>
  <c r="I34" i="15" s="1"/>
  <c r="H33" i="15"/>
  <c r="H34" i="15" s="1"/>
  <c r="G33" i="15"/>
  <c r="G34" i="15" s="1"/>
  <c r="F33" i="15"/>
  <c r="F34" i="15" s="1"/>
  <c r="Q29" i="15"/>
  <c r="P29" i="15"/>
  <c r="O29" i="15"/>
  <c r="N29" i="15"/>
  <c r="M29" i="15"/>
  <c r="L29" i="15"/>
  <c r="K29" i="15"/>
  <c r="J29" i="15"/>
  <c r="I29" i="15"/>
  <c r="H29" i="15"/>
  <c r="G29" i="15"/>
  <c r="Q42" i="14"/>
  <c r="Q44" i="14" s="1"/>
  <c r="P42" i="14"/>
  <c r="P44" i="14" s="1"/>
  <c r="O42" i="14"/>
  <c r="O44" i="14" s="1"/>
  <c r="N42" i="14"/>
  <c r="N44" i="14" s="1"/>
  <c r="M42" i="14"/>
  <c r="M44" i="14" s="1"/>
  <c r="L42" i="14"/>
  <c r="L44" i="14" s="1"/>
  <c r="K42" i="14"/>
  <c r="K44" i="14" s="1"/>
  <c r="J42" i="14"/>
  <c r="J44" i="14" s="1"/>
  <c r="I42" i="14"/>
  <c r="I44" i="14" s="1"/>
  <c r="H42" i="14"/>
  <c r="H44" i="14" s="1"/>
  <c r="G42" i="14"/>
  <c r="G44" i="14" s="1"/>
  <c r="F42" i="14"/>
  <c r="F44" i="14" s="1"/>
  <c r="Q38" i="14"/>
  <c r="P38" i="14"/>
  <c r="O38" i="14"/>
  <c r="N38" i="14"/>
  <c r="M38" i="14"/>
  <c r="L38" i="14"/>
  <c r="K38" i="14"/>
  <c r="J38" i="14"/>
  <c r="I38" i="14"/>
  <c r="H38" i="14"/>
  <c r="G38" i="14"/>
  <c r="F38" i="14"/>
  <c r="Q33" i="14"/>
  <c r="Q34" i="14" s="1"/>
  <c r="P33" i="14"/>
  <c r="P34" i="14" s="1"/>
  <c r="O33" i="14"/>
  <c r="O34" i="14" s="1"/>
  <c r="N33" i="14"/>
  <c r="N34" i="14" s="1"/>
  <c r="M33" i="14"/>
  <c r="M34" i="14" s="1"/>
  <c r="L33" i="14"/>
  <c r="L34" i="14" s="1"/>
  <c r="K33" i="14"/>
  <c r="K34" i="14" s="1"/>
  <c r="J33" i="14"/>
  <c r="J34" i="14" s="1"/>
  <c r="I33" i="14"/>
  <c r="I34" i="14" s="1"/>
  <c r="H33" i="14"/>
  <c r="H34" i="14" s="1"/>
  <c r="G33" i="14"/>
  <c r="G34" i="14" s="1"/>
  <c r="F33" i="14"/>
  <c r="F34" i="14" s="1"/>
  <c r="Q29" i="14"/>
  <c r="P29" i="14"/>
  <c r="O29" i="14"/>
  <c r="N29" i="14"/>
  <c r="M29" i="14"/>
  <c r="L29" i="14"/>
  <c r="K29" i="14"/>
  <c r="J29" i="14"/>
  <c r="I29" i="14"/>
  <c r="H29" i="14"/>
  <c r="G29" i="14"/>
  <c r="Q42" i="13"/>
  <c r="Q44" i="13" s="1"/>
  <c r="P42" i="13"/>
  <c r="P44" i="13" s="1"/>
  <c r="O42" i="13"/>
  <c r="O44" i="13" s="1"/>
  <c r="N42" i="13"/>
  <c r="N44" i="13" s="1"/>
  <c r="M42" i="13"/>
  <c r="M44" i="13" s="1"/>
  <c r="L42" i="13"/>
  <c r="L44" i="13" s="1"/>
  <c r="K42" i="13"/>
  <c r="K44" i="13" s="1"/>
  <c r="J42" i="13"/>
  <c r="J44" i="13" s="1"/>
  <c r="I42" i="13"/>
  <c r="I44" i="13" s="1"/>
  <c r="H42" i="13"/>
  <c r="H44" i="13" s="1"/>
  <c r="G42" i="13"/>
  <c r="G44" i="13" s="1"/>
  <c r="F42" i="13"/>
  <c r="F44" i="13" s="1"/>
  <c r="Q38" i="13"/>
  <c r="P38" i="13"/>
  <c r="O38" i="13"/>
  <c r="N38" i="13"/>
  <c r="M38" i="13"/>
  <c r="L38" i="13"/>
  <c r="K38" i="13"/>
  <c r="J38" i="13"/>
  <c r="I38" i="13"/>
  <c r="H38" i="13"/>
  <c r="G38" i="13"/>
  <c r="F38" i="13"/>
  <c r="Q33" i="13"/>
  <c r="Q34" i="13" s="1"/>
  <c r="P33" i="13"/>
  <c r="P34" i="13" s="1"/>
  <c r="O33" i="13"/>
  <c r="O34" i="13" s="1"/>
  <c r="N33" i="13"/>
  <c r="N34" i="13" s="1"/>
  <c r="M33" i="13"/>
  <c r="M34" i="13" s="1"/>
  <c r="L33" i="13"/>
  <c r="L34" i="13" s="1"/>
  <c r="K33" i="13"/>
  <c r="K34" i="13" s="1"/>
  <c r="J33" i="13"/>
  <c r="J34" i="13" s="1"/>
  <c r="I33" i="13"/>
  <c r="I34" i="13" s="1"/>
  <c r="H33" i="13"/>
  <c r="H34" i="13" s="1"/>
  <c r="G33" i="13"/>
  <c r="G34" i="13" s="1"/>
  <c r="F33" i="13"/>
  <c r="F34" i="13" s="1"/>
  <c r="Q29" i="13"/>
  <c r="P29" i="13"/>
  <c r="O29" i="13"/>
  <c r="N29" i="13"/>
  <c r="M29" i="13"/>
  <c r="L29" i="13"/>
  <c r="K29" i="13"/>
  <c r="J29" i="13"/>
  <c r="I29" i="13"/>
  <c r="H29" i="13"/>
  <c r="G29" i="13"/>
  <c r="F29" i="13"/>
  <c r="G42" i="12"/>
  <c r="Q42" i="12"/>
  <c r="Q44" i="12" s="1"/>
  <c r="P42" i="12"/>
  <c r="P44" i="12" s="1"/>
  <c r="O42" i="12"/>
  <c r="O44" i="12" s="1"/>
  <c r="N42" i="12"/>
  <c r="N44" i="12" s="1"/>
  <c r="M42" i="12"/>
  <c r="M44" i="12" s="1"/>
  <c r="L42" i="12"/>
  <c r="L44" i="12" s="1"/>
  <c r="K42" i="12"/>
  <c r="K44" i="12" s="1"/>
  <c r="J42" i="12"/>
  <c r="J44" i="12" s="1"/>
  <c r="I42" i="12"/>
  <c r="I44" i="12" s="1"/>
  <c r="H42" i="12"/>
  <c r="H44" i="12" s="1"/>
  <c r="G44" i="12"/>
  <c r="F42" i="12"/>
  <c r="F44" i="12" s="1"/>
  <c r="Q38" i="12"/>
  <c r="P38" i="12"/>
  <c r="O38" i="12"/>
  <c r="N38" i="12"/>
  <c r="M38" i="12"/>
  <c r="L38" i="12"/>
  <c r="K38" i="12"/>
  <c r="J38" i="12"/>
  <c r="I38" i="12"/>
  <c r="H38" i="12"/>
  <c r="G38" i="12"/>
  <c r="F38" i="12"/>
  <c r="Q33" i="12"/>
  <c r="Q34" i="12" s="1"/>
  <c r="P33" i="12"/>
  <c r="P34" i="12" s="1"/>
  <c r="O33" i="12"/>
  <c r="O34" i="12" s="1"/>
  <c r="N33" i="12"/>
  <c r="N34" i="12" s="1"/>
  <c r="M33" i="12"/>
  <c r="M34" i="12" s="1"/>
  <c r="L33" i="12"/>
  <c r="L34" i="12" s="1"/>
  <c r="K33" i="12"/>
  <c r="K34" i="12" s="1"/>
  <c r="J33" i="12"/>
  <c r="J34" i="12" s="1"/>
  <c r="I33" i="12"/>
  <c r="I34" i="12" s="1"/>
  <c r="H33" i="12"/>
  <c r="H34" i="12" s="1"/>
  <c r="G33" i="12"/>
  <c r="G34" i="12" s="1"/>
  <c r="F33" i="12"/>
  <c r="F34" i="12" s="1"/>
  <c r="Q29" i="12"/>
  <c r="P29" i="12"/>
  <c r="O29" i="12"/>
  <c r="N29" i="12"/>
  <c r="M29" i="12"/>
  <c r="L29" i="12"/>
  <c r="K29" i="12"/>
  <c r="J29" i="12"/>
  <c r="I29" i="12"/>
  <c r="H29" i="12"/>
  <c r="G29" i="12"/>
  <c r="F29" i="12"/>
  <c r="H38" i="11"/>
  <c r="Q42" i="11"/>
  <c r="Q44" i="11" s="1"/>
  <c r="P42" i="11"/>
  <c r="P44" i="11" s="1"/>
  <c r="O42" i="11"/>
  <c r="O44" i="11" s="1"/>
  <c r="N42" i="11"/>
  <c r="N44" i="11" s="1"/>
  <c r="M42" i="11"/>
  <c r="M44" i="11" s="1"/>
  <c r="L42" i="11"/>
  <c r="L44" i="11" s="1"/>
  <c r="K42" i="11"/>
  <c r="K44" i="11" s="1"/>
  <c r="J42" i="11"/>
  <c r="J44" i="11" s="1"/>
  <c r="I42" i="11"/>
  <c r="I44" i="11" s="1"/>
  <c r="H42" i="11"/>
  <c r="H44" i="11" s="1"/>
  <c r="G42" i="11"/>
  <c r="G44" i="11" s="1"/>
  <c r="F42" i="11"/>
  <c r="F44" i="11" s="1"/>
  <c r="Q38" i="11"/>
  <c r="P38" i="11"/>
  <c r="O38" i="11"/>
  <c r="N38" i="11"/>
  <c r="M38" i="11"/>
  <c r="L38" i="11"/>
  <c r="K38" i="11"/>
  <c r="J38" i="11"/>
  <c r="I38" i="11"/>
  <c r="G38" i="11"/>
  <c r="F38" i="11"/>
  <c r="Q33" i="11"/>
  <c r="Q34" i="11" s="1"/>
  <c r="P33" i="11"/>
  <c r="P34" i="11" s="1"/>
  <c r="O33" i="11"/>
  <c r="O34" i="11" s="1"/>
  <c r="N33" i="11"/>
  <c r="N34" i="11" s="1"/>
  <c r="M33" i="11"/>
  <c r="M34" i="11" s="1"/>
  <c r="L33" i="11"/>
  <c r="L34" i="11" s="1"/>
  <c r="K33" i="11"/>
  <c r="K34" i="11" s="1"/>
  <c r="J33" i="11"/>
  <c r="J34" i="11" s="1"/>
  <c r="I33" i="11"/>
  <c r="I34" i="11" s="1"/>
  <c r="H33" i="11"/>
  <c r="H34" i="11" s="1"/>
  <c r="G33" i="11"/>
  <c r="G34" i="11" s="1"/>
  <c r="F33" i="11"/>
  <c r="F34" i="11" s="1"/>
  <c r="Q29" i="11"/>
  <c r="P29" i="11"/>
  <c r="O29" i="11"/>
  <c r="N29" i="11"/>
  <c r="M29" i="11"/>
  <c r="L29" i="11"/>
  <c r="K29" i="11"/>
  <c r="J29" i="11"/>
  <c r="I29" i="11"/>
  <c r="H29" i="11"/>
  <c r="G29" i="11"/>
  <c r="F29" i="11"/>
  <c r="Q42" i="10"/>
  <c r="Q44" i="10" s="1"/>
  <c r="P42" i="10"/>
  <c r="P44" i="10" s="1"/>
  <c r="O42" i="10"/>
  <c r="O44" i="10" s="1"/>
  <c r="N42" i="10"/>
  <c r="N44" i="10" s="1"/>
  <c r="M42" i="10"/>
  <c r="M44" i="10" s="1"/>
  <c r="L42" i="10"/>
  <c r="L44" i="10" s="1"/>
  <c r="K42" i="10"/>
  <c r="K44" i="10" s="1"/>
  <c r="J42" i="10"/>
  <c r="J44" i="10" s="1"/>
  <c r="I42" i="10"/>
  <c r="I44" i="10" s="1"/>
  <c r="H42" i="10"/>
  <c r="H44" i="10" s="1"/>
  <c r="G42" i="10"/>
  <c r="G44" i="10" s="1"/>
  <c r="F42" i="10"/>
  <c r="F44" i="10" s="1"/>
  <c r="Q38" i="10"/>
  <c r="P38" i="10"/>
  <c r="O38" i="10"/>
  <c r="N38" i="10"/>
  <c r="M38" i="10"/>
  <c r="L38" i="10"/>
  <c r="K38" i="10"/>
  <c r="J38" i="10"/>
  <c r="I38" i="10"/>
  <c r="G38" i="10"/>
  <c r="F38" i="10"/>
  <c r="Q33" i="10"/>
  <c r="Q34" i="10" s="1"/>
  <c r="P33" i="10"/>
  <c r="P34" i="10" s="1"/>
  <c r="O33" i="10"/>
  <c r="O34" i="10" s="1"/>
  <c r="N33" i="10"/>
  <c r="N34" i="10" s="1"/>
  <c r="M33" i="10"/>
  <c r="M34" i="10" s="1"/>
  <c r="L33" i="10"/>
  <c r="L34" i="10" s="1"/>
  <c r="K33" i="10"/>
  <c r="K34" i="10" s="1"/>
  <c r="J33" i="10"/>
  <c r="J34" i="10" s="1"/>
  <c r="I33" i="10"/>
  <c r="I34" i="10" s="1"/>
  <c r="H33" i="10"/>
  <c r="H34" i="10" s="1"/>
  <c r="G33" i="10"/>
  <c r="G34" i="10" s="1"/>
  <c r="F33" i="10"/>
  <c r="F34" i="10" s="1"/>
  <c r="Q29" i="10"/>
  <c r="P29" i="10"/>
  <c r="O29" i="10"/>
  <c r="N29" i="10"/>
  <c r="M29" i="10"/>
  <c r="L29" i="10"/>
  <c r="K29" i="10"/>
  <c r="J29" i="10"/>
  <c r="I29" i="10"/>
  <c r="H29" i="10"/>
  <c r="G29" i="10"/>
  <c r="F29" i="10"/>
  <c r="G44" i="9"/>
  <c r="H44" i="9"/>
  <c r="G42" i="9"/>
  <c r="H42" i="9"/>
  <c r="G38" i="9"/>
  <c r="H38" i="9"/>
  <c r="I38" i="9"/>
  <c r="G34" i="9"/>
  <c r="H34" i="9"/>
  <c r="G33" i="9"/>
  <c r="H33" i="9"/>
  <c r="G29" i="9"/>
  <c r="H29" i="9"/>
  <c r="M44" i="9"/>
  <c r="N44" i="9"/>
  <c r="O44" i="9"/>
  <c r="M42" i="9"/>
  <c r="N42" i="9"/>
  <c r="M38" i="9"/>
  <c r="N38" i="9"/>
  <c r="M34" i="9"/>
  <c r="N34" i="9"/>
  <c r="M33" i="9"/>
  <c r="N33" i="9"/>
  <c r="M29" i="9"/>
  <c r="N29" i="9"/>
  <c r="Q42" i="9"/>
  <c r="Q44" i="9" s="1"/>
  <c r="P42" i="9"/>
  <c r="P44" i="9" s="1"/>
  <c r="O42" i="9"/>
  <c r="L42" i="9"/>
  <c r="L44" i="9" s="1"/>
  <c r="K42" i="9"/>
  <c r="K44" i="9" s="1"/>
  <c r="J42" i="9"/>
  <c r="J44" i="9" s="1"/>
  <c r="I42" i="9"/>
  <c r="I44" i="9" s="1"/>
  <c r="F42" i="9"/>
  <c r="F44" i="9" s="1"/>
  <c r="Q38" i="9"/>
  <c r="P38" i="9"/>
  <c r="O38" i="9"/>
  <c r="L38" i="9"/>
  <c r="K38" i="9"/>
  <c r="J38" i="9"/>
  <c r="F38" i="9"/>
  <c r="P34" i="9"/>
  <c r="O34" i="9"/>
  <c r="K34" i="9"/>
  <c r="I34" i="9"/>
  <c r="Q33" i="9"/>
  <c r="Q34" i="9" s="1"/>
  <c r="P33" i="9"/>
  <c r="O33" i="9"/>
  <c r="L33" i="9"/>
  <c r="L34" i="9" s="1"/>
  <c r="K33" i="9"/>
  <c r="J33" i="9"/>
  <c r="J34" i="9" s="1"/>
  <c r="I33" i="9"/>
  <c r="F33" i="9"/>
  <c r="F34" i="9" s="1"/>
  <c r="Q29" i="9"/>
  <c r="P29" i="9"/>
  <c r="O29" i="9"/>
  <c r="L29" i="9"/>
  <c r="K29" i="9"/>
  <c r="J29" i="9"/>
  <c r="I29" i="9"/>
  <c r="F29" i="9"/>
  <c r="F33" i="7"/>
  <c r="Q42" i="7"/>
  <c r="Q44" i="7" s="1"/>
  <c r="Q38" i="7"/>
  <c r="Q34" i="7"/>
  <c r="Q33" i="7"/>
  <c r="Q29" i="7"/>
  <c r="O42" i="7" l="1"/>
  <c r="O44" i="7" s="1"/>
  <c r="O38" i="7"/>
  <c r="O33" i="7"/>
  <c r="O34" i="7" s="1"/>
  <c r="O29" i="7"/>
  <c r="K42" i="7"/>
  <c r="K44" i="7" s="1"/>
  <c r="K38" i="7"/>
  <c r="K33" i="7"/>
  <c r="K34" i="7" s="1"/>
  <c r="K29" i="7"/>
  <c r="I42" i="7"/>
  <c r="I44" i="7" s="1"/>
  <c r="I38" i="7"/>
  <c r="I34" i="7"/>
  <c r="I33" i="7"/>
  <c r="I29" i="7"/>
  <c r="H38" i="8" l="1"/>
  <c r="I38" i="8"/>
  <c r="Q42" i="8"/>
  <c r="Q44" i="8" s="1"/>
  <c r="P42" i="8"/>
  <c r="P44" i="8" s="1"/>
  <c r="O42" i="8"/>
  <c r="O44" i="8" s="1"/>
  <c r="N42" i="8"/>
  <c r="N44" i="8" s="1"/>
  <c r="M42" i="8"/>
  <c r="M44" i="8" s="1"/>
  <c r="L42" i="8"/>
  <c r="L44" i="8" s="1"/>
  <c r="K42" i="8"/>
  <c r="K44" i="8" s="1"/>
  <c r="J42" i="8"/>
  <c r="J44" i="8" s="1"/>
  <c r="I42" i="8"/>
  <c r="I44" i="8" s="1"/>
  <c r="H42" i="8"/>
  <c r="H44" i="8" s="1"/>
  <c r="G42" i="8"/>
  <c r="G44" i="8" s="1"/>
  <c r="F42" i="8"/>
  <c r="F44" i="8" s="1"/>
  <c r="Q38" i="8"/>
  <c r="P38" i="8"/>
  <c r="O38" i="8"/>
  <c r="N38" i="8"/>
  <c r="M38" i="8"/>
  <c r="L38" i="8"/>
  <c r="K38" i="8"/>
  <c r="J38" i="8"/>
  <c r="G38" i="8"/>
  <c r="F38" i="8"/>
  <c r="Q33" i="8"/>
  <c r="Q34" i="8" s="1"/>
  <c r="P33" i="8"/>
  <c r="P34" i="8" s="1"/>
  <c r="O33" i="8"/>
  <c r="O34" i="8" s="1"/>
  <c r="N33" i="8"/>
  <c r="N34" i="8" s="1"/>
  <c r="M33" i="8"/>
  <c r="M34" i="8" s="1"/>
  <c r="L33" i="8"/>
  <c r="L34" i="8" s="1"/>
  <c r="K33" i="8"/>
  <c r="K34" i="8" s="1"/>
  <c r="J33" i="8"/>
  <c r="J34" i="8" s="1"/>
  <c r="I33" i="8"/>
  <c r="I34" i="8" s="1"/>
  <c r="H33" i="8"/>
  <c r="H34" i="8" s="1"/>
  <c r="G33" i="8"/>
  <c r="G34" i="8" s="1"/>
  <c r="F33" i="8"/>
  <c r="F34" i="8" s="1"/>
  <c r="Q29" i="8"/>
  <c r="P29" i="8"/>
  <c r="O29" i="8"/>
  <c r="N29" i="8"/>
  <c r="M29" i="8"/>
  <c r="L29" i="8"/>
  <c r="K29" i="8"/>
  <c r="J29" i="8"/>
  <c r="I29" i="8"/>
  <c r="H29" i="8"/>
  <c r="G29" i="8"/>
  <c r="F29" i="8"/>
  <c r="P42" i="7"/>
  <c r="P44" i="7" s="1"/>
  <c r="N42" i="7"/>
  <c r="N44" i="7" s="1"/>
  <c r="L42" i="7"/>
  <c r="L44" i="7" s="1"/>
  <c r="J42" i="7"/>
  <c r="J44" i="7" s="1"/>
  <c r="H42" i="7"/>
  <c r="H44" i="7" s="1"/>
  <c r="F42" i="7"/>
  <c r="F44" i="7" s="1"/>
  <c r="P38" i="7"/>
  <c r="N38" i="7"/>
  <c r="L38" i="7"/>
  <c r="J38" i="7"/>
  <c r="F38" i="7"/>
  <c r="P33" i="7"/>
  <c r="P34" i="7" s="1"/>
  <c r="N33" i="7"/>
  <c r="N34" i="7" s="1"/>
  <c r="L33" i="7"/>
  <c r="L34" i="7" s="1"/>
  <c r="J33" i="7"/>
  <c r="J34" i="7" s="1"/>
  <c r="H33" i="7"/>
  <c r="H34" i="7" s="1"/>
  <c r="F34" i="7"/>
  <c r="P29" i="7"/>
  <c r="N29" i="7"/>
  <c r="L29" i="7"/>
  <c r="J29" i="7"/>
  <c r="H29" i="7"/>
  <c r="F29" i="7"/>
  <c r="Q42" i="6"/>
  <c r="Q44" i="6" s="1"/>
  <c r="P42" i="6"/>
  <c r="P44" i="6" s="1"/>
  <c r="O42" i="6"/>
  <c r="O44" i="6" s="1"/>
  <c r="N42" i="6"/>
  <c r="N44" i="6" s="1"/>
  <c r="M42" i="6"/>
  <c r="M44" i="6" s="1"/>
  <c r="L42" i="6"/>
  <c r="L44" i="6" s="1"/>
  <c r="K42" i="6"/>
  <c r="K44" i="6" s="1"/>
  <c r="J42" i="6"/>
  <c r="J44" i="6" s="1"/>
  <c r="I42" i="6"/>
  <c r="I44" i="6" s="1"/>
  <c r="H42" i="6"/>
  <c r="H44" i="6" s="1"/>
  <c r="G42" i="6"/>
  <c r="G44" i="6" s="1"/>
  <c r="F42" i="6"/>
  <c r="F44" i="6" s="1"/>
  <c r="Q38" i="6"/>
  <c r="P38" i="6"/>
  <c r="O38" i="6"/>
  <c r="N38" i="6"/>
  <c r="M38" i="6"/>
  <c r="L38" i="6"/>
  <c r="K38" i="6"/>
  <c r="J38" i="6"/>
  <c r="I38" i="6"/>
  <c r="G38" i="6"/>
  <c r="F38" i="6"/>
  <c r="Q33" i="6"/>
  <c r="Q34" i="6" s="1"/>
  <c r="P33" i="6"/>
  <c r="P34" i="6" s="1"/>
  <c r="O33" i="6"/>
  <c r="O34" i="6" s="1"/>
  <c r="N33" i="6"/>
  <c r="N34" i="6" s="1"/>
  <c r="M33" i="6"/>
  <c r="M34" i="6" s="1"/>
  <c r="L33" i="6"/>
  <c r="L34" i="6" s="1"/>
  <c r="K33" i="6"/>
  <c r="K34" i="6" s="1"/>
  <c r="J33" i="6"/>
  <c r="J34" i="6" s="1"/>
  <c r="I33" i="6"/>
  <c r="I34" i="6" s="1"/>
  <c r="H33" i="6"/>
  <c r="H34" i="6" s="1"/>
  <c r="G33" i="6"/>
  <c r="G34" i="6" s="1"/>
  <c r="F33" i="6"/>
  <c r="F34" i="6" s="1"/>
  <c r="Q29" i="6"/>
  <c r="P29" i="6"/>
  <c r="O29" i="6"/>
  <c r="N29" i="6"/>
  <c r="M29" i="6"/>
  <c r="L29" i="6"/>
  <c r="K29" i="6"/>
  <c r="J29" i="6"/>
  <c r="I29" i="6"/>
  <c r="H29" i="6"/>
  <c r="G29" i="6"/>
  <c r="F29" i="6"/>
  <c r="L42" i="5"/>
  <c r="L44" i="5" s="1"/>
  <c r="L38" i="5"/>
  <c r="L33" i="5"/>
  <c r="L34" i="5" s="1"/>
  <c r="L29" i="5"/>
  <c r="J42" i="5"/>
  <c r="J44" i="5" s="1"/>
  <c r="J38" i="5"/>
  <c r="J33" i="5"/>
  <c r="J34" i="5" s="1"/>
  <c r="J29" i="5"/>
  <c r="Q42" i="5" l="1"/>
  <c r="Q44" i="5" s="1"/>
  <c r="P42" i="5"/>
  <c r="P44" i="5" s="1"/>
  <c r="O42" i="5"/>
  <c r="O44" i="5" s="1"/>
  <c r="N42" i="5"/>
  <c r="N44" i="5" s="1"/>
  <c r="M42" i="5"/>
  <c r="M44" i="5" s="1"/>
  <c r="K42" i="5"/>
  <c r="K44" i="5" s="1"/>
  <c r="I42" i="5"/>
  <c r="I44" i="5" s="1"/>
  <c r="H42" i="5"/>
  <c r="H44" i="5" s="1"/>
  <c r="G42" i="5"/>
  <c r="G44" i="5" s="1"/>
  <c r="F42" i="5"/>
  <c r="F44" i="5" s="1"/>
  <c r="Q38" i="5"/>
  <c r="P38" i="5"/>
  <c r="O38" i="5"/>
  <c r="N38" i="5"/>
  <c r="M38" i="5"/>
  <c r="K38" i="5"/>
  <c r="I38" i="5"/>
  <c r="G38" i="5"/>
  <c r="F38" i="5"/>
  <c r="Q33" i="5"/>
  <c r="Q34" i="5" s="1"/>
  <c r="P33" i="5"/>
  <c r="P34" i="5" s="1"/>
  <c r="O33" i="5"/>
  <c r="O34" i="5" s="1"/>
  <c r="N33" i="5"/>
  <c r="N34" i="5" s="1"/>
  <c r="M33" i="5"/>
  <c r="M34" i="5" s="1"/>
  <c r="K33" i="5"/>
  <c r="K34" i="5" s="1"/>
  <c r="I33" i="5"/>
  <c r="I34" i="5" s="1"/>
  <c r="H33" i="5"/>
  <c r="H34" i="5" s="1"/>
  <c r="G33" i="5"/>
  <c r="G34" i="5" s="1"/>
  <c r="F33" i="5"/>
  <c r="F34" i="5" s="1"/>
  <c r="Q29" i="5"/>
  <c r="P29" i="5"/>
  <c r="O29" i="5"/>
  <c r="N29" i="5"/>
  <c r="M29" i="5"/>
  <c r="K29" i="5"/>
  <c r="I29" i="5"/>
  <c r="H29" i="5"/>
  <c r="G29" i="5"/>
  <c r="F29" i="5"/>
  <c r="Q42" i="4"/>
  <c r="Q44" i="4" s="1"/>
  <c r="P42" i="4"/>
  <c r="P44" i="4" s="1"/>
  <c r="O42" i="4"/>
  <c r="O44" i="4" s="1"/>
  <c r="N42" i="4"/>
  <c r="N44" i="4" s="1"/>
  <c r="M42" i="4"/>
  <c r="M44" i="4" s="1"/>
  <c r="L42" i="4"/>
  <c r="L44" i="4" s="1"/>
  <c r="K42" i="4"/>
  <c r="K44" i="4" s="1"/>
  <c r="J42" i="4"/>
  <c r="J44" i="4" s="1"/>
  <c r="I42" i="4"/>
  <c r="I44" i="4" s="1"/>
  <c r="H42" i="4"/>
  <c r="H44" i="4" s="1"/>
  <c r="G42" i="4"/>
  <c r="G44" i="4" s="1"/>
  <c r="F42" i="4"/>
  <c r="F44" i="4" s="1"/>
  <c r="Q38" i="4"/>
  <c r="P38" i="4"/>
  <c r="O38" i="4"/>
  <c r="N38" i="4"/>
  <c r="M38" i="4"/>
  <c r="L38" i="4"/>
  <c r="K38" i="4"/>
  <c r="J38" i="4"/>
  <c r="I38" i="4"/>
  <c r="G38" i="4"/>
  <c r="F38" i="4"/>
  <c r="Q33" i="4"/>
  <c r="Q34" i="4" s="1"/>
  <c r="P33" i="4"/>
  <c r="P34" i="4" s="1"/>
  <c r="O33" i="4"/>
  <c r="O34" i="4" s="1"/>
  <c r="N33" i="4"/>
  <c r="N34" i="4" s="1"/>
  <c r="M33" i="4"/>
  <c r="M34" i="4" s="1"/>
  <c r="L33" i="4"/>
  <c r="L34" i="4" s="1"/>
  <c r="K33" i="4"/>
  <c r="K34" i="4" s="1"/>
  <c r="J33" i="4"/>
  <c r="J34" i="4" s="1"/>
  <c r="I33" i="4"/>
  <c r="I34" i="4" s="1"/>
  <c r="H33" i="4"/>
  <c r="H34" i="4" s="1"/>
  <c r="G33" i="4"/>
  <c r="G34" i="4" s="1"/>
  <c r="F33" i="4"/>
  <c r="F34" i="4" s="1"/>
  <c r="Q29" i="4"/>
  <c r="P29" i="4"/>
  <c r="O29" i="4"/>
  <c r="N29" i="4"/>
  <c r="M29" i="4"/>
  <c r="L29" i="4"/>
  <c r="K29" i="4"/>
  <c r="J29" i="4"/>
  <c r="I29" i="4"/>
  <c r="H29" i="4"/>
  <c r="G29" i="4"/>
  <c r="F29" i="4"/>
  <c r="Q42" i="3"/>
  <c r="Q44" i="3" s="1"/>
  <c r="P42" i="3"/>
  <c r="P44" i="3" s="1"/>
  <c r="O42" i="3"/>
  <c r="O44" i="3" s="1"/>
  <c r="N42" i="3"/>
  <c r="N44" i="3" s="1"/>
  <c r="M42" i="3"/>
  <c r="M44" i="3" s="1"/>
  <c r="L42" i="3"/>
  <c r="L44" i="3" s="1"/>
  <c r="K42" i="3"/>
  <c r="K44" i="3" s="1"/>
  <c r="J42" i="3"/>
  <c r="J44" i="3" s="1"/>
  <c r="I42" i="3"/>
  <c r="I44" i="3" s="1"/>
  <c r="H42" i="3"/>
  <c r="H44" i="3" s="1"/>
  <c r="G42" i="3"/>
  <c r="G44" i="3" s="1"/>
  <c r="F42" i="3"/>
  <c r="F44" i="3" s="1"/>
  <c r="Q38" i="3"/>
  <c r="P38" i="3"/>
  <c r="O38" i="3"/>
  <c r="N38" i="3"/>
  <c r="M38" i="3"/>
  <c r="L38" i="3"/>
  <c r="K38" i="3"/>
  <c r="J38" i="3"/>
  <c r="I38" i="3"/>
  <c r="G38" i="3"/>
  <c r="F38" i="3"/>
  <c r="Q33" i="3"/>
  <c r="Q34" i="3" s="1"/>
  <c r="P33" i="3"/>
  <c r="P34" i="3" s="1"/>
  <c r="O33" i="3"/>
  <c r="O34" i="3" s="1"/>
  <c r="N33" i="3"/>
  <c r="N34" i="3" s="1"/>
  <c r="M33" i="3"/>
  <c r="M34" i="3" s="1"/>
  <c r="L33" i="3"/>
  <c r="L34" i="3" s="1"/>
  <c r="K33" i="3"/>
  <c r="K34" i="3" s="1"/>
  <c r="J33" i="3"/>
  <c r="J34" i="3" s="1"/>
  <c r="I33" i="3"/>
  <c r="I34" i="3" s="1"/>
  <c r="H33" i="3"/>
  <c r="H34" i="3" s="1"/>
  <c r="G33" i="3"/>
  <c r="G34" i="3" s="1"/>
  <c r="F33" i="3"/>
  <c r="F34" i="3" s="1"/>
  <c r="Q29" i="3"/>
  <c r="P29" i="3"/>
  <c r="O29" i="3"/>
  <c r="N29" i="3"/>
  <c r="M29" i="3"/>
  <c r="L29" i="3"/>
  <c r="K29" i="3"/>
  <c r="J29" i="3"/>
  <c r="I29" i="3"/>
  <c r="H29" i="3"/>
  <c r="G29" i="3"/>
  <c r="F29" i="3"/>
  <c r="Q42" i="2"/>
  <c r="Q44" i="2" s="1"/>
  <c r="P42" i="2"/>
  <c r="P44" i="2" s="1"/>
  <c r="O42" i="2"/>
  <c r="O44" i="2" s="1"/>
  <c r="N42" i="2"/>
  <c r="N44" i="2" s="1"/>
  <c r="M42" i="2"/>
  <c r="M44" i="2" s="1"/>
  <c r="L42" i="2"/>
  <c r="L44" i="2" s="1"/>
  <c r="K42" i="2"/>
  <c r="K44" i="2" s="1"/>
  <c r="J42" i="2"/>
  <c r="J44" i="2" s="1"/>
  <c r="I42" i="2"/>
  <c r="I44" i="2" s="1"/>
  <c r="H42" i="2"/>
  <c r="H44" i="2" s="1"/>
  <c r="G42" i="2"/>
  <c r="G44" i="2" s="1"/>
  <c r="F42" i="2"/>
  <c r="F44" i="2" s="1"/>
  <c r="Q38" i="2"/>
  <c r="P38" i="2"/>
  <c r="O38" i="2"/>
  <c r="N38" i="2"/>
  <c r="M38" i="2"/>
  <c r="L38" i="2"/>
  <c r="K38" i="2"/>
  <c r="J38" i="2"/>
  <c r="I38" i="2"/>
  <c r="G38" i="2"/>
  <c r="F38" i="2"/>
  <c r="Q33" i="2"/>
  <c r="Q34" i="2" s="1"/>
  <c r="P33" i="2"/>
  <c r="P34" i="2" s="1"/>
  <c r="O33" i="2"/>
  <c r="O34" i="2" s="1"/>
  <c r="N33" i="2"/>
  <c r="N34" i="2" s="1"/>
  <c r="M33" i="2"/>
  <c r="M34" i="2" s="1"/>
  <c r="L33" i="2"/>
  <c r="L34" i="2" s="1"/>
  <c r="K33" i="2"/>
  <c r="K34" i="2" s="1"/>
  <c r="J33" i="2"/>
  <c r="J34" i="2" s="1"/>
  <c r="I33" i="2"/>
  <c r="I34" i="2" s="1"/>
  <c r="H33" i="2"/>
  <c r="H34" i="2" s="1"/>
  <c r="G33" i="2"/>
  <c r="G34" i="2" s="1"/>
  <c r="F33" i="2"/>
  <c r="F34" i="2" s="1"/>
  <c r="Q29" i="2"/>
  <c r="P29" i="2"/>
  <c r="O29" i="2"/>
  <c r="N29" i="2"/>
  <c r="M29" i="2"/>
  <c r="L29" i="2"/>
  <c r="K29" i="2"/>
  <c r="J29" i="2"/>
  <c r="I29" i="2"/>
  <c r="H29" i="2"/>
  <c r="G29" i="2"/>
  <c r="F29" i="2"/>
</calcChain>
</file>

<file path=xl/sharedStrings.xml><?xml version="1.0" encoding="utf-8"?>
<sst xmlns="http://schemas.openxmlformats.org/spreadsheetml/2006/main" count="4405" uniqueCount="102">
  <si>
    <t xml:space="preserve">OPERATION CHILLER LOG SHEET
&amp;
REFRIGERANT LEAK </t>
  </si>
  <si>
    <t>REVISION : 1</t>
  </si>
  <si>
    <t>DOC NO :</t>
  </si>
  <si>
    <t xml:space="preserve">OPER-01-QR-01 </t>
  </si>
  <si>
    <t>OPERATOR :</t>
  </si>
  <si>
    <t>PAGE : 1 OF 1</t>
  </si>
  <si>
    <t>OPERATION DATE</t>
  </si>
  <si>
    <t>CHILLER</t>
  </si>
  <si>
    <t xml:space="preserve"> CONTROL 
LIMIT</t>
  </si>
  <si>
    <t>EC0120A</t>
  </si>
  <si>
    <t>EC0120B</t>
  </si>
  <si>
    <t>EC0120C</t>
  </si>
  <si>
    <t>EC0120D</t>
  </si>
  <si>
    <t>EC0120E</t>
  </si>
  <si>
    <t>EC0120F</t>
  </si>
  <si>
    <t>TIME</t>
  </si>
  <si>
    <t>00:00</t>
  </si>
  <si>
    <t>REFRIGERANT LEAK STATUS</t>
  </si>
  <si>
    <t xml:space="preserve"> OK / NOT OK</t>
  </si>
  <si>
    <t>OK</t>
  </si>
  <si>
    <t>OPENING OF VANE</t>
  </si>
  <si>
    <t>%</t>
  </si>
  <si>
    <t>0~100%</t>
  </si>
  <si>
    <t>OPENING HOT GAS BYPASS VALVE</t>
  </si>
  <si>
    <t>OPENING OF 2nd VANE</t>
  </si>
  <si>
    <t>OPENING OF HIGH-STAGE EXPANSION VALVE</t>
  </si>
  <si>
    <t>OPENING OF LOW-STAGE EXPANSION VALVE</t>
  </si>
  <si>
    <t>MOTOR</t>
  </si>
  <si>
    <t>VOLTAGE</t>
  </si>
  <si>
    <t>V</t>
  </si>
  <si>
    <t>6600V(±   5% )</t>
  </si>
  <si>
    <t>CURRENT</t>
  </si>
  <si>
    <t>A</t>
  </si>
  <si>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>115A</t>
    </r>
  </si>
  <si>
    <t>INPUT</t>
  </si>
  <si>
    <t>Kw</t>
  </si>
  <si>
    <t>1194kW</t>
  </si>
  <si>
    <t>COMPRESSOR</t>
  </si>
  <si>
    <t>RUNNING TIME</t>
  </si>
  <si>
    <t>Hr</t>
  </si>
  <si>
    <t>NA</t>
  </si>
  <si>
    <t>SUCTION TEMPERATURE</t>
  </si>
  <si>
    <t>CELCIUS</t>
  </si>
  <si>
    <t>C</t>
  </si>
  <si>
    <t>DISCHARGE TEMPERATURE</t>
  </si>
  <si>
    <t>35 -70 degC</t>
  </si>
  <si>
    <t>OIL TANK OIL TEMPERATURE</t>
  </si>
  <si>
    <t>45-72 deg C</t>
  </si>
  <si>
    <t>OIL PRESSURE</t>
  </si>
  <si>
    <t>Mpa(G)</t>
  </si>
  <si>
    <t>Diff pressure 
0.25-0.35 Mpa
OIL -EVAP =Diff pressure</t>
  </si>
  <si>
    <t>OIL LEVEL</t>
  </si>
  <si>
    <t>OIL SUPPLY TEMPERATURE</t>
  </si>
  <si>
    <t>35-45 degC</t>
  </si>
  <si>
    <t>EVAPORATOR</t>
  </si>
  <si>
    <t>EVAPORATING PRESSURE</t>
  </si>
  <si>
    <t>≥0.18Mpa</t>
  </si>
  <si>
    <t>EVAPORATING TEMPERATURE</t>
  </si>
  <si>
    <t>SATURATION TEMPERATURE</t>
  </si>
  <si>
    <t>APPROACH TEMP</t>
  </si>
  <si>
    <t>CHILLED WATER FLOW RATE</t>
  </si>
  <si>
    <t>m3/h</t>
  </si>
  <si>
    <t>634.8 m3h</t>
  </si>
  <si>
    <t>CHILLED WATER ENTERING TEMPERATURE</t>
  </si>
  <si>
    <t>CHILLED WATER LEAVING TEMPERATURE</t>
  </si>
  <si>
    <t>TEMPERATURE DIFFERENCE</t>
  </si>
  <si>
    <t>CHILLING CAPACITY</t>
  </si>
  <si>
    <t>kW</t>
  </si>
  <si>
    <t>7032.6kW</t>
  </si>
  <si>
    <t>CONDENSOR</t>
  </si>
  <si>
    <t>CONDENSING PRESSURE</t>
  </si>
  <si>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>1.01Mpa(G)</t>
    </r>
  </si>
  <si>
    <t>CONSENSED LIQUID TEMPERATURE</t>
  </si>
  <si>
    <t>SATURATED TEMEPRATURE</t>
  </si>
  <si>
    <r>
      <rPr>
        <b/>
        <sz val="11"/>
        <color theme="1"/>
        <rFont val="Calibri"/>
        <family val="2"/>
        <scheme val="minor"/>
      </rPr>
      <t xml:space="preserve">APPROACH TEMP </t>
    </r>
    <r>
      <rPr>
        <b/>
        <sz val="9"/>
        <color theme="1"/>
        <rFont val="Calibri"/>
        <family val="2"/>
        <scheme val="minor"/>
      </rPr>
      <t>(COND LQ TEMP - LEAVING TEMP)</t>
    </r>
  </si>
  <si>
    <t>0-3</t>
  </si>
  <si>
    <t>LIQUID LEVEL(Side Glass Bottom)</t>
  </si>
  <si>
    <t>mm</t>
  </si>
  <si>
    <t>COOLING WATER ENTERING TEMPERATURE</t>
  </si>
  <si>
    <t>COOLING WATER LEAVING TEMPERATURE</t>
  </si>
  <si>
    <t>TEMPERATURE DIFFERENCE COOLING WATER</t>
  </si>
  <si>
    <t>COOLING WATER FLOW RATE</t>
  </si>
  <si>
    <t>HEAT CAPACITY</t>
  </si>
  <si>
    <t>ECONOMIZER</t>
  </si>
  <si>
    <t>ECONOMIZER PRESSURE</t>
  </si>
  <si>
    <t>Mpa</t>
  </si>
  <si>
    <t>SATURATED TEMPERATURE</t>
  </si>
  <si>
    <t>LIQUID LEVEL</t>
  </si>
  <si>
    <t>HEAT BALANCE</t>
  </si>
  <si>
    <t>0.95~1.05</t>
  </si>
  <si>
    <t>COP</t>
  </si>
  <si>
    <t>% OF COOLING CAPACITY</t>
  </si>
  <si>
    <t>% OF MOTOR INPUT</t>
  </si>
  <si>
    <t>REMARK :</t>
  </si>
  <si>
    <t>CHILLER :</t>
  </si>
  <si>
    <t>Differential pressure of Oil pressure - Evap pressure is in range 0.25 Mpa ~ 0.35 Mpa.</t>
  </si>
  <si>
    <t>* Movement of Expansion Valve motor operation depends on running condition.</t>
  </si>
  <si>
    <t xml:space="preserve">REFRIGERANT  ALARM </t>
  </si>
  <si>
    <t>CHILLER ALARM :</t>
  </si>
  <si>
    <t>YES</t>
  </si>
  <si>
    <t>NO</t>
  </si>
  <si>
    <t>12..8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</si>
</sst>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20" fontId="2" fillId="0" borderId="18" xfId="0" applyNumberFormat="1" applyFont="1" applyBorder="1" applyAlignment="1">
      <alignment horizontal="center"/>
    </xf>
    <xf numFmtId="20" fontId="2" fillId="0" borderId="18" xfId="0" quotePrefix="1" applyNumberFormat="1" applyFont="1" applyBorder="1" applyAlignment="1">
      <alignment horizontal="center"/>
    </xf>
    <xf numFmtId="20" fontId="2" fillId="2" borderId="18" xfId="0" applyNumberFormat="1" applyFont="1" applyFill="1" applyBorder="1" applyAlignment="1">
      <alignment horizontal="center"/>
    </xf>
    <xf numFmtId="20" fontId="2" fillId="2" borderId="18" xfId="0" quotePrefix="1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20" fontId="2" fillId="0" borderId="18" xfId="0" applyNumberFormat="1" applyFont="1" applyBorder="1" applyAlignment="1">
      <alignment horizontal="center" vertical="center"/>
    </xf>
    <xf numFmtId="20" fontId="2" fillId="0" borderId="18" xfId="0" quotePrefix="1" applyNumberFormat="1" applyFont="1" applyBorder="1" applyAlignment="1">
      <alignment horizontal="center" vertical="center"/>
    </xf>
    <xf numFmtId="20" fontId="2" fillId="2" borderId="18" xfId="0" quotePrefix="1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2" fillId="0" borderId="18" xfId="0" applyFont="1" applyBorder="1"/>
    <xf numFmtId="0" fontId="0" fillId="0" borderId="21" xfId="0" applyBorder="1" applyAlignment="1">
      <alignment horizontal="center"/>
    </xf>
    <xf numFmtId="0" fontId="2" fillId="0" borderId="18" xfId="0" applyFont="1" applyBorder="1" applyAlignment="1">
      <alignment vertical="center"/>
    </xf>
    <xf numFmtId="0" fontId="0" fillId="0" borderId="18" xfId="0" applyBorder="1" applyAlignment="1">
      <alignment horizontal="center" wrapText="1"/>
    </xf>
    <xf numFmtId="0" fontId="3" fillId="0" borderId="18" xfId="0" applyFont="1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2" fontId="0" fillId="3" borderId="18" xfId="0" applyNumberFormat="1" applyFill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15" fontId="2" fillId="0" borderId="15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left"/>
    </xf>
    <xf numFmtId="0" fontId="2" fillId="0" borderId="1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3148C3-CA51-4967-B418-443C619B6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E0E246B-C72B-4E75-B384-4374606A877B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A4BDBC2-312C-47CF-9B75-F559D6D7FC5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CBCFAF50-E6D1-4551-893A-08207862DA7B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212FF1F-3233-497B-A077-3B5CDB5B3D34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70C955E-1A11-4D55-836A-F8275878F616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7010D78B-7F56-4062-BD05-A319B08C89B2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81731BE5-940D-481B-86A1-0686C2FCB2F7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BF104F-6987-4917-8B51-16FBD1D564D3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105EC575-6347-4A66-8F3C-8E810D96F40E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ADCAFE63-683B-487D-B290-5D7BF96FC6A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77898F2B-1F3D-4A81-8D39-7B72A385D282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DC1B9A82-B540-4CDA-9F7B-1B97713ABDCF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DBAFAD7-0930-44E1-930D-2B12819F471B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EC21EC0A-1F2F-40FA-973A-50F91E45F881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328990C-9EDC-46BB-9FAA-9B2A0FBC8FB2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193DF19-C088-4CAA-A741-E0F026B0B84D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A66E7831-27FE-4778-92F0-D96158433F2E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CC64C605-9F66-489F-8A14-6B345FA2067B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7DA9B9F-C230-451F-BEC2-AD25534F39A7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1727F8A0-BC50-4F37-9E71-63FD41130A34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F451DB6-09C2-4EA6-9620-E2855E3C32F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FB4808E1-EE59-48CD-989F-A723EDB86BB8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34BDFC24-BBE4-4095-8D14-CA905BF970DB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C20F5514-A311-4617-8863-660CF882D94A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D602DF44-5710-44A0-A4D7-16C1A13BA1B1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8E7665C9-AFB5-4C7F-80D3-5FC3822718E1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4A630B23-0593-4A83-9F23-4B5E734725E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900BDC9E-57AE-40DC-B22D-C4DDE2C25B4B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AC3C54C0-B140-417B-BD6E-7AA5457478F9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8B099198-9622-41EC-A223-183584302290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2449249-6489-4F2A-82EF-220ACB93DE2D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51B7DA9-6147-4FB3-A175-A2BC1F4AA7B9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22D8C2E-6DBA-46DB-B76B-B15686ADBBCA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EBC9B6F-CE59-4327-ADAA-E5FD1F258188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FB320C9F-D747-43F9-88AB-FB073E77731F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AB282141-37D4-45ED-BFB6-B511FF8667CB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82CCDDAC-E7F1-43ED-B8F5-16B31C7AA946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489C75F9-7267-4215-8370-D0D368320DA2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E26D24E-612E-43FE-A99C-43C4D8C68ED8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454E09A6-C435-4987-BF58-44E0ED28421A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3B39D56B-B6CB-4F2F-A0B5-A2FD04CF6EA5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E17C71E9-FFA7-42C0-BFA0-E64603CABA65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FD43A5D0-0132-4489-867F-22F62966B88E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91CC1A93-A726-40DE-BCF6-417B836A7A9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54FD9D2D-2358-47E1-894E-CF5B082D2F3F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3A1A5101-C3AF-4179-85DA-332503368B0B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26E71BF7-927D-4294-82E2-DB69B1FCC1AD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675EB0B9-15FF-44C4-8048-E50F055C200E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E304FA2E-4CD8-4CAE-BBE4-010FC11CC5E4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41B7139A-8B5F-4C81-BD5E-A9064F1B17EB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5D972748-C5F4-4EFC-9C36-1DDCF4E784A4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D43C9857-6739-4632-BD1D-CC394E7DA9F0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93AE2F2A-9FAA-4EEE-800C-A241DB9067FB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74BADB2C-6F47-4222-A5A0-F3221B36E860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5C5B81C3-4547-47C1-ACAF-EA5FA60FD62F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BDFD8846-367F-4B13-870D-612101ED6E8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684EAE-2FFD-4760-A538-071B9EFB3C2C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A73BB61A-87F7-4BBA-8980-FC78D4373D09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FF97EA50-4EBF-420E-9630-C37801644563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FE97D00-B4C6-4D95-9942-97707EE44D2A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1F2C3A6-58C9-4BB6-8309-64F0D69ED5D2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B09D0886-7FD9-4CEE-84C1-5B2E8AF7244D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60E48687-1BE9-496A-AD08-E67DE32FEA2C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94FF0ACF-D327-44C2-989D-5C19AD56BFB4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F77EDF58-0456-48C7-AFC3-E955CD2CDFFD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DF7373D1-81FD-4ADA-B255-CD36D4D0806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531136A4-6A4E-486D-AF88-BCAE1DF4BCB8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8ACC406-8301-4A9F-971F-B5A0385ACE5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264EF5C1-9BCC-4C4F-8677-2303751946BA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723B12C-77AB-4644-8512-0578124A599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97A2DB8-19EC-4E6F-803C-4368AECFCAA3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F4900964-FB91-41B0-BE52-A9AC0EF76322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FF3517-3D50-46A4-A990-A9EA0D74C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690101A-3789-4585-9137-5D2B9AB4B1D5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2701D31-5C85-4B9D-BF6E-3A23315B2B77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7B87454-5E75-462A-9F84-1647392D0946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197D1B0-505F-4478-81B5-752489D1FA2A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8945B3A3-EE2D-4F9E-B63D-00C4FD6EF453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64FC9508-781E-4031-8239-833EBD62251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8EF63E4F-8326-4E80-A979-7ECC0F2C52C8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1580BFE-F3EF-4092-B139-1F7B6E0FF355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B0524217-A2DA-4B65-AD6D-860BCC6B161C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8C12E2B-98CB-437C-822A-029ED4807C84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1B68D072-8C51-4455-9115-5BA5F3D07FC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431DC80-959C-4D17-842F-20F444D48E71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C3484877-5A28-4E5C-88BA-162B4E55C55F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CC6808B1-0683-42C5-BE54-719D8C02477E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360E202-0F7D-4B5A-953C-19F3F23FEA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4B9C04D3-D271-4C5C-8EF1-D13EE0B8CDD7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AB912530-A1D5-45FD-B1F7-A740FD1D4270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2CE14F38-38F0-4435-87F6-E5EE0B34D34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16501795-7C96-4938-9646-2361DAB69225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E0B7174-C47B-4AA5-8E6A-AC94EE5FA654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91881097-AB1E-4AB4-8F3C-3B2F2EACC861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45F05B25-41A7-425A-A6B0-BFB5BDB85EA8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CCC5AF44-F9BE-4096-8C60-99BEA8725505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8636F6DF-B20A-4376-86A0-C2B061787810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6597465-2EBF-4D32-B1A8-27390902FE6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BC527B2-0280-469D-98B3-20C69588DD6E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ABCED5AE-4083-4735-BF30-5FB81C761A7E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DA8D369-9EC0-4C6B-8BF6-12C8846C69DB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13F24035-5339-430B-9E43-0708D00DA561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C5304B69-9D6E-4D4E-BD03-99A42FED21FC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B84ABA5C-7998-4302-91A7-6DBA2A701D07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181E8DC1-CB95-4072-8588-5C8B44E9CAAF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B21A4BFF-CD72-46C7-A26C-5026877DD88F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3F2E6F98-B0D3-4DD4-B6EC-9E6A0323C0B6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257A9C23-FE11-4F1F-B5C7-A3A915476479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E422922-1772-4E38-BE14-F3F45F4B011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2420B0C-CC42-4487-B808-E8E901E14C15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D0949195-D800-4A7D-A0CB-AB5F298C901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7034FB1A-0FA1-4997-9BDF-7A2106A38439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C7EAF5F6-0A27-4A9C-8745-F57990814D51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7B7DE4CF-29DA-4B8A-8159-C284C463024F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E19DCAD-7E3A-4331-8F22-48637D73054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1017FABC-1ADE-4A6B-92F1-EA462F030E4A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F1E8F6C3-296B-44F0-B1D9-02E0E57A949E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73E189-1AE4-41EB-8577-AC6B8B662A5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433F2A6-5A54-4666-B255-06767FD37EA4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C91874BF-6C8E-4D30-A18B-DCAD45F2FE49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A6BD48ED-2346-46D2-9BE4-E94CF900299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E2373F1-3A8C-434E-B997-470A80B3A836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30F0516-EDF6-4356-82B3-DAC113025D3E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3B985D6-B520-49A2-B6DC-50A1333317E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E8F208CC-F226-4D0B-BFFE-E1C0F5BFAA53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A553999A-7F5E-4CC4-A822-81381400756F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5B273D35-A21C-42DF-9D83-32D169AA8320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C10089C4-648D-455E-B43A-37416FF45014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5A7804B0-43A5-44E8-828E-A257B7F0BAFE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9B662EAD-5E09-4F51-9531-30B926A27729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4E4F3A6-6358-441C-A566-14E7940A87EB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8223CF20-8EDC-4D40-B50F-363D3D79AA1D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CDA8D91-77A7-4071-B876-198F24C9F5B8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FF221523-04FF-4EF7-8B97-7DB6B26D17D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5CD9A020-2CD9-48B1-8D93-A6FB808AD268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E7EDB67C-BA50-4739-BC90-32A6674F316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613CA124-FBD4-43F8-BC7B-9574F812AB0C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BD757308-78A8-4BE7-8F49-819DB7832711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F7FEA0EC-6071-49CD-8AB9-5ADC1A1F0988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38D7AC04-80C6-4C13-9A5B-79F82A69CFA3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4AEABE0F-BA5F-48A6-9175-49DF7C6AAB8A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E8A944F-417A-4FDF-8C10-9D4738840FED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8A95517F-7B89-45A2-9A2B-D97310455760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DF7FACFD-06A9-41AC-83FA-F78B1F2D28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477D2AC0-0F74-411A-AA18-13653B3F0CE7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57E806-24AE-4F7F-BC09-8D9C528E3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50E52492-F382-44D2-AA86-194FC2AA9B1F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90718B2-6719-4090-A87A-93D745BD548F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6F4D4DFD-5BEC-4FA0-9E78-B8AD89FFCA15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B4D67C5-097C-4719-9B25-62DBDED165B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F24DAA55-67FD-40F4-B8BB-43F611C2E380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3970D758-CEAE-4765-9917-0E97B86AE018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3CFD8A70-45C6-414D-BFC3-0230FCCD21C8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B54614E-537C-41E2-8F51-8BCBFAA600A8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F23281B3-C4EE-40EF-A1C0-DD5081D30DE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D26BB7BB-9DBC-4ABF-930E-2E968C6F0904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BA40753C-D5C5-4C83-9E3E-CBB6F4D5E447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FFA0FC06-B8E6-4C8F-953E-17CA9B0D3BBF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1F6AE594-31D6-4B8E-899C-7D3E472A7748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720E8523-ED8A-41F6-86B5-526E370090A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A250C0C-7F04-4A04-AF6B-6ED04A55AABD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A6D864FD-1CA5-45F4-92D3-8414E43F1C50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21EEF9C0-48B8-40F3-8B6C-425B542D0428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6693185E-4EC0-49CA-86ED-ABD8DEC33A51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B5CD6D0-EEE1-4860-AD82-B4C13A6C5D9F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AE58812F-E06E-4632-B92E-8720E395AE97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1F6FAE5-EB07-488E-BF68-8E7EBD6C39CB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A93D8CC8-1603-4F5A-9BB2-552D7EAA8EE0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8AE13E16-DF19-4520-AFC4-FF11D946BA6C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544F4B92-41E8-4D3B-889A-30FF5BB6E110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B6E2CFE1-A280-4F98-BB7F-BFBD1DC3F112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E312D704-C9F0-4BF2-B6CF-86A7C2048BDE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3871FBA1-BE89-4A28-92CD-46576D31085D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3C5F65ED-7E08-45FD-B7E2-3732043E2988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C056DE54-D60D-4EFB-9BA1-50B0D1C6706D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2800A7FA-43B1-4832-8424-A70A8FC2A275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C4F5677C-FD22-4B1A-9490-50B7F70841C1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4D29506-8F4D-4351-BE39-B02C52D8FF04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B23C3472-2C47-4358-85E3-946F4076604B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185A54B4-1B02-46B1-9972-20494697F114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E1D24166-C32B-4C28-B043-2D646E1BAEF9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DE4A88C-2D22-49FD-BDBF-87A916A39711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299A09EC-0076-46ED-A349-EEBE8476F9B8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7B2D4CA-B6EC-4BAD-89DE-4A5255C9E87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BBE6EC0-13DF-41E6-B925-14F600D70D53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E0770144-A291-43ED-9914-84E253075DB1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71CCAC39-C191-4D03-B330-1CB762B4D092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A7CCE79C-91D6-41F5-974E-57EC45F6C3FA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8D2DC6EA-5D41-48E5-B198-3D7562AE74E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5E224638-5789-4CFE-B107-DE5A17E0BAF5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73F605AD-6ED9-49AE-8D5B-6AD178948887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D8FD7DEC-08BA-4FA6-8060-4269F6210602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3B575317-54AF-4F41-A452-954279638F78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4816458A-529B-4F76-A6CB-3461B5A6FA9E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8226393F-DE1A-485C-BCB6-268C731E6D4B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3943B50D-A7F7-4581-B518-3B8F2BBD83C1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969DA076-C9EE-4351-8A4A-3571FC6B9916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CE48A4B-4E80-42D8-8CC9-677F38219E90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7DB669AF-68DF-4851-8998-7A84A4C52865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93DB0DC-9C68-4F7B-B43E-3C2FB813580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16C912A8-D6C2-425B-B518-6B9CFD6DFC5D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F89105D0-07DC-40CD-BFF4-FFC904E69B79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307079EB-680F-4F34-AE23-543C2A8C1BA8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DE12591F-CB61-4A97-B621-ED812146F07D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447EEE52-DEEF-4A25-BF7C-5020991BCFBF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4C06FCB7-7F0B-41AB-B096-F4D53084E9E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5037D090-79AE-4C7C-BC23-09D0C47FEF7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BDE7C72C-98F8-4211-A4A7-A70A4FB7B85B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39A11712-06B4-4774-B521-18D475A1D6A9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AF3C5C4A-3AA1-4ADF-8057-4521B906FFB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5FC72C36-C7A7-4E29-B599-D9D85C5EAC86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C50B009C-0100-46BC-ABD2-29DBC0B5C828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16FEA746-8CC7-4C32-809A-FA13BC510B5D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C8480ADF-E26B-4F64-B2DC-CD5785372DD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86D1C922-B205-47B5-AB0C-8B147BCA3DBA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89B9D738-A5BA-4631-81CC-1BADEAFD67B9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9924C265-2738-4AA0-A885-80B1BA40494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832D4AAE-60F4-444A-B6F3-995E6495B215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046EA14A-E101-439E-843A-D8B4B43F1946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2E121D8D-7006-4E50-BC0B-33901D619144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044B381E-3EDF-47F6-981A-AA4BDEBE720D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98EB249-515B-450D-A204-412C70766427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E1EBF4F-1BD7-4034-8AE5-ADC7338EBF1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686D18E6-9B1B-4100-8EBA-8EF2FB391FBE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C713158-2565-45C2-A560-A7B11AE805ED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70D8597-C1BB-4075-9619-ECE27CA86CB3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5D5FA336-5EB2-428F-8558-F2D09B5F50B7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3DBA091B-0516-47CA-9DD4-D13125A53B3C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9F42FF45-9D6F-4C09-9C2A-DB0594683471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5954689A-BA2A-479E-91E5-C355F95462EA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D5E563D5-6CC2-49BF-A61D-C9D72CB49943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D6D268BB-A525-46A4-ADBE-922E42938134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33301494-E50D-48D4-A925-FEE083DC041D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5" name="Oval 94">
          <a:extLst>
            <a:ext uri="{FF2B5EF4-FFF2-40B4-BE49-F238E27FC236}">
              <a16:creationId xmlns:a16="http://schemas.microsoft.com/office/drawing/2014/main" id="{977D298C-9726-49AB-B21E-76E44C53D372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6" name="Oval 95">
          <a:extLst>
            <a:ext uri="{FF2B5EF4-FFF2-40B4-BE49-F238E27FC236}">
              <a16:creationId xmlns:a16="http://schemas.microsoft.com/office/drawing/2014/main" id="{53AFC7C0-743F-47B8-912F-99F29E6EBDC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7" name="Oval 96">
          <a:extLst>
            <a:ext uri="{FF2B5EF4-FFF2-40B4-BE49-F238E27FC236}">
              <a16:creationId xmlns:a16="http://schemas.microsoft.com/office/drawing/2014/main" id="{41F7515E-E847-48B1-A1D4-5E1EB180A09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6F88770A-E017-4287-AA0F-600D97F289F0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6DBA73E-C5CE-4F2A-9B4C-9515A2E9455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7D5640-CF2A-4E6B-B46D-F4B80D01A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5B6B1AC1-AC87-4BD9-887B-959ABC8C9BFC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EA14C27-CF89-40DC-B136-9F74ADEA067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60324BA-FED0-44B9-8B06-2488680F2549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4BA825C-60AE-41DD-AA6B-CB332DF70080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B326B21E-4980-4890-B241-A2F3AFB26841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5AC7812C-4AEA-4B8F-8A3C-B76CEF6AA5C3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C1639D3-0911-4A2E-9334-E4F86A8928CD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2E15BDDC-1081-4C3C-AA7D-6640A0701466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94A7C30D-9C7B-4E54-A545-8761E3827B3E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6AB59ED-207E-4C45-950F-079AB8A531FF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7D336744-2ABE-4185-A19B-82947F6AC66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CB0F9D7-D94E-4752-BE15-0AD0D38AEC94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7DFC6245-79C8-4D2F-99F8-E1B0D0654173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EDCABA9-630D-46D9-9FB2-DB274F3DC6EC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52B47B99-111A-4854-8DB7-286F28FC2FF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ACB7CA56-7C19-440A-832C-43BB780AF418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3B43637-70B1-41CA-8269-096DEF6A2AFE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E7343B52-07C3-4EDA-AFDE-98885BA439B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4FFC7CE9-7E45-4850-AEC3-A43C13F872AA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B16105C4-67F8-4338-943E-0499F6D592EE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A506FEFB-F564-416A-B758-DD633D05329B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86E3A0F3-2A7C-4C5F-9285-E2AFD44F081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E10C932D-F328-48A0-9A24-984161756252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56A44F14-CC8F-464D-ACFB-0A83B055520D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7919915A-F03B-4DCF-8829-28CE4B170758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58D1EB14-1A98-4677-BABF-A1D3878A9BE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C5565AC6-D84C-4147-84C8-34B9DD81EA24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315BE53F-7E26-4F62-AF18-21F6D0041AD1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CE080323-72D4-414A-AFD3-5A44E300EC6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456028C-F977-492E-BBC5-2328F6FC9E9B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1FCE8E73-5AF5-499D-B278-65AEA23EC7A1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BBEDE2DD-8C59-4BA7-B208-2F046D10893E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FA4815BC-E753-4822-8D95-8B28DFCC0292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5AB62F46-B884-4494-BE0D-E7555C84C252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1DB2369F-F52B-45AD-821B-D8C090843129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45D813BF-C59E-47DB-AABA-0DE644B0AD23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B8240104-5294-445A-A093-546672ECDE5B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1698CC08-9BD0-4AAE-AA22-788EC5EC2633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663BB1A4-4BE8-45D7-BBAA-8DB7F7B908B8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B7CB19E8-C6B1-4238-BD7B-453C6AC1E8CB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EF1AD4EF-875F-482E-9B9C-118BA0F15BA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1DC69F14-13A8-4D2F-BB1D-9403A3EEA8FA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AD830F0-CC9D-4844-BC7B-1020D7B89D5A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9CA8713B-360A-456B-A17A-0487F30780F3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2A7BD0D7-D14D-4E57-9C95-945B76963440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ED482366-6419-4320-AC46-58A41EC0232C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F38B0229-C7FB-43E0-A868-ECF40E20BC48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93853186-CB92-46E1-AB5F-B7C16ECA7A3E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DF8B14D6-DF49-49C8-8CEE-36C5CE39D514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4C77B6B0-1DA8-4E05-A11C-4C38B6AB03C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DB38F646-45DD-4E0C-9435-FA22C9C5CB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E2E0BB3-83B8-483E-B57C-D46BF180995B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91EDDFF-D655-41CD-82D7-9804B7CE093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C5537F4-38CE-444B-9B7E-EBD4690670A5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99F6DCD-839B-4B88-937E-658456246C8C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7B6ABE7E-F4B0-4C4D-BB26-E54296175C64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28418607-49D2-4246-A11E-6936BC28382C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C21DB9E-4DA1-4E1C-9737-C8438587CCFB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E5A066C1-1705-4812-8F5A-9AD79FC43B0F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DCC6B607-7B3A-42E9-AA75-645ACE5B8E4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978DA19D-C0B0-4B87-BAC5-10D858143AB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710A34D4-D66E-418F-BDB3-276A9F24A28D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8C9D39B-BB91-4C54-BF52-882A9F6B2391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BE80D4E2-A6A7-4C51-ABD5-12472FFA632D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204E3592-5160-423A-8018-F3CE3035E248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D784C307-8ED6-4646-8AB0-03023AD11319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DE66372-6B0F-4EE1-9C47-16FB0610AB27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BB7AF87-795A-4322-9C94-1E0E99C1E96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7C562EC6-7F6B-4A84-AE00-43FDBC39E20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BD397604-E6E4-4FB6-AC88-1A3AAE578248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86C1CB1E-1CED-4C13-90D8-4533388A72D2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3CEAD3A3-63B6-439B-BEF2-C863801D99F6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CED74E5A-7BC5-4B3C-AD0B-3CE402B2447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6A709F95-42FD-45D1-8ECE-C6233344B955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8B7B310B-D7AC-41F7-948F-FD85C241108C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930321EC-3F1E-4F1C-9563-C17935B484C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4D27CCB1-4ABF-4BCC-A3DB-67CCACFE35B5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40BF766D-19FE-44E3-AEE3-1CAD2E35745B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3E6E760C-EE13-4FD2-B34F-B41BC006E9FE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B14F9F2F-2489-438C-A919-2AAA5FBA754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942ABCBA-1107-492F-B035-2AFC6C9509AB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6536DDC5-2BE9-4A69-A5B6-3A392C595B3B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60BFB5D7-2B6D-4652-BE15-8B54794AABA8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02267F6C-BF39-4E5C-B67A-2EBF966D269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25A92928-D5DA-4760-A70A-8806BDD22CCC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3FAE1B44-9D53-4AA8-8AD3-BF4629B0BC7D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5A1F3D7E-3FE5-4E63-B967-F47D22285C02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D07DE4DE-1023-4803-B151-9137BC88018A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52EBBCA1-1303-43FF-9519-0ED29344BC35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97AA9634-F2C4-43F2-AB22-46826D696C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FD1D5BA9-CDA2-4FEC-B83A-132607D52CB0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5CF4102D-1CB3-4128-A3D6-B5F62F6E9452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8EA794-D606-458E-8C21-A21D4013C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501804C5-7C1D-413D-8A5E-34E040A7708E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ABCBDFB-CA2F-4F94-AE0D-3CCD8BCD638D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3261F4CD-2C8C-44CF-9F99-8BD646F3D273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C156FD8-DF50-431B-A0F8-4DC0A24931E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DDC3B2E8-F575-47B7-AFF4-38E1C5C5274A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7C9EAB0A-97C9-4A26-8B9D-9DA382E593F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B6A053CF-6097-4231-9540-CA211D302B28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B3B345C-72E6-4359-A021-4507A66AAA63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DE4F221D-890F-450D-B515-035A37DB52D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8BA6EC6-5C44-4D00-B890-96F74EC758C3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AC049649-9EEF-473C-81BB-B1A50856BC57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681F0A75-A21C-4C10-B9A7-7AFCF0D6B3EA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83766A0-5810-48A3-988E-7E68943DE35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8D806900-A26E-4908-8C74-7C24DD03A1E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2CE0D78-1E8C-4648-A7AA-8FB70C44091E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7E763078-C732-4333-83DB-C1733F1B26E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7811E486-2889-4647-A964-EDC95C1F441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5A27BF92-CA6C-4150-B6A4-9699B09F86F1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5F4330C5-82F0-441D-BA81-61464CEDAC72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1628D1BB-16EA-4E22-AAC5-6CB51C3672D7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650DD60D-C73B-4B09-98FE-DC8F7C74AC18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8CDE198A-026C-442F-99D0-004917CD865C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11E8ABB0-B6EB-4223-AE61-B5483DA8560C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6C85CEC-CC6B-443E-A1C7-90276F11B1F5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E8B935BD-30A7-4A4D-99CE-C07E2176EAA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E028D1EC-9E6D-4AFA-8EE3-FA1D1029FF8E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6668AEC-4490-4E7F-BFB7-76F4F6701ED2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1DC88349-31A9-4BF9-A994-3BA56283E4B5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7B01119-B8B6-41AF-9320-7ED2C0BC7E95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61B57DE-A29F-40D2-9E9D-630570AC6B2F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E361D544-1FA0-407C-9DAC-717AE468AFFB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9DE54EC5-2558-400C-B2F2-C50C62F63224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7F32C607-F4F7-4D3A-8762-239A2FDE817B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23E60A40-168D-4D51-9BCC-DC56FF8D5616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3689AFBD-C39E-4C7D-B1A3-362996F29C48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E91ACB2-91FA-4693-BC31-CE0E0BDEA6C1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8407B11C-A862-415B-9758-A355BE325F6E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2B3C4D2E-97E7-4E45-9D5F-7012B1B0F061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6B7433C8-A0AD-4BE1-BDFF-90A08FDC2B7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656A2B75-05AA-41E5-84B5-6E419BDC53D2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6EAAD9B4-5E5F-4852-A911-EF1EC3A46FCA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DF686BCA-C3A4-4F96-B787-D57880B0F634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1DA5982E-AD34-4E7C-B367-DD2816DFB986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87F35FF-4B7A-4CC1-A50D-6EC0AEF3295E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BEBE55CA-5B1B-426E-8909-BE80B094AD56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2F7DEADC-6F7D-4CC7-B197-7EF0DB3CF522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3B36042D-EEA9-4857-ACEB-449C24629DF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5FEBFC99-B79D-48F3-B13A-67B233AB184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2C3607DD-FE18-4FBB-96A0-4425C83F2E74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EE9205B-AAAD-47F8-9E13-2CF579705639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2447DF89-CE86-45B7-B6EF-D1D0FA728A6A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68616436-6957-4237-83D6-69F52EFEA894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1770634F-FFE3-4BAB-9E91-6B0BEEEBA51D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C5797204-56AF-4836-A62D-CD370E3B2E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20EE44EE-8F8D-47EF-82CC-F0E507F6BE74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F0D3E0A5-4471-442C-BFFD-FF3EE065D65C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2C3A8023-5CB0-4ED6-A917-CB60085108B3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F9EDAF4-8C64-4AF3-BE8B-CFFC6F3C7465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69A5CD83-1FF0-4096-A894-6DFCA44884D3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D695381E-7584-4879-93DF-20357018FD8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D0FE9262-0986-4AAE-97C8-9825D70D5A5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8357112A-EAF3-46FF-B951-AD4D9507025E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AD87DFCB-2DFE-4C7C-A032-59E8FBE79AB1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E904ADB0-F32B-4731-9FA9-5E8D78769383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89573FF-39CA-46BB-BD68-8C0ABEDB71C1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80BFFF2A-162B-4BA1-AEFC-A3D0EF0FFA06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1FD1F5F7-520E-4C53-A001-113BEA50B849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7448695D-3BAA-4941-AA7D-8C94DF5E701C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48CC36C1-7B8E-4B6E-A9ED-70E15EE7A5AA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CB4FD25E-AAD7-4436-AC65-136B4316BC0A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896D0586-3179-46EC-BF93-750F908AE761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3894A163-1BFF-43D5-8786-B749EE30452A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4129C265-5A4F-4347-B18F-9BAFB0F56A27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8522B3EF-53AF-433F-B33A-40BD9E31D9DE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E6563288-CFCB-4288-B1AC-7BC548E1B296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F68E1CC0-041F-4AAC-B1DD-A8DDDC32EC67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D72BB058-BC3D-4AE5-AD21-255812D82251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6676F8F7-73C6-4AD8-A242-7D2555434262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1FE844FA-8D17-493C-8D0C-77DFAE93A29A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77646461-A952-46D4-AAAD-D52EC8F9EDD8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969B4B1B-EA64-4BAC-A092-EA1D8FFC016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7A5A1609-0067-4586-8450-B20F7FDB07B7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8AD016F9-5760-4AB6-BF3F-8A53F346E00B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2CBBAFA2-1880-443B-99C7-64F9EDF5922C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15E1A3AA-C2E4-4CAC-B110-552786C10A4E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F7DC9C4-F0CA-4978-95CD-A3FEE4888BF4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63AA000-8BEC-4E12-8AB2-1F396731711B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112BDB22-4AF2-41BF-AF05-439774C9B68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F0D7AC1F-8530-4D41-A345-8B7EA1027594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5576FE67-7489-4FE6-9D0D-979785807157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1D44624-1CF4-4308-80E4-79C2B49AACA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64D96C68-24BE-4E9B-9D26-A4980F7A2B08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E2E5AB-75ED-4F8A-B777-F8185D6CF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3AA42CAB-0369-4E1C-A689-AFA213E49019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6A57EDA-1E7B-47F9-A5DD-EBB98FFB1449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48A76A7-51A6-4B6C-AA92-78CB797E41A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3E3799D-4C64-487A-9FA4-418251DC742E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3A53651A-627C-422E-9FDE-ED623EE57991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6746E5AD-ECF1-4742-B9DE-F7ECEBDBCDCA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86A7584C-620E-4FA7-9B92-8AC0438E2CA3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8629B392-E5EC-4C6A-9BE6-2D4FBD02D9C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66E1FCBD-D94B-493E-A07F-69F33F71AA38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598687EC-8496-4C23-BC9B-52B886AEB54C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A5476D40-6CCA-4162-8532-14C49D475977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AB8D564-88AA-4560-B23D-33F889504259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3D6ECAA5-6025-493F-B3D3-DA8F8168761C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8AB4C38-6189-45B7-B483-B9E13EFDD5BF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2D02CAA5-F213-4F47-9BB2-E109B9F56275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4AD169AD-8A33-41B7-90BE-A739A429B21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C54AED1B-4F5D-44B6-A3C3-EE5915ABE76D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168A70F7-51AF-4945-B4E2-7A0083C85F27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D615066C-A12D-4E54-BC8C-EA40E63A3227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6D29F7EF-C64E-4200-A3E8-445DFC968995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C98B2FAB-FA67-4113-9076-9232A58FEBAD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11199A0B-505C-4134-A7E1-A90DD7190396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849F043C-F23A-4EA3-AB87-5A8B3CD98B04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D41FACC-D395-40E1-889F-3B4CD731ACDC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7105657A-9F13-4FB7-8DA6-C311C53498D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3150E6A-0222-4F58-BCCF-0173B83C256F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429B23D4-8D9C-44ED-94FC-D6E6F6D8EED4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85D0DEA-5563-42F5-9422-F50DC4BD28D4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682B2D50-35A5-4EA4-B0EE-F226283C5F10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EC032321-247F-469D-A990-9B9E040E9B34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D26555D3-288C-47C5-99E3-501E3FC775B5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EAFACF-F00C-47B5-967A-9730B41E96BF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57B45E53-9266-4AC7-96BC-E969B6790EFF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ED6383F7-F4D0-498B-856F-3A6B1051B8C6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8F249BA0-D3FA-4A7E-AFC6-CFA570253B34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7C4E156C-3D4F-4CB1-86D2-844E4ACF7FC1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1A186F0-A437-4C81-A86A-E2B0766D9AF1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27687198-A98D-40A1-B7FF-D87AC5BC94F3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795A6A20-A713-4BE8-9650-7ACCC9FFFD6E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3A130DEA-19C7-47DA-A297-11AF0779E132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37244C0-AF27-46A2-B762-87C6CF61FC12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93E4238D-4F71-43B6-9E58-440FC07B1A54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1A1F2927-D95E-4AFF-8AE9-4739370AE4F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2EE048D-4C38-4805-B805-4DE507CC3600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8D716176-2405-4D4A-926D-054C502BC9E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BC1FB2B1-B88F-4F03-99E7-CFB4D51EE64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A6810309-E722-42BC-AD40-6C61443FC451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9F500DE2-2D75-463C-B0E4-43E87EACEA1B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888C68CF-E490-4DE0-8A4C-F0FC778C905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3233DAF-5A4E-41C4-A25C-C928A9CC9B4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BD21234E-EC11-41B5-86F6-A373871F1D0A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E13514F-9640-4956-90BA-C2C836A5A34E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5B2818E2-1DB8-4C38-9A85-2A8C95B04535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41CA65B-A91C-4E48-B2A1-5A6961FCF57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D14B23D-6146-4789-ADF2-64EFB9E15F6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33782CF3-44C8-4F85-B8E5-F2EB88F3AA83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CAA2CF8-3735-4C37-878D-7C4569A74576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940A87D-A0AC-4B22-B734-49D9FC9DCFE4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CB764929-9341-4F4D-928E-6A6708C14761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4ACB4C5-238C-4EBB-B02C-031F74CF11C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58AC3C6-B894-41B5-B707-16C9E92A2018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EE9DF343-A106-4FB9-8728-A4B70C1EBC8A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146E5ED9-D941-4262-8AAF-2A22C18F5715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D7F4E66C-E0D1-41A5-9525-4ECFF5F527F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F7E8FC82-14CC-4806-80A3-846CA9CD6953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D31558A0-4133-4B8F-9FED-C2FD8AD05D5E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C9AABE3-878A-46DD-8527-E6C09DEABDE0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7C3B64EE-055E-46DF-A680-D11DBBBE91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B75BB5CD-F466-4450-9B95-1D1192A348FE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F6931778-8117-4DA0-A5E9-D8846EA99450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B23322F8-707B-415B-8ADD-331AFBC58A99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3DDEAB1-27D4-44C9-A959-DE13D91A2B7C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770C2F0F-0E25-46D5-981A-913680D34EC6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99560C14-242E-4E36-8BD4-F5BF0BDB68BA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0422F432-AA5B-40F5-92D6-F61BA160A352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FA1A5400-F117-486F-AFF1-A3C73BB7B4DD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24439AB2-4987-442E-B828-7B65A4125673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89A4DA44-CDFC-4566-B091-91DABC4C2620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BFFE6894-A739-4900-B2A8-70D8A6F38320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CEF9E4DD-C55B-4E2F-842C-644D5A89666F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913670F2-4728-437A-AED3-C5371611C2B3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49CF7770-93AA-490E-B761-A91FFDC4EF2A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651521B2-164A-4FA0-A5E5-D066269AB069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50F77CD4-4E16-4DFB-BC68-E00F0F88199D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31B2A46D-08C8-4328-9ED9-2F574DE5128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52DA8AFB-803B-4D99-942F-C3AA4BCFDFB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65E9ECD6-B5EC-4865-8FCA-5E1AAFC7462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EE69B2F6-A550-4734-A2F8-2B4B8766C749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59124255-B159-414F-B81A-455491B47727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A99550CA-9F61-49F5-B049-11608C804907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9A4F2B27-F966-4F82-9578-3A570D0A27F2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39B1BF2-E845-472F-A36D-10B1388F298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71A66B-CFD8-4E62-A754-B90E2459E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EA3E148-6035-4B7D-939D-22FD6AD3E663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5F83E86-6397-45A6-8C43-423F0FA5137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60E45327-5D61-45E8-8C31-3754C4850C16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5632DE8-DE17-4E84-B68D-9632F3DF11A3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F2341444-8617-42AB-8FEC-86228C1897D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5CA0D15-AEF3-49BC-B07A-3801833BCC71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518C2242-4CD4-49FB-9583-651D8C8E6914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1A3A44D1-0CAB-4CF9-A5B8-E2B04EF5E871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495A93B0-EFA3-4C38-B213-7CD79321FAF5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CC88722A-7AF2-49F8-9A32-7206267BBCA4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A73EC976-8EB8-4A69-B6A1-CFE14CB4C6F5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339A397B-F086-4822-985F-18A5AD34915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187196D0-64E0-4DE8-A452-BDA55810ACFD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ECCEA9D6-1C35-4415-A90C-5EEE52B35ABD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D690B3E5-2F9D-406A-86F8-1CF3F7397F7C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F8D6416C-9AC3-47D4-A22C-78AB78FAD09E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F3E61F4-2F42-4040-831E-63A3F83238BD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60C41915-516B-4787-8B07-AA04733B219E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C26E1DA-1246-43F9-BA0C-473C66E49615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10A09380-1075-410D-A490-3023293CDDB9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5E8DF4CF-9E7D-43F5-82C8-FFE8B0BE5B9C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1A3E91B9-97B5-4CCD-B3DE-D87BB00D95AE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76DB391-72EA-455F-94D0-1C194E6FCA7F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A5C46FF8-19A7-4681-9406-B31BA7334E8F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73F86ABA-9C07-4513-A567-E211F3F2EB4D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C4B2AE7F-37D8-4779-9598-13D630F77CB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518DBC1-DB90-4714-A3D6-D2E453471F9E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4372D926-76A0-4872-9F83-7BAFCC442687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4DDBA206-7135-45F0-A096-ABD9138D7C4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F371FB37-5CA9-4818-A90D-91F5D2F330E0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C6D67856-3A8A-42CF-9B72-F500248B6F4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A6B9CA51-0A48-43C0-812F-419392F0169A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2EE0461A-774C-418E-AF71-15C66CEC338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134E0449-E0BD-4685-AD37-23D528A4908E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16EB3A18-1050-4D1F-91B8-7D5C2A455DAE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88D48962-1AAB-40BA-A75F-96754DDD89B4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7947D1A1-CB7E-4FDB-A31C-8D43570C8590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580CCC4-8079-48AB-834C-1B59E2AA6103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48C27393-A290-43DB-A440-5DB2C9723097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90026F88-EA9C-4644-8A78-A669ACAFD724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E70EACF4-C610-444C-8F2D-C817B0B2F1CC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93A8FC4-428C-4163-81E6-805DC60577BB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F39530FE-79D6-4F27-A7B2-F912BE929F6F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A173E706-85EB-4941-B89B-BFC70852E03C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5F77DFD8-E83B-4477-981E-07F2FDC183E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43108A4C-D1FC-4408-AD30-F80C5E1B1F7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222E97FC-C514-4803-8D0E-367BE1059B1B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AFFFF631-2C5C-4DD7-83D8-BB872FDA7BAE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F4D8B878-8FC0-442F-956E-273EE00110F8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6EDA1D5E-0BBF-4DBA-8990-470166BC4617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351950C-EC6F-49DB-857F-9AB9B2AD0CB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903B15C4-8E29-47F4-BB70-90D5B57FF3D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15E227D3-1A7B-46AA-AF5A-E23D6A9DF12B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C3A29BF2-0C86-4F0C-94ED-0AA58B4B2631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6A0CEFB5-FB3B-4F00-8A99-E014E9D08705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3DFADC93-4B60-4404-B796-599BE5EF050E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31ADB667-DDB7-46E3-807B-3CE80A1BEFD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8A75F85-7D6A-43AA-B38E-5A641DCE75A7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975E87C7-1CCB-4AA1-A2BF-138069C9925B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57BE9333-9B1E-4999-8DB9-533DA570CA3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1D238C20-4FC0-4338-A438-9519531DA203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EBD3C19B-A994-4FBD-8B07-5532131AC225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1C3A0B2C-2FA9-4FA4-857E-717676E55AB1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ABDDB8B6-8D2D-48FF-860C-8D05AE9EDF4D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27F4B398-EFF2-495E-84B8-5DD6DA32988A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E76D96-3BD0-4327-8292-8742447C81EF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C23C8E9B-CA88-4DCA-A6F5-85000069C6FF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9AA807E9-1071-4136-9E8A-8BD08B12E4AE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AFE397D0-B31D-497C-8E02-018D5525937C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E996529A-B15C-4F00-952F-D858425EF639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AA489CB8-BDEB-42B1-AFC4-C84A826B3B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7ED973BF-2819-4B0B-98EC-24A15A203E4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EC95C2A5-6FE4-4DC0-B4F3-0A4FDD0859EB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8CF7D76A-3B90-4F2B-AE22-CF7DCD93FF70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BEC07647-4DC2-4964-AC58-BDC7DA9C44EB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CC814B8B-D224-4DA4-944E-3195393237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4A374A77-9FC5-40B6-B584-583336B83EA7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4EC47CC8-590D-4040-9490-A026DE24EAB4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9740C95B-D967-417C-AEB0-AADE6FEC343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642ED72B-30B4-46F7-9AE8-8389EE4936C4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15AF5A61-476A-432B-BFFE-A8E8601E765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571E614F-FC8E-4626-9928-7327998D94B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B0C0E3B3-E2A9-444D-9289-A087C5C9582A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86A5C24-EE92-47AF-9527-8903BF3640F5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824DB4F7-9714-436B-BA8D-654487A3EE34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E45928D2-3D27-49E5-8DBE-2F52059CD7DF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865817C9-429C-4AFB-B968-6C1660147AD5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CE95C3ED-BBD0-48FD-9AB2-65061DEDC6E3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7A5A5FC0-9B2B-4427-AD79-1E235A6366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11B05B9F-AA3F-4CFD-8F8F-A98B4B15961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922D5D85-5832-4554-B295-A46A432A61CA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ACAC6E01-8999-4EC9-AF09-5782900C62DF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8C29ED-5B7D-41C4-84CF-E5BB0FA84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5B6C356-79CD-431E-860E-3021F6139934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AC210B5-E721-4067-9D9C-E44329525EBF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16DC96F5-37E2-4775-AEF7-44DC83B8A7C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7BEF1EB-1873-4C91-A5AB-C744CEBB4BD8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FBA9F0C7-BB65-42E9-8AB2-F5D2881C2C3D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A8057DCF-9465-427F-B082-D356C19902EB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572212EA-D807-48DB-B5D0-2B14BE5CD8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600B2EFF-5170-4D6E-9919-CB760E8FF8A3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DB84E147-CA74-4426-9010-E04F75F4793A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D453521E-4A3F-43AE-8CCD-2BF88A1ACFFC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3EF549AC-EF85-47FE-B48F-2D7C40A4AC28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E809A9A5-88B1-4957-92B9-4A8E22844D9A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3E9D4716-E0AF-41A6-AF34-CE6B7799500B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6EFCFC5-A545-4818-AFF5-EE5435D83E90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18D506E3-10D9-47FF-BD1F-23EC58BCFF65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266CD19-A58B-4295-960C-CB1625595740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791555AC-D930-41F1-B54A-157033114271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AD238CEA-1EC9-4251-9E66-04ABF2101844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8B8C2199-90CD-4490-A9A4-4E89DE31B5D2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18590AC1-6615-40F2-9934-D27B903B53DA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9254BE9-50D0-4B21-8494-CB99004D3E7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20B8377-7C98-4C0C-B0DB-25B2AADE2E00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F182A10A-2AF5-47B5-9E09-52F0A022CFE3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864C991-962C-4095-AD67-D60B436852A1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396611A0-1E9F-41D2-82B8-1F3CB0B8A237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379045AF-031A-4DBA-9955-7CF2323B75B8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A6CFCD48-211C-44D3-BCDC-A2D2C29B6982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1B1DFFC0-4047-487D-8234-8EC457313104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1D967C3-DF6B-4FBF-9901-4ECC67A8826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6B94B740-9669-4B4A-8A74-D24F542DD275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FF113879-0BDC-408B-BB6D-77BF761AA5D1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585DC8A1-F55F-454B-B1DE-513E9EE589F3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90993E9F-99C0-4121-BD45-0659CC054AB3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2DF32180-812E-4577-9877-6F23119BFD29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19171DAB-AF5F-4613-9F0C-8CE2493C7F48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C7D27FFF-D8B6-4434-B63D-72945B4A79D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CBFDD431-4329-4FAD-83F0-F66E18D913D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C4E4B02B-7984-477E-810D-B2D82FDBD666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A37D865F-E227-4E43-8BC5-BACCCA00FBB8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A8DF1A29-71FF-4AE8-A396-4E8A2C64E8B6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76C382E-5193-4D7B-A60E-D3F28D495A51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777760D7-61C0-48C8-8528-154BE2B3146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F924113C-3060-48F9-A107-B21308EC282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E3E6DAA7-2AE7-458B-8BB1-6E651907923E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AC0D5B-2092-41FC-9623-8EBBEC211DCD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442749B0-E061-476C-A785-CB47DE59E51C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358D6127-432A-45A2-BC38-5E4C4A7F1EC8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CB4A91DE-6C75-438E-B480-38D6A57E3AEB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1DE5C94-187B-4FCB-BE7C-1C2AA8B569C8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8A154ACE-49FC-49BC-82C0-2A1DA4637A91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C2E86257-2660-457F-BCFA-77E618FF62B4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547B4D49-8B14-4BC0-8FDC-C256D2114915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D05C3EC5-AE7D-4DE6-A1F2-17B2DBCE574A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A90C9722-DC07-448C-8572-DDC9643C4A3D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89EB5FC9-E37B-421B-9C3D-2EC2F04AA98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F1E226C-83EC-4075-AE6D-2EC42EBCCB26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10A10A86-83F8-43B9-A2A8-31E7E9FFF0BC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A5CD5600-0888-4CFA-85EE-C3A3D193480E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2A77905D-403E-448A-BE52-6876EDB456BE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D6293485-A821-4609-A3A1-B32E469C504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C6BDCEE0-18B0-4630-B386-8BD165425A6A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1CF3F1F2-50B9-42BC-8312-A6745B2E349D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DB66E4B-D796-421C-90B0-4348B8F2969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AC52D081-E4D7-415A-AD22-4F9B10ADD8F4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3EA088E-C613-4D12-A305-B8243CBC515A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0B8A56B-F2C1-464D-B7BC-6A77B9AC6D15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388897CF-B6AC-41F3-B0CF-00E75561A55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98897E54-0FAB-4BAD-943B-9D23FF4B9E0F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EA006F04-0F86-4377-8DDF-C7CA0D924294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A66679F4-FFBB-4520-95B5-5350AD44D8B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78409DD-015E-42F4-A3FE-E53A9A571697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354FB800-96DB-450B-A9F1-DCCA710CF47E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2A1767-71AC-426D-A04C-5CD187A3D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8D1E2924-7C6F-4B30-A02A-2662270AD03B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8115231B-BB86-4B46-9F39-84B45A2F7B6D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02AC7C4-9B38-4AFA-9D09-19F2659BD0A9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AFD78DE-C79D-4832-93D8-9F154C67504B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E3900F28-EDCF-48D3-8958-D1E225772F6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F1E9D6F-9B6C-436D-8011-A84876C43DC9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1173D50-A714-4A23-BE7D-C75FA6ED1DD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8AE868AE-7251-4012-BCE1-6F8DD4F3EC98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5274E6-22B6-4A2F-8882-7CB280DFCDFA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5C12CC73-2F88-4736-B9C0-16866F3DBB11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8FD2E53-DAC3-4323-81D4-E54BDEEFE037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790E31FA-DD90-4AC2-96AE-10BF98EB93BE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2702E1C9-7C7F-409B-9DB6-019810B8E1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7C83C786-F8E5-48F3-A38A-FBE7ED40B0D0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B703A238-FB2D-4A67-974A-24804B502AB2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92F9D280-4EBB-44E9-BA79-25EC21F9363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DE646B3A-E867-45CB-B3A3-142E8D9C1069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6FB2327A-EC67-451E-B8DD-FA7D4123F23B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C71B62BB-1BB0-4E66-AFBD-05ED69170CEA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9146D3E3-EF2A-47E2-8E48-8AE4F5DC851F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211BB52-7CD7-4A84-B58F-425D366E1927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B0056BF7-CC29-4072-BE68-EF536CFD5C48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CE8584E-EB8A-427A-92D3-DAE83D875A58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2316615F-007A-454B-A7EC-0255DEC8F25A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3501FF2-668C-4598-9205-24D4CE753158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3FFC4CDF-2C1D-4CC2-B70F-ADEB0973C03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B4E1135C-2322-4C07-84A8-A6B6E1B8A769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1C5D3DB0-E2F6-407D-991B-10B7489341B7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A39DEB4E-04D2-4AF9-8783-8BC9ED6DDE8E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F98B7BE6-4042-4989-B397-0C8BFB16A73C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5A72934-A77F-442A-968C-2C4546BD148D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6E067ED4-3A49-48EA-887D-B75E130D3A1F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C167E476-D7B7-4B68-AE57-74B7A66EB8A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6C4E480-8753-4518-A5BA-0B0BA9F36762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B2D937A-738E-49D1-961D-7F87C9089D7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0D9BC2B-9D70-49F8-A645-56EAE1702958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8A3E77DA-DC9C-4EC4-9532-F88312907FA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6489FCFF-867A-409D-B40C-6B15A0565879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D33ED734-20F1-44A2-8E2F-52EC1F1E08F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BE585A4-F3C5-4665-8BDE-4AD6517520F8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D44A4C53-BC05-4D03-AF7E-4B05A703CBEF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B4F2721C-1C8A-452F-B57D-2CA01AF7EA78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5D784ECF-B0FA-4B49-9566-9200E69026F1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4E0EA1C1-908A-47AE-A9EC-627939741385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DE639EE-69D9-4F64-ADD4-F877B465791C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438795AB-1171-4DC4-BC80-BEAADFB5E047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5376BEF7-C023-421D-AD6E-BF1CF3DE40BE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147550F-DA1C-42EB-B6EE-6C0F3A8A9E38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417225AB-F983-4302-A00D-5D5CDD253D8B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D27B11B2-FD8B-421B-A502-5443B9EBEF87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7F1FE38-C58F-4D2D-8410-3E89FAB3A94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FCF5906-5B5E-4644-858A-A37224E49EA7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5BB732E0-CA9E-404D-93FA-0EA96F3C11E7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A8C9043B-F020-46E0-88CC-C29F905836B1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4CC2FFB-DB98-4B11-89F9-2345D74B4654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56D68CE1-62F3-4896-A4F0-6BF8594F5B59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5120F3F6-8C69-4EC3-B459-774A770FFF62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ECE33FDD-1755-4312-AF2A-1F54B45F9D70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7A7EF4BC-05D8-44BE-AB1A-0FD85AAE8301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42EE4F8-CBE0-4E28-8337-BF549C066C6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8EFFE4CE-BD27-41C5-B69D-9A9E224B8F7A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0296C5BD-4333-4A06-ADEB-53E4C01D6B74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8BD8F0CE-9AD6-4821-8207-88EDF6DB4440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49A6C8D-6095-490C-9EB7-6557EE6C7A9D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CE85A617-F352-47F9-A64E-BF02CBD7AF08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E5126FC1-EBD7-40B7-B1AA-43A949394E72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ED4F2C1-8295-4EA0-93F6-80AA55ECCD09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E920333C-1F34-4D63-963A-88656498B2C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646F4DAC-E452-4E3E-B069-A9FF0E0F7E5E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11B8DB59-3BDD-463F-A3FB-357976515B2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E2247AC9-2A8A-410C-98EB-07183F39A14F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C1AE75D6-8426-4806-BA80-504D3C90F2E6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9BB026-40E0-4E6B-A682-C5E1C6E0E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52FBD8A3-70C9-48CB-B28C-95BDEC933777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8424F7FC-F72A-44D5-BB1D-69A8143DC708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29154965-956F-49BD-9DA0-3F572801DF26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B2E810B-7AAD-4969-9840-0B1B9AF63CA0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7C39E178-A329-400B-984F-40BFD4B8C5B7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53C5065-0269-47BE-9958-CA2C8C4DF620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28C18F8-4051-4E4E-8600-6AA5A7B22EC7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57B4984-6A78-434D-9EDC-2A2B1BA804AB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D78A0AC2-D9CB-41C1-ABC9-2F34F765304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A73BA5A4-4480-43F3-8E8B-A093DFC69EEF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49A32307-9D14-4B6F-A7F8-2E8300EB794A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809B6F3E-B0F8-4271-9540-28C6B341DC1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1AD764E9-8FEE-4B31-91CE-CFEE8FFBB971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316F316-7704-4399-AA8B-EB50EF5AD03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D812B27C-1694-405E-8119-FBCE39B87D0D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D1F8E4BF-0E64-4D6E-8154-DA549A631440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839388E4-BA2E-4BBB-9D64-2830CD41B92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2B580933-E7FC-41A3-A142-71403B48DEF1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59D7A633-0CF4-4385-BEA5-A5360E6D7E0C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68667DF2-8EED-4CBE-A7DC-A3B51EB4FBAE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DBD4CE23-4539-4819-A4D1-60A8CCABE5AC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8A41B3E0-F9F1-43E0-B2F7-F46381B906ED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103C85AD-7890-440E-AAF0-A66F51E0A34F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326534F3-81B1-4B79-A0B4-5C3DD262E8AD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5CA703F-6905-498A-B443-688F8C9F77FC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72AA20CE-4B26-43F5-9BF2-FFA110B9F4AD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F51C2A75-4659-432A-868D-AEA32B30DE6E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1C4A1DA-A35D-4B63-B44B-9AE3154AE3FF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C55ADB31-AB43-43AF-8FBE-BBF0832B86D7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D0720C51-B52B-458E-9660-BF87DCFFA21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8534B59C-FF4A-4B38-BAB2-8CFC8CA85568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501D77B9-FAC5-4A77-ADC6-9BFC28FFEA90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40456C70-9264-4B52-8DFD-A6B10A34BE34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C5E79E91-EF57-46DC-98E6-0EDF64B2EC7D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FA575BFA-FDE9-4E42-9511-8B06548D9C50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89B0C722-5594-49C1-BC0B-3B205BEB0F6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146314BF-ABBD-4E0C-B092-006E00E11645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F9EE4C93-3344-47B0-9666-3FD516ADE595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CC04CA1-CAB4-4BA8-A3BE-234238A8BC3C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4E76857D-791F-4B41-9413-F084CF64D88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9B162CFF-7839-4063-B143-CE0C54F2488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AB1F8F00-BA23-4DE4-B116-BF232B5C7075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7556741-D550-46D3-B74D-C1A3A98EFFDF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49FAC953-4D99-4190-84CD-C4BD52D2E049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ABC27CE6-9904-48B5-BC23-2A4218E10B5E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A7334BC7-D98D-41ED-BBBC-D36E67600CBD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423E6FD4-7886-4620-92D1-7B9AADF1E0BA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AC057745-0D0B-4177-8D57-2C6FEB001131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ED6B6AF7-B0D4-4E1E-A5E7-6D8432A0E8E2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B34AC5F0-0B5F-4499-977C-60F24A7C39E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2A767FD2-3D56-4DB2-AF39-D1587BB81596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77723EB-A02E-4BF8-99A5-043BD2D4132D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7EAD2B6D-AB15-4868-B21C-81FA10EFCAD4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F4C6C1C-A763-49E6-BB77-F5957E7F84D6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F8FAF200-9CFE-458E-B5B9-08BA1B5F1308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1A9F0701-4969-4C53-88D9-4D69E82F56D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944CCE7F-7D0D-4755-AF15-E6BA66AF2AE9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8C17AD62-41BA-41C1-AFF0-A92CE108B6E5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B3EEDB57-9574-4BE0-9EE4-C44924070B34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633F2435-8EBD-4BB0-9FE6-561D105F5803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2EFE1EEB-F086-4153-9953-975C57BB75A8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23A37EF-A55D-4183-8EBD-079D98ABC8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1516704F-69FC-4538-80D0-7B7C7BDBF555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9CF13EFE-B6CF-452B-8266-3D98CB360580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66D8CEFA-3B05-4153-8111-C05DA65123EC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78BDA716-553C-4461-B0E1-DE0068A55F35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2465120A-0C6B-48F4-8AC4-F3B3962212B3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80AAC28-2386-4E1A-8AF8-AF4C5840793C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85500BB6-2606-471C-8FE3-E2911B85BF8E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CFA7025-770D-4C10-8CE6-CB6E0ABC53F3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E5616522-DC45-4C3E-B29C-6FB9CEE2AD2F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246B102D-863C-4B1E-B075-0044909CCA9C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A14B2FDD-9C9C-4CCA-A285-5B7A7242B591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E3C5DCC9-F0B2-42ED-AACB-4966DE6CC9F8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ABC6184F-8EB6-4560-B902-BAD747FEA38B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918D484F-09AC-40F3-9717-CF34F4B62114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ED7DD5F8-ACB3-4006-8419-AE3DF65123F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D8C548C9-CC02-4401-AA36-67AD82A68A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6C4CA58D-A42F-4312-9034-327226192177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043F0CF3-2255-4813-99CD-D0A99C832589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AB8C4327-E720-4BF9-8B13-E30CBFC92E92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5041981-9E42-42AB-957B-CC02C6FF607B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26CA20E5-71CF-4BF1-87FC-30D9428DB58D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65CAA114-6042-4F53-930B-45928428C5D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79963A1-6CD4-4426-8324-74E5F755CEC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EA0FCB5E-A128-4194-8897-AD2A995C59B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EA6A0FEE-442D-4AB7-A55B-84A0CA4CCE6D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0D42CD85-9781-4A0A-B1EC-A1672F53DB39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39B8CB8F-4366-46F9-B3AE-E2716C7C1147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6E23DAC0-AE2C-4DDF-ABD7-5107D4AFA1A4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7F7CEFA1-8126-44F6-9BAF-99C3E926E60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86D82E92-72D1-4474-A658-AB0A04ADB86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3F5501-EE38-4C89-B659-487109DD1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7F5972F-B24D-4853-A1DA-46E1B021D7A1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CFF1C7E0-1CDE-48B6-A3A5-8A1D9B3FE6B0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323A122-462E-42F3-AB08-FDDC54C5F769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1F858793-C230-493D-A67F-8B0AD0CCA8DE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CF64E063-C68D-4402-858B-D3D7885B390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5EBED30C-177A-4E03-A31C-32463AB63B28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1BF4C10B-AC42-4A65-AC13-AED618CC46D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99B065F-EE24-463B-AD0E-339078E17DE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9DC045BD-9F77-44FB-A0F4-2467B7E4B9DE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6F5687F-1994-45CB-A9CA-61977BA68BB1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B771203-7F1A-4EDE-962D-3B508C33641F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87E6F441-E097-4D10-8807-4B05F6BA2A72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C1620666-B5E4-44AA-8E20-208645E3EB5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6F86447C-BB52-47AF-82D6-52B111EA3494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C62DD7D9-130B-4445-99DC-275E4816CD9B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E7D9CD-4150-4CB3-BB26-D76749094B4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E5AF16DE-C4C8-45C9-9B26-ED2A0A6A5FF1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DFEA08FA-E04E-4483-BC34-0B9D72257EB6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8A526080-2D16-45E4-858C-64AAE85CC9A2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E9C5F154-A0CE-40F2-8637-6AF764C43167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A8FFF790-5B0D-4D54-A4F8-4B5C94D72AA3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8626FEE-1D56-4FC4-84DA-DBFB700B911A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6B36BF86-2D2F-40E5-86EF-DD2ACF280B90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9406733-2091-43A0-93E7-C9CD77A8A0ED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54B24F73-C014-48FB-BBA9-26756720769A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3D161F2A-569D-4DCC-B7BC-9D9C0F482A1B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A38D410A-B11F-48DE-BFA9-D6C7C75A3F3C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827B2631-B79B-46CD-869C-C3A56D76C20C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AF8B098F-FA9C-457F-BDDB-7DB803AB43F6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9349606E-37CD-4FC7-9618-3724BF3F5AA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2167162F-0DAF-4453-9668-1D96C81F398C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A12AEE78-CBFF-4E1C-85BD-17B3D00FE1A0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4B0BDACC-7D34-4FF5-9989-02A3385056E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36648D8E-F762-4144-97EE-9BF5FBE41E66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370BA21-692B-4716-9FED-491E4029E33F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6AD57498-9E32-4422-9E77-981E8472C4C0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A4C24446-A9F0-4885-8B10-1C028526767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CDA9DB2E-1FA6-4AF3-8C7D-5C4F418F5FE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F97A726F-DBF6-4EB5-81EB-9C7B6DD61D6C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717CB2DB-238B-4482-B540-D656AC551563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B0516302-2702-4004-BD9A-1A05ADBD615E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C80E6A2-45EE-48DA-BD96-2DC20143AF07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33BD7B7F-E4FB-4B44-AA82-835BD28E546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A178419-BFEC-4406-A7FC-70D33546BD3C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892F30B1-9FEC-4D74-A6A9-E88F4BCB812F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D65C7A65-C69D-4F60-B6FC-219582E8220E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5AA43512-A608-42B1-BC17-DB4624545D0A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2D692AB5-B4C4-4F65-A161-7B08467DCFD5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F90A2584-0CC0-4D39-AFA0-FE7A490A801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273D498-34E3-4EF5-BA63-527FAA24CCF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B23DE7A6-1833-40CE-80D5-8A6A5D0FDA3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FF8E557E-AD5C-42D0-9A23-9567AAF3852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99054B9D-3CA0-485A-A957-CEC20EA5BF4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D1B2477D-B707-4B83-AA45-356BE0776F06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4C3D5D26-F04A-475F-8079-248812B3FBFC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455A4CA0-A7A2-4F98-B8E3-29A35A7076AC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9AEE4F58-DE04-4E0F-ACBD-2168E7CFC139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B4ED7B20-886D-4F3E-9303-F4DACB545AAD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4201016D-3430-4E21-B285-651051B31C88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FE336103-7B55-493F-AD6E-11E04026EF5F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56D5053-4D4C-4B24-8111-34DA7DFD3115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7A174730-8ED1-47C9-A172-8D121F962B02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2993F7D8-FC7B-41D8-A714-8DDE2C08606A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24EB71CC-3FAA-48CC-981D-2BEB3F564406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5827BD82-55F4-4084-80FD-C9C5A9BBA0CB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28792C02-5728-492B-A7C0-7445D11E8284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4C8CDE89-D6A5-4F48-BB5D-80744F4C2FA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053F80B6-B7E0-4F29-B0D6-0A492A4454A2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4286E87C-694B-4BA9-A164-EA117757EB3D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DDC1FBCB-11F7-4549-8F5E-9292BC54AAF0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E2316C9C-38CF-48B9-97B2-6475FAED184F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D7393E58-1610-41D3-977B-1532A1D0A37D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45EFD1FD-C864-4E54-AA27-6383B2742B08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8E718922-A74A-41F0-97A2-89EA36C5FA34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01E7EFBB-DCFA-4907-A1B6-E99DD59BF3B3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E764CE31-29C6-4BFA-83AD-18A3DFBD5738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D853A052-6DA7-4475-B7F5-75B25ED68A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DEE8D86C-9798-4166-A88C-2CBDAABC0BB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1A1DB5B-EAAE-4015-A97E-4F4DB1D1F57A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6AA27F35-F109-4412-9BE7-DD7C31D50B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C44DA1A8-F255-466D-94F7-BFE9D6479D55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88B85C1B-C0A5-4263-835B-9D64D206AD4D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8C0936BB-EB5A-441B-88C9-B71DA72BEFFB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56749F28-6DCC-4FBD-9502-421980AE691C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B4DCEA6A-94C9-4C32-A250-005F0DF3CD3B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3102AC94-ACB0-4265-B79E-BF3144937046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4148CFA3-BA91-4095-8389-D4C81D0C3F0F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ADF038FF-4873-4DF6-B602-AC24F39FA414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B973018C-6994-4190-9E17-F3E62FFD74B6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9CAC005D-0A72-413C-A43A-CE4787937918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F5B2D227-11D1-4EBC-A9B9-E4FFD6E2AEC2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5912515-B0B6-40F3-9A86-1C5C19AE5B1C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6DAFF6-CDA7-4395-BF4A-2AE2FD0AE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679B0C6-6D62-4C34-9D6B-FAE40791F02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6D3D38FE-E15F-41B2-9001-67D7BEA4E13B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34F048AA-CC01-4257-B3B0-22996CE5058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FF31E66-A1BD-41A8-84D1-0A90B72DA5EA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BB90503-983F-4FFB-B729-A1A9B2196FCE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CA69E0E8-B1BD-403E-9F90-20D9E3588D4A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4C077E9-75DE-4C59-A3E1-23CCC9B793A4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569978D-9497-47E3-8D1E-7DCC895AB3AF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F51F888-93D3-4F37-BCA6-FE76C19FEC93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D14F9D6C-6156-4B0B-B5A2-6CF038F88A3D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5B0EEE8B-2025-4BF4-8D04-9F213BFAE8DB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3B0A1646-4B41-495B-8195-92D288A9CFF7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253E55E-0726-4BF6-8CB7-815DC49DC3A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70D48F4E-FA62-40EC-BBE9-A9568393029F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3B01CE65-250E-4724-84CE-136A4938DF0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C2196FB4-06DF-48F5-8669-569402FF4757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FA163C3E-4FBB-4672-821B-B86B44C8D86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7534BF18-86F0-464F-B73E-81F3FC7A0DF6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A3C21998-93CB-45C5-BDAE-45E3E08D34AC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F6844F5A-7027-4E5D-81B5-109B384D7FF0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805AEB09-B664-40AB-8849-F0E90E6A07C2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6EF47F7-8686-4234-8A08-C64B32B93991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7B3E142F-1CD3-4D5A-AF6B-66AE47454B09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D955CB3E-4D89-40FF-B776-CCAB8D648A0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6CFBF1B-8154-4415-AA28-934DDA35DE98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16E8778-EE30-408A-BD36-DB7E7843E851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5952647-E3D6-400D-B9A5-7D9869601E91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EF57A979-6237-413C-B7A7-BDA0EC1808D2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74639F1E-45BA-49ED-9F12-76115234A327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A31B232-7676-4A26-96F1-C54E0FEE1D5E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76F56BF8-30A1-4E90-91AA-77FF2340BD50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AB907C31-8C0F-47B0-A35C-0081B92C1659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DD0B0BA0-EAFF-4E1E-9984-3481FD99F578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1A7DEDF0-12A1-4558-87DA-B50253B034C9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DEA5C70-DF7C-4642-9014-6A5D42F47B3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69F14C3-0941-4935-868B-76C66272DC2A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BA3BB4AD-60DF-4C8C-B090-DEBB95BCC000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D81ACA95-E50E-42A2-80B2-8BEBBCBAF80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3F286E5-8B9F-46D7-9F4F-3BF871F668B1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DA659AF0-9AFA-4C27-9284-5F0F4BCDD836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2D4CD6C-9350-4966-8FAB-0BB4F7670D5A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7DF1B043-12B5-49C2-B4D8-193A57D3F0E3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272BCA8-C5BE-4398-9D45-DDD3599471E9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8DFC086A-A175-4461-8469-997E79F6CF0F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7C6C2AC7-8371-45D4-B504-3FCE3472030C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28E0B9E1-DD2F-413F-A5CA-DB2C80AD234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78B7218-83D9-4B7E-93C0-B999FBCC952E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A2911EE3-6D80-442E-B021-08D7CC1FCC44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E98FD79F-56CB-4839-9419-5F8BC29D332D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C37E355-B04D-489D-84D3-4F1B9DF56F6C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3436C83D-C78C-4DFC-BFE4-8FD593569ECD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521C1067-B98C-4FE4-9ACA-C08624453032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8D1A1248-55D2-4A98-9EE6-6CC8EB3E9A1D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9CEE3E84-60CC-417D-AB04-C0EAC5235AF7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60CE90DA-239D-415B-BD76-6363FA6271F5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6ED759C3-C236-428A-A392-03BC401C2136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16D44198-E3D2-4F80-9152-E653A2C9B97C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600148F1-955E-4388-B550-93125AE4DDAA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73A40079-510E-4DCE-B898-7D46439087EE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4CC03B5-2496-4F3F-831F-7A90A0EE7F33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36053F74-8ED6-48DC-AF4E-5AD3A4353492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BBE9147D-7DA0-4DF2-83AF-63250396B4D8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DE550407-2708-45ED-9911-12229E0C9719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7FE6A904-FD93-4A55-9DB0-BE7974D0B911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0CA9F3C1-3014-4E31-9E83-15BA07D4D3E1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261CB676-9BB1-4E32-8972-B5963CB49F8F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73DB572-74D8-4595-B097-D83350F9A5B6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24A9FBF2-A816-4D67-9579-1508D5ECED7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D41A1920-7BD6-49D0-9B54-CA8A5488959A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A5BA1F96-5F34-48FB-B6AB-C11DEC4CEBE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4A6647F8-C5BA-405A-BCF2-B9CE44090BD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E382F583-278A-47A2-AD56-013A844A2AE4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08BDF53C-B63C-42F3-A12E-D932A4F60AA1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487AACD1-899E-434D-8CCE-E798B2E3E3DF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7019A105-AA77-4342-B29B-4160783536F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C48D002-F7F0-4DD5-B7B9-282025858DEA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2F21BABA-E664-47B2-BF2B-E0968DB7B0F6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14FA1097-420C-4759-89D4-BD3207FDDFBE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133C4A83-7FC6-408F-B018-DA8D00B7D5FA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61B47DDE-34D0-4DE7-9542-B38A420A5A4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AD882283-9AE9-4293-A381-D672C99FE0B5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FF350D12-E542-4181-8428-E9F273D1B30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0D08C925-E709-49A2-A43E-AB795DDF3CE1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97353FFA-FEF6-43EE-A2B7-6095E91E11FD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0518C1E6-6094-4D93-B7AD-1DAB3A20CEC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B11B44C-3EBC-4D52-AF95-078FDA74B6E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F9B703A9-B8B0-451D-9317-4C1999A134E4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7FD195D0-802F-4A8A-95B2-68EA04B1E07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C7EF0AAD-9B8D-4EF9-823C-6957BF49A8D4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00D604EA-360C-4184-B855-FEEBF39A70C3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2B48335F-1A51-460B-8293-C1C0CDCD905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3772B2F0-4366-47F3-9144-E99E87EF1146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85C244-D123-46C8-8F8F-9E1F196B2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AFFCA7C-FCAB-42DE-975D-5B29DB86C46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2F687C-0032-4EA0-9E18-480D0612AD78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62169C02-2DC0-40D9-824F-43125AEE710E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5709FB6-22DE-4886-8F18-199477DE8E4B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3B06816D-0AC6-45A5-A604-EBC0855196CF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4A3A325-4EB5-48A3-9C4C-C769F2AE7E3C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0EC05B5-4373-46BD-9ADF-B32782B21628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15D2A2C-B552-4489-A732-784C16E11801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761CC946-8CD1-423F-843B-EAA1C528AD8D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5926ABC7-7813-4AEF-BD7D-CFDA81FA1996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6E2B9CC6-FC8E-4772-900E-DEA5EA37F8C8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DAFA450D-8752-4563-84C8-78DB50F23219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A17012B-5572-44DB-A4E7-D1161902D77D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674306CC-2EF9-43A1-AF72-A8C8820F95FD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FB48FE5C-8221-4A0C-9E8A-8A2EBB3EFA02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14720C8B-486A-4D8E-8836-47FE5348BAB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D6C96104-7663-4EFB-BB5C-2E1E8E1DD014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6E7F5F36-F022-4EDD-B8C1-301B11B9FFE3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9E69C536-4BFE-4BC3-851D-607DA2582AA3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D43DA56A-758B-45F8-B25F-880284730EEE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FF33482B-F268-418B-82EB-16495C2A0C4D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73B05E1-FC62-4DF4-BEF2-B2D4FF3D1E64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14A680A7-051F-49EF-9F06-EC6863ACB137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FBB6D01-9A64-43B4-9D01-65FA0FBC4F95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5D86A139-AA84-46B7-A63A-61818763405D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ED85C1C2-FC57-4205-A917-03FC90B47F6C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C2DB5D9-B4A2-44AC-A22D-7FFCC594E412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469801A8-0174-4D96-BB89-73128AAA3038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988DAE2F-0D34-4762-B69C-A28FE1BF732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122E3D4B-819F-4D35-B5E4-05708EE9520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ABE3D6A0-5CF0-44BC-B1B1-65063584147B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1B88638-F766-4DE0-9762-7CA53CCE128E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ABE78C4-0602-460F-9D79-A2CDE8F4FF2B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5F28AC69-7E89-4245-BD35-0BF3F125316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1FA3B77A-98A4-474B-85EC-98B5F4E458F8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8F1B1ECC-0D97-4E13-8E1F-C2D7CD7DC5D8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1D41E884-633E-4DBB-B4C3-CE08805DB749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234822B3-6686-4DE7-B66D-8D473EA674FA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14E7DDC-2430-46AE-AD17-563E9CE974CE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2A063EB6-10C7-40F3-BB1E-2619AE0EE19A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AF6E5C8-2A3A-411B-B80E-40BB315388F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209DEC7A-2AEA-4E7D-A1A8-CDC00F2DEBA3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1E691EC5-7B49-4242-84B1-7B7801C6C47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910A4D5D-5374-4938-849D-DF412CFB01B7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2C6E4507-A10D-421C-B937-490FE4700306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309C3EBB-C655-4950-BCE6-F95D75A83575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FE2CA16E-2E15-4844-BADC-A54BA84910A0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768EB730-4713-42FE-AAF4-EC1D4CA6285B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83986BB-7CB7-4763-94EB-BEDD65EE4B6B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8B52FEB6-F993-4155-A7E2-86B992F8CD80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1BA4F6CA-7BB7-46E2-BDB0-E1868726BB76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EE9AED4C-CD8D-430A-A310-3E11723EFD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BB26CE6-2CDB-44B3-9416-9B7F59081714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9E1FAF02-6D5B-4593-A68B-A5899B123A67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F5A05179-E2BE-4305-A927-6EBF859D20A8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D88E0BC4-5DB5-4C0D-A901-F089C68585C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6659B386-877A-47FD-A011-CADEA528C839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8D982EB6-0A6C-4AC6-A7CB-FB3E1BBD001B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E140C170-7E1A-4535-A1D8-B6ED0B73321A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72EF480-31C8-49DA-B1F8-A7FDA1051FD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79D86262-FCD5-4999-AAC3-38771C50E247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1C5BD32E-83DD-4804-B7D8-FA47C0976394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AA18E053-29E7-4A7F-8880-0EE1D57F002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7DFA459-8A48-410E-A1CC-C81E172FB3BF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6D0747FB-FCC0-4799-AC42-8AD0A57A5002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EB44A9F3-653E-4B17-A49F-EFF835513D4E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1251E083-594D-49E7-962E-AB867A57F907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453E4B6-9296-4D1C-8A63-0FDC42880D49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B0A6A618-CB18-4945-8FD8-672BBDCD9DF1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F9137CD0-E136-4CA4-AE46-C375F1D94CA3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1F6901F8-18A4-4541-8E2A-A4901B3137C5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93913759-62C4-4F3F-AECE-F36204AB063E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3E86699E-4140-4145-8A42-B8FD82359CA3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7E56137C-AD3C-45A4-A38A-D4FAD9BD4B3D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6FC1ACE7-397A-46E7-8AC3-868CE0FF0FF7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DF62FDC2-F9EF-4346-9652-28C37A614A5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84B592AF-5185-41A2-9046-07BD0DBEB21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84AAD06-43C0-4574-93B5-D3D030319B8E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6F315DB9-1013-4EEE-AC21-03536021A977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16ECDE1D-282F-4504-B6D9-DB19DDF85E52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EFDF3892-66BF-449C-BC28-AE435D6B09CF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49AE5E3C-2280-4B07-8E16-6D928765ACB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492A8024-1876-4C5B-8FA1-9156585A23FC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8DFEF50A-EB62-4BE7-9CF1-F6F118CB2C3C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E33946B9-F19F-43F6-8755-971A83924AF7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19D2ADBC-0086-4F0C-80D4-734BE781D92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E12FB290-6AEE-44E0-BDE1-3EEDA604DC51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3AC91525-1834-4DEA-AF85-07026F8357D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1FDE025-E7B9-4ABC-8A04-271F25793250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8E07AF0A-0C28-4D0A-80C3-6BCE4C24E464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85CFF263-B44A-4F93-9D0B-74CA71DD58EE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23733B76-9FC6-4B1C-BB13-0509670C788D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2516F5-8FF9-41A8-B95F-47361CBFB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0F155F2-15CF-4BBC-B6D7-0E49230EFD31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B394CDA-E668-4461-AB39-F891BFB3FCCD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FC4B6C3B-CED6-4AAB-B54B-B0DB7151075D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5506008-3FA4-4A3F-BAFB-432BB6109C40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6944E70-7F95-4E89-A9EE-51CACE19254B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7E6CE6A1-5EA4-4DCE-A1E9-084E2F022521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FE3B859-13B9-450B-A82A-50B216FE4513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ACBA690D-7A2D-44E0-8B12-D7A48973409B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76D0F0B5-4BD6-4DD7-A97F-E4ACF63EFC23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C4283CB-0CEB-4628-833F-E38D034C52C1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41C89334-C2A3-4643-B7C5-D4BB4791E47A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F6B5AA5D-C5C7-4FEC-A91C-46FFB408AAD7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37F7E4CA-E50F-4070-8204-6958A5FDD177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F0269B4A-6E0B-417E-A642-6958295880F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E7498BCF-98CA-4A96-908E-277E01F14F59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44D68F0E-A629-4D5E-B9DC-8FEF2DE1A9B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3007901A-8E3D-4689-B704-CA1BB8E00EF6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FF7D58B-3250-4EF8-99FB-219A1A364E0F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F529B8C-CD5D-4D48-8D24-31AFB050F8F2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F78C88F-B5F7-466F-B574-E91BCEF1AA68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8D5EB9B5-293C-4EDE-9FC3-5AF6559C78BD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EA6E5BC-7819-49EC-B313-490A65A2D5D6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C0CCFCF1-EE14-4AA9-8F4D-A5F4B353376E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84FC16CB-1931-40C0-90E9-A4B06A7B3E10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6F102E79-FD9B-42B0-ACB2-24D39B2F90A7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73DA3AE-537B-4464-A4C7-0437731636AA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E3382B03-EFD7-48C9-9183-3A2D1806F6D6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C31F5110-8EC9-462C-9DCC-49E6A6FEC814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AB1B90E8-DBB5-4639-AC53-1153C75774FC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F0068D5C-5D74-466C-B659-DB5FF27D44A1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6E3C9594-C66F-4756-947F-4E941A37EE8E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94AD304-2176-40E4-AE86-1E0FBD19BAE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577DC698-F704-4D78-9DC7-06E0FF4C8F8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D119ED24-59FE-4980-A2CC-5198C56BA29D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4839D3CE-1517-4BAA-BF46-DB6D06C7D59D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FE10AB6-D646-464F-A93E-7A7D066E95CB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9371B153-E393-4A5F-8FD8-584BFB25545C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29A04FDA-3506-41BC-A217-E1BB5B403ADB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DB0DF1E-0E8C-40ED-B213-5BBDFDFA9233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796B6AEA-35CE-4DE3-B4A2-D1E42112B648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AE8A7979-8987-4334-95C4-3010A99C154C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2D34210E-EC41-4B52-955A-BC9B2FDE51F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AC7AE130-904A-4730-BD33-69BE420AFD9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CF66546F-CB37-41E7-AA7B-53FC4E5C0F37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C94B5CA6-4661-4382-AAB1-980A54A95E22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D3FCF0EF-F925-4A43-9405-766998EBDF1A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B1AFD65D-1F20-417E-9597-A7BCEA09FB8C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106880BF-2F99-41CD-8A2B-3BD6DCC39960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FA2B341E-48C3-4461-9ADC-42965A31BB2B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504205B-A8BC-41F9-9D09-3712298EF81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EA281438-67C2-4498-A986-9F2AE07A4C9B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99CD073C-9D12-4FA0-B48E-0C15EDE5243D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432BD565-E530-40DF-9EDD-30BB6179C99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24D6BAA-7291-4BAD-B295-A11A3749A12B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C294CBBE-7B33-4D72-8152-6D8D011918C1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FB3BF934-76B8-448A-9603-EA75F9D4D79B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8F68BAA5-368E-4C39-857D-ABEC02633411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C07CE182-DB3F-4E69-A2F1-370541FA73B4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EBF5F8E0-A257-41F0-8602-22256C6F32AB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4FC41B92-0206-4EA0-9B41-DE706F38446C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D222E532-0C57-4B94-9D81-430A9F98AE8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8BD2684B-FB44-4255-904F-70F22B5BEB7D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FF7DE365-AD4B-429F-BD5C-BC3F99532887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56EC5645-1C61-47BA-AE04-24D82713A60C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BEE220F4-51DD-4B71-91EF-D96DC17E9DB7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793E983C-6F6B-47E6-A4C6-D73868DB0169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3DED261-A10A-492B-9F55-398825E7EBB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BBB89AD-964A-4120-A4F9-D0F07201BE40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E715D637-3A06-4A4F-9920-0D4BCF723932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27A2ED20-15ED-4E65-B771-67D57F87D1B2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C4C3A5F1-F5DE-4B50-B8CE-07104BCACDC2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93B1DE9D-5F50-4F4E-9605-5BC80E241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AD22969A-C9ED-440E-858D-989FCDC13B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D971AC06-726A-4184-B558-565CC7FD664D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0CDFED48-AA85-43F7-851C-9294A801EB1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A4913784-4FA2-4F37-B61C-8AC03767E9B5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27C84168-2FC3-420E-8BA4-409881405AE3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97406696-4E3A-4BEC-8489-6FD05DB170EF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ACEF2CAD-49F8-4761-927C-C124934B63E7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31BD985B-3D8C-4B12-B676-7B05A2F6E124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A647470A-9C07-4624-96D0-6729FD5E8440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3ECE3C72-BB4A-4574-85D2-1EBCCB7E6B94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FE4BE4D6-189D-4A83-99FC-CF9C14F38CDA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99318254-F7A3-43E3-BC45-1CDA4C01F3F5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53AA7C8A-A287-47DE-A07F-3E216A739A77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1BC95CD0-69A4-4D54-BD27-2B183329E53B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D1CD4999-D17F-4F04-B591-B781BC6F0C3C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9E4CDA7C-13CF-44DE-8AE8-33A11109A322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85121FDC-7176-4595-A5D5-948FD2749C87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D6F69EDF-F8F3-4023-8A02-6F39E46D44F4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37DE2A66-05FC-4B84-B880-FAAEC3E4960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A0F7132A-27D9-464C-88A7-9D2263844486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4EB7E8-9DB7-460D-86AB-DE1B69F46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F70ABC3-1B5B-4D05-9A54-9A789F22061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D6AB61A-BCC7-4F4E-9F63-C946BB07559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44CBF97-D060-4BF2-8FE0-97F2E0335BA3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4A73052-6816-4F45-B1AE-515B2D7FDA4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343AB76-A541-4238-B259-67B43E39497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2A86F08-CB6B-477D-BE6E-19602221057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15B0F79-EEE5-47D8-AA9E-872BDC94D3BF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5291DB0-9BCB-4CA5-8168-3BF5B8B4D70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BD504D1-4048-4B40-8181-79BFE65CEA9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CB6BBD7-0C98-4C0D-B9B1-E938AD7D80DE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0959628-CC63-475D-97A7-5428756325B1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56AE3BA-6CB0-4EDF-86FD-18951A8B01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48D2C93-959C-44EE-B608-DBBD30F8CB9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D25935-836B-4FD9-A9E0-492CAA82530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2CB76B7-49B8-43E2-9BA1-54C6A76D370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85EFA72-83E3-40C5-B3C1-5AC8B485C89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D919903-B03C-4677-8F7E-23F79B71C83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44533E5-68D3-4E4A-9169-ED4BDB0AFE9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75A533C-8CA1-4D67-A7DA-0F5D601865BA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8DF40E3-E436-45A9-8B71-3EF76101DDF5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2BF49A51-D5E5-4277-9B7E-0FBE7BB00DE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F615566-CCAF-4402-9887-D6292FE6277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A4776A9-6E63-4402-89D1-E5D0BC5D122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ED296D4-1758-4779-9D1D-B108502BA74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1E2A88CE-4BB7-4962-870D-045A8413B4B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BAD4130-9A3E-46A3-AE9A-6BAEDA6B7B0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BDAEC16-F2D8-49D0-967D-2142B3F5644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161461D-BDB4-46ED-AC48-634861364C3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B8D9BB9-B430-44B2-84A5-A134FAE93A66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ECB1F93-F876-4087-BF1F-6BC3F2ABFEE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C95B31A-83FF-4129-AE38-FBB563F1476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9BFCD43A-A6E6-44A6-84B6-723AEB2096F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50DF150-5285-4E8D-9B9F-D79A0FAB1005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F6B8C24-D0A2-47E8-8520-210E05BD60A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03BAFC7-A892-4E08-A133-D0F376970BA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35A9A58-DBC1-4F56-9745-D53FB1A8D7F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C397155-593E-4135-A43E-2A03C966BC6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D0F290C-9093-4C6F-A12C-18A694685B49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85AA841-54CA-4DEB-A3BC-7E9C99C2117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38C3A0C-2AE1-4612-AB72-E906551CB96F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7A40E8F2-56E0-4E2B-9C28-9624C3C4F538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662FF2F-B3AE-4E0B-9B1B-0B96BF8283F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FB1F010-6ADB-4397-BB64-3D67ACE36D60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44862F7-5547-4140-BD49-4855CE2E90F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C6EE10C-C8DF-4377-B732-A120DC129039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A5C9D08-7E19-4DA6-B65F-C1508CA91B5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D3A3ADA-C246-4896-99ED-921C9B4F4DF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8C29903-BEF7-45B4-84AD-230D411057B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0C0567A-2ACF-4B1A-99DC-A2DC20164DE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0B67FF3-55B8-47F3-B9A6-970E137B7F36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E901860-281C-4EEA-BD88-7B633A37F1A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F3D243D-AC56-4F02-B29F-CC197E8BD467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15D336C-4060-448F-9222-6642727F069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C68B4FA-076E-446D-99FF-0C4B3E0C3B4D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2142B62-F16C-4C55-98B3-62E42C37CC1B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A56C43E-E056-457D-9D59-A0B75BDCFBCA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CB7AE20-A5DA-490D-80B0-EC0C573D03A7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9F6AF35-81DA-440C-B71A-C34E76C9B6A0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71FBB60-A553-4EF7-AF32-9F9363683C7C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F16C4D9-DF1E-4029-BB48-A20DC6AF61EC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0C807D27-9828-4A02-A509-EE2ED77B031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9A102DF9-F1D0-4E8A-8905-365D1B4C389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4CCECAD6-7F3E-47D6-AE24-2F771A94D3A0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BC5BB64-272B-4846-901A-A7147F1FA15B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69DB026B-CEDC-4A28-9C69-2265A9D472BF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1059341-3968-4CBF-A35D-F75B90434548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C9FFD23-1EC7-4C06-90DA-28D430609EDD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4515515-B48E-42DA-A39C-229B98F55D99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EAC83368-048E-4706-ACE0-6CC3AC2A9656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B63F6686-B6C5-49D5-B53E-22955BBB4059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CEA845C8-9798-4E10-BFBC-290057F5232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8BB168CF-BF78-40B2-B189-2AF44BA4F44B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E1B0D6-53E1-449B-B6CD-56CA50EB2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4F08B113-3E44-4552-8FC7-86BD92E4E7E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49ACA69-5878-473E-A9BD-BC2C9B908DE5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6F670B39-48E4-4920-AD8F-E0F652E0AD3F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B843DFE-E25D-4DF5-9801-A5D71C40F910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59C13CBF-CDAD-4D24-B94C-BFA3B9DFE7A8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A81E0B0-1EDC-4307-8E04-0365DCFDD312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195C1CB0-A159-4AB7-B224-B3E014C8E567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AC3968C7-B8DB-4390-A5FB-71BE2AED1C4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244F4C1-3FE6-4C04-BD03-451D61A2C583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8F6AF9C7-EB46-4102-87DC-E7F63CEF2923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71D49386-FCB5-41A3-B358-10E08E6B1EF0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6F268D5E-2BA8-4FE7-89A2-18D095C99CD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F2530F5F-92F6-41C1-8E3F-25D9FD97211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5CEF27F3-7B66-4222-8FDF-FECEA9EC271A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DBEF0B3C-DEFD-45B9-B70B-4A05364A4283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B42F0579-3000-4639-B132-C4E809F1F61D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4B727544-E73F-4060-AFBE-D5310C7F140B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18B7D6A-B629-4270-84F2-267904575D6B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6A50ED63-F5BD-4603-B046-94AC2E1AC544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7548921-21D7-4B4B-AD5F-E675FE91456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8EF31EC6-AC55-499B-B69E-4969A2AE566F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A62ED966-AEC1-4202-B58B-4004EFA27E8D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284D679E-0A1F-48DA-AD6E-E3CF94EF2BC4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C374FA35-5270-4346-A1C3-5B41EB443A44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EA12536-292B-445E-8D5F-DB221D5F521F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A37B102C-EF0C-479C-88EE-0A7F76ADFB83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6500F2D-64FD-42F6-8AD9-A35E8B32A2E3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E5499585-7977-4C0A-B12C-D96017DAE30B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EF88B011-A0EC-44B5-8606-5A40E822824A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21DF25A0-446B-41F4-BA8E-3F3BCD8550DD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D1BB47D1-6318-463C-9526-EBE014712739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1B0756A3-3FC7-4571-ADB6-76F2AD969474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2C8742D0-02E5-4F7B-A854-B56C10AF300A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BDF10459-85FC-45F9-834E-B1F0D4365D4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8E499788-4B31-4185-977F-2BD3D7E59F2B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928E63BF-DDFA-44D7-9EE8-03C13C9BCF5F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B12CB41C-2329-4661-B888-BC8CA2F66397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1385516C-7881-423A-A9CC-869419561ED2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5C989D17-D8DD-4580-A9A8-D244D387B0F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8A655704-927D-48AA-A6E3-4A4A0BAD2ACC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EBC240DF-ECBC-419B-95C4-487EA5E6E16F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5227E0E5-67DE-4073-8281-1AEB06A1289C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C8691067-9F32-4EEA-9986-FD0FBE982EA5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104D2D71-BBD8-43F4-9181-B684B15925C5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397F3343-7949-4237-B73A-0CCE5DC0DF16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BB421F36-6188-423C-8D65-85DC92701B52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F2DF56A-9617-4EF9-8BC7-9046290A2169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78F091-B5E9-4D4E-9256-D5B1145F5304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4DC20F67-32ED-4CC1-819F-878DC88A2222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452B8E4E-E38B-4119-BEA4-24183D070ECB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78D25A3-5FB8-4EE4-915C-743D99B2D95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BF20A062-E568-42C5-8344-BF2DEC8C7A9E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F70698BA-22CD-4A2F-84A4-2ABC7B968E38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E51C9AF8-69EE-474A-9932-75BC2CA1649B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2506AA1-ABCB-41D2-AB6B-CCFEF4DF71F7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188E4FF-D070-414F-8464-832859966278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9AD6E759-70A0-44A8-82C7-4D42B70B8866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847FDE9A-C14B-4CF0-BC2F-09280C9A5ABA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76090ECE-DA7D-44AA-85DC-DEC3552B4DEF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C3E3B99B-D86D-4F8A-9F8B-AC807973B16F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280F98E0-2B55-4DB8-935A-1CC41FE90B39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0A53B72-B4BA-4AB8-AC32-4CDBD061BFB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273C1280-952E-41D3-9799-3A7C8950761B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F37813B8-2955-4850-88E8-750E9C0E428B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0899110C-8F7D-49F2-983A-9411ABDA830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49227BBE-8E6D-4756-AA64-9D8F9FA704CD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FC8F57A4-7935-4D28-A4CC-AE610C7F759D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CA2AC0E-EE3A-4133-84F6-FA1AB1F9B7A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4939B50A-6FAC-4A83-A078-B84069D72B2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B35496A8-8C71-4520-9658-F28509B4C14C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36820A6D-2AED-4399-9C1F-6745410D7A52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92C62A88-F733-436A-889D-4E698FEDA354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19A502-47DD-4604-BFAB-7F59E10D7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4DA0972-C7C1-4901-99F9-2E485E9ADCE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12569E9-A64E-4A7F-80D8-0700C19A097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C706BD09-D862-4854-9F20-5728AB79FA99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39ACD77-F651-4CA3-9EEF-9AD8AAF71DDC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6C5F2BB-ABA5-4279-AE17-BBA74E8D1EA9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7E5C34C-39D5-4134-92FE-26F94DC70031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1E42884-4734-47EC-AB00-04F31CB812AF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74CB2305-E077-475C-A4B1-5AEA8E69DC5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B9C57801-4482-403F-9341-FADF5687848A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82AF976-2734-42EB-8569-56AE14965BE4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99CAA05-D109-4FBC-A79A-C2C8AEFDD1FF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8B48DF2-6FCA-4A39-AEA9-CBC51957B9F4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9733A2AA-2BE5-444F-9587-5C285BC2E63B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762F7A97-FDCD-456C-AC22-ACA231F7B6E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B510C37-D737-4AFC-8A56-C8B2FA084A2D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80A70D9B-9811-42FE-82DA-2512343270C5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F063D24F-2246-4594-AA6D-9B93ECDD5821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5B32FE6C-5522-428D-91B3-145828F0302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5479B58F-9140-4634-B736-E773A53EE602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76309B48-F11B-4A55-8E38-D288FAD17B84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A83413CB-0068-44D3-878F-C818C14F22AC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BD0176EB-21F9-47D5-9E78-BD3F2DD6DA80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D04ABF72-8566-4409-862E-479B413934A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3976646-7829-43FC-9C7B-7D794F182AE0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B354A89-BB80-4CA6-8593-DB7C93A125BC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692EFC0-3EE2-4263-A929-410BCE634AFB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9D3A7314-DDA5-434B-AFFA-F36EA9E182EE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18CD23F1-5420-4728-8780-39CB1F178EAA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E2C99A8B-EECE-46F6-8F09-7D756785EB92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979F9076-3A9D-4429-9ABE-1A18077CA781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B28902D-3A2A-4E97-9697-37E96CE6C2D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8343FBDE-4FE1-47EF-B1FE-BD1048FE13C3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8CDAAB7C-99BF-47AF-BFE8-7F2E0D7578D3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30C90BAE-E1E6-46F5-92C7-DAD644A761DA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48FCBAFA-A5B5-4DBE-9223-B403E9F98C1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FD6C7BE-6227-491C-80F3-D6DE9671862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85F60E8E-186E-445C-AC80-34FA37DFD485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ADF7FB3C-6611-456D-BD55-28E52F8061DA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2C64CCD-1584-404E-A8EA-E448AF9F6D07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E5B96618-81B9-437F-A2DC-DF03B32E2857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30865E40-3F9C-4D90-A1BC-ED10B20BE055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2CA66E20-2329-46AD-AC66-9A7918CCF65C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92EB8D6-E58E-47FF-A131-F6E48E6C78AA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4C2245-8E03-4C03-B9A8-C981DE407910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5A26344-8721-4084-BB55-B04C23D0B61F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4F361612-5A94-4526-BB51-218931CE1EB2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EA5D7A0C-7D66-4181-9304-FE4D83E9EAFC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D3A97798-357E-4CB0-A651-081F6E946E2C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8E56B929-CC24-4191-887A-A15BA96C5A4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88FB820D-A99C-4149-ABF4-081C58AC4D23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DE6444E-08A0-47E7-9DF6-8A5871BAE8D7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B11A5983-0367-4AA1-B0C6-DC868D6AA385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338EBF78-74E1-4D76-9F89-D63B100A7166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DF9BD4AF-1BBB-47AB-90FF-49049FCF54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6F8C36F2-3B96-4E51-87A4-AA486A9CC1B5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434DCD71-2E05-4291-BAEF-AEFFBA5BCE94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07EF6F1-E5C8-465E-A9F2-341888B3AAE5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B2143229-82A0-42E4-A5E6-20A45E7DFD18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D6B83CCB-BB43-4E23-B639-D48E9E97F094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265F3EC4-56AE-46B7-9590-9961B2D6DA82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CFEBC229-6BBA-474C-A50E-2C51FE4E7C89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BF88D1CC-14D8-4520-B37E-A368D6BECD43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69B089C-D35D-49A4-9D91-36E7F7778489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60AF258E-3B3D-4E6F-82B5-DAB1B97DDCB6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EB547B97-DC8D-469C-B99C-484D9E391E52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283BDBE8-79A7-4591-B80F-EE095A3374CF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4C35B9B3-E8E1-4422-A94F-5E3767909DA0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E033DB9B-CAB7-4D12-B05D-C681275B8D12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F29A69D4-564D-463E-BC82-419F394B9B93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2A8C0B77-23E2-438C-8F3B-C87DB43FDA92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882E9D87-D898-4AC8-9934-6B977A65A1CD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1E4CA76-FD67-4E99-A17B-AB2692E18FDA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47B052-1498-4820-899F-BDA8F0634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DE9448-8EA9-4F33-8319-2E5BFC27110D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C8482D6-8E06-4E6B-A132-3F6CA636D436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6EFCAC5-84EA-43A7-90AA-F876871A849F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E0AB77B-207E-471D-8A07-B1EA0C437A33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55451084-9EE2-4BA0-8E20-6BA28D019EF5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6B38058E-F8E2-45E1-B0DE-DCB01E3D5AE8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363670B7-FB7A-453C-80CA-0BB5659018AF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BB58DEC-F164-4E6E-AEAB-243E174EA0D8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A67F3F6-F248-4CE4-9435-EFE8522F7BE8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47BC1B68-02DA-4EF5-8207-707FB5C965B5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7DCAAF6-3176-4206-BBA7-9A08721E8CAF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3D9EF7FE-F38D-4C56-AEC7-AB7A6E860F3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6698EAC-BC21-42A6-BEE0-D65EB0D6DD9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65425DF-0689-4AAF-92C8-94FC41E29828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50A4B4F0-C61B-433B-A6E2-92B23284F0F7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E805BAF3-9AFF-446A-A54F-5480D66233B6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8FA25614-52C6-42E8-AD06-C603667A5C8E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1E796143-41F5-453C-AD79-3164BF3E4CF4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80E58AFD-6174-48EB-B528-D77B27248F05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AAC31B14-E9AB-4954-81A4-719FE6BC8E7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AFF6E941-E5BB-4B4E-8AF9-446F6C1DE798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FF06B33D-DB7C-4555-8E66-0E2602A19BFB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FD778AF9-4BDD-4681-B798-3966CA5CEC45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3E660800-F5F6-4546-9FE1-4EAB4821516E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387F4595-415A-4687-8DDB-DB00A72B38E6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AA831E1D-DBBD-432D-B6CD-A1CD31EB9FF9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AC80EE59-4D1C-4B77-B6B7-5B1BAB4D26A5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E318AAF6-FC03-4F6C-91F1-F1D5026B72D2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F36A298F-AD11-4F77-AE43-2C02B767387D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FFADB3AE-952C-4FF7-B3D3-D0C32AFDC587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80C29F5-6C4F-4B80-931E-9C5C87E94F5E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BD93149A-A9EB-446A-9925-786B6FCBDC2A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E0399207-7079-4F1B-B75E-20AFF39D8622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16043F3E-5F11-4C48-AFC2-7F413207B1E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F63BE78C-62D7-42F2-9881-F1121CEBAF70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15CD2D70-76CC-4B88-A592-BE4E25090414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10F22BF-FA23-4A6C-A2EE-0D977F33036B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CE3F5F3E-8B07-495B-86C2-26887165B317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AF19257E-9AA8-403B-9172-A35705D460CE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7278D0EC-9A9F-460B-8217-406B038CF06A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CA840FCC-16D5-4594-90CC-217AEB4C0EBC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11196D21-6A7D-4635-A428-16E070BAD0DB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A5D466B-D0C9-4825-94E2-FD8DFC9DC880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80D8B5D8-4AB0-4ACF-963D-B68EF83A2057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3170E1A3-E40B-4AE9-9FD0-7E554681382B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1274138-D0EA-419F-B88F-ABEC469E73F8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6688F9B-AB5E-403E-93C1-E41132AE646E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111940E-2112-4956-847B-A2ED3A1E1AC0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F46B07C-A275-48D4-A9DC-CF3AD7382FD2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D4E254F4-F3DB-4668-8571-4A6B7671A8F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029CEFD-04D1-4734-BC1D-05344EA2BB19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91719352-C9D2-4D6E-918C-03AC39CB07ED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9DB2B561-AD5E-4F80-8519-8D332CE6C8D7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CCE6B9E-66CB-4265-9974-25EFE8AADD81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89590514-5815-4DC2-BE45-9F894EFC49B4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534C4615-7FD9-4ED5-B96B-89502E28B20C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101C790-2FB9-4A01-A90C-BF29C347D54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A388CF05-CAFD-459F-AAC2-B680191E15BD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37323D57-36E7-490C-B1ED-D70C8605E48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1A5CC071-CAAD-4DA0-B22D-00D334782468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D62E6437-6F63-46CC-8C13-CA5A55B9B5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F36AF00A-EB9A-4EF2-8B24-92A69E89A0C4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488033AE-EB4D-429E-9A7B-42F733402086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FAB845D0-DCA5-4524-82F9-35B48566EFB2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C171DF9F-D9EF-4A29-B7AB-E8DC766CABE0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A5241EDA-9127-4400-811D-3F2D93FA29E0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CE268F6-8BEE-4795-96DD-C6EDB5CB0F09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43E81A-A723-465C-A3CD-D7DA4FBCB8E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02161E62-045A-4E2E-93CA-71F72811FB46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CFDDAE2A-0A7A-4E67-B77A-28004BC50B67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8F529C68-7A84-413B-8F02-E52AB4BD1E6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89B2DF1-76A3-4107-B97B-B24316F116D8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AFC201-DAAD-4AA2-A8DF-057B93A97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FD67C187-1838-4225-BC72-2038E1CE5DA5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6A843641-4BD0-4737-AC64-8A22FF1B07B7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7BBE356-8F87-46D8-9144-A182A78D741A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52DD0E6-7DAE-449B-B7D1-AB7C746E435A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D7AFBE3-736F-4434-90E4-FA79137BB47E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F741F822-C407-41F0-A787-0C97C6CB09BD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7F12A58-2844-4E4B-9E4F-5022EC2CB9BD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868E4771-58AD-4FC2-9E01-163C058B5007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BA2BC18C-C16B-4C95-B9CF-72749051E06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E75A6E1-F32D-4EC8-A095-4A37D4D2B725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581590C9-B0C4-48C1-A967-C704D5256589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1FF4D9E1-ED13-4252-922D-4AAA80974424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1A887D3D-9D20-4621-B431-094FFCA8B71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97B0A6EE-0308-449A-9CB0-0D78F44CF50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1860F384-9CE7-4FFC-A0BB-FE746D45126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71DD8763-2C19-4387-A3E9-1F2992248E4D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A6252E78-AA3F-49CA-9FAA-A66A1172C456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601221C9-61BF-4728-ABC9-2B4D84BE33F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4E7DBA44-9261-4EAB-AA62-4FC606AD9BE4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FF945459-17AE-4E69-BEAB-4581EE31E1F3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5046597D-CF85-49B8-9ABF-B8FFE2796B51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2135561-6E79-4F4A-9200-6CB4CE627C7B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2CBAEC-94DE-44A4-90D9-75D043B1AE38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CC304DAC-31AE-4CDC-B963-026649DE5E37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0273B68-7FD7-450A-B958-F14C6B72384E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42E7B59-254A-4BE3-80C9-C1340B8A385C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54859E-6F92-4429-8560-7EBBCA9D0756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EDC2BAE8-247B-42E6-94C4-F27FF1BD1F83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D06ABA5A-995E-4319-A626-B090AC2A21CA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BD4EA642-1E16-45C2-A931-EB3EBCCD494B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90941B5E-A36C-44B6-B41A-00BE60C1820F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2AC6B606-9966-4316-AC06-087573A57E28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EB0EC3B-0F1A-4753-80B6-A337811F0FD1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D058BD1-E2A3-44DE-96B2-5E849DAE68F4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43A53697-19DC-4E45-B57C-12B49C156561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387B8644-6187-476D-9457-69B8B17269B2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8AA4DFC1-2A22-4E78-A511-77D2B0A8CA45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1CF2573B-5A55-4435-A273-18B5CC4ACF7E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BFAFE256-9922-4B86-825F-529F8F245978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3C0B030-C6A7-4BB5-86D9-AE6088BC1A38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2E0F7D7-CE7F-4135-8F14-DD4931FD4E79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3317DD28-B94E-4C6A-89AB-CF00850A8AFA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EB635C1-65F4-4E6E-9286-A26C5298FDE4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A6E4BBC4-AF1B-410E-9DAF-4006430D7FAD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7777940B-EC5E-488A-9620-2419B4D866AE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37BE6E29-95DE-49EF-829D-55C6307F1C5D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FFF34248-7853-4A19-AE38-03A8EA60961C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D5DF7118-FD99-41C4-8E0C-2BDF5D9286FC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306DC7CE-B5C6-4CD6-8B30-415E1A7B87C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6688EC7-326A-473E-8660-AC73F59D7D66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B534B2E-0F4D-41DD-A5A4-0C1CB5B2D0D4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D0E61BA1-0ED7-4E51-BA25-316936C0A524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5196D2F6-2024-4465-A40F-7C622CDFBAC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9CA8A47C-F993-4517-B968-E4CFE1AB8D6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1DB349C9-38F9-4AA9-8A25-D5C091154A26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EBBDA60-D930-4088-8F1F-4C3C1D444341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2C069627-1CDB-4014-A9DF-539B19EBA7C7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B17DD808-DCCA-44E7-B3AB-38EACD1B24A8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9ED02128-1789-407A-8F7F-BD6EFAFA7098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6D1DE4F5-E435-4525-BB98-8B1774781CE8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6D75BAE7-71B2-429E-9AB1-AE4B0802E6F8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72890BF8-5123-4B80-A777-08F18EF74B3B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5CDCB5D3-3333-4BD0-970B-F1135BD05EE5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859EA7F9-3C7F-4B0F-8DA8-8FC538CF64FE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4B8D2CBE-2138-422A-936D-B061DD58F390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B294AD24-2156-4858-BFD7-1B99C9F8E0EE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CF0757BA-F148-4998-B292-1CEFD08D749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6D871741-0EB7-4412-BEA8-928B49494F2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DBC1DAA8-5958-4CC8-99CF-7E5B86C39F9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F076F190-4479-4217-A161-5FBF61424D4F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FA45DF4D-24B1-4242-8292-E095E1F6022E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7D22CB1-F2DE-45D9-8543-F0368A11F194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AFC201-DAAD-4AA2-A8DF-057B93A97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FD67C187-1838-4225-BC72-2038E1CE5DA5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6A843641-4BD0-4737-AC64-8A22FF1B07B7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7BBE356-8F87-46D8-9144-A182A78D741A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52DD0E6-7DAE-449B-B7D1-AB7C746E435A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D7AFBE3-736F-4434-90E4-FA79137BB47E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F741F822-C407-41F0-A787-0C97C6CB09BD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7F12A58-2844-4E4B-9E4F-5022EC2CB9BD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868E4771-58AD-4FC2-9E01-163C058B5007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BA2BC18C-C16B-4C95-B9CF-72749051E06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E75A6E1-F32D-4EC8-A095-4A37D4D2B725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581590C9-B0C4-48C1-A967-C704D5256589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1FF4D9E1-ED13-4252-922D-4AAA80974424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1A887D3D-9D20-4621-B431-094FFCA8B71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97B0A6EE-0308-449A-9CB0-0D78F44CF50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1860F384-9CE7-4FFC-A0BB-FE746D45126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71DD8763-2C19-4387-A3E9-1F2992248E4D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A6252E78-AA3F-49CA-9FAA-A66A1172C456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601221C9-61BF-4728-ABC9-2B4D84BE33F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4E7DBA44-9261-4EAB-AA62-4FC606AD9BE4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FF945459-17AE-4E69-BEAB-4581EE31E1F3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5046597D-CF85-49B8-9ABF-B8FFE2796B51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2135561-6E79-4F4A-9200-6CB4CE627C7B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2CBAEC-94DE-44A4-90D9-75D043B1AE38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CC304DAC-31AE-4CDC-B963-026649DE5E37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0273B68-7FD7-450A-B958-F14C6B72384E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42E7B59-254A-4BE3-80C9-C1340B8A385C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54859E-6F92-4429-8560-7EBBCA9D0756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EDC2BAE8-247B-42E6-94C4-F27FF1BD1F83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D06ABA5A-995E-4319-A626-B090AC2A21CA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BD4EA642-1E16-45C2-A931-EB3EBCCD494B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90941B5E-A36C-44B6-B41A-00BE60C1820F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2AC6B606-9966-4316-AC06-087573A57E28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EB0EC3B-0F1A-4753-80B6-A337811F0FD1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D058BD1-E2A3-44DE-96B2-5E849DAE68F4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43A53697-19DC-4E45-B57C-12B49C156561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387B8644-6187-476D-9457-69B8B17269B2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8AA4DFC1-2A22-4E78-A511-77D2B0A8CA45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1CF2573B-5A55-4435-A273-18B5CC4ACF7E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BFAFE256-9922-4B86-825F-529F8F245978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3C0B030-C6A7-4BB5-86D9-AE6088BC1A38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2E0F7D7-CE7F-4135-8F14-DD4931FD4E79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3317DD28-B94E-4C6A-89AB-CF00850A8AFA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EB635C1-65F4-4E6E-9286-A26C5298FDE4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A6E4BBC4-AF1B-410E-9DAF-4006430D7FAD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7777940B-EC5E-488A-9620-2419B4D866AE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37BE6E29-95DE-49EF-829D-55C6307F1C5D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FFF34248-7853-4A19-AE38-03A8EA60961C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D5DF7118-FD99-41C4-8E0C-2BDF5D9286FC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306DC7CE-B5C6-4CD6-8B30-415E1A7B87C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6688EC7-326A-473E-8660-AC73F59D7D66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B534B2E-0F4D-41DD-A5A4-0C1CB5B2D0D4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D0E61BA1-0ED7-4E51-BA25-316936C0A524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5196D2F6-2024-4465-A40F-7C622CDFBAC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9CA8A47C-F993-4517-B968-E4CFE1AB8D6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1DB349C9-38F9-4AA9-8A25-D5C091154A26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EBBDA60-D930-4088-8F1F-4C3C1D444341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2C069627-1CDB-4014-A9DF-539B19EBA7C7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B17DD808-DCCA-44E7-B3AB-38EACD1B24A8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9ED02128-1789-407A-8F7F-BD6EFAFA7098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6D1DE4F5-E435-4525-BB98-8B1774781CE8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6D75BAE7-71B2-429E-9AB1-AE4B0802E6F8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72890BF8-5123-4B80-A777-08F18EF74B3B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5CDCB5D3-3333-4BD0-970B-F1135BD05EE5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859EA7F9-3C7F-4B0F-8DA8-8FC538CF64FE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4B8D2CBE-2138-422A-936D-B061DD58F390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B294AD24-2156-4858-BFD7-1B99C9F8E0EE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CF0757BA-F148-4998-B292-1CEFD08D749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6D871741-0EB7-4412-BEA8-928B49494F2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DBC1DAA8-5958-4CC8-99CF-7E5B86C39F9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F076F190-4479-4217-A161-5FBF61424D4F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FA45DF4D-24B1-4242-8292-E095E1F6022E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7D22CB1-F2DE-45D9-8543-F0368A11F194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85C244-D123-46C8-8F8F-9E1F196B2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AFFCA7C-FCAB-42DE-975D-5B29DB86C46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2F687C-0032-4EA0-9E18-480D0612AD78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62169C02-2DC0-40D9-824F-43125AEE710E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5709FB6-22DE-4886-8F18-199477DE8E4B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3B06816D-0AC6-45A5-A604-EBC0855196CF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4A3A325-4EB5-48A3-9C4C-C769F2AE7E3C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0EC05B5-4373-46BD-9ADF-B32782B21628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15D2A2C-B552-4489-A732-784C16E11801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761CC946-8CD1-423F-843B-EAA1C528AD8D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5926ABC7-7813-4AEF-BD7D-CFDA81FA1996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6E2B9CC6-FC8E-4772-900E-DEA5EA37F8C8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DAFA450D-8752-4563-84C8-78DB50F23219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A17012B-5572-44DB-A4E7-D1161902D77D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674306CC-2EF9-43A1-AF72-A8C8820F95FD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FB48FE5C-8221-4A0C-9E8A-8A2EBB3EFA02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14720C8B-486A-4D8E-8836-47FE5348BAB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D6C96104-7663-4EFB-BB5C-2E1E8E1DD014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6E7F5F36-F022-4EDD-B8C1-301B11B9FFE3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9E69C536-4BFE-4BC3-851D-607DA2582AA3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D43DA56A-758B-45F8-B25F-880284730EEE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FF33482B-F268-418B-82EB-16495C2A0C4D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73B05E1-FC62-4DF4-BEF2-B2D4FF3D1E64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14A680A7-051F-49EF-9F06-EC6863ACB137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FBB6D01-9A64-43B4-9D01-65FA0FBC4F95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5D86A139-AA84-46B7-A63A-61818763405D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ED85C1C2-FC57-4205-A917-03FC90B47F6C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C2DB5D9-B4A2-44AC-A22D-7FFCC594E412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469801A8-0174-4D96-BB89-73128AAA3038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988DAE2F-0D34-4762-B69C-A28FE1BF732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122E3D4B-819F-4D35-B5E4-05708EE9520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ABE3D6A0-5CF0-44BC-B1B1-65063584147B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1B88638-F766-4DE0-9762-7CA53CCE128E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ABE78C4-0602-460F-9D79-A2CDE8F4FF2B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5F28AC69-7E89-4245-BD35-0BF3F125316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1FA3B77A-98A4-474B-85EC-98B5F4E458F8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8F1B1ECC-0D97-4E13-8E1F-C2D7CD7DC5D8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1D41E884-633E-4DBB-B4C3-CE08805DB749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234822B3-6686-4DE7-B66D-8D473EA674FA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14E7DDC-2430-46AE-AD17-563E9CE974CE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2A063EB6-10C7-40F3-BB1E-2619AE0EE19A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AF6E5C8-2A3A-411B-B80E-40BB315388F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209DEC7A-2AEA-4E7D-A1A8-CDC00F2DEBA3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1E691EC5-7B49-4242-84B1-7B7801C6C47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910A4D5D-5374-4938-849D-DF412CFB01B7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2C6E4507-A10D-421C-B937-490FE4700306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309C3EBB-C655-4950-BCE6-F95D75A83575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FE2CA16E-2E15-4844-BADC-A54BA84910A0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768EB730-4713-42FE-AAF4-EC1D4CA6285B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83986BB-7CB7-4763-94EB-BEDD65EE4B6B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8B52FEB6-F993-4155-A7E2-86B992F8CD80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1BA4F6CA-7BB7-46E2-BDB0-E1868726BB76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EE9AED4C-CD8D-430A-A310-3E11723EFD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BB26CE6-2CDB-44B3-9416-9B7F59081714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9E1FAF02-6D5B-4593-A68B-A5899B123A67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F5A05179-E2BE-4305-A927-6EBF859D20A8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D88E0BC4-5DB5-4C0D-A901-F089C68585C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6659B386-877A-47FD-A011-CADEA528C839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8D982EB6-0A6C-4AC6-A7CB-FB3E1BBD001B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E140C170-7E1A-4535-A1D8-B6ED0B73321A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72EF480-31C8-49DA-B1F8-A7FDA1051FD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79D86262-FCD5-4999-AAC3-38771C50E247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1C5BD32E-83DD-4804-B7D8-FA47C0976394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AA18E053-29E7-4A7F-8880-0EE1D57F002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7DFA459-8A48-410E-A1CC-C81E172FB3BF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6D0747FB-FCC0-4799-AC42-8AD0A57A5002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EB44A9F3-653E-4B17-A49F-EFF835513D4E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1251E083-594D-49E7-962E-AB867A57F907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453E4B6-9296-4D1C-8A63-0FDC42880D49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B0A6A618-CB18-4945-8FD8-672BBDCD9DF1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F9137CD0-E136-4CA4-AE46-C375F1D94CA3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1F6901F8-18A4-4541-8E2A-A4901B3137C5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93913759-62C4-4F3F-AECE-F36204AB063E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3E86699E-4140-4145-8A42-B8FD82359CA3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7E56137C-AD3C-45A4-A38A-D4FAD9BD4B3D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6FC1ACE7-397A-46E7-8AC3-868CE0FF0FF7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DF62FDC2-F9EF-4346-9652-28C37A614A5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84B592AF-5185-41A2-9046-07BD0DBEB21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84AAD06-43C0-4574-93B5-D3D030319B8E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6F315DB9-1013-4EEE-AC21-03536021A977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16ECDE1D-282F-4504-B6D9-DB19DDF85E52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EFDF3892-66BF-449C-BC28-AE435D6B09CF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49AE5E3C-2280-4B07-8E16-6D928765ACB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492A8024-1876-4C5B-8FA1-9156585A23FC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8DFEF50A-EB62-4BE7-9CF1-F6F118CB2C3C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E33946B9-F19F-43F6-8755-971A83924AF7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19D2ADBC-0086-4F0C-80D4-734BE781D92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E12FB290-6AEE-44E0-BDE1-3EEDA604DC51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3AC91525-1834-4DEA-AF85-07026F8357D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1FDE025-E7B9-4ABC-8A04-271F25793250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8E07AF0A-0C28-4D0A-80C3-6BCE4C24E464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85CFF263-B44A-4F93-9D0B-74CA71DD58EE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23733B76-9FC6-4B1C-BB13-0509670C788D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4EB7E8-9DB7-460D-86AB-DE1B69F46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F70ABC3-1B5B-4D05-9A54-9A789F22061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D6AB61A-BCC7-4F4E-9F63-C946BB07559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44CBF97-D060-4BF2-8FE0-97F2E0335BA3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4A73052-6816-4F45-B1AE-515B2D7FDA4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343AB76-A541-4238-B259-67B43E39497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2A86F08-CB6B-477D-BE6E-19602221057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15B0F79-EEE5-47D8-AA9E-872BDC94D3BF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5291DB0-9BCB-4CA5-8168-3BF5B8B4D70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BD504D1-4048-4B40-8181-79BFE65CEA9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CB6BBD7-0C98-4C0D-B9B1-E938AD7D80DE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0959628-CC63-475D-97A7-5428756325B1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56AE3BA-6CB0-4EDF-86FD-18951A8B01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48D2C93-959C-44EE-B608-DBBD30F8CB9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D25935-836B-4FD9-A9E0-492CAA82530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2CB76B7-49B8-43E2-9BA1-54C6A76D370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85EFA72-83E3-40C5-B3C1-5AC8B485C89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D919903-B03C-4677-8F7E-23F79B71C83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44533E5-68D3-4E4A-9169-ED4BDB0AFE9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75A533C-8CA1-4D67-A7DA-0F5D601865BA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8DF40E3-E436-45A9-8B71-3EF76101DDF5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2BF49A51-D5E5-4277-9B7E-0FBE7BB00DE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F615566-CCAF-4402-9887-D6292FE6277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A4776A9-6E63-4402-89D1-E5D0BC5D122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ED296D4-1758-4779-9D1D-B108502BA74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1E2A88CE-4BB7-4962-870D-045A8413B4B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BAD4130-9A3E-46A3-AE9A-6BAEDA6B7B0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BDAEC16-F2D8-49D0-967D-2142B3F5644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161461D-BDB4-46ED-AC48-634861364C3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B8D9BB9-B430-44B2-84A5-A134FAE93A66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ECB1F93-F876-4087-BF1F-6BC3F2ABFEE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C95B31A-83FF-4129-AE38-FBB563F1476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9BFCD43A-A6E6-44A6-84B6-723AEB2096F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50DF150-5285-4E8D-9B9F-D79A0FAB1005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F6B8C24-D0A2-47E8-8520-210E05BD60A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03BAFC7-A892-4E08-A133-D0F376970BA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35A9A58-DBC1-4F56-9745-D53FB1A8D7F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C397155-593E-4135-A43E-2A03C966BC6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D0F290C-9093-4C6F-A12C-18A694685B49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85AA841-54CA-4DEB-A3BC-7E9C99C2117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38C3A0C-2AE1-4612-AB72-E906551CB96F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7A40E8F2-56E0-4E2B-9C28-9624C3C4F538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662FF2F-B3AE-4E0B-9B1B-0B96BF8283F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FB1F010-6ADB-4397-BB64-3D67ACE36D60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44862F7-5547-4140-BD49-4855CE2E90F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C6EE10C-C8DF-4377-B732-A120DC129039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A5C9D08-7E19-4DA6-B65F-C1508CA91B5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D3A3ADA-C246-4896-99ED-921C9B4F4DF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8C29903-BEF7-45B4-84AD-230D411057B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0C0567A-2ACF-4B1A-99DC-A2DC20164DE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0B67FF3-55B8-47F3-B9A6-970E137B7F36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E901860-281C-4EEA-BD88-7B633A37F1A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F3D243D-AC56-4F02-B29F-CC197E8BD467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15D336C-4060-448F-9222-6642727F069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C68B4FA-076E-446D-99FF-0C4B3E0C3B4D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2142B62-F16C-4C55-98B3-62E42C37CC1B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A56C43E-E056-457D-9D59-A0B75BDCFBCA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CB7AE20-A5DA-490D-80B0-EC0C573D03A7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9F6AF35-81DA-440C-B71A-C34E76C9B6A0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71FBB60-A553-4EF7-AF32-9F9363683C7C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F16C4D9-DF1E-4029-BB48-A20DC6AF61EC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0C807D27-9828-4A02-A509-EE2ED77B031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9A102DF9-F1D0-4E8A-8905-365D1B4C389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4CCECAD6-7F3E-47D6-AE24-2F771A94D3A0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BC5BB64-272B-4846-901A-A7147F1FA15B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69DB026B-CEDC-4A28-9C69-2265A9D472BF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1059341-3968-4CBF-A35D-F75B90434548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C9FFD23-1EC7-4C06-90DA-28D430609EDD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4515515-B48E-42DA-A39C-229B98F55D99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EAC83368-048E-4706-ACE0-6CC3AC2A9656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B63F6686-B6C5-49D5-B53E-22955BBB4059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CEA845C8-9798-4E10-BFBC-290057F5232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8BB168CF-BF78-40B2-B189-2AF44BA4F44B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4EB7E8-9DB7-460D-86AB-DE1B69F46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F70ABC3-1B5B-4D05-9A54-9A789F22061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D6AB61A-BCC7-4F4E-9F63-C946BB07559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44CBF97-D060-4BF2-8FE0-97F2E0335BA3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4A73052-6816-4F45-B1AE-515B2D7FDA4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343AB76-A541-4238-B259-67B43E39497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2A86F08-CB6B-477D-BE6E-19602221057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15B0F79-EEE5-47D8-AA9E-872BDC94D3BF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5291DB0-9BCB-4CA5-8168-3BF5B8B4D70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BD504D1-4048-4B40-8181-79BFE65CEA9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CB6BBD7-0C98-4C0D-B9B1-E938AD7D80DE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0959628-CC63-475D-97A7-5428756325B1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56AE3BA-6CB0-4EDF-86FD-18951A8B01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48D2C93-959C-44EE-B608-DBBD30F8CB9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D25935-836B-4FD9-A9E0-492CAA82530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2CB76B7-49B8-43E2-9BA1-54C6A76D370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85EFA72-83E3-40C5-B3C1-5AC8B485C89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D919903-B03C-4677-8F7E-23F79B71C83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44533E5-68D3-4E4A-9169-ED4BDB0AFE9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75A533C-8CA1-4D67-A7DA-0F5D601865BA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8DF40E3-E436-45A9-8B71-3EF76101DDF5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2BF49A51-D5E5-4277-9B7E-0FBE7BB00DE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F615566-CCAF-4402-9887-D6292FE6277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A4776A9-6E63-4402-89D1-E5D0BC5D122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ED296D4-1758-4779-9D1D-B108502BA74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1E2A88CE-4BB7-4962-870D-045A8413B4B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BAD4130-9A3E-46A3-AE9A-6BAEDA6B7B0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BDAEC16-F2D8-49D0-967D-2142B3F5644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161461D-BDB4-46ED-AC48-634861364C3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B8D9BB9-B430-44B2-84A5-A134FAE93A66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ECB1F93-F876-4087-BF1F-6BC3F2ABFEE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C95B31A-83FF-4129-AE38-FBB563F1476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9BFCD43A-A6E6-44A6-84B6-723AEB2096F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50DF150-5285-4E8D-9B9F-D79A0FAB1005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F6B8C24-D0A2-47E8-8520-210E05BD60A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03BAFC7-A892-4E08-A133-D0F376970BA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35A9A58-DBC1-4F56-9745-D53FB1A8D7F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C397155-593E-4135-A43E-2A03C966BC6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D0F290C-9093-4C6F-A12C-18A694685B49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85AA841-54CA-4DEB-A3BC-7E9C99C2117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38C3A0C-2AE1-4612-AB72-E906551CB96F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7A40E8F2-56E0-4E2B-9C28-9624C3C4F538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662FF2F-B3AE-4E0B-9B1B-0B96BF8283F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FB1F010-6ADB-4397-BB64-3D67ACE36D60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44862F7-5547-4140-BD49-4855CE2E90F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C6EE10C-C8DF-4377-B732-A120DC129039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A5C9D08-7E19-4DA6-B65F-C1508CA91B5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D3A3ADA-C246-4896-99ED-921C9B4F4DF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8C29903-BEF7-45B4-84AD-230D411057B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0C0567A-2ACF-4B1A-99DC-A2DC20164DE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0B67FF3-55B8-47F3-B9A6-970E137B7F36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E901860-281C-4EEA-BD88-7B633A37F1A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F3D243D-AC56-4F02-B29F-CC197E8BD467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15D336C-4060-448F-9222-6642727F069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C68B4FA-076E-446D-99FF-0C4B3E0C3B4D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2142B62-F16C-4C55-98B3-62E42C37CC1B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A56C43E-E056-457D-9D59-A0B75BDCFBCA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CB7AE20-A5DA-490D-80B0-EC0C573D03A7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9F6AF35-81DA-440C-B71A-C34E76C9B6A0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71FBB60-A553-4EF7-AF32-9F9363683C7C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F16C4D9-DF1E-4029-BB48-A20DC6AF61EC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0C807D27-9828-4A02-A509-EE2ED77B031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9A102DF9-F1D0-4E8A-8905-365D1B4C389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4CCECAD6-7F3E-47D6-AE24-2F771A94D3A0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BC5BB64-272B-4846-901A-A7147F1FA15B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69DB026B-CEDC-4A28-9C69-2265A9D472BF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1059341-3968-4CBF-A35D-F75B90434548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C9FFD23-1EC7-4C06-90DA-28D430609EDD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4515515-B48E-42DA-A39C-229B98F55D99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EAC83368-048E-4706-ACE0-6CC3AC2A9656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B63F6686-B6C5-49D5-B53E-22955BBB4059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CEA845C8-9798-4E10-BFBC-290057F5232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8BB168CF-BF78-40B2-B189-2AF44BA4F44B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4EB7E8-9DB7-460D-86AB-DE1B69F46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F70ABC3-1B5B-4D05-9A54-9A789F22061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D6AB61A-BCC7-4F4E-9F63-C946BB07559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44CBF97-D060-4BF2-8FE0-97F2E0335BA3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4A73052-6816-4F45-B1AE-515B2D7FDA4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343AB76-A541-4238-B259-67B43E39497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2A86F08-CB6B-477D-BE6E-19602221057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15B0F79-EEE5-47D8-AA9E-872BDC94D3BF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5291DB0-9BCB-4CA5-8168-3BF5B8B4D70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BD504D1-4048-4B40-8181-79BFE65CEA9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CB6BBD7-0C98-4C0D-B9B1-E938AD7D80DE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0959628-CC63-475D-97A7-5428756325B1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56AE3BA-6CB0-4EDF-86FD-18951A8B01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48D2C93-959C-44EE-B608-DBBD30F8CB9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D25935-836B-4FD9-A9E0-492CAA82530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2CB76B7-49B8-43E2-9BA1-54C6A76D370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85EFA72-83E3-40C5-B3C1-5AC8B485C89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D919903-B03C-4677-8F7E-23F79B71C83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44533E5-68D3-4E4A-9169-ED4BDB0AFE9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75A533C-8CA1-4D67-A7DA-0F5D601865BA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8DF40E3-E436-45A9-8B71-3EF76101DDF5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2BF49A51-D5E5-4277-9B7E-0FBE7BB00DE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F615566-CCAF-4402-9887-D6292FE6277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A4776A9-6E63-4402-89D1-E5D0BC5D122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ED296D4-1758-4779-9D1D-B108502BA74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1E2A88CE-4BB7-4962-870D-045A8413B4B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BAD4130-9A3E-46A3-AE9A-6BAEDA6B7B0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BDAEC16-F2D8-49D0-967D-2142B3F5644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161461D-BDB4-46ED-AC48-634861364C3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B8D9BB9-B430-44B2-84A5-A134FAE93A66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ECB1F93-F876-4087-BF1F-6BC3F2ABFEE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C95B31A-83FF-4129-AE38-FBB563F1476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9BFCD43A-A6E6-44A6-84B6-723AEB2096F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50DF150-5285-4E8D-9B9F-D79A0FAB1005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F6B8C24-D0A2-47E8-8520-210E05BD60A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03BAFC7-A892-4E08-A133-D0F376970BA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35A9A58-DBC1-4F56-9745-D53FB1A8D7F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C397155-593E-4135-A43E-2A03C966BC6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D0F290C-9093-4C6F-A12C-18A694685B49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85AA841-54CA-4DEB-A3BC-7E9C99C2117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38C3A0C-2AE1-4612-AB72-E906551CB96F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7A40E8F2-56E0-4E2B-9C28-9624C3C4F538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662FF2F-B3AE-4E0B-9B1B-0B96BF8283F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FB1F010-6ADB-4397-BB64-3D67ACE36D60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44862F7-5547-4140-BD49-4855CE2E90F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C6EE10C-C8DF-4377-B732-A120DC129039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A5C9D08-7E19-4DA6-B65F-C1508CA91B5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D3A3ADA-C246-4896-99ED-921C9B4F4DF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8C29903-BEF7-45B4-84AD-230D411057B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0C0567A-2ACF-4B1A-99DC-A2DC20164DE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0B67FF3-55B8-47F3-B9A6-970E137B7F36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E901860-281C-4EEA-BD88-7B633A37F1A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F3D243D-AC56-4F02-B29F-CC197E8BD467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15D336C-4060-448F-9222-6642727F069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C68B4FA-076E-446D-99FF-0C4B3E0C3B4D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2142B62-F16C-4C55-98B3-62E42C37CC1B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A56C43E-E056-457D-9D59-A0B75BDCFBCA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CB7AE20-A5DA-490D-80B0-EC0C573D03A7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9F6AF35-81DA-440C-B71A-C34E76C9B6A0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71FBB60-A553-4EF7-AF32-9F9363683C7C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F16C4D9-DF1E-4029-BB48-A20DC6AF61EC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0C807D27-9828-4A02-A509-EE2ED77B031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9A102DF9-F1D0-4E8A-8905-365D1B4C389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4CCECAD6-7F3E-47D6-AE24-2F771A94D3A0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BC5BB64-272B-4846-901A-A7147F1FA15B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69DB026B-CEDC-4A28-9C69-2265A9D472BF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1059341-3968-4CBF-A35D-F75B90434548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C9FFD23-1EC7-4C06-90DA-28D430609EDD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4515515-B48E-42DA-A39C-229B98F55D99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EAC83368-048E-4706-ACE0-6CC3AC2A9656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B63F6686-B6C5-49D5-B53E-22955BBB4059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CEA845C8-9798-4E10-BFBC-290057F5232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8BB168CF-BF78-40B2-B189-2AF44BA4F44B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4EB7E8-9DB7-460D-86AB-DE1B69F46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F70ABC3-1B5B-4D05-9A54-9A789F22061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D6AB61A-BCC7-4F4E-9F63-C946BB07559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44CBF97-D060-4BF2-8FE0-97F2E0335BA3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4A73052-6816-4F45-B1AE-515B2D7FDA4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343AB76-A541-4238-B259-67B43E39497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2A86F08-CB6B-477D-BE6E-19602221057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15B0F79-EEE5-47D8-AA9E-872BDC94D3BF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5291DB0-9BCB-4CA5-8168-3BF5B8B4D70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BD504D1-4048-4B40-8181-79BFE65CEA9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CB6BBD7-0C98-4C0D-B9B1-E938AD7D80DE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0959628-CC63-475D-97A7-5428756325B1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56AE3BA-6CB0-4EDF-86FD-18951A8B01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48D2C93-959C-44EE-B608-DBBD30F8CB9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D25935-836B-4FD9-A9E0-492CAA82530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2CB76B7-49B8-43E2-9BA1-54C6A76D370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85EFA72-83E3-40C5-B3C1-5AC8B485C89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D919903-B03C-4677-8F7E-23F79B71C83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44533E5-68D3-4E4A-9169-ED4BDB0AFE9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75A533C-8CA1-4D67-A7DA-0F5D601865BA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8DF40E3-E436-45A9-8B71-3EF76101DDF5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2BF49A51-D5E5-4277-9B7E-0FBE7BB00DE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F615566-CCAF-4402-9887-D6292FE6277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A4776A9-6E63-4402-89D1-E5D0BC5D122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ED296D4-1758-4779-9D1D-B108502BA74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1E2A88CE-4BB7-4962-870D-045A8413B4B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BAD4130-9A3E-46A3-AE9A-6BAEDA6B7B0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BDAEC16-F2D8-49D0-967D-2142B3F5644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161461D-BDB4-46ED-AC48-634861364C3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B8D9BB9-B430-44B2-84A5-A134FAE93A66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ECB1F93-F876-4087-BF1F-6BC3F2ABFEE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C95B31A-83FF-4129-AE38-FBB563F1476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9BFCD43A-A6E6-44A6-84B6-723AEB2096F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50DF150-5285-4E8D-9B9F-D79A0FAB1005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F6B8C24-D0A2-47E8-8520-210E05BD60A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03BAFC7-A892-4E08-A133-D0F376970BA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35A9A58-DBC1-4F56-9745-D53FB1A8D7F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C397155-593E-4135-A43E-2A03C966BC6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D0F290C-9093-4C6F-A12C-18A694685B49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85AA841-54CA-4DEB-A3BC-7E9C99C2117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38C3A0C-2AE1-4612-AB72-E906551CB96F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7A40E8F2-56E0-4E2B-9C28-9624C3C4F538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662FF2F-B3AE-4E0B-9B1B-0B96BF8283F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FB1F010-6ADB-4397-BB64-3D67ACE36D60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44862F7-5547-4140-BD49-4855CE2E90F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C6EE10C-C8DF-4377-B732-A120DC129039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A5C9D08-7E19-4DA6-B65F-C1508CA91B5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D3A3ADA-C246-4896-99ED-921C9B4F4DF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8C29903-BEF7-45B4-84AD-230D411057B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0C0567A-2ACF-4B1A-99DC-A2DC20164DE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0B67FF3-55B8-47F3-B9A6-970E137B7F36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E901860-281C-4EEA-BD88-7B633A37F1A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F3D243D-AC56-4F02-B29F-CC197E8BD467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15D336C-4060-448F-9222-6642727F069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C68B4FA-076E-446D-99FF-0C4B3E0C3B4D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2142B62-F16C-4C55-98B3-62E42C37CC1B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A56C43E-E056-457D-9D59-A0B75BDCFBCA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CB7AE20-A5DA-490D-80B0-EC0C573D03A7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9F6AF35-81DA-440C-B71A-C34E76C9B6A0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71FBB60-A553-4EF7-AF32-9F9363683C7C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F16C4D9-DF1E-4029-BB48-A20DC6AF61EC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0C807D27-9828-4A02-A509-EE2ED77B031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9A102DF9-F1D0-4E8A-8905-365D1B4C389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4CCECAD6-7F3E-47D6-AE24-2F771A94D3A0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BC5BB64-272B-4846-901A-A7147F1FA15B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69DB026B-CEDC-4A28-9C69-2265A9D472BF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1059341-3968-4CBF-A35D-F75B90434548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C9FFD23-1EC7-4C06-90DA-28D430609EDD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4515515-B48E-42DA-A39C-229B98F55D99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EAC83368-048E-4706-ACE0-6CC3AC2A9656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B63F6686-B6C5-49D5-B53E-22955BBB4059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CEA845C8-9798-4E10-BFBC-290057F5232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8BB168CF-BF78-40B2-B189-2AF44BA4F44B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4EB7E8-9DB7-460D-86AB-DE1B69F46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F70ABC3-1B5B-4D05-9A54-9A789F22061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D6AB61A-BCC7-4F4E-9F63-C946BB07559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44CBF97-D060-4BF2-8FE0-97F2E0335BA3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4A73052-6816-4F45-B1AE-515B2D7FDA4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343AB76-A541-4238-B259-67B43E39497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2A86F08-CB6B-477D-BE6E-196022210575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15B0F79-EEE5-47D8-AA9E-872BDC94D3BF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5291DB0-9BCB-4CA5-8168-3BF5B8B4D70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3BD504D1-4048-4B40-8181-79BFE65CEA9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CB6BBD7-0C98-4C0D-B9B1-E938AD7D80DE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0959628-CC63-475D-97A7-5428756325B1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56AE3BA-6CB0-4EDF-86FD-18951A8B01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48D2C93-959C-44EE-B608-DBBD30F8CB9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D25935-836B-4FD9-A9E0-492CAA82530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2CB76B7-49B8-43E2-9BA1-54C6A76D370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85EFA72-83E3-40C5-B3C1-5AC8B485C89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D919903-B03C-4677-8F7E-23F79B71C83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44533E5-68D3-4E4A-9169-ED4BDB0AFE9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75A533C-8CA1-4D67-A7DA-0F5D601865BA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8DF40E3-E436-45A9-8B71-3EF76101DDF5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2BF49A51-D5E5-4277-9B7E-0FBE7BB00DE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CF615566-CCAF-4402-9887-D6292FE6277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A4776A9-6E63-4402-89D1-E5D0BC5D122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ED296D4-1758-4779-9D1D-B108502BA74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1E2A88CE-4BB7-4962-870D-045A8413B4B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BAD4130-9A3E-46A3-AE9A-6BAEDA6B7B0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BDAEC16-F2D8-49D0-967D-2142B3F5644A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161461D-BDB4-46ED-AC48-634861364C3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B8D9BB9-B430-44B2-84A5-A134FAE93A66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ECB1F93-F876-4087-BF1F-6BC3F2ABFEE8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C95B31A-83FF-4129-AE38-FBB563F14764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9BFCD43A-A6E6-44A6-84B6-723AEB2096F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50DF150-5285-4E8D-9B9F-D79A0FAB1005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F6B8C24-D0A2-47E8-8520-210E05BD60A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03BAFC7-A892-4E08-A133-D0F376970BA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35A9A58-DBC1-4F56-9745-D53FB1A8D7F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C397155-593E-4135-A43E-2A03C966BC64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D0F290C-9093-4C6F-A12C-18A694685B49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85AA841-54CA-4DEB-A3BC-7E9C99C2117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38C3A0C-2AE1-4612-AB72-E906551CB96F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7A40E8F2-56E0-4E2B-9C28-9624C3C4F538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662FF2F-B3AE-4E0B-9B1B-0B96BF8283FE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6FB1F010-6ADB-4397-BB64-3D67ACE36D60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44862F7-5547-4140-BD49-4855CE2E90F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C6EE10C-C8DF-4377-B732-A120DC129039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A5C9D08-7E19-4DA6-B65F-C1508CA91B59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D3A3ADA-C246-4896-99ED-921C9B4F4DF4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8C29903-BEF7-45B4-84AD-230D411057B6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0C0567A-2ACF-4B1A-99DC-A2DC20164DEC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0B67FF3-55B8-47F3-B9A6-970E137B7F36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E901860-281C-4EEA-BD88-7B633A37F1AE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F3D243D-AC56-4F02-B29F-CC197E8BD467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15D336C-4060-448F-9222-6642727F069E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C68B4FA-076E-446D-99FF-0C4B3E0C3B4D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2142B62-F16C-4C55-98B3-62E42C37CC1B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A56C43E-E056-457D-9D59-A0B75BDCFBCA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CB7AE20-A5DA-490D-80B0-EC0C573D03A7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9F6AF35-81DA-440C-B71A-C34E76C9B6A0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71FBB60-A553-4EF7-AF32-9F9363683C7C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F16C4D9-DF1E-4029-BB48-A20DC6AF61EC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0C807D27-9828-4A02-A509-EE2ED77B031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9A102DF9-F1D0-4E8A-8905-365D1B4C389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4CCECAD6-7F3E-47D6-AE24-2F771A94D3A0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1BC5BB64-272B-4846-901A-A7147F1FA15B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69DB026B-CEDC-4A28-9C69-2265A9D472BF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1059341-3968-4CBF-A35D-F75B90434548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C9FFD23-1EC7-4C06-90DA-28D430609EDD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4515515-B48E-42DA-A39C-229B98F55D99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EAC83368-048E-4706-ACE0-6CC3AC2A9656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B63F6686-B6C5-49D5-B53E-22955BBB4059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CEA845C8-9798-4E10-BFBC-290057F5232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8BB168CF-BF78-40B2-B189-2AF44BA4F44B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B26" sqref="B26:B34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45748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14" t="s">
        <v>18</v>
      </c>
      <c r="E10" s="15"/>
      <c r="F10" s="16" t="s">
        <v>19</v>
      </c>
      <c r="G10" s="17" t="s">
        <v>19</v>
      </c>
      <c r="H10" s="18" t="s">
        <v>19</v>
      </c>
      <c r="I10" s="18" t="s">
        <v>19</v>
      </c>
      <c r="J10" s="17"/>
      <c r="K10" s="17" t="s">
        <v>19</v>
      </c>
      <c r="L10" s="18" t="s">
        <v>19</v>
      </c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71</v>
      </c>
      <c r="G11" s="20">
        <v>71.900000000000006</v>
      </c>
      <c r="H11" s="21"/>
      <c r="I11" s="21">
        <v>76</v>
      </c>
      <c r="J11" s="20"/>
      <c r="K11" s="20">
        <v>74</v>
      </c>
      <c r="L11" s="21"/>
      <c r="M11" s="21">
        <v>69.7</v>
      </c>
      <c r="N11" s="20">
        <v>77.3</v>
      </c>
      <c r="O11" s="20">
        <v>76.5</v>
      </c>
      <c r="P11" s="21"/>
      <c r="Q11" s="21">
        <v>75.2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0.1</v>
      </c>
      <c r="G12" s="20">
        <v>0</v>
      </c>
      <c r="H12" s="21"/>
      <c r="I12" s="21">
        <v>0</v>
      </c>
      <c r="J12" s="20"/>
      <c r="K12" s="20">
        <v>0</v>
      </c>
      <c r="L12" s="21"/>
      <c r="M12" s="21">
        <v>0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66.900000000000006</v>
      </c>
      <c r="G13" s="20">
        <v>66.400000000000006</v>
      </c>
      <c r="H13" s="21"/>
      <c r="I13" s="21">
        <v>71.3</v>
      </c>
      <c r="J13" s="20"/>
      <c r="K13" s="20">
        <v>69.099999999999994</v>
      </c>
      <c r="L13" s="21"/>
      <c r="M13" s="21">
        <v>65.3</v>
      </c>
      <c r="N13" s="20">
        <v>73.2</v>
      </c>
      <c r="O13" s="20">
        <v>71.599999999999994</v>
      </c>
      <c r="P13" s="21"/>
      <c r="Q13" s="21">
        <v>69.7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62.9</v>
      </c>
      <c r="G14" s="20">
        <v>67.8</v>
      </c>
      <c r="H14" s="21"/>
      <c r="I14" s="21">
        <v>70.599999999999994</v>
      </c>
      <c r="J14" s="20"/>
      <c r="K14" s="20">
        <v>63.8</v>
      </c>
      <c r="L14" s="21"/>
      <c r="M14" s="21">
        <v>65.2</v>
      </c>
      <c r="N14" s="20">
        <v>69.2</v>
      </c>
      <c r="O14" s="20">
        <v>74.2</v>
      </c>
      <c r="P14" s="21"/>
      <c r="Q14" s="21">
        <v>73.400000000000006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37.9</v>
      </c>
      <c r="G15" s="20">
        <v>37.299999999999997</v>
      </c>
      <c r="H15" s="21"/>
      <c r="I15" s="21">
        <v>52.2</v>
      </c>
      <c r="J15" s="20"/>
      <c r="K15" s="20">
        <v>38.200000000000003</v>
      </c>
      <c r="L15" s="21"/>
      <c r="M15" s="21">
        <v>32.1</v>
      </c>
      <c r="N15" s="20">
        <v>54.6</v>
      </c>
      <c r="O15" s="20">
        <v>53.5</v>
      </c>
      <c r="P15" s="21"/>
      <c r="Q15" s="21">
        <v>42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0"/>
      <c r="I16" s="20">
        <v>6.6</v>
      </c>
      <c r="J16" s="20"/>
      <c r="K16" s="20">
        <v>6.6</v>
      </c>
      <c r="L16" s="20"/>
      <c r="M16" s="20">
        <v>6.6</v>
      </c>
      <c r="N16" s="20">
        <v>6.6</v>
      </c>
      <c r="O16" s="20">
        <v>6.6</v>
      </c>
      <c r="P16" s="20"/>
      <c r="Q16" s="20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>
        <v>116.9</v>
      </c>
      <c r="G17" s="20">
        <v>117.5</v>
      </c>
      <c r="H17" s="21"/>
      <c r="I17" s="21">
        <v>115.6</v>
      </c>
      <c r="J17" s="20"/>
      <c r="K17" s="20">
        <v>116.4</v>
      </c>
      <c r="L17" s="21"/>
      <c r="M17" s="21">
        <v>112.3</v>
      </c>
      <c r="N17" s="20">
        <v>118.3</v>
      </c>
      <c r="O17" s="20">
        <v>118.3</v>
      </c>
      <c r="P17" s="21"/>
      <c r="Q17" s="21">
        <v>118.5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>
        <v>1139</v>
      </c>
      <c r="G18" s="20">
        <v>1158</v>
      </c>
      <c r="H18" s="21"/>
      <c r="I18" s="21">
        <v>1171</v>
      </c>
      <c r="J18" s="20"/>
      <c r="K18" s="20">
        <v>1182</v>
      </c>
      <c r="L18" s="21"/>
      <c r="M18" s="21">
        <v>1140</v>
      </c>
      <c r="N18" s="20">
        <v>1202</v>
      </c>
      <c r="O18" s="20">
        <v>1202</v>
      </c>
      <c r="P18" s="21"/>
      <c r="Q18" s="21">
        <v>1205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>
        <v>49728.5</v>
      </c>
      <c r="G19" s="20">
        <v>49721.3</v>
      </c>
      <c r="H19" s="21"/>
      <c r="I19" s="21">
        <v>50996.4</v>
      </c>
      <c r="J19" s="20"/>
      <c r="K19" s="20">
        <v>48658</v>
      </c>
      <c r="L19" s="21"/>
      <c r="M19" s="21">
        <v>51039.1</v>
      </c>
      <c r="N19" s="20">
        <v>50216.4</v>
      </c>
      <c r="O19" s="20">
        <v>50207.5</v>
      </c>
      <c r="P19" s="21"/>
      <c r="Q19" s="21">
        <v>50357.4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>
        <v>58.2</v>
      </c>
      <c r="G22" s="20">
        <v>59</v>
      </c>
      <c r="H22" s="21"/>
      <c r="I22" s="21">
        <v>58.9</v>
      </c>
      <c r="J22" s="20"/>
      <c r="K22" s="20">
        <v>57.8</v>
      </c>
      <c r="L22" s="21"/>
      <c r="M22" s="21">
        <v>57.2</v>
      </c>
      <c r="N22" s="20">
        <v>58.6</v>
      </c>
      <c r="O22" s="20">
        <v>58.5</v>
      </c>
      <c r="P22" s="21"/>
      <c r="Q22" s="21">
        <v>59.2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>
        <v>0.52</v>
      </c>
      <c r="G23" s="20">
        <v>0.52</v>
      </c>
      <c r="H23" s="21"/>
      <c r="I23" s="21">
        <v>0.49</v>
      </c>
      <c r="J23" s="20"/>
      <c r="K23" s="20">
        <v>0.59</v>
      </c>
      <c r="L23" s="21"/>
      <c r="M23" s="21">
        <v>0.52</v>
      </c>
      <c r="N23" s="20">
        <v>0.47</v>
      </c>
      <c r="O23" s="20">
        <v>0.47</v>
      </c>
      <c r="P23" s="21"/>
      <c r="Q23" s="21">
        <v>0.5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>
        <v>44.9</v>
      </c>
      <c r="G25" s="20">
        <v>45</v>
      </c>
      <c r="H25" s="21"/>
      <c r="I25" s="21">
        <v>45.2</v>
      </c>
      <c r="J25" s="20"/>
      <c r="K25" s="20">
        <v>44.8</v>
      </c>
      <c r="L25" s="21"/>
      <c r="M25" s="21">
        <v>45.2</v>
      </c>
      <c r="N25" s="20">
        <v>44.9</v>
      </c>
      <c r="O25" s="20">
        <v>45.1</v>
      </c>
      <c r="P25" s="21"/>
      <c r="Q25" s="21">
        <v>44.9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>
        <v>0.22</v>
      </c>
      <c r="G26" s="20">
        <v>0.23</v>
      </c>
      <c r="H26" s="21"/>
      <c r="I26" s="21">
        <v>0.22</v>
      </c>
      <c r="J26" s="20"/>
      <c r="K26" s="20">
        <v>0.23</v>
      </c>
      <c r="L26" s="21"/>
      <c r="M26" s="21">
        <v>0.22</v>
      </c>
      <c r="N26" s="20">
        <v>0.22</v>
      </c>
      <c r="O26" s="20">
        <v>0.22</v>
      </c>
      <c r="P26" s="21"/>
      <c r="Q26" s="21">
        <v>0.23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>
        <v>3.8</v>
      </c>
      <c r="G27" s="20">
        <v>4.4000000000000004</v>
      </c>
      <c r="H27" s="21"/>
      <c r="I27" s="21">
        <v>3.5</v>
      </c>
      <c r="J27" s="20"/>
      <c r="K27" s="20">
        <v>4.2</v>
      </c>
      <c r="L27" s="21"/>
      <c r="M27" s="21">
        <v>3.7</v>
      </c>
      <c r="N27" s="20">
        <v>4</v>
      </c>
      <c r="O27" s="20">
        <v>4.0999999999999996</v>
      </c>
      <c r="P27" s="21"/>
      <c r="Q27" s="21">
        <v>4.8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>
        <v>3.3</v>
      </c>
      <c r="G28" s="20">
        <v>3.8</v>
      </c>
      <c r="H28" s="21"/>
      <c r="I28" s="21">
        <v>2.7</v>
      </c>
      <c r="J28" s="20"/>
      <c r="K28" s="20">
        <v>3.5</v>
      </c>
      <c r="L28" s="21"/>
      <c r="M28" s="21">
        <v>2.7</v>
      </c>
      <c r="N28" s="20">
        <v>2.8</v>
      </c>
      <c r="O28" s="20">
        <v>3.3</v>
      </c>
      <c r="P28" s="21"/>
      <c r="Q28" s="21">
        <v>3.7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1</v>
      </c>
      <c r="G29" s="27">
        <f>G32-G28</f>
        <v>1</v>
      </c>
      <c r="H29" s="27">
        <f t="shared" ref="H29:Q29" si="0">H32-H28</f>
        <v>0</v>
      </c>
      <c r="I29" s="27">
        <f t="shared" si="0"/>
        <v>2.0999999999999996</v>
      </c>
      <c r="J29" s="27">
        <f t="shared" si="0"/>
        <v>0</v>
      </c>
      <c r="K29" s="27">
        <f t="shared" si="0"/>
        <v>0.70000000000000018</v>
      </c>
      <c r="L29" s="27">
        <f>L32-L28</f>
        <v>0</v>
      </c>
      <c r="M29" s="27">
        <f>M32-M28</f>
        <v>1.0999999999999996</v>
      </c>
      <c r="N29" s="27">
        <f>N32-N28</f>
        <v>1.2999999999999998</v>
      </c>
      <c r="O29" s="27">
        <f>O32-O28</f>
        <v>1.1000000000000005</v>
      </c>
      <c r="P29" s="27">
        <f t="shared" si="0"/>
        <v>0</v>
      </c>
      <c r="Q29" s="27">
        <f t="shared" si="0"/>
        <v>1.0999999999999996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>
        <v>701.5</v>
      </c>
      <c r="G30" s="20">
        <v>673</v>
      </c>
      <c r="H30" s="21"/>
      <c r="I30" s="21">
        <v>652.6</v>
      </c>
      <c r="J30" s="20"/>
      <c r="K30" s="20">
        <v>634.29999999999995</v>
      </c>
      <c r="L30" s="21"/>
      <c r="M30" s="21">
        <v>643.29999999999995</v>
      </c>
      <c r="N30" s="20">
        <v>684.7</v>
      </c>
      <c r="O30" s="20">
        <v>652.79999999999995</v>
      </c>
      <c r="P30" s="21"/>
      <c r="Q30" s="21">
        <v>643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>
        <v>12.6</v>
      </c>
      <c r="G31" s="20">
        <v>13.4</v>
      </c>
      <c r="H31" s="21"/>
      <c r="I31" s="21">
        <v>13.6</v>
      </c>
      <c r="J31" s="20"/>
      <c r="K31" s="20">
        <v>13.4</v>
      </c>
      <c r="L31" s="21"/>
      <c r="M31" s="21">
        <v>12.8</v>
      </c>
      <c r="N31" s="20">
        <v>12.6</v>
      </c>
      <c r="O31" s="20">
        <v>13.6</v>
      </c>
      <c r="P31" s="21"/>
      <c r="Q31" s="21">
        <v>13.4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>
        <v>4.3</v>
      </c>
      <c r="G32" s="20">
        <v>4.8</v>
      </c>
      <c r="H32" s="21"/>
      <c r="I32" s="21">
        <v>4.8</v>
      </c>
      <c r="J32" s="20"/>
      <c r="K32" s="20">
        <v>4.2</v>
      </c>
      <c r="L32" s="21"/>
      <c r="M32" s="21">
        <v>3.8</v>
      </c>
      <c r="N32" s="20">
        <v>4.0999999999999996</v>
      </c>
      <c r="O32" s="20">
        <v>4.4000000000000004</v>
      </c>
      <c r="P32" s="21"/>
      <c r="Q32" s="21">
        <v>4.8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8.3000000000000007</v>
      </c>
      <c r="G33" s="27">
        <f>G31-G32</f>
        <v>8.6000000000000014</v>
      </c>
      <c r="H33" s="27">
        <f t="shared" ref="H33:Q33" si="1">H31-H32</f>
        <v>0</v>
      </c>
      <c r="I33" s="27">
        <f t="shared" si="1"/>
        <v>8.8000000000000007</v>
      </c>
      <c r="J33" s="27">
        <f t="shared" si="1"/>
        <v>0</v>
      </c>
      <c r="K33" s="27">
        <f t="shared" si="1"/>
        <v>9.1999999999999993</v>
      </c>
      <c r="L33" s="27">
        <f>L31-L32</f>
        <v>0</v>
      </c>
      <c r="M33" s="27">
        <f>M31-M32</f>
        <v>9</v>
      </c>
      <c r="N33" s="27">
        <f>N31-N32</f>
        <v>8.5</v>
      </c>
      <c r="O33" s="27">
        <f>O31-O32</f>
        <v>9.1999999999999993</v>
      </c>
      <c r="P33" s="27">
        <f t="shared" si="1"/>
        <v>0</v>
      </c>
      <c r="Q33" s="27">
        <f t="shared" si="1"/>
        <v>8.6000000000000014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6723.3833718244814</v>
      </c>
      <c r="G34" s="28">
        <f>(G33*G30)/0.866</f>
        <v>6683.3718244803713</v>
      </c>
      <c r="H34" s="28">
        <f t="shared" ref="H34:Q34" si="2">(H33*H30)/0.866</f>
        <v>0</v>
      </c>
      <c r="I34" s="28">
        <f t="shared" si="2"/>
        <v>6631.501154734412</v>
      </c>
      <c r="J34" s="28">
        <f t="shared" si="2"/>
        <v>0</v>
      </c>
      <c r="K34" s="28">
        <f t="shared" si="2"/>
        <v>6738.52193995381</v>
      </c>
      <c r="L34" s="28">
        <f>(L33*L30)/0.866</f>
        <v>0</v>
      </c>
      <c r="M34" s="28">
        <f>(M33*M30)/0.866</f>
        <v>6685.5658198614319</v>
      </c>
      <c r="N34" s="28">
        <f>(N33*N30)/0.866</f>
        <v>6720.4965357967676</v>
      </c>
      <c r="O34" s="28">
        <f>(O33*O30)/0.866</f>
        <v>6935.0577367205533</v>
      </c>
      <c r="P34" s="28">
        <f t="shared" si="2"/>
        <v>0</v>
      </c>
      <c r="Q34" s="28">
        <f t="shared" si="2"/>
        <v>6385.4503464203244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>
        <v>0.81</v>
      </c>
      <c r="G35" s="20">
        <v>0.82</v>
      </c>
      <c r="H35" s="21"/>
      <c r="I35" s="21">
        <v>0.84</v>
      </c>
      <c r="J35" s="20"/>
      <c r="K35" s="20">
        <v>0.82</v>
      </c>
      <c r="L35" s="21"/>
      <c r="M35" s="21">
        <v>0.81</v>
      </c>
      <c r="N35" s="20">
        <v>0.8</v>
      </c>
      <c r="O35" s="20">
        <v>0.82</v>
      </c>
      <c r="P35" s="21"/>
      <c r="Q35" s="21">
        <v>0.83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>
        <v>35.700000000000003</v>
      </c>
      <c r="G36" s="20">
        <v>36</v>
      </c>
      <c r="H36" s="21"/>
      <c r="I36" s="21">
        <v>36.200000000000003</v>
      </c>
      <c r="J36" s="20"/>
      <c r="K36" s="20">
        <v>36</v>
      </c>
      <c r="L36" s="21"/>
      <c r="M36" s="21">
        <v>35.700000000000003</v>
      </c>
      <c r="N36" s="20">
        <v>35.5</v>
      </c>
      <c r="O36" s="20">
        <v>35.299999999999997</v>
      </c>
      <c r="P36" s="21"/>
      <c r="Q36" s="21">
        <v>36.299999999999997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>
        <v>36.200000000000003</v>
      </c>
      <c r="G37" s="20">
        <v>36.4</v>
      </c>
      <c r="H37" s="21"/>
      <c r="I37" s="21">
        <v>37.200000000000003</v>
      </c>
      <c r="J37" s="20"/>
      <c r="K37" s="20">
        <v>36.700000000000003</v>
      </c>
      <c r="L37" s="21"/>
      <c r="M37" s="21">
        <v>36.200000000000003</v>
      </c>
      <c r="N37" s="20">
        <v>35.9</v>
      </c>
      <c r="O37" s="20">
        <v>35.700000000000003</v>
      </c>
      <c r="P37" s="21"/>
      <c r="Q37" s="21">
        <v>37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2.1000000000000014</v>
      </c>
      <c r="G38" s="27">
        <f>G37-G41</f>
        <v>2.1000000000000014</v>
      </c>
      <c r="H38" s="27">
        <v>1</v>
      </c>
      <c r="I38" s="27">
        <f t="shared" ref="I38:Q38" si="3">I37-I41</f>
        <v>3.8000000000000043</v>
      </c>
      <c r="J38" s="27">
        <f t="shared" si="3"/>
        <v>0</v>
      </c>
      <c r="K38" s="27">
        <f t="shared" si="3"/>
        <v>2.4000000000000057</v>
      </c>
      <c r="L38" s="27">
        <f>L37-L41</f>
        <v>0</v>
      </c>
      <c r="M38" s="27">
        <f>M37-M41</f>
        <v>2.5</v>
      </c>
      <c r="N38" s="27">
        <f>N37-N41</f>
        <v>1.6999999999999957</v>
      </c>
      <c r="O38" s="27">
        <f>O37-O41</f>
        <v>1.6000000000000014</v>
      </c>
      <c r="P38" s="27">
        <f t="shared" si="3"/>
        <v>0</v>
      </c>
      <c r="Q38" s="27">
        <f t="shared" si="3"/>
        <v>3.1000000000000014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>
        <v>28.5</v>
      </c>
      <c r="G40" s="20">
        <v>28</v>
      </c>
      <c r="H40" s="21"/>
      <c r="I40" s="21">
        <v>28.2</v>
      </c>
      <c r="J40" s="20"/>
      <c r="K40" s="20">
        <v>28.3</v>
      </c>
      <c r="L40" s="21"/>
      <c r="M40" s="21">
        <v>28.2</v>
      </c>
      <c r="N40" s="20">
        <v>28.7</v>
      </c>
      <c r="O40" s="20">
        <v>28</v>
      </c>
      <c r="P40" s="21"/>
      <c r="Q40" s="21">
        <v>27.9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>
        <v>34.1</v>
      </c>
      <c r="G41" s="20">
        <v>34.299999999999997</v>
      </c>
      <c r="H41" s="21"/>
      <c r="I41" s="21">
        <v>33.4</v>
      </c>
      <c r="J41" s="20"/>
      <c r="K41" s="20">
        <v>34.299999999999997</v>
      </c>
      <c r="L41" s="21"/>
      <c r="M41" s="21">
        <v>33.700000000000003</v>
      </c>
      <c r="N41" s="20">
        <v>34.200000000000003</v>
      </c>
      <c r="O41" s="20">
        <v>34.1</v>
      </c>
      <c r="P41" s="21"/>
      <c r="Q41" s="21">
        <v>33.9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5.6000000000000014</v>
      </c>
      <c r="G42" s="27">
        <f>G41-G40</f>
        <v>6.2999999999999972</v>
      </c>
      <c r="H42" s="27">
        <f t="shared" ref="H42:Q42" si="4">H41-H40</f>
        <v>0</v>
      </c>
      <c r="I42" s="27">
        <f t="shared" si="4"/>
        <v>5.1999999999999993</v>
      </c>
      <c r="J42" s="27">
        <f t="shared" si="4"/>
        <v>0</v>
      </c>
      <c r="K42" s="27">
        <f t="shared" si="4"/>
        <v>5.9999999999999964</v>
      </c>
      <c r="L42" s="27">
        <f>L41-L40</f>
        <v>0</v>
      </c>
      <c r="M42" s="27">
        <f>M41-M40</f>
        <v>5.5000000000000036</v>
      </c>
      <c r="N42" s="27">
        <f>N41-N40</f>
        <v>5.5000000000000036</v>
      </c>
      <c r="O42" s="27">
        <f>O41-O40</f>
        <v>6.1000000000000014</v>
      </c>
      <c r="P42" s="27">
        <f t="shared" si="4"/>
        <v>0</v>
      </c>
      <c r="Q42" s="27">
        <f t="shared" si="4"/>
        <v>6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>
        <v>1259.2</v>
      </c>
      <c r="G43" s="20">
        <v>1155.8</v>
      </c>
      <c r="H43" s="21"/>
      <c r="I43" s="21">
        <v>1149.9000000000001</v>
      </c>
      <c r="J43" s="20"/>
      <c r="K43" s="20">
        <v>1177.2</v>
      </c>
      <c r="L43" s="21"/>
      <c r="M43" s="20">
        <v>1151.4000000000001</v>
      </c>
      <c r="N43" s="20">
        <v>1271.8</v>
      </c>
      <c r="O43" s="20">
        <v>1138.5999999999999</v>
      </c>
      <c r="P43" s="21"/>
      <c r="Q43" s="21">
        <v>1165.7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8142.6327944572777</v>
      </c>
      <c r="G44" s="28">
        <f>G42*G43/0.866</f>
        <v>8408.2448036951464</v>
      </c>
      <c r="H44" s="28">
        <f t="shared" ref="H44:Q44" si="5">H42*H43/0.866</f>
        <v>0</v>
      </c>
      <c r="I44" s="28">
        <f t="shared" si="5"/>
        <v>6904.7113163972281</v>
      </c>
      <c r="J44" s="28">
        <f t="shared" si="5"/>
        <v>0</v>
      </c>
      <c r="K44" s="28">
        <f t="shared" si="5"/>
        <v>8156.1200923787483</v>
      </c>
      <c r="L44" s="28">
        <f>L42*L43/0.866</f>
        <v>0</v>
      </c>
      <c r="M44" s="28">
        <f>M42*M43/0.866</f>
        <v>7312.5866050808363</v>
      </c>
      <c r="N44" s="28">
        <f>N42*N43/0.866</f>
        <v>8077.2517321016212</v>
      </c>
      <c r="O44" s="28">
        <f>O42*O43/0.866</f>
        <v>8020.1616628175534</v>
      </c>
      <c r="P44" s="28">
        <f t="shared" si="5"/>
        <v>0</v>
      </c>
      <c r="Q44" s="28">
        <f t="shared" si="5"/>
        <v>8076.4434180138578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>
        <v>0.46</v>
      </c>
      <c r="G45" s="20">
        <v>0.47</v>
      </c>
      <c r="H45" s="21"/>
      <c r="I45" s="21">
        <v>0.46</v>
      </c>
      <c r="J45" s="20"/>
      <c r="K45" s="20">
        <v>0.46</v>
      </c>
      <c r="L45" s="21"/>
      <c r="M45" s="21">
        <v>0.46</v>
      </c>
      <c r="N45" s="20">
        <v>0.45</v>
      </c>
      <c r="O45" s="20">
        <v>0.45</v>
      </c>
      <c r="P45" s="21"/>
      <c r="Q45" s="21">
        <v>0.47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>
        <v>19.5</v>
      </c>
      <c r="G46" s="20">
        <v>19.899999999999999</v>
      </c>
      <c r="H46" s="21"/>
      <c r="I46" s="21">
        <v>19.399999999999999</v>
      </c>
      <c r="J46" s="20"/>
      <c r="K46" s="20">
        <v>19.600000000000001</v>
      </c>
      <c r="L46" s="21"/>
      <c r="M46" s="21">
        <v>19.5</v>
      </c>
      <c r="N46" s="20">
        <v>18.7</v>
      </c>
      <c r="O46" s="20">
        <v>19.100000000000001</v>
      </c>
      <c r="P46" s="21"/>
      <c r="Q46" s="21">
        <v>20.100000000000001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>
        <v>193.1</v>
      </c>
      <c r="G47" s="20">
        <v>196.9</v>
      </c>
      <c r="H47" s="21"/>
      <c r="I47" s="21">
        <v>120.4</v>
      </c>
      <c r="J47" s="20"/>
      <c r="K47" s="20">
        <v>205</v>
      </c>
      <c r="L47" s="21"/>
      <c r="M47" s="21">
        <v>195.4</v>
      </c>
      <c r="N47" s="20">
        <v>155.30000000000001</v>
      </c>
      <c r="O47" s="20">
        <v>159.9</v>
      </c>
      <c r="P47" s="21"/>
      <c r="Q47" s="21">
        <v>195.5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14">
        <v>5.89</v>
      </c>
      <c r="F49" s="20">
        <v>5.85</v>
      </c>
      <c r="G49" s="20">
        <v>5.6</v>
      </c>
      <c r="H49" s="21"/>
      <c r="I49" s="21">
        <v>5.5</v>
      </c>
      <c r="J49" s="20"/>
      <c r="K49" s="20">
        <v>5.72</v>
      </c>
      <c r="L49" s="21"/>
      <c r="M49" s="21">
        <v>5.72</v>
      </c>
      <c r="N49" s="20">
        <v>5.25</v>
      </c>
      <c r="O49" s="20">
        <v>5.64</v>
      </c>
      <c r="P49" s="21"/>
      <c r="Q49" s="21">
        <v>5.26</v>
      </c>
    </row>
    <row r="50" spans="2:17" ht="20.100000000000001" customHeight="1">
      <c r="B50" s="92" t="s">
        <v>91</v>
      </c>
      <c r="C50" s="92"/>
      <c r="D50" s="92"/>
      <c r="E50" s="14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30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H25" sqref="H25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45749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36" t="s">
        <v>18</v>
      </c>
      <c r="E10" s="15"/>
      <c r="F10" s="16"/>
      <c r="G10" s="17" t="s">
        <v>19</v>
      </c>
      <c r="H10" s="18" t="s">
        <v>19</v>
      </c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6"/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71.5</v>
      </c>
      <c r="H11" s="21"/>
      <c r="I11" s="21">
        <v>83.1</v>
      </c>
      <c r="J11" s="20">
        <v>72</v>
      </c>
      <c r="K11" s="20">
        <v>74.7</v>
      </c>
      <c r="L11" s="21">
        <v>78</v>
      </c>
      <c r="M11" s="21">
        <v>74</v>
      </c>
      <c r="N11" s="20"/>
      <c r="O11" s="20">
        <v>77.3</v>
      </c>
      <c r="P11" s="21"/>
      <c r="Q11" s="21">
        <v>75.599999999999994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0.8</v>
      </c>
      <c r="H12" s="21"/>
      <c r="I12" s="21">
        <v>0</v>
      </c>
      <c r="J12" s="20">
        <v>0</v>
      </c>
      <c r="K12" s="20">
        <v>0</v>
      </c>
      <c r="L12" s="21">
        <v>0</v>
      </c>
      <c r="M12" s="21">
        <v>0</v>
      </c>
      <c r="N12" s="20"/>
      <c r="O12" s="20">
        <v>0.2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66</v>
      </c>
      <c r="H13" s="21"/>
      <c r="I13" s="21">
        <v>79</v>
      </c>
      <c r="J13" s="20">
        <v>69</v>
      </c>
      <c r="K13" s="20">
        <v>71.099999999999994</v>
      </c>
      <c r="L13" s="21">
        <v>73.3</v>
      </c>
      <c r="M13" s="21">
        <v>69.599999999999994</v>
      </c>
      <c r="N13" s="20"/>
      <c r="O13" s="20">
        <v>73.2</v>
      </c>
      <c r="P13" s="21"/>
      <c r="Q13" s="21">
        <v>70.5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68.099999999999994</v>
      </c>
      <c r="H14" s="21"/>
      <c r="I14" s="21">
        <v>69.3</v>
      </c>
      <c r="J14" s="20">
        <v>62</v>
      </c>
      <c r="K14" s="20">
        <v>64.400000000000006</v>
      </c>
      <c r="L14" s="21">
        <v>64.8</v>
      </c>
      <c r="M14" s="21">
        <v>66.2</v>
      </c>
      <c r="N14" s="20"/>
      <c r="O14" s="20">
        <v>75.099999999999994</v>
      </c>
      <c r="P14" s="21"/>
      <c r="Q14" s="21">
        <v>73.3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38</v>
      </c>
      <c r="H15" s="21"/>
      <c r="I15" s="21">
        <v>52.5</v>
      </c>
      <c r="J15" s="20">
        <v>39.6</v>
      </c>
      <c r="K15" s="20">
        <v>40.9</v>
      </c>
      <c r="L15" s="21">
        <v>73.3</v>
      </c>
      <c r="M15" s="21">
        <v>33.9</v>
      </c>
      <c r="N15" s="20"/>
      <c r="O15" s="20">
        <v>55.9</v>
      </c>
      <c r="P15" s="21"/>
      <c r="Q15" s="21">
        <v>45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0"/>
      <c r="I16" s="20">
        <v>6.6</v>
      </c>
      <c r="J16" s="20">
        <v>6.6</v>
      </c>
      <c r="K16" s="20">
        <v>6.6</v>
      </c>
      <c r="L16" s="20">
        <v>6.6</v>
      </c>
      <c r="M16" s="20">
        <v>6.6</v>
      </c>
      <c r="N16" s="20"/>
      <c r="O16" s="20">
        <v>6.6</v>
      </c>
      <c r="P16" s="20"/>
      <c r="Q16" s="20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/>
      <c r="G17" s="20">
        <v>118.5</v>
      </c>
      <c r="H17" s="21"/>
      <c r="I17" s="21">
        <v>120</v>
      </c>
      <c r="J17" s="20">
        <v>116.7</v>
      </c>
      <c r="K17" s="20">
        <v>118.7</v>
      </c>
      <c r="L17" s="21">
        <v>120.5</v>
      </c>
      <c r="M17" s="21">
        <v>116.6</v>
      </c>
      <c r="N17" s="20"/>
      <c r="O17" s="20">
        <v>119.9</v>
      </c>
      <c r="P17" s="21"/>
      <c r="Q17" s="21">
        <v>119.7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/>
      <c r="G18" s="20">
        <v>1164</v>
      </c>
      <c r="H18" s="21"/>
      <c r="I18" s="21">
        <v>1210</v>
      </c>
      <c r="J18" s="20">
        <v>1179</v>
      </c>
      <c r="K18" s="20">
        <v>1197</v>
      </c>
      <c r="L18" s="21">
        <v>1216</v>
      </c>
      <c r="M18" s="21">
        <v>1177</v>
      </c>
      <c r="N18" s="20"/>
      <c r="O18" s="20">
        <v>1213</v>
      </c>
      <c r="P18" s="21"/>
      <c r="Q18" s="21">
        <v>1206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49738.2</v>
      </c>
      <c r="H19" s="21"/>
      <c r="I19" s="21">
        <v>51004.3</v>
      </c>
      <c r="J19" s="20">
        <v>48675.6</v>
      </c>
      <c r="K19" s="20">
        <v>48665.1</v>
      </c>
      <c r="L19" s="21">
        <v>51058.1</v>
      </c>
      <c r="M19" s="21">
        <v>51047.6</v>
      </c>
      <c r="N19" s="20"/>
      <c r="O19" s="20">
        <v>50226.7</v>
      </c>
      <c r="P19" s="21"/>
      <c r="Q19" s="21">
        <v>50365.8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/>
      <c r="G22" s="20">
        <v>58.4</v>
      </c>
      <c r="H22" s="21"/>
      <c r="I22" s="21">
        <v>59.4</v>
      </c>
      <c r="J22" s="20">
        <v>57.8</v>
      </c>
      <c r="K22" s="20">
        <v>57.8</v>
      </c>
      <c r="L22" s="21">
        <v>57.5</v>
      </c>
      <c r="M22" s="21">
        <v>57.3</v>
      </c>
      <c r="N22" s="20"/>
      <c r="O22" s="20">
        <v>58.5</v>
      </c>
      <c r="P22" s="21"/>
      <c r="Q22" s="21">
        <v>58.9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0.49</v>
      </c>
      <c r="J23" s="20">
        <v>0.59</v>
      </c>
      <c r="K23" s="20">
        <v>0.57999999999999996</v>
      </c>
      <c r="L23" s="21">
        <v>0.52</v>
      </c>
      <c r="M23" s="21">
        <v>0.52</v>
      </c>
      <c r="N23" s="20"/>
      <c r="O23" s="20">
        <v>0.48</v>
      </c>
      <c r="P23" s="21"/>
      <c r="Q23" s="21">
        <v>0.49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/>
      <c r="G25" s="20">
        <v>45</v>
      </c>
      <c r="H25" s="21"/>
      <c r="I25" s="21">
        <v>45</v>
      </c>
      <c r="J25" s="20">
        <v>44.9</v>
      </c>
      <c r="K25" s="20">
        <v>45</v>
      </c>
      <c r="L25" s="21">
        <v>44.8</v>
      </c>
      <c r="M25" s="21">
        <v>45.1</v>
      </c>
      <c r="N25" s="20"/>
      <c r="O25" s="20">
        <v>45.1</v>
      </c>
      <c r="P25" s="21"/>
      <c r="Q25" s="21">
        <v>45.2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0.21</v>
      </c>
      <c r="J26" s="20">
        <v>0.22</v>
      </c>
      <c r="K26" s="20">
        <v>0.22</v>
      </c>
      <c r="L26" s="21">
        <v>0.22</v>
      </c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/>
      <c r="G27" s="20">
        <v>4.4000000000000004</v>
      </c>
      <c r="H27" s="21"/>
      <c r="I27" s="21">
        <v>3.2</v>
      </c>
      <c r="J27" s="20">
        <v>4.3</v>
      </c>
      <c r="K27" s="20">
        <v>4</v>
      </c>
      <c r="L27" s="21">
        <v>4.0999999999999996</v>
      </c>
      <c r="M27" s="21">
        <v>3.8</v>
      </c>
      <c r="N27" s="20"/>
      <c r="O27" s="20">
        <v>4</v>
      </c>
      <c r="P27" s="21"/>
      <c r="Q27" s="21">
        <v>4.5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/>
      <c r="G28" s="20">
        <v>3.8</v>
      </c>
      <c r="H28" s="21"/>
      <c r="I28" s="21">
        <v>2.2999999999999998</v>
      </c>
      <c r="J28" s="20">
        <v>3.1</v>
      </c>
      <c r="K28" s="20">
        <v>3.2</v>
      </c>
      <c r="L28" s="21">
        <v>3.1</v>
      </c>
      <c r="M28" s="21">
        <v>2.8</v>
      </c>
      <c r="N28" s="20"/>
      <c r="O28" s="20">
        <v>3.2</v>
      </c>
      <c r="P28" s="21"/>
      <c r="Q28" s="21">
        <v>3.6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1</v>
      </c>
      <c r="H29" s="27">
        <f t="shared" ref="H29:Q29" si="0">H32-H28</f>
        <v>0</v>
      </c>
      <c r="I29" s="27">
        <f t="shared" si="0"/>
        <v>2.7</v>
      </c>
      <c r="J29" s="27">
        <f t="shared" si="0"/>
        <v>1.1000000000000001</v>
      </c>
      <c r="K29" s="27">
        <f t="shared" si="0"/>
        <v>0.69999999999999973</v>
      </c>
      <c r="L29" s="27">
        <f>L32-L28</f>
        <v>0.99999999999999956</v>
      </c>
      <c r="M29" s="27">
        <f>M32-M28</f>
        <v>1.2999999999999998</v>
      </c>
      <c r="N29" s="27">
        <f>N32-N28</f>
        <v>0</v>
      </c>
      <c r="O29" s="27">
        <f>O32-O28</f>
        <v>1.3999999999999995</v>
      </c>
      <c r="P29" s="27">
        <f t="shared" si="0"/>
        <v>0</v>
      </c>
      <c r="Q29" s="27">
        <f t="shared" si="0"/>
        <v>0.99999999999999956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/>
      <c r="G30" s="20">
        <v>666.9</v>
      </c>
      <c r="H30" s="21"/>
      <c r="I30" s="21">
        <v>649.5</v>
      </c>
      <c r="J30" s="20">
        <v>680.65</v>
      </c>
      <c r="K30" s="20">
        <v>643.4</v>
      </c>
      <c r="L30" s="21">
        <v>709.4</v>
      </c>
      <c r="M30" s="21">
        <v>637.1</v>
      </c>
      <c r="N30" s="20"/>
      <c r="O30" s="20">
        <v>655.8</v>
      </c>
      <c r="P30" s="21"/>
      <c r="Q30" s="21">
        <v>642.5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/>
      <c r="G31" s="20">
        <v>13.8</v>
      </c>
      <c r="H31" s="21"/>
      <c r="I31" s="21">
        <v>13.9</v>
      </c>
      <c r="J31" s="20">
        <v>12.8</v>
      </c>
      <c r="K31" s="20">
        <v>13.1</v>
      </c>
      <c r="L31" s="21">
        <v>12.8</v>
      </c>
      <c r="M31" s="21">
        <v>13.3</v>
      </c>
      <c r="N31" s="20"/>
      <c r="O31" s="20">
        <v>14</v>
      </c>
      <c r="P31" s="21"/>
      <c r="Q31" s="21">
        <v>13.6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/>
      <c r="G32" s="20">
        <v>4.8</v>
      </c>
      <c r="H32" s="21"/>
      <c r="I32" s="21">
        <v>5</v>
      </c>
      <c r="J32" s="20">
        <v>4.2</v>
      </c>
      <c r="K32" s="20">
        <v>3.9</v>
      </c>
      <c r="L32" s="21">
        <v>4.0999999999999996</v>
      </c>
      <c r="M32" s="21">
        <v>4.0999999999999996</v>
      </c>
      <c r="N32" s="20"/>
      <c r="O32" s="20">
        <v>4.5999999999999996</v>
      </c>
      <c r="P32" s="21"/>
      <c r="Q32" s="21">
        <v>4.5999999999999996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</v>
      </c>
      <c r="H33" s="27">
        <f t="shared" ref="H33:Q33" si="1">H31-H32</f>
        <v>0</v>
      </c>
      <c r="I33" s="27">
        <f t="shared" si="1"/>
        <v>8.9</v>
      </c>
      <c r="J33" s="27">
        <f t="shared" si="1"/>
        <v>8.6000000000000014</v>
      </c>
      <c r="K33" s="27">
        <f t="shared" si="1"/>
        <v>9.1999999999999993</v>
      </c>
      <c r="L33" s="27">
        <f>L31-L32</f>
        <v>8.7000000000000011</v>
      </c>
      <c r="M33" s="27">
        <f>M31-M32</f>
        <v>9.2000000000000011</v>
      </c>
      <c r="N33" s="27">
        <f>N31-N32</f>
        <v>0</v>
      </c>
      <c r="O33" s="27">
        <f>O31-O32</f>
        <v>9.4</v>
      </c>
      <c r="P33" s="27">
        <f t="shared" si="1"/>
        <v>0</v>
      </c>
      <c r="Q33" s="27">
        <f t="shared" si="1"/>
        <v>9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6930.8314087759809</v>
      </c>
      <c r="H34" s="28">
        <f t="shared" ref="H34:Q34" si="2">(H33*H30)/0.866</f>
        <v>0</v>
      </c>
      <c r="I34" s="28">
        <f t="shared" si="2"/>
        <v>6675</v>
      </c>
      <c r="J34" s="28">
        <f t="shared" si="2"/>
        <v>6759.3418013856826</v>
      </c>
      <c r="K34" s="28">
        <f t="shared" si="2"/>
        <v>6835.1963048498847</v>
      </c>
      <c r="L34" s="28">
        <f>(L33*L30)/0.866</f>
        <v>7126.7667436489619</v>
      </c>
      <c r="M34" s="28">
        <f>(M33*M30)/0.866</f>
        <v>6768.267898383373</v>
      </c>
      <c r="N34" s="28">
        <f>(N33*N30)/0.866</f>
        <v>0</v>
      </c>
      <c r="O34" s="28">
        <f>(O33*O30)/0.866</f>
        <v>7118.3833718244796</v>
      </c>
      <c r="P34" s="28">
        <f t="shared" si="2"/>
        <v>0</v>
      </c>
      <c r="Q34" s="28">
        <f t="shared" si="2"/>
        <v>6677.2517321016167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0.81</v>
      </c>
      <c r="H35" s="21"/>
      <c r="I35" s="21">
        <v>0.83</v>
      </c>
      <c r="J35" s="20">
        <v>0.82</v>
      </c>
      <c r="K35" s="20">
        <v>0.82</v>
      </c>
      <c r="L35" s="21">
        <v>0.82</v>
      </c>
      <c r="M35" s="21">
        <v>0.81</v>
      </c>
      <c r="N35" s="20"/>
      <c r="O35" s="20">
        <v>0.82</v>
      </c>
      <c r="P35" s="21"/>
      <c r="Q35" s="21">
        <v>0.82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/>
      <c r="G36" s="20">
        <v>35.6</v>
      </c>
      <c r="H36" s="21"/>
      <c r="I36" s="21">
        <v>36.299999999999997</v>
      </c>
      <c r="J36" s="20">
        <v>35.799999999999997</v>
      </c>
      <c r="K36" s="20">
        <v>35.799999999999997</v>
      </c>
      <c r="L36" s="21">
        <v>36</v>
      </c>
      <c r="M36" s="21">
        <v>35.5</v>
      </c>
      <c r="N36" s="20"/>
      <c r="O36" s="20">
        <v>34.9</v>
      </c>
      <c r="P36" s="21"/>
      <c r="Q36" s="21">
        <v>35.799999999999997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/>
      <c r="G37" s="20">
        <v>36.1</v>
      </c>
      <c r="H37" s="21"/>
      <c r="I37" s="21">
        <v>37.1</v>
      </c>
      <c r="J37" s="20">
        <v>36.6</v>
      </c>
      <c r="K37" s="20">
        <v>36.4</v>
      </c>
      <c r="L37" s="21">
        <v>36.5</v>
      </c>
      <c r="M37" s="21">
        <v>36.1</v>
      </c>
      <c r="N37" s="20"/>
      <c r="O37" s="20">
        <v>35.5</v>
      </c>
      <c r="P37" s="21"/>
      <c r="Q37" s="21">
        <v>36.6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2.2000000000000028</v>
      </c>
      <c r="H38" s="27">
        <v>1</v>
      </c>
      <c r="I38" s="27">
        <f t="shared" ref="I38:Q38" si="3">I37-I41</f>
        <v>3.7000000000000028</v>
      </c>
      <c r="J38" s="27">
        <f t="shared" si="3"/>
        <v>2.5</v>
      </c>
      <c r="K38" s="27">
        <f t="shared" si="3"/>
        <v>2.3999999999999986</v>
      </c>
      <c r="L38" s="27">
        <f>L37-L41</f>
        <v>2.6000000000000014</v>
      </c>
      <c r="M38" s="27">
        <f>M37-M41</f>
        <v>2.7000000000000028</v>
      </c>
      <c r="N38" s="27">
        <f>N37-N41</f>
        <v>0</v>
      </c>
      <c r="O38" s="27">
        <f>O37-O41</f>
        <v>1.7999999999999972</v>
      </c>
      <c r="P38" s="27">
        <f t="shared" si="3"/>
        <v>0</v>
      </c>
      <c r="Q38" s="27">
        <f t="shared" si="3"/>
        <v>3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/>
      <c r="G40" s="20">
        <v>28.4</v>
      </c>
      <c r="H40" s="21"/>
      <c r="I40" s="21">
        <v>28.3</v>
      </c>
      <c r="J40" s="20">
        <v>28.7</v>
      </c>
      <c r="K40" s="20">
        <v>28.5</v>
      </c>
      <c r="L40" s="21">
        <v>28.5</v>
      </c>
      <c r="M40" s="21">
        <v>28.4</v>
      </c>
      <c r="N40" s="20"/>
      <c r="O40" s="20">
        <v>28.3</v>
      </c>
      <c r="P40" s="21"/>
      <c r="Q40" s="21">
        <v>28.3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/>
      <c r="G41" s="20">
        <v>33.9</v>
      </c>
      <c r="H41" s="21"/>
      <c r="I41" s="21">
        <v>33.4</v>
      </c>
      <c r="J41" s="20">
        <v>34.1</v>
      </c>
      <c r="K41" s="20">
        <v>34</v>
      </c>
      <c r="L41" s="21">
        <v>33.9</v>
      </c>
      <c r="M41" s="21">
        <v>33.4</v>
      </c>
      <c r="N41" s="20"/>
      <c r="O41" s="20">
        <v>33.700000000000003</v>
      </c>
      <c r="P41" s="21"/>
      <c r="Q41" s="21">
        <v>33.6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5.5</v>
      </c>
      <c r="H42" s="27">
        <f t="shared" ref="H42:Q42" si="4">H41-H40</f>
        <v>0</v>
      </c>
      <c r="I42" s="27">
        <f t="shared" si="4"/>
        <v>5.0999999999999979</v>
      </c>
      <c r="J42" s="27">
        <f t="shared" si="4"/>
        <v>5.4000000000000021</v>
      </c>
      <c r="K42" s="27">
        <f t="shared" si="4"/>
        <v>5.5</v>
      </c>
      <c r="L42" s="27">
        <f>L41-L40</f>
        <v>5.3999999999999986</v>
      </c>
      <c r="M42" s="27">
        <f>M41-M40</f>
        <v>5</v>
      </c>
      <c r="N42" s="27">
        <f>N41-N40</f>
        <v>0</v>
      </c>
      <c r="O42" s="27">
        <f>O41-O40</f>
        <v>5.4000000000000021</v>
      </c>
      <c r="P42" s="27">
        <f t="shared" si="4"/>
        <v>0</v>
      </c>
      <c r="Q42" s="27">
        <f t="shared" si="4"/>
        <v>5.3000000000000007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/>
      <c r="G43" s="20">
        <v>1290.7</v>
      </c>
      <c r="H43" s="21"/>
      <c r="I43" s="21">
        <v>1280.0999999999999</v>
      </c>
      <c r="J43" s="20">
        <v>1296.4000000000001</v>
      </c>
      <c r="K43" s="20">
        <v>1292.0999999999999</v>
      </c>
      <c r="L43" s="21">
        <v>1299.8</v>
      </c>
      <c r="M43" s="20">
        <v>1298.4000000000001</v>
      </c>
      <c r="N43" s="20"/>
      <c r="O43" s="20">
        <v>1286.5999999999999</v>
      </c>
      <c r="P43" s="21"/>
      <c r="Q43" s="21">
        <v>1294.3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8197.2863741339497</v>
      </c>
      <c r="H44" s="28">
        <f t="shared" ref="H44:Q44" si="5">H42*H43/0.866</f>
        <v>0</v>
      </c>
      <c r="I44" s="28">
        <f t="shared" si="5"/>
        <v>7538.6951501154699</v>
      </c>
      <c r="J44" s="28">
        <f t="shared" si="5"/>
        <v>8083.7875288683636</v>
      </c>
      <c r="K44" s="28">
        <f t="shared" si="5"/>
        <v>8206.1778290993061</v>
      </c>
      <c r="L44" s="28">
        <f>L42*L43/0.866</f>
        <v>8104.9884526558872</v>
      </c>
      <c r="M44" s="28">
        <f>M42*M43/0.866</f>
        <v>7496.5357967667442</v>
      </c>
      <c r="N44" s="28">
        <f>N42*N43/0.866</f>
        <v>0</v>
      </c>
      <c r="O44" s="28">
        <f>O42*O43/0.866</f>
        <v>8022.6789838337208</v>
      </c>
      <c r="P44" s="28">
        <f t="shared" si="5"/>
        <v>0</v>
      </c>
      <c r="Q44" s="28">
        <f t="shared" si="5"/>
        <v>7921.2355658198621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0.46</v>
      </c>
      <c r="H45" s="21"/>
      <c r="I45" s="21">
        <v>0.46</v>
      </c>
      <c r="J45" s="20">
        <v>0.46</v>
      </c>
      <c r="K45" s="20">
        <v>0.46</v>
      </c>
      <c r="L45" s="21">
        <v>0.46</v>
      </c>
      <c r="M45" s="21">
        <v>0.46</v>
      </c>
      <c r="N45" s="20"/>
      <c r="O45" s="20">
        <v>0.45</v>
      </c>
      <c r="P45" s="21"/>
      <c r="Q45" s="21">
        <v>0.46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/>
      <c r="G46" s="20">
        <v>19.7</v>
      </c>
      <c r="H46" s="21"/>
      <c r="I46" s="21">
        <v>19.100000000000001</v>
      </c>
      <c r="J46" s="20">
        <v>19.399999999999999</v>
      </c>
      <c r="K46" s="20">
        <v>19.2</v>
      </c>
      <c r="L46" s="21">
        <v>19.600000000000001</v>
      </c>
      <c r="M46" s="21">
        <v>19.3</v>
      </c>
      <c r="N46" s="20"/>
      <c r="O46" s="20">
        <v>18.899999999999999</v>
      </c>
      <c r="P46" s="21"/>
      <c r="Q46" s="21">
        <v>19.8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/>
      <c r="G47" s="20">
        <v>214.4</v>
      </c>
      <c r="H47" s="21"/>
      <c r="I47" s="21">
        <v>125</v>
      </c>
      <c r="J47" s="20">
        <v>196.7</v>
      </c>
      <c r="K47" s="20">
        <v>200.9</v>
      </c>
      <c r="L47" s="21">
        <v>201</v>
      </c>
      <c r="M47" s="21">
        <v>211.1</v>
      </c>
      <c r="N47" s="20"/>
      <c r="O47" s="20">
        <v>158.69999999999999</v>
      </c>
      <c r="P47" s="21"/>
      <c r="Q47" s="21">
        <v>195.5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36">
        <v>5.89</v>
      </c>
      <c r="F49" s="20"/>
      <c r="G49" s="20">
        <v>5.71</v>
      </c>
      <c r="H49" s="21"/>
      <c r="I49" s="21">
        <v>5.39</v>
      </c>
      <c r="J49" s="20">
        <v>5.4</v>
      </c>
      <c r="K49" s="20">
        <v>5.65</v>
      </c>
      <c r="L49" s="21">
        <v>5.1100000000000003</v>
      </c>
      <c r="M49" s="21">
        <v>5.67</v>
      </c>
      <c r="N49" s="20"/>
      <c r="O49" s="20">
        <v>5.78</v>
      </c>
      <c r="P49" s="21"/>
      <c r="Q49" s="21">
        <v>5.46</v>
      </c>
    </row>
    <row r="50" spans="2:17" ht="20.100000000000001" customHeight="1">
      <c r="B50" s="92" t="s">
        <v>91</v>
      </c>
      <c r="C50" s="92"/>
      <c r="D50" s="92"/>
      <c r="E50" s="36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37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L54" sqref="L54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45750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39" t="s">
        <v>18</v>
      </c>
      <c r="E10" s="15"/>
      <c r="F10" s="16" t="s">
        <v>19</v>
      </c>
      <c r="G10" s="17" t="s">
        <v>19</v>
      </c>
      <c r="H10" s="18" t="s">
        <v>19</v>
      </c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73.099999999999994</v>
      </c>
      <c r="G11" s="20">
        <v>71.5</v>
      </c>
      <c r="H11" s="21"/>
      <c r="I11" s="21">
        <v>83.1</v>
      </c>
      <c r="J11" s="20"/>
      <c r="K11" s="20">
        <v>74.7</v>
      </c>
      <c r="L11" s="21"/>
      <c r="M11" s="21">
        <v>74</v>
      </c>
      <c r="N11" s="20">
        <v>79.599999999999994</v>
      </c>
      <c r="O11" s="20">
        <v>77.3</v>
      </c>
      <c r="P11" s="21"/>
      <c r="Q11" s="21">
        <v>75.599999999999994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0.1</v>
      </c>
      <c r="G12" s="20">
        <v>0.8</v>
      </c>
      <c r="H12" s="21"/>
      <c r="I12" s="21">
        <v>0</v>
      </c>
      <c r="J12" s="20"/>
      <c r="K12" s="20">
        <v>0</v>
      </c>
      <c r="L12" s="21"/>
      <c r="M12" s="21">
        <v>0</v>
      </c>
      <c r="N12" s="20">
        <v>0</v>
      </c>
      <c r="O12" s="20">
        <v>0.2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68.3</v>
      </c>
      <c r="G13" s="20">
        <v>66</v>
      </c>
      <c r="H13" s="21"/>
      <c r="I13" s="21">
        <v>79</v>
      </c>
      <c r="J13" s="20"/>
      <c r="K13" s="20">
        <v>71.099999999999994</v>
      </c>
      <c r="L13" s="21"/>
      <c r="M13" s="21">
        <v>69.599999999999994</v>
      </c>
      <c r="N13" s="20">
        <v>75.3</v>
      </c>
      <c r="O13" s="20">
        <v>73.2</v>
      </c>
      <c r="P13" s="21"/>
      <c r="Q13" s="21">
        <v>70.5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65.3</v>
      </c>
      <c r="G14" s="20">
        <v>68.099999999999994</v>
      </c>
      <c r="H14" s="21"/>
      <c r="I14" s="21">
        <v>69.3</v>
      </c>
      <c r="J14" s="20"/>
      <c r="K14" s="20">
        <v>64.400000000000006</v>
      </c>
      <c r="L14" s="21"/>
      <c r="M14" s="21">
        <v>66.2</v>
      </c>
      <c r="N14" s="20">
        <v>71</v>
      </c>
      <c r="O14" s="20">
        <v>75.099999999999994</v>
      </c>
      <c r="P14" s="21"/>
      <c r="Q14" s="21">
        <v>73.3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37.299999999999997</v>
      </c>
      <c r="G15" s="20">
        <v>38</v>
      </c>
      <c r="H15" s="21"/>
      <c r="I15" s="21">
        <v>52.5</v>
      </c>
      <c r="J15" s="20"/>
      <c r="K15" s="20">
        <v>40.9</v>
      </c>
      <c r="L15" s="21"/>
      <c r="M15" s="21">
        <v>33.9</v>
      </c>
      <c r="N15" s="20">
        <v>55.8</v>
      </c>
      <c r="O15" s="20">
        <v>55.9</v>
      </c>
      <c r="P15" s="21"/>
      <c r="Q15" s="21">
        <v>45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0"/>
      <c r="I16" s="20">
        <v>6.6</v>
      </c>
      <c r="J16" s="20"/>
      <c r="K16" s="20">
        <v>6.6</v>
      </c>
      <c r="L16" s="20"/>
      <c r="M16" s="20">
        <v>6.6</v>
      </c>
      <c r="N16" s="20">
        <v>6.6</v>
      </c>
      <c r="O16" s="20">
        <v>6.6</v>
      </c>
      <c r="P16" s="20"/>
      <c r="Q16" s="20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>
        <v>118.8</v>
      </c>
      <c r="G17" s="20">
        <v>118.5</v>
      </c>
      <c r="H17" s="21"/>
      <c r="I17" s="21">
        <v>120</v>
      </c>
      <c r="J17" s="20"/>
      <c r="K17" s="20">
        <v>118.7</v>
      </c>
      <c r="L17" s="21"/>
      <c r="M17" s="21">
        <v>116.6</v>
      </c>
      <c r="N17" s="20">
        <v>120.2</v>
      </c>
      <c r="O17" s="20">
        <v>119.9</v>
      </c>
      <c r="P17" s="21"/>
      <c r="Q17" s="21">
        <v>119.7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>
        <v>1170</v>
      </c>
      <c r="G18" s="20">
        <v>1164</v>
      </c>
      <c r="H18" s="21"/>
      <c r="I18" s="21">
        <v>1210</v>
      </c>
      <c r="J18" s="20"/>
      <c r="K18" s="20">
        <v>1197</v>
      </c>
      <c r="L18" s="21"/>
      <c r="M18" s="21">
        <v>1177</v>
      </c>
      <c r="N18" s="20">
        <v>1227</v>
      </c>
      <c r="O18" s="20">
        <v>1213</v>
      </c>
      <c r="P18" s="21"/>
      <c r="Q18" s="21">
        <v>1206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>
        <v>49757.4</v>
      </c>
      <c r="G19" s="20"/>
      <c r="H19" s="21"/>
      <c r="I19" s="21"/>
      <c r="J19" s="20"/>
      <c r="K19" s="20"/>
      <c r="L19" s="21"/>
      <c r="M19" s="21"/>
      <c r="N19" s="20">
        <v>50247</v>
      </c>
      <c r="O19" s="20"/>
      <c r="P19" s="21"/>
      <c r="Q19" s="21"/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>
        <v>58.8</v>
      </c>
      <c r="G22" s="20">
        <v>58.4</v>
      </c>
      <c r="H22" s="21"/>
      <c r="I22" s="21">
        <v>59.4</v>
      </c>
      <c r="J22" s="20"/>
      <c r="K22" s="20">
        <v>57.8</v>
      </c>
      <c r="L22" s="21"/>
      <c r="M22" s="21">
        <v>57.3</v>
      </c>
      <c r="N22" s="20">
        <v>58.6</v>
      </c>
      <c r="O22" s="20">
        <v>58.5</v>
      </c>
      <c r="P22" s="21"/>
      <c r="Q22" s="21">
        <v>58.9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>
        <v>0.52</v>
      </c>
      <c r="G23" s="20">
        <v>0.53</v>
      </c>
      <c r="H23" s="21"/>
      <c r="I23" s="21">
        <v>0.49</v>
      </c>
      <c r="J23" s="20"/>
      <c r="K23" s="20">
        <v>0.57999999999999996</v>
      </c>
      <c r="L23" s="21"/>
      <c r="M23" s="21">
        <v>0.52</v>
      </c>
      <c r="N23" s="20">
        <v>0.47</v>
      </c>
      <c r="O23" s="20">
        <v>0.48</v>
      </c>
      <c r="P23" s="21"/>
      <c r="Q23" s="21">
        <v>0.49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>
        <v>44.8</v>
      </c>
      <c r="G25" s="20">
        <v>45</v>
      </c>
      <c r="H25" s="21"/>
      <c r="I25" s="21">
        <v>45</v>
      </c>
      <c r="J25" s="20"/>
      <c r="K25" s="20">
        <v>45</v>
      </c>
      <c r="L25" s="21"/>
      <c r="M25" s="21">
        <v>45.1</v>
      </c>
      <c r="N25" s="20">
        <v>44.9</v>
      </c>
      <c r="O25" s="20">
        <v>45.1</v>
      </c>
      <c r="P25" s="21"/>
      <c r="Q25" s="21">
        <v>45.2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0.23</v>
      </c>
      <c r="H26" s="21"/>
      <c r="I26" s="21">
        <v>0.21</v>
      </c>
      <c r="J26" s="20"/>
      <c r="K26" s="20">
        <v>0.22</v>
      </c>
      <c r="L26" s="21"/>
      <c r="M26" s="21">
        <v>0.22</v>
      </c>
      <c r="N26" s="20">
        <v>0.22</v>
      </c>
      <c r="O26" s="20">
        <v>0.22</v>
      </c>
      <c r="P26" s="21"/>
      <c r="Q26" s="21">
        <v>0.23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>
        <v>4.2</v>
      </c>
      <c r="G27" s="20">
        <v>4.4000000000000004</v>
      </c>
      <c r="H27" s="21"/>
      <c r="I27" s="21">
        <v>3.2</v>
      </c>
      <c r="J27" s="20"/>
      <c r="K27" s="20">
        <v>4</v>
      </c>
      <c r="L27" s="21"/>
      <c r="M27" s="21">
        <v>3.8</v>
      </c>
      <c r="N27" s="20">
        <v>4.2</v>
      </c>
      <c r="O27" s="20">
        <v>4</v>
      </c>
      <c r="P27" s="21"/>
      <c r="Q27" s="21">
        <v>4.5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>
        <v>3.7</v>
      </c>
      <c r="G28" s="20">
        <v>3.8</v>
      </c>
      <c r="H28" s="21"/>
      <c r="I28" s="21">
        <v>2.2999999999999998</v>
      </c>
      <c r="J28" s="20"/>
      <c r="K28" s="20">
        <v>3.2</v>
      </c>
      <c r="L28" s="21"/>
      <c r="M28" s="21">
        <v>2.8</v>
      </c>
      <c r="N28" s="20">
        <v>3.7</v>
      </c>
      <c r="O28" s="20">
        <v>3.2</v>
      </c>
      <c r="P28" s="21"/>
      <c r="Q28" s="21">
        <v>3.6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1.0999999999999996</v>
      </c>
      <c r="G29" s="27">
        <f>G32-G28</f>
        <v>1</v>
      </c>
      <c r="H29" s="27">
        <f t="shared" ref="H29:Q29" si="0">H32-H28</f>
        <v>0</v>
      </c>
      <c r="I29" s="27">
        <f t="shared" si="0"/>
        <v>2.7</v>
      </c>
      <c r="J29" s="27">
        <f t="shared" si="0"/>
        <v>0</v>
      </c>
      <c r="K29" s="27">
        <f t="shared" si="0"/>
        <v>0.69999999999999973</v>
      </c>
      <c r="L29" s="27">
        <f>L32-L28</f>
        <v>0</v>
      </c>
      <c r="M29" s="27">
        <f>M32-M28</f>
        <v>1.2999999999999998</v>
      </c>
      <c r="N29" s="27">
        <f>N32-N28</f>
        <v>0.79999999999999982</v>
      </c>
      <c r="O29" s="27">
        <f>O32-O28</f>
        <v>1.3999999999999995</v>
      </c>
      <c r="P29" s="27">
        <f t="shared" si="0"/>
        <v>0</v>
      </c>
      <c r="Q29" s="27">
        <f t="shared" si="0"/>
        <v>0.99999999999999956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>
        <v>696.2</v>
      </c>
      <c r="G30" s="20">
        <v>666.9</v>
      </c>
      <c r="H30" s="21"/>
      <c r="I30" s="21">
        <v>649.5</v>
      </c>
      <c r="J30" s="20"/>
      <c r="K30" s="20">
        <v>643.4</v>
      </c>
      <c r="L30" s="21"/>
      <c r="M30" s="21">
        <v>637.1</v>
      </c>
      <c r="N30" s="20">
        <v>685.8</v>
      </c>
      <c r="O30" s="20">
        <v>655.8</v>
      </c>
      <c r="P30" s="21"/>
      <c r="Q30" s="21">
        <v>642.5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>
        <v>13.4</v>
      </c>
      <c r="G31" s="20">
        <v>13.8</v>
      </c>
      <c r="H31" s="21"/>
      <c r="I31" s="21">
        <v>13.9</v>
      </c>
      <c r="J31" s="20"/>
      <c r="K31" s="20">
        <v>13.1</v>
      </c>
      <c r="L31" s="21"/>
      <c r="M31" s="21">
        <v>13.3</v>
      </c>
      <c r="N31" s="20">
        <v>13.4</v>
      </c>
      <c r="O31" s="20">
        <v>14</v>
      </c>
      <c r="P31" s="21"/>
      <c r="Q31" s="21">
        <v>13.6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>
        <v>4.8</v>
      </c>
      <c r="G32" s="20">
        <v>4.8</v>
      </c>
      <c r="H32" s="21"/>
      <c r="I32" s="21">
        <v>5</v>
      </c>
      <c r="J32" s="20"/>
      <c r="K32" s="20">
        <v>3.9</v>
      </c>
      <c r="L32" s="21"/>
      <c r="M32" s="21">
        <v>4.0999999999999996</v>
      </c>
      <c r="N32" s="20">
        <v>4.5</v>
      </c>
      <c r="O32" s="20">
        <v>4.5999999999999996</v>
      </c>
      <c r="P32" s="21"/>
      <c r="Q32" s="21">
        <v>4.5999999999999996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8.6000000000000014</v>
      </c>
      <c r="G33" s="27">
        <f>G31-G32</f>
        <v>9</v>
      </c>
      <c r="H33" s="27">
        <f t="shared" ref="H33:Q33" si="1">H31-H32</f>
        <v>0</v>
      </c>
      <c r="I33" s="27">
        <f t="shared" si="1"/>
        <v>8.9</v>
      </c>
      <c r="J33" s="27">
        <f t="shared" si="1"/>
        <v>0</v>
      </c>
      <c r="K33" s="27">
        <f t="shared" si="1"/>
        <v>9.1999999999999993</v>
      </c>
      <c r="L33" s="27">
        <f>L31-L32</f>
        <v>0</v>
      </c>
      <c r="M33" s="27">
        <f>M31-M32</f>
        <v>9.2000000000000011</v>
      </c>
      <c r="N33" s="27">
        <f>N31-N32</f>
        <v>8.9</v>
      </c>
      <c r="O33" s="27">
        <f>O31-O32</f>
        <v>9.4</v>
      </c>
      <c r="P33" s="27">
        <f t="shared" si="1"/>
        <v>0</v>
      </c>
      <c r="Q33" s="27">
        <f t="shared" si="1"/>
        <v>9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6913.7644341801406</v>
      </c>
      <c r="G34" s="28">
        <f>(G33*G30)/0.866</f>
        <v>6930.8314087759809</v>
      </c>
      <c r="H34" s="28">
        <f t="shared" ref="H34:Q34" si="2">(H33*H30)/0.866</f>
        <v>0</v>
      </c>
      <c r="I34" s="28">
        <f t="shared" si="2"/>
        <v>6675</v>
      </c>
      <c r="J34" s="28">
        <f t="shared" si="2"/>
        <v>0</v>
      </c>
      <c r="K34" s="28">
        <f t="shared" si="2"/>
        <v>6835.1963048498847</v>
      </c>
      <c r="L34" s="28">
        <f>(L33*L30)/0.866</f>
        <v>0</v>
      </c>
      <c r="M34" s="28">
        <f>(M33*M30)/0.866</f>
        <v>6768.267898383373</v>
      </c>
      <c r="N34" s="28">
        <f>(N33*N30)/0.866</f>
        <v>7048.0600461893764</v>
      </c>
      <c r="O34" s="28">
        <f>(O33*O30)/0.866</f>
        <v>7118.3833718244796</v>
      </c>
      <c r="P34" s="28">
        <f t="shared" si="2"/>
        <v>0</v>
      </c>
      <c r="Q34" s="28">
        <f t="shared" si="2"/>
        <v>6677.2517321016167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>
        <v>0.81</v>
      </c>
      <c r="G35" s="20">
        <v>0.81</v>
      </c>
      <c r="H35" s="21"/>
      <c r="I35" s="21">
        <v>0.83</v>
      </c>
      <c r="J35" s="20"/>
      <c r="K35" s="20">
        <v>0.82</v>
      </c>
      <c r="L35" s="21"/>
      <c r="M35" s="21">
        <v>0.81</v>
      </c>
      <c r="N35" s="20">
        <v>0.8</v>
      </c>
      <c r="O35" s="20">
        <v>0.82</v>
      </c>
      <c r="P35" s="21"/>
      <c r="Q35" s="21">
        <v>0.82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>
        <v>35.799999999999997</v>
      </c>
      <c r="G36" s="20">
        <v>35.6</v>
      </c>
      <c r="H36" s="21"/>
      <c r="I36" s="21">
        <v>36.299999999999997</v>
      </c>
      <c r="J36" s="20"/>
      <c r="K36" s="20">
        <v>35.799999999999997</v>
      </c>
      <c r="L36" s="21"/>
      <c r="M36" s="21">
        <v>35.5</v>
      </c>
      <c r="N36" s="20">
        <v>35</v>
      </c>
      <c r="O36" s="20">
        <v>34.9</v>
      </c>
      <c r="P36" s="21"/>
      <c r="Q36" s="21">
        <v>35.799999999999997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>
        <v>36.200000000000003</v>
      </c>
      <c r="G37" s="20">
        <v>36.1</v>
      </c>
      <c r="H37" s="21"/>
      <c r="I37" s="21">
        <v>37.1</v>
      </c>
      <c r="J37" s="20"/>
      <c r="K37" s="20">
        <v>36.4</v>
      </c>
      <c r="L37" s="21"/>
      <c r="M37" s="21">
        <v>36.1</v>
      </c>
      <c r="N37" s="20">
        <v>35.6</v>
      </c>
      <c r="O37" s="20">
        <v>35.5</v>
      </c>
      <c r="P37" s="21"/>
      <c r="Q37" s="21">
        <v>36.6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2.1000000000000014</v>
      </c>
      <c r="G38" s="27">
        <f>G37-G41</f>
        <v>2.2000000000000028</v>
      </c>
      <c r="H38" s="27">
        <v>1</v>
      </c>
      <c r="I38" s="27">
        <f t="shared" ref="I38:Q38" si="3">I37-I41</f>
        <v>3.7000000000000028</v>
      </c>
      <c r="J38" s="27">
        <f t="shared" si="3"/>
        <v>0</v>
      </c>
      <c r="K38" s="27">
        <f t="shared" si="3"/>
        <v>2.3999999999999986</v>
      </c>
      <c r="L38" s="27">
        <f>L37-L41</f>
        <v>0</v>
      </c>
      <c r="M38" s="27">
        <f>M37-M41</f>
        <v>2.7000000000000028</v>
      </c>
      <c r="N38" s="27">
        <f>N37-N41</f>
        <v>1.7000000000000028</v>
      </c>
      <c r="O38" s="27">
        <f>O37-O41</f>
        <v>1.7999999999999972</v>
      </c>
      <c r="P38" s="27">
        <f t="shared" si="3"/>
        <v>0</v>
      </c>
      <c r="Q38" s="27">
        <f t="shared" si="3"/>
        <v>3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>
        <v>28.6</v>
      </c>
      <c r="G40" s="20">
        <v>28.4</v>
      </c>
      <c r="H40" s="21"/>
      <c r="I40" s="21">
        <v>28.3</v>
      </c>
      <c r="J40" s="20"/>
      <c r="K40" s="20">
        <v>28.5</v>
      </c>
      <c r="L40" s="21"/>
      <c r="M40" s="21">
        <v>28.4</v>
      </c>
      <c r="N40" s="20">
        <v>28.4</v>
      </c>
      <c r="O40" s="20">
        <v>28.3</v>
      </c>
      <c r="P40" s="21"/>
      <c r="Q40" s="21">
        <v>28.3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>
        <v>34.1</v>
      </c>
      <c r="G41" s="20">
        <v>33.9</v>
      </c>
      <c r="H41" s="21"/>
      <c r="I41" s="21">
        <v>33.4</v>
      </c>
      <c r="J41" s="20"/>
      <c r="K41" s="20">
        <v>34</v>
      </c>
      <c r="L41" s="21"/>
      <c r="M41" s="21">
        <v>33.4</v>
      </c>
      <c r="N41" s="20">
        <v>33.9</v>
      </c>
      <c r="O41" s="20">
        <v>33.700000000000003</v>
      </c>
      <c r="P41" s="21"/>
      <c r="Q41" s="21">
        <v>33.6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5.5</v>
      </c>
      <c r="G42" s="27">
        <f>G41-G40</f>
        <v>5.5</v>
      </c>
      <c r="H42" s="27">
        <f t="shared" ref="H42:Q42" si="4">H41-H40</f>
        <v>0</v>
      </c>
      <c r="I42" s="27">
        <f t="shared" si="4"/>
        <v>5.0999999999999979</v>
      </c>
      <c r="J42" s="27">
        <f t="shared" si="4"/>
        <v>0</v>
      </c>
      <c r="K42" s="27">
        <f t="shared" si="4"/>
        <v>5.5</v>
      </c>
      <c r="L42" s="27">
        <f>L41-L40</f>
        <v>0</v>
      </c>
      <c r="M42" s="27">
        <f>M41-M40</f>
        <v>5</v>
      </c>
      <c r="N42" s="27">
        <f>N41-N40</f>
        <v>5.5</v>
      </c>
      <c r="O42" s="27">
        <f>O41-O40</f>
        <v>5.4000000000000021</v>
      </c>
      <c r="P42" s="27">
        <f t="shared" si="4"/>
        <v>0</v>
      </c>
      <c r="Q42" s="27">
        <f t="shared" si="4"/>
        <v>5.3000000000000007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>
        <v>1296.5999999999999</v>
      </c>
      <c r="G43" s="20">
        <v>1290.7</v>
      </c>
      <c r="H43" s="21"/>
      <c r="I43" s="21">
        <v>1280.0999999999999</v>
      </c>
      <c r="J43" s="20"/>
      <c r="K43" s="20">
        <v>1292.0999999999999</v>
      </c>
      <c r="L43" s="21"/>
      <c r="M43" s="20">
        <v>1298.4000000000001</v>
      </c>
      <c r="N43" s="20">
        <v>1292.5999999999999</v>
      </c>
      <c r="O43" s="20">
        <v>1286.5999999999999</v>
      </c>
      <c r="P43" s="21"/>
      <c r="Q43" s="21">
        <v>1294.3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8234.7575057736722</v>
      </c>
      <c r="G44" s="28">
        <f>G42*G43/0.866</f>
        <v>8197.2863741339497</v>
      </c>
      <c r="H44" s="28">
        <f t="shared" ref="H44:Q44" si="5">H42*H43/0.866</f>
        <v>0</v>
      </c>
      <c r="I44" s="28">
        <f t="shared" si="5"/>
        <v>7538.6951501154699</v>
      </c>
      <c r="J44" s="28">
        <f t="shared" si="5"/>
        <v>0</v>
      </c>
      <c r="K44" s="28">
        <f t="shared" si="5"/>
        <v>8206.1778290993061</v>
      </c>
      <c r="L44" s="28">
        <f>L42*L43/0.866</f>
        <v>0</v>
      </c>
      <c r="M44" s="28">
        <f>M42*M43/0.866</f>
        <v>7496.5357967667442</v>
      </c>
      <c r="N44" s="28">
        <f>N42*N43/0.866</f>
        <v>8209.3533487297918</v>
      </c>
      <c r="O44" s="28">
        <f>O42*O43/0.866</f>
        <v>8022.6789838337208</v>
      </c>
      <c r="P44" s="28">
        <f t="shared" si="5"/>
        <v>0</v>
      </c>
      <c r="Q44" s="28">
        <f t="shared" si="5"/>
        <v>7921.2355658198621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>
        <v>0.46</v>
      </c>
      <c r="G45" s="20">
        <v>0.46</v>
      </c>
      <c r="H45" s="21"/>
      <c r="I45" s="21">
        <v>0.46</v>
      </c>
      <c r="J45" s="20"/>
      <c r="K45" s="20">
        <v>0.46</v>
      </c>
      <c r="L45" s="21"/>
      <c r="M45" s="21">
        <v>0.46</v>
      </c>
      <c r="N45" s="20">
        <v>0.45</v>
      </c>
      <c r="O45" s="20">
        <v>0.45</v>
      </c>
      <c r="P45" s="21"/>
      <c r="Q45" s="21">
        <v>0.46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>
        <v>19.600000000000001</v>
      </c>
      <c r="G46" s="20">
        <v>19.7</v>
      </c>
      <c r="H46" s="21"/>
      <c r="I46" s="21">
        <v>19.100000000000001</v>
      </c>
      <c r="J46" s="20"/>
      <c r="K46" s="20">
        <v>19.2</v>
      </c>
      <c r="L46" s="21"/>
      <c r="M46" s="21">
        <v>19.3</v>
      </c>
      <c r="N46" s="20">
        <v>18.7</v>
      </c>
      <c r="O46" s="20">
        <v>18.899999999999999</v>
      </c>
      <c r="P46" s="21"/>
      <c r="Q46" s="21">
        <v>19.8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>
        <v>202</v>
      </c>
      <c r="G47" s="20">
        <v>214.4</v>
      </c>
      <c r="H47" s="21"/>
      <c r="I47" s="21">
        <v>125</v>
      </c>
      <c r="J47" s="20"/>
      <c r="K47" s="20">
        <v>200.9</v>
      </c>
      <c r="L47" s="21"/>
      <c r="M47" s="21">
        <v>211.1</v>
      </c>
      <c r="N47" s="20">
        <v>162</v>
      </c>
      <c r="O47" s="20">
        <v>158.69999999999999</v>
      </c>
      <c r="P47" s="21"/>
      <c r="Q47" s="21">
        <v>195.5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39">
        <v>5.89</v>
      </c>
      <c r="F49" s="20">
        <v>5.44</v>
      </c>
      <c r="G49" s="20">
        <v>5.71</v>
      </c>
      <c r="H49" s="21"/>
      <c r="I49" s="21">
        <v>5.39</v>
      </c>
      <c r="J49" s="20"/>
      <c r="K49" s="20">
        <v>5.65</v>
      </c>
      <c r="L49" s="21">
        <v>5.1100000000000003</v>
      </c>
      <c r="M49" s="21">
        <v>5.67</v>
      </c>
      <c r="N49" s="20">
        <v>5.37</v>
      </c>
      <c r="O49" s="20">
        <v>5.78</v>
      </c>
      <c r="P49" s="21"/>
      <c r="Q49" s="21">
        <v>5.46</v>
      </c>
    </row>
    <row r="50" spans="2:17" ht="20.100000000000001" customHeight="1">
      <c r="B50" s="92" t="s">
        <v>91</v>
      </c>
      <c r="C50" s="92"/>
      <c r="D50" s="92"/>
      <c r="E50" s="39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38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B26" sqref="B26:B34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45751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41" t="s">
        <v>18</v>
      </c>
      <c r="E10" s="15"/>
      <c r="F10" s="16" t="s">
        <v>19</v>
      </c>
      <c r="G10" s="17" t="s">
        <v>19</v>
      </c>
      <c r="H10" s="18" t="s">
        <v>19</v>
      </c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71.900000000000006</v>
      </c>
      <c r="H11" s="21"/>
      <c r="I11" s="21">
        <v>83.1</v>
      </c>
      <c r="J11" s="20">
        <v>74.900000000000006</v>
      </c>
      <c r="K11" s="20">
        <v>74</v>
      </c>
      <c r="L11" s="21">
        <v>71.8</v>
      </c>
      <c r="M11" s="21">
        <v>69.7</v>
      </c>
      <c r="N11" s="20"/>
      <c r="O11" s="20">
        <v>77.3</v>
      </c>
      <c r="P11" s="21"/>
      <c r="Q11" s="21">
        <v>75.2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</v>
      </c>
      <c r="H12" s="21"/>
      <c r="I12" s="21">
        <v>0</v>
      </c>
      <c r="J12" s="20">
        <v>0</v>
      </c>
      <c r="K12" s="20">
        <v>0</v>
      </c>
      <c r="L12" s="21">
        <v>0.1</v>
      </c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66.400000000000006</v>
      </c>
      <c r="H13" s="21"/>
      <c r="I13" s="21">
        <v>71.3</v>
      </c>
      <c r="J13" s="20">
        <v>69.099999999999994</v>
      </c>
      <c r="K13" s="20">
        <v>69.099999999999994</v>
      </c>
      <c r="L13" s="21">
        <v>68.7</v>
      </c>
      <c r="M13" s="21">
        <v>65.3</v>
      </c>
      <c r="N13" s="20"/>
      <c r="O13" s="20">
        <v>71.599999999999994</v>
      </c>
      <c r="P13" s="21"/>
      <c r="Q13" s="21">
        <v>69.7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67.8</v>
      </c>
      <c r="H14" s="21"/>
      <c r="I14" s="21">
        <v>70.599999999999994</v>
      </c>
      <c r="J14" s="20">
        <v>62.8</v>
      </c>
      <c r="K14" s="20">
        <v>63.8</v>
      </c>
      <c r="L14" s="21">
        <v>65.5</v>
      </c>
      <c r="M14" s="21">
        <v>65.2</v>
      </c>
      <c r="N14" s="20"/>
      <c r="O14" s="20">
        <v>74.2</v>
      </c>
      <c r="P14" s="21"/>
      <c r="Q14" s="21">
        <v>73.400000000000006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37.299999999999997</v>
      </c>
      <c r="H15" s="21"/>
      <c r="I15" s="21">
        <v>52.2</v>
      </c>
      <c r="J15" s="20">
        <v>37.799999999999997</v>
      </c>
      <c r="K15" s="20">
        <v>38.200000000000003</v>
      </c>
      <c r="L15" s="21">
        <v>31.2</v>
      </c>
      <c r="M15" s="21">
        <v>32.1</v>
      </c>
      <c r="N15" s="20"/>
      <c r="O15" s="20">
        <v>53.5</v>
      </c>
      <c r="P15" s="21"/>
      <c r="Q15" s="21">
        <v>42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0"/>
      <c r="I16" s="20">
        <v>6.6</v>
      </c>
      <c r="J16" s="20">
        <v>6.6</v>
      </c>
      <c r="K16" s="20">
        <v>6.6</v>
      </c>
      <c r="L16" s="20">
        <v>6.6</v>
      </c>
      <c r="M16" s="20">
        <v>6.6</v>
      </c>
      <c r="N16" s="20"/>
      <c r="O16" s="20">
        <v>6.6</v>
      </c>
      <c r="P16" s="20"/>
      <c r="Q16" s="20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/>
      <c r="G17" s="20">
        <v>117.5</v>
      </c>
      <c r="H17" s="21"/>
      <c r="I17" s="21">
        <v>115.6</v>
      </c>
      <c r="J17" s="20">
        <v>117.4</v>
      </c>
      <c r="K17" s="20">
        <v>116.4</v>
      </c>
      <c r="L17" s="21">
        <v>114.4</v>
      </c>
      <c r="M17" s="21">
        <v>112.3</v>
      </c>
      <c r="N17" s="20"/>
      <c r="O17" s="20">
        <v>118.3</v>
      </c>
      <c r="P17" s="21"/>
      <c r="Q17" s="21">
        <v>118.5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/>
      <c r="G18" s="20">
        <v>1158</v>
      </c>
      <c r="H18" s="21"/>
      <c r="I18" s="21">
        <v>1171</v>
      </c>
      <c r="J18" s="20">
        <v>1198</v>
      </c>
      <c r="K18" s="20">
        <v>1182</v>
      </c>
      <c r="L18" s="21">
        <v>1164</v>
      </c>
      <c r="M18" s="21">
        <v>1140</v>
      </c>
      <c r="N18" s="20"/>
      <c r="O18" s="20">
        <v>1202</v>
      </c>
      <c r="P18" s="21"/>
      <c r="Q18" s="21">
        <v>1205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49765.599999999999</v>
      </c>
      <c r="H19" s="21"/>
      <c r="I19" s="21">
        <v>51023.3</v>
      </c>
      <c r="J19" s="20">
        <v>48703.6</v>
      </c>
      <c r="K19" s="20">
        <v>48694.9</v>
      </c>
      <c r="L19" s="21">
        <v>51086</v>
      </c>
      <c r="M19" s="21">
        <v>51077.3</v>
      </c>
      <c r="N19" s="20"/>
      <c r="O19" s="20">
        <v>50255.4</v>
      </c>
      <c r="P19" s="21"/>
      <c r="Q19" s="21">
        <v>50384.2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/>
      <c r="G22" s="20">
        <v>59</v>
      </c>
      <c r="H22" s="21"/>
      <c r="I22" s="21">
        <v>58.9</v>
      </c>
      <c r="J22" s="20">
        <v>58</v>
      </c>
      <c r="K22" s="20">
        <v>57.8</v>
      </c>
      <c r="L22" s="21">
        <v>57.5</v>
      </c>
      <c r="M22" s="21">
        <v>57.2</v>
      </c>
      <c r="N22" s="20"/>
      <c r="O22" s="20">
        <v>58.5</v>
      </c>
      <c r="P22" s="21"/>
      <c r="Q22" s="21">
        <v>59.2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/>
      <c r="G23" s="20">
        <v>0.52</v>
      </c>
      <c r="H23" s="21"/>
      <c r="I23" s="21">
        <v>0.49</v>
      </c>
      <c r="J23" s="20">
        <v>0.59</v>
      </c>
      <c r="K23" s="20">
        <v>0.59</v>
      </c>
      <c r="L23" s="21">
        <v>0.52</v>
      </c>
      <c r="M23" s="21">
        <v>0.52</v>
      </c>
      <c r="N23" s="20"/>
      <c r="O23" s="20">
        <v>0.47</v>
      </c>
      <c r="P23" s="21"/>
      <c r="Q23" s="21">
        <v>0.5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/>
      <c r="G25" s="20">
        <v>45</v>
      </c>
      <c r="H25" s="21"/>
      <c r="I25" s="21">
        <v>45.2</v>
      </c>
      <c r="J25" s="20">
        <v>45.3</v>
      </c>
      <c r="K25" s="20">
        <v>44.8</v>
      </c>
      <c r="L25" s="21">
        <v>45</v>
      </c>
      <c r="M25" s="21">
        <v>45.2</v>
      </c>
      <c r="N25" s="20"/>
      <c r="O25" s="20">
        <v>45.1</v>
      </c>
      <c r="P25" s="21"/>
      <c r="Q25" s="21">
        <v>44.9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0.22</v>
      </c>
      <c r="J26" s="20">
        <v>0.23</v>
      </c>
      <c r="K26" s="20">
        <v>0.23</v>
      </c>
      <c r="L26" s="21">
        <v>0.22</v>
      </c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/>
      <c r="G27" s="20">
        <v>4.4000000000000004</v>
      </c>
      <c r="H27" s="21"/>
      <c r="I27" s="21">
        <v>3.5</v>
      </c>
      <c r="J27" s="20">
        <v>4.3</v>
      </c>
      <c r="K27" s="20">
        <v>4.2</v>
      </c>
      <c r="L27" s="21">
        <v>3.7</v>
      </c>
      <c r="M27" s="21">
        <v>3.7</v>
      </c>
      <c r="N27" s="20"/>
      <c r="O27" s="20">
        <v>4.0999999999999996</v>
      </c>
      <c r="P27" s="21"/>
      <c r="Q27" s="21">
        <v>4.8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/>
      <c r="G28" s="20">
        <v>3.8</v>
      </c>
      <c r="H28" s="21"/>
      <c r="I28" s="21">
        <v>2.7</v>
      </c>
      <c r="J28" s="20">
        <v>3.4</v>
      </c>
      <c r="K28" s="20">
        <v>3.5</v>
      </c>
      <c r="L28" s="21">
        <v>2.6</v>
      </c>
      <c r="M28" s="21">
        <v>2.7</v>
      </c>
      <c r="N28" s="20"/>
      <c r="O28" s="20">
        <v>3.3</v>
      </c>
      <c r="P28" s="21"/>
      <c r="Q28" s="21">
        <v>3.7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0.70000000000000018</v>
      </c>
      <c r="H29" s="27">
        <f t="shared" ref="H29:Q29" si="0">H32-H28</f>
        <v>0</v>
      </c>
      <c r="I29" s="27">
        <f t="shared" si="0"/>
        <v>2.0999999999999996</v>
      </c>
      <c r="J29" s="27">
        <f t="shared" si="0"/>
        <v>0.69999999999999973</v>
      </c>
      <c r="K29" s="27">
        <f t="shared" si="0"/>
        <v>1.0999999999999996</v>
      </c>
      <c r="L29" s="27">
        <f>L32-L28</f>
        <v>1.2999999999999998</v>
      </c>
      <c r="M29" s="27">
        <f>M32-M28</f>
        <v>1.0999999999999996</v>
      </c>
      <c r="N29" s="27">
        <f>N32-N28</f>
        <v>0</v>
      </c>
      <c r="O29" s="27">
        <f>O32-O28</f>
        <v>0.90000000000000036</v>
      </c>
      <c r="P29" s="27">
        <f t="shared" si="0"/>
        <v>0</v>
      </c>
      <c r="Q29" s="27">
        <f t="shared" si="0"/>
        <v>1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/>
      <c r="G30" s="20">
        <v>639.28</v>
      </c>
      <c r="H30" s="21"/>
      <c r="I30" s="21">
        <v>640.16</v>
      </c>
      <c r="J30" s="20">
        <v>655.9</v>
      </c>
      <c r="K30" s="20">
        <v>640.88</v>
      </c>
      <c r="L30" s="21">
        <v>629.9</v>
      </c>
      <c r="M30" s="21">
        <v>636.58000000000004</v>
      </c>
      <c r="N30" s="20"/>
      <c r="O30" s="20">
        <v>629.44000000000005</v>
      </c>
      <c r="P30" s="21"/>
      <c r="Q30" s="21">
        <v>643.36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/>
      <c r="G31" s="20">
        <v>13.5</v>
      </c>
      <c r="H31" s="21"/>
      <c r="I31" s="21">
        <v>13.5</v>
      </c>
      <c r="J31" s="20">
        <v>13</v>
      </c>
      <c r="K31" s="20">
        <v>13.5</v>
      </c>
      <c r="L31" s="21">
        <v>12.8</v>
      </c>
      <c r="M31" s="21">
        <v>12.9</v>
      </c>
      <c r="N31" s="20"/>
      <c r="O31" s="20">
        <v>13.4</v>
      </c>
      <c r="P31" s="21"/>
      <c r="Q31" s="21">
        <v>13.4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/>
      <c r="G32" s="20">
        <v>4.5</v>
      </c>
      <c r="H32" s="21"/>
      <c r="I32" s="21">
        <v>4.8</v>
      </c>
      <c r="J32" s="20">
        <v>4.0999999999999996</v>
      </c>
      <c r="K32" s="20">
        <v>4.5999999999999996</v>
      </c>
      <c r="L32" s="21">
        <v>3.9</v>
      </c>
      <c r="M32" s="21">
        <v>3.8</v>
      </c>
      <c r="N32" s="20"/>
      <c r="O32" s="20">
        <v>4.2</v>
      </c>
      <c r="P32" s="21"/>
      <c r="Q32" s="21">
        <v>4.7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</v>
      </c>
      <c r="H33" s="27">
        <f t="shared" ref="H33:Q33" si="1">H31-H32</f>
        <v>0</v>
      </c>
      <c r="I33" s="27">
        <f t="shared" si="1"/>
        <v>8.6999999999999993</v>
      </c>
      <c r="J33" s="27">
        <f t="shared" si="1"/>
        <v>8.9</v>
      </c>
      <c r="K33" s="27">
        <f t="shared" si="1"/>
        <v>8.9</v>
      </c>
      <c r="L33" s="27">
        <f>L31-L32</f>
        <v>8.9</v>
      </c>
      <c r="M33" s="27">
        <f>M31-M32</f>
        <v>9.1000000000000014</v>
      </c>
      <c r="N33" s="27">
        <f>N31-N32</f>
        <v>0</v>
      </c>
      <c r="O33" s="27">
        <f>O31-O32</f>
        <v>9.1999999999999993</v>
      </c>
      <c r="P33" s="27">
        <f t="shared" si="1"/>
        <v>0</v>
      </c>
      <c r="Q33" s="27">
        <f t="shared" si="1"/>
        <v>8.6999999999999993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6643.7875288683599</v>
      </c>
      <c r="H34" s="28">
        <f t="shared" ref="H34:Q34" si="2">(H33*H30)/0.866</f>
        <v>0</v>
      </c>
      <c r="I34" s="28">
        <f t="shared" si="2"/>
        <v>6431.1685912240173</v>
      </c>
      <c r="J34" s="28">
        <f t="shared" si="2"/>
        <v>6740.7736720554276</v>
      </c>
      <c r="K34" s="28">
        <f t="shared" si="2"/>
        <v>6586.4110854503469</v>
      </c>
      <c r="L34" s="28">
        <f>(L33*L30)/0.866</f>
        <v>6473.5681293302541</v>
      </c>
      <c r="M34" s="28">
        <f>(M33*M30)/0.866</f>
        <v>6689.235565819863</v>
      </c>
      <c r="N34" s="28">
        <f>(N33*N30)/0.866</f>
        <v>0</v>
      </c>
      <c r="O34" s="28">
        <f>(O33*O30)/0.866</f>
        <v>6686.8914549653582</v>
      </c>
      <c r="P34" s="28">
        <f t="shared" si="2"/>
        <v>0</v>
      </c>
      <c r="Q34" s="28">
        <f t="shared" si="2"/>
        <v>6463.3163972286375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</v>
      </c>
      <c r="H35" s="21"/>
      <c r="I35" s="21">
        <v>0.84</v>
      </c>
      <c r="J35" s="20">
        <v>0.83</v>
      </c>
      <c r="K35" s="20">
        <v>0.82</v>
      </c>
      <c r="L35" s="21">
        <v>0.82</v>
      </c>
      <c r="M35" s="21">
        <v>0.81</v>
      </c>
      <c r="N35" s="20"/>
      <c r="O35" s="20">
        <v>0.79</v>
      </c>
      <c r="P35" s="21"/>
      <c r="Q35" s="21">
        <v>0.82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/>
      <c r="G36" s="20">
        <v>36</v>
      </c>
      <c r="H36" s="21"/>
      <c r="I36" s="21">
        <v>36.200000000000003</v>
      </c>
      <c r="J36" s="20">
        <v>36.299999999999997</v>
      </c>
      <c r="K36" s="20">
        <v>36</v>
      </c>
      <c r="L36" s="21">
        <v>36.200000000000003</v>
      </c>
      <c r="M36" s="21">
        <v>35.700000000000003</v>
      </c>
      <c r="N36" s="20"/>
      <c r="O36" s="20">
        <v>35.299999999999997</v>
      </c>
      <c r="P36" s="21"/>
      <c r="Q36" s="21">
        <v>36.299999999999997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/>
      <c r="G37" s="20">
        <v>35.6</v>
      </c>
      <c r="H37" s="21"/>
      <c r="I37" s="21">
        <v>37</v>
      </c>
      <c r="J37" s="20">
        <v>37.1</v>
      </c>
      <c r="K37" s="20">
        <v>36.5</v>
      </c>
      <c r="L37" s="21">
        <v>36.6</v>
      </c>
      <c r="M37" s="21">
        <v>35.9</v>
      </c>
      <c r="N37" s="20"/>
      <c r="O37" s="20">
        <v>35.200000000000003</v>
      </c>
      <c r="P37" s="21"/>
      <c r="Q37" s="21">
        <v>36.5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2.3000000000000043</v>
      </c>
      <c r="H38" s="27">
        <v>1</v>
      </c>
      <c r="I38" s="27">
        <f t="shared" ref="I38:Q38" si="3">I37-I41</f>
        <v>4.1000000000000014</v>
      </c>
      <c r="J38" s="27">
        <f t="shared" si="3"/>
        <v>2.7000000000000028</v>
      </c>
      <c r="K38" s="27">
        <f t="shared" si="3"/>
        <v>3.2000000000000028</v>
      </c>
      <c r="L38" s="27">
        <f>L37-L41</f>
        <v>2.6000000000000014</v>
      </c>
      <c r="M38" s="27">
        <f>M37-M41</f>
        <v>3.1999999999999957</v>
      </c>
      <c r="N38" s="27">
        <f>N37-N41</f>
        <v>0</v>
      </c>
      <c r="O38" s="27">
        <f>O37-O41</f>
        <v>2.4000000000000057</v>
      </c>
      <c r="P38" s="27">
        <f t="shared" si="3"/>
        <v>0</v>
      </c>
      <c r="Q38" s="27">
        <f t="shared" si="3"/>
        <v>3.2000000000000028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/>
      <c r="G40" s="20">
        <v>28</v>
      </c>
      <c r="H40" s="21"/>
      <c r="I40" s="21">
        <v>27.9</v>
      </c>
      <c r="J40" s="20">
        <v>28.9</v>
      </c>
      <c r="K40" s="20">
        <v>27.9</v>
      </c>
      <c r="L40" s="21">
        <v>28.8</v>
      </c>
      <c r="M40" s="21">
        <v>27.7</v>
      </c>
      <c r="N40" s="20"/>
      <c r="O40" s="20">
        <v>27.8</v>
      </c>
      <c r="P40" s="21"/>
      <c r="Q40" s="21">
        <v>28.1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/>
      <c r="G41" s="20">
        <v>33.299999999999997</v>
      </c>
      <c r="H41" s="21"/>
      <c r="I41" s="21">
        <v>32.9</v>
      </c>
      <c r="J41" s="20">
        <v>34.4</v>
      </c>
      <c r="K41" s="20">
        <v>33.299999999999997</v>
      </c>
      <c r="L41" s="21">
        <v>34</v>
      </c>
      <c r="M41" s="21">
        <v>32.700000000000003</v>
      </c>
      <c r="N41" s="20"/>
      <c r="O41" s="20">
        <v>32.799999999999997</v>
      </c>
      <c r="P41" s="21"/>
      <c r="Q41" s="21">
        <v>33.299999999999997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5.2999999999999972</v>
      </c>
      <c r="H42" s="27">
        <f t="shared" ref="H42:Q42" si="4">H41-H40</f>
        <v>0</v>
      </c>
      <c r="I42" s="27">
        <f t="shared" si="4"/>
        <v>5</v>
      </c>
      <c r="J42" s="27">
        <f t="shared" si="4"/>
        <v>5.5</v>
      </c>
      <c r="K42" s="27">
        <f t="shared" si="4"/>
        <v>5.3999999999999986</v>
      </c>
      <c r="L42" s="27">
        <f>L41-L40</f>
        <v>5.1999999999999993</v>
      </c>
      <c r="M42" s="27">
        <f>M41-M40</f>
        <v>5.0000000000000036</v>
      </c>
      <c r="N42" s="27">
        <f>N41-N40</f>
        <v>0</v>
      </c>
      <c r="O42" s="27">
        <f>O41-O40</f>
        <v>4.9999999999999964</v>
      </c>
      <c r="P42" s="27">
        <f t="shared" si="4"/>
        <v>0</v>
      </c>
      <c r="Q42" s="27">
        <f t="shared" si="4"/>
        <v>5.1999999999999957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/>
      <c r="G43" s="20">
        <v>1294.72</v>
      </c>
      <c r="H43" s="21"/>
      <c r="I43" s="21">
        <v>1277.6400000000001</v>
      </c>
      <c r="J43" s="20">
        <v>1279.3</v>
      </c>
      <c r="K43" s="20">
        <v>1298.6400000000001</v>
      </c>
      <c r="L43" s="21">
        <v>1290</v>
      </c>
      <c r="M43" s="20">
        <v>1289.58</v>
      </c>
      <c r="N43" s="20"/>
      <c r="O43" s="20">
        <v>1290.24</v>
      </c>
      <c r="P43" s="21"/>
      <c r="Q43" s="21">
        <v>1290.8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7923.8060046189339</v>
      </c>
      <c r="H44" s="28">
        <f t="shared" ref="H44:Q44" si="5">H42*H43/0.866</f>
        <v>0</v>
      </c>
      <c r="I44" s="28">
        <f t="shared" si="5"/>
        <v>7376.6743648960746</v>
      </c>
      <c r="J44" s="28">
        <f t="shared" si="5"/>
        <v>8124.8845265588907</v>
      </c>
      <c r="K44" s="28">
        <f t="shared" si="5"/>
        <v>8097.7551963048491</v>
      </c>
      <c r="L44" s="28">
        <f>L42*L43/0.866</f>
        <v>7745.9584295612003</v>
      </c>
      <c r="M44" s="28">
        <f>M42*M43/0.866</f>
        <v>7445.6120092378806</v>
      </c>
      <c r="N44" s="28">
        <f>N42*N43/0.866</f>
        <v>0</v>
      </c>
      <c r="O44" s="28">
        <f>O42*O43/0.866</f>
        <v>7449.4226327944516</v>
      </c>
      <c r="P44" s="28">
        <f t="shared" si="5"/>
        <v>0</v>
      </c>
      <c r="Q44" s="28">
        <f t="shared" si="5"/>
        <v>7750.7621247113102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>
        <v>0.46</v>
      </c>
      <c r="J45" s="20">
        <v>0.46</v>
      </c>
      <c r="K45" s="20">
        <v>0.46</v>
      </c>
      <c r="L45" s="21">
        <v>0.46</v>
      </c>
      <c r="M45" s="21">
        <v>0.46</v>
      </c>
      <c r="N45" s="20"/>
      <c r="O45" s="20">
        <v>0.45</v>
      </c>
      <c r="P45" s="21"/>
      <c r="Q45" s="21">
        <v>0.47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/>
      <c r="G46" s="20">
        <v>19.899999999999999</v>
      </c>
      <c r="H46" s="21"/>
      <c r="I46" s="21">
        <v>19.399999999999999</v>
      </c>
      <c r="J46" s="20">
        <v>19.8</v>
      </c>
      <c r="K46" s="20">
        <v>19.600000000000001</v>
      </c>
      <c r="L46" s="21">
        <v>19.5</v>
      </c>
      <c r="M46" s="21">
        <v>19.5</v>
      </c>
      <c r="N46" s="20"/>
      <c r="O46" s="20">
        <v>19.100000000000001</v>
      </c>
      <c r="P46" s="21"/>
      <c r="Q46" s="21">
        <v>20.100000000000001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/>
      <c r="G47" s="20">
        <v>196.9</v>
      </c>
      <c r="H47" s="21"/>
      <c r="I47" s="21">
        <v>120.4</v>
      </c>
      <c r="J47" s="20">
        <v>203.6</v>
      </c>
      <c r="K47" s="20">
        <v>205</v>
      </c>
      <c r="L47" s="21">
        <v>200.7</v>
      </c>
      <c r="M47" s="21">
        <v>195.4</v>
      </c>
      <c r="N47" s="20"/>
      <c r="O47" s="20">
        <v>159.9</v>
      </c>
      <c r="P47" s="21"/>
      <c r="Q47" s="21">
        <v>195.5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41">
        <v>5.89</v>
      </c>
      <c r="F49" s="20"/>
      <c r="G49" s="20">
        <v>5.71</v>
      </c>
      <c r="H49" s="21"/>
      <c r="I49" s="21">
        <v>5.39</v>
      </c>
      <c r="J49" s="20">
        <v>5.54</v>
      </c>
      <c r="K49" s="20">
        <v>5.65</v>
      </c>
      <c r="L49" s="21">
        <v>5.7</v>
      </c>
      <c r="M49" s="21">
        <v>5.72</v>
      </c>
      <c r="N49" s="20"/>
      <c r="O49" s="20">
        <v>5.78</v>
      </c>
      <c r="P49" s="21"/>
      <c r="Q49" s="21">
        <v>5.26</v>
      </c>
    </row>
    <row r="50" spans="2:17" ht="20.100000000000001" customHeight="1">
      <c r="B50" s="92" t="s">
        <v>91</v>
      </c>
      <c r="C50" s="92"/>
      <c r="D50" s="92"/>
      <c r="E50" s="41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40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L45" sqref="L45:L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45752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43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71.400000000000006</v>
      </c>
      <c r="G11" s="20">
        <v>71.400000000000006</v>
      </c>
      <c r="H11" s="21"/>
      <c r="I11" s="21">
        <v>81.3</v>
      </c>
      <c r="J11" s="20"/>
      <c r="K11" s="20">
        <v>72</v>
      </c>
      <c r="L11" s="21"/>
      <c r="M11" s="21">
        <v>70.400000000000006</v>
      </c>
      <c r="N11" s="20">
        <v>77.8</v>
      </c>
      <c r="O11" s="20">
        <v>78.5</v>
      </c>
      <c r="P11" s="21"/>
      <c r="Q11" s="21">
        <v>74.900000000000006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0.4</v>
      </c>
      <c r="G12" s="20">
        <v>0.4</v>
      </c>
      <c r="H12" s="21"/>
      <c r="I12" s="21">
        <v>0</v>
      </c>
      <c r="J12" s="20"/>
      <c r="K12" s="20">
        <v>0</v>
      </c>
      <c r="L12" s="21"/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66.5</v>
      </c>
      <c r="G13" s="20">
        <v>66.3</v>
      </c>
      <c r="H13" s="21"/>
      <c r="I13" s="21">
        <v>77.099999999999994</v>
      </c>
      <c r="J13" s="20"/>
      <c r="K13" s="20">
        <v>68.2</v>
      </c>
      <c r="L13" s="21"/>
      <c r="M13" s="21">
        <v>65</v>
      </c>
      <c r="N13" s="20">
        <v>72.5</v>
      </c>
      <c r="O13" s="20">
        <v>74.099999999999994</v>
      </c>
      <c r="P13" s="21"/>
      <c r="Q13" s="21">
        <v>69.7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69</v>
      </c>
      <c r="G14" s="20">
        <v>69.5</v>
      </c>
      <c r="H14" s="21"/>
      <c r="I14" s="21">
        <v>70.400000000000006</v>
      </c>
      <c r="J14" s="20"/>
      <c r="K14" s="20">
        <v>64.7</v>
      </c>
      <c r="L14" s="21"/>
      <c r="M14" s="21">
        <v>66.5</v>
      </c>
      <c r="N14" s="20">
        <v>75.3</v>
      </c>
      <c r="O14" s="20">
        <v>74.8</v>
      </c>
      <c r="P14" s="21"/>
      <c r="Q14" s="21">
        <v>72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40.1</v>
      </c>
      <c r="G15" s="20">
        <v>42</v>
      </c>
      <c r="H15" s="21"/>
      <c r="I15" s="21">
        <v>56</v>
      </c>
      <c r="J15" s="20"/>
      <c r="K15" s="20">
        <v>42.1</v>
      </c>
      <c r="L15" s="21"/>
      <c r="M15" s="21">
        <v>34.9</v>
      </c>
      <c r="N15" s="20">
        <v>49.5</v>
      </c>
      <c r="O15" s="20">
        <v>58.2</v>
      </c>
      <c r="P15" s="21"/>
      <c r="Q15" s="21">
        <v>42.6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>
        <v>115.2</v>
      </c>
      <c r="G17" s="20">
        <v>115.9</v>
      </c>
      <c r="H17" s="21"/>
      <c r="I17" s="21">
        <v>116.7</v>
      </c>
      <c r="J17" s="20"/>
      <c r="K17" s="20">
        <v>114.6</v>
      </c>
      <c r="L17" s="21"/>
      <c r="M17" s="21">
        <v>111.9</v>
      </c>
      <c r="N17" s="20">
        <v>119.5</v>
      </c>
      <c r="O17" s="20">
        <v>118.9</v>
      </c>
      <c r="P17" s="21"/>
      <c r="Q17" s="21">
        <v>116.8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>
        <v>1136</v>
      </c>
      <c r="G18" s="20">
        <v>1125</v>
      </c>
      <c r="H18" s="21"/>
      <c r="I18" s="21">
        <v>1175</v>
      </c>
      <c r="J18" s="20"/>
      <c r="K18" s="20">
        <v>1153</v>
      </c>
      <c r="L18" s="21"/>
      <c r="M18" s="21">
        <v>1133</v>
      </c>
      <c r="N18" s="20">
        <v>1200</v>
      </c>
      <c r="O18" s="20">
        <v>1200</v>
      </c>
      <c r="P18" s="21"/>
      <c r="Q18" s="21">
        <v>1179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>
        <v>49784</v>
      </c>
      <c r="G19" s="20">
        <v>49775.6</v>
      </c>
      <c r="H19" s="21"/>
      <c r="I19" s="21">
        <v>51033.7</v>
      </c>
      <c r="J19" s="20"/>
      <c r="K19" s="20">
        <v>48713.4</v>
      </c>
      <c r="L19" s="21"/>
      <c r="M19" s="21">
        <v>51098.2</v>
      </c>
      <c r="N19" s="20">
        <v>50274.2</v>
      </c>
      <c r="O19" s="20">
        <v>50265.9</v>
      </c>
      <c r="P19" s="21"/>
      <c r="Q19" s="21">
        <v>50394.400000000001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>
        <v>58.1</v>
      </c>
      <c r="G22" s="20">
        <v>58</v>
      </c>
      <c r="H22" s="21"/>
      <c r="I22" s="21">
        <v>58.9</v>
      </c>
      <c r="J22" s="20"/>
      <c r="K22" s="20">
        <v>57.7</v>
      </c>
      <c r="L22" s="21"/>
      <c r="M22" s="21">
        <v>57.2</v>
      </c>
      <c r="N22" s="20">
        <v>58.5</v>
      </c>
      <c r="O22" s="20">
        <v>58.6</v>
      </c>
      <c r="P22" s="21"/>
      <c r="Q22" s="21">
        <v>59.1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>
        <v>0.52</v>
      </c>
      <c r="G23" s="20">
        <v>0.52</v>
      </c>
      <c r="H23" s="21"/>
      <c r="I23" s="21">
        <v>0.48</v>
      </c>
      <c r="J23" s="20"/>
      <c r="K23" s="20">
        <v>0.57999999999999996</v>
      </c>
      <c r="L23" s="21"/>
      <c r="M23" s="21">
        <v>0.52</v>
      </c>
      <c r="N23" s="20">
        <v>0.56999999999999995</v>
      </c>
      <c r="O23" s="20">
        <v>0.56999999999999995</v>
      </c>
      <c r="P23" s="21"/>
      <c r="Q23" s="21">
        <v>0.49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>
        <v>44.7</v>
      </c>
      <c r="G25" s="20">
        <v>45</v>
      </c>
      <c r="H25" s="21"/>
      <c r="I25" s="21">
        <v>45</v>
      </c>
      <c r="J25" s="20"/>
      <c r="K25" s="20">
        <v>45.1</v>
      </c>
      <c r="L25" s="21"/>
      <c r="M25" s="21">
        <v>45</v>
      </c>
      <c r="N25" s="20">
        <v>44.9</v>
      </c>
      <c r="O25" s="20">
        <v>45</v>
      </c>
      <c r="P25" s="21"/>
      <c r="Q25" s="21">
        <v>44.9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0.21</v>
      </c>
      <c r="H26" s="21"/>
      <c r="I26" s="21">
        <v>0.21</v>
      </c>
      <c r="J26" s="20"/>
      <c r="K26" s="20">
        <v>0.23</v>
      </c>
      <c r="L26" s="21"/>
      <c r="M26" s="21">
        <v>0.22</v>
      </c>
      <c r="N26" s="20">
        <v>0.23</v>
      </c>
      <c r="O26" s="20">
        <v>0.22</v>
      </c>
      <c r="P26" s="21"/>
      <c r="Q26" s="21">
        <v>0.22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>
        <v>4</v>
      </c>
      <c r="G27" s="20">
        <v>3.9</v>
      </c>
      <c r="H27" s="21"/>
      <c r="I27" s="21">
        <v>2.8</v>
      </c>
      <c r="J27" s="20"/>
      <c r="K27" s="20">
        <v>4</v>
      </c>
      <c r="L27" s="21"/>
      <c r="M27" s="21">
        <v>3.9</v>
      </c>
      <c r="N27" s="20">
        <v>4.4000000000000004</v>
      </c>
      <c r="O27" s="20">
        <v>4</v>
      </c>
      <c r="P27" s="21"/>
      <c r="Q27" s="21">
        <v>4.2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>
        <v>3.6</v>
      </c>
      <c r="G28" s="20">
        <v>3.3</v>
      </c>
      <c r="H28" s="21"/>
      <c r="I28" s="21">
        <v>2</v>
      </c>
      <c r="J28" s="20"/>
      <c r="K28" s="20">
        <v>3.2</v>
      </c>
      <c r="L28" s="21"/>
      <c r="M28" s="21">
        <v>2.4</v>
      </c>
      <c r="N28" s="20">
        <v>3.1</v>
      </c>
      <c r="O28" s="20">
        <v>2.8</v>
      </c>
      <c r="P28" s="21"/>
      <c r="Q28" s="21">
        <v>3.1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0.89999999999999991</v>
      </c>
      <c r="G29" s="27">
        <f>G32-G28</f>
        <v>1</v>
      </c>
      <c r="H29" s="27">
        <f t="shared" ref="H29:Q29" si="0">H32-H28</f>
        <v>0</v>
      </c>
      <c r="I29" s="27">
        <f t="shared" si="0"/>
        <v>2.5999999999999996</v>
      </c>
      <c r="J29" s="27">
        <f t="shared" si="0"/>
        <v>0</v>
      </c>
      <c r="K29" s="27">
        <f t="shared" si="0"/>
        <v>1.3999999999999995</v>
      </c>
      <c r="L29" s="27">
        <f>L32-L28</f>
        <v>0</v>
      </c>
      <c r="M29" s="27">
        <f>M32-M28</f>
        <v>1.3000000000000003</v>
      </c>
      <c r="N29" s="27">
        <f>N32-N28</f>
        <v>1.1000000000000001</v>
      </c>
      <c r="O29" s="27">
        <f>O32-O28</f>
        <v>1.2999999999999998</v>
      </c>
      <c r="P29" s="27">
        <f t="shared" si="0"/>
        <v>0</v>
      </c>
      <c r="Q29" s="27">
        <f t="shared" si="0"/>
        <v>1.1999999999999997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>
        <v>629.12</v>
      </c>
      <c r="G30" s="20">
        <v>656.4</v>
      </c>
      <c r="H30" s="21"/>
      <c r="I30" s="21">
        <v>635.6</v>
      </c>
      <c r="J30" s="20"/>
      <c r="K30" s="20">
        <v>637.4</v>
      </c>
      <c r="L30" s="21"/>
      <c r="M30" s="21">
        <v>624.79999999999995</v>
      </c>
      <c r="N30" s="20">
        <v>632.24</v>
      </c>
      <c r="O30" s="20">
        <v>642.29999999999995</v>
      </c>
      <c r="P30" s="21"/>
      <c r="Q30" s="21">
        <v>638.9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>
        <v>13.7</v>
      </c>
      <c r="G31" s="20">
        <v>13.3</v>
      </c>
      <c r="H31" s="21"/>
      <c r="I31" s="21">
        <v>13.4</v>
      </c>
      <c r="J31" s="20"/>
      <c r="K31" s="20">
        <v>13.5</v>
      </c>
      <c r="L31" s="21"/>
      <c r="M31" s="21">
        <v>13</v>
      </c>
      <c r="N31" s="20">
        <v>13.5</v>
      </c>
      <c r="O31" s="20">
        <v>13.4</v>
      </c>
      <c r="P31" s="21"/>
      <c r="Q31" s="21">
        <v>13.2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>
        <v>4.5</v>
      </c>
      <c r="G32" s="20">
        <v>4.3</v>
      </c>
      <c r="H32" s="21"/>
      <c r="I32" s="21">
        <v>4.5999999999999996</v>
      </c>
      <c r="J32" s="20"/>
      <c r="K32" s="20">
        <v>4.5999999999999996</v>
      </c>
      <c r="L32" s="21"/>
      <c r="M32" s="21">
        <v>3.7</v>
      </c>
      <c r="N32" s="20">
        <v>4.2</v>
      </c>
      <c r="O32" s="20">
        <v>4.0999999999999996</v>
      </c>
      <c r="P32" s="21"/>
      <c r="Q32" s="21">
        <v>4.3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9.1999999999999993</v>
      </c>
      <c r="G33" s="27">
        <f>G31-G32</f>
        <v>9</v>
      </c>
      <c r="H33" s="27">
        <f t="shared" ref="H33:Q33" si="1">H31-H32</f>
        <v>0</v>
      </c>
      <c r="I33" s="27">
        <f t="shared" si="1"/>
        <v>8.8000000000000007</v>
      </c>
      <c r="J33" s="27">
        <f t="shared" si="1"/>
        <v>0</v>
      </c>
      <c r="K33" s="27">
        <f t="shared" si="1"/>
        <v>8.9</v>
      </c>
      <c r="L33" s="27">
        <f>L31-L32</f>
        <v>0</v>
      </c>
      <c r="M33" s="27">
        <f>M31-M32</f>
        <v>9.3000000000000007</v>
      </c>
      <c r="N33" s="27">
        <f>N31-N32</f>
        <v>9.3000000000000007</v>
      </c>
      <c r="O33" s="27">
        <f>O31-O32</f>
        <v>9.3000000000000007</v>
      </c>
      <c r="P33" s="27">
        <f t="shared" si="1"/>
        <v>0</v>
      </c>
      <c r="Q33" s="27">
        <f t="shared" si="1"/>
        <v>8.8999999999999986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6683.4919168591223</v>
      </c>
      <c r="G34" s="28">
        <f>(G33*G30)/0.866</f>
        <v>6821.7090069284059</v>
      </c>
      <c r="H34" s="28">
        <f t="shared" ref="H34:Q34" si="2">(H33*H30)/0.866</f>
        <v>0</v>
      </c>
      <c r="I34" s="28">
        <f t="shared" si="2"/>
        <v>6458.7528868360287</v>
      </c>
      <c r="J34" s="28">
        <f t="shared" si="2"/>
        <v>0</v>
      </c>
      <c r="K34" s="28">
        <f t="shared" si="2"/>
        <v>6550.6466512702073</v>
      </c>
      <c r="L34" s="28">
        <f>(L33*L30)/0.866</f>
        <v>0</v>
      </c>
      <c r="M34" s="28">
        <f>(M33*M30)/0.866</f>
        <v>6709.7459584295621</v>
      </c>
      <c r="N34" s="28">
        <f>(N33*N30)/0.866</f>
        <v>6789.644341801386</v>
      </c>
      <c r="O34" s="28">
        <f>(O33*O30)/0.866</f>
        <v>6897.678983833719</v>
      </c>
      <c r="P34" s="28">
        <f t="shared" si="2"/>
        <v>0</v>
      </c>
      <c r="Q34" s="28">
        <f t="shared" si="2"/>
        <v>6566.0623556581977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>
        <v>0.79</v>
      </c>
      <c r="G35" s="20">
        <v>0.78</v>
      </c>
      <c r="H35" s="21"/>
      <c r="I35" s="21">
        <v>0.8</v>
      </c>
      <c r="J35" s="20"/>
      <c r="K35" s="20">
        <v>0.8</v>
      </c>
      <c r="L35" s="21"/>
      <c r="M35" s="21">
        <v>0.78</v>
      </c>
      <c r="N35" s="20">
        <v>0.78</v>
      </c>
      <c r="O35" s="20">
        <v>0.77</v>
      </c>
      <c r="P35" s="21"/>
      <c r="Q35" s="21">
        <v>0.79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>
        <v>34.700000000000003</v>
      </c>
      <c r="G36" s="20">
        <v>34.5</v>
      </c>
      <c r="H36" s="21"/>
      <c r="I36" s="21">
        <v>35</v>
      </c>
      <c r="J36" s="20"/>
      <c r="K36" s="20">
        <v>34.799999999999997</v>
      </c>
      <c r="L36" s="21"/>
      <c r="M36" s="21">
        <v>34.700000000000003</v>
      </c>
      <c r="N36" s="20">
        <v>34.299999999999997</v>
      </c>
      <c r="O36" s="20">
        <v>34.1</v>
      </c>
      <c r="P36" s="21"/>
      <c r="Q36" s="21">
        <v>34.700000000000003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>
        <v>35.4</v>
      </c>
      <c r="G37" s="20">
        <v>35.1</v>
      </c>
      <c r="H37" s="21"/>
      <c r="I37" s="21">
        <v>36</v>
      </c>
      <c r="J37" s="20"/>
      <c r="K37" s="20">
        <v>35.6</v>
      </c>
      <c r="L37" s="21"/>
      <c r="M37" s="21">
        <v>35.1</v>
      </c>
      <c r="N37" s="20">
        <v>34.9</v>
      </c>
      <c r="O37" s="20">
        <v>34.700000000000003</v>
      </c>
      <c r="P37" s="21"/>
      <c r="Q37" s="21">
        <v>35.5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2.3999999999999986</v>
      </c>
      <c r="G38" s="27">
        <f>G37-G41</f>
        <v>1.7000000000000028</v>
      </c>
      <c r="H38" s="27">
        <v>1</v>
      </c>
      <c r="I38" s="27">
        <f t="shared" ref="I38:Q38" si="3">I37-I41</f>
        <v>3.2999999999999972</v>
      </c>
      <c r="J38" s="27">
        <f t="shared" si="3"/>
        <v>0</v>
      </c>
      <c r="K38" s="27">
        <f t="shared" si="3"/>
        <v>2.2000000000000028</v>
      </c>
      <c r="L38" s="27">
        <f>L37-L41</f>
        <v>0</v>
      </c>
      <c r="M38" s="27">
        <f>M37-M41</f>
        <v>2.3000000000000043</v>
      </c>
      <c r="N38" s="27">
        <f>N37-N41</f>
        <v>2.3999999999999986</v>
      </c>
      <c r="O38" s="27">
        <f>O37-O41</f>
        <v>1.6000000000000014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>
        <v>27.8</v>
      </c>
      <c r="G40" s="20">
        <v>27.9</v>
      </c>
      <c r="H40" s="21"/>
      <c r="I40" s="21">
        <v>27.8</v>
      </c>
      <c r="J40" s="20"/>
      <c r="K40" s="20">
        <v>27.2</v>
      </c>
      <c r="L40" s="21"/>
      <c r="M40" s="21">
        <v>27.8</v>
      </c>
      <c r="N40" s="20">
        <v>27.5</v>
      </c>
      <c r="O40" s="20">
        <v>27.5</v>
      </c>
      <c r="P40" s="21"/>
      <c r="Q40" s="21">
        <v>27.6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>
        <v>33</v>
      </c>
      <c r="G41" s="20">
        <v>33.4</v>
      </c>
      <c r="H41" s="21"/>
      <c r="I41" s="21">
        <v>32.700000000000003</v>
      </c>
      <c r="J41" s="20"/>
      <c r="K41" s="20">
        <v>33.4</v>
      </c>
      <c r="L41" s="21"/>
      <c r="M41" s="21">
        <v>32.799999999999997</v>
      </c>
      <c r="N41" s="20">
        <v>32.5</v>
      </c>
      <c r="O41" s="20">
        <v>33.1</v>
      </c>
      <c r="P41" s="21"/>
      <c r="Q41" s="21">
        <v>33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5.1999999999999993</v>
      </c>
      <c r="G42" s="27">
        <f>G41-G40</f>
        <v>5.5</v>
      </c>
      <c r="H42" s="27">
        <f t="shared" ref="H42:Q42" si="4">H41-H40</f>
        <v>0</v>
      </c>
      <c r="I42" s="27">
        <f t="shared" si="4"/>
        <v>4.9000000000000021</v>
      </c>
      <c r="J42" s="27">
        <f t="shared" si="4"/>
        <v>0</v>
      </c>
      <c r="K42" s="27">
        <f t="shared" si="4"/>
        <v>6.1999999999999993</v>
      </c>
      <c r="L42" s="27">
        <f>L41-L40</f>
        <v>0</v>
      </c>
      <c r="M42" s="27">
        <f>M41-M40</f>
        <v>4.9999999999999964</v>
      </c>
      <c r="N42" s="27">
        <f>N41-N40</f>
        <v>5</v>
      </c>
      <c r="O42" s="27">
        <f>O41-O40</f>
        <v>5.6000000000000014</v>
      </c>
      <c r="P42" s="27">
        <f t="shared" si="4"/>
        <v>0</v>
      </c>
      <c r="Q42" s="27">
        <f t="shared" si="4"/>
        <v>5.3999999999999986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>
        <v>1292.06</v>
      </c>
      <c r="G43" s="20">
        <v>1295.8</v>
      </c>
      <c r="H43" s="21"/>
      <c r="I43" s="21">
        <v>1300.5999999999999</v>
      </c>
      <c r="J43" s="20"/>
      <c r="K43" s="20">
        <v>1295.8</v>
      </c>
      <c r="L43" s="21"/>
      <c r="M43" s="20">
        <v>1293.0999999999999</v>
      </c>
      <c r="N43" s="20">
        <v>1297.3800000000001</v>
      </c>
      <c r="O43" s="20">
        <v>1285.4000000000001</v>
      </c>
      <c r="P43" s="21"/>
      <c r="Q43" s="21">
        <v>1296.4000000000001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7758.3279445727467</v>
      </c>
      <c r="G44" s="28">
        <f>G42*G43/0.866</f>
        <v>8229.676674364895</v>
      </c>
      <c r="H44" s="28">
        <f t="shared" ref="H44:Q44" si="5">H42*H43/0.866</f>
        <v>0</v>
      </c>
      <c r="I44" s="28">
        <f t="shared" si="5"/>
        <v>7359.0531177829125</v>
      </c>
      <c r="J44" s="28">
        <f t="shared" si="5"/>
        <v>0</v>
      </c>
      <c r="K44" s="28">
        <f t="shared" si="5"/>
        <v>9277.0900692840642</v>
      </c>
      <c r="L44" s="28">
        <f>L42*L43/0.866</f>
        <v>0</v>
      </c>
      <c r="M44" s="28">
        <f>M42*M43/0.866</f>
        <v>7465.9353348729728</v>
      </c>
      <c r="N44" s="28">
        <f>N42*N43/0.866</f>
        <v>7490.6466512702082</v>
      </c>
      <c r="O44" s="28">
        <f>O42*O43/0.866</f>
        <v>8312.0554272517347</v>
      </c>
      <c r="P44" s="28">
        <f t="shared" si="5"/>
        <v>0</v>
      </c>
      <c r="Q44" s="28">
        <f t="shared" si="5"/>
        <v>8083.787528868359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>
        <v>0.45</v>
      </c>
      <c r="G45" s="20">
        <v>0.45</v>
      </c>
      <c r="H45" s="21"/>
      <c r="I45" s="21">
        <v>0.44</v>
      </c>
      <c r="J45" s="20"/>
      <c r="K45" s="20">
        <v>0.45</v>
      </c>
      <c r="L45" s="21"/>
      <c r="M45" s="21">
        <v>0.45</v>
      </c>
      <c r="N45" s="20">
        <v>0.44</v>
      </c>
      <c r="O45" s="20">
        <v>0.44</v>
      </c>
      <c r="P45" s="21"/>
      <c r="Q45" s="21">
        <v>0.45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>
        <v>19.3</v>
      </c>
      <c r="G46" s="20">
        <v>18.899999999999999</v>
      </c>
      <c r="H46" s="21"/>
      <c r="I46" s="21">
        <v>18.2</v>
      </c>
      <c r="J46" s="20"/>
      <c r="K46" s="20">
        <v>19</v>
      </c>
      <c r="L46" s="21"/>
      <c r="M46" s="21">
        <v>19.100000000000001</v>
      </c>
      <c r="N46" s="20">
        <v>18.5</v>
      </c>
      <c r="O46" s="20">
        <v>18.100000000000001</v>
      </c>
      <c r="P46" s="21"/>
      <c r="Q46" s="21">
        <v>18.899999999999999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>
        <v>191.8</v>
      </c>
      <c r="G47" s="20">
        <v>201.7</v>
      </c>
      <c r="H47" s="21"/>
      <c r="I47" s="21">
        <v>117.8</v>
      </c>
      <c r="J47" s="20"/>
      <c r="K47" s="20">
        <v>200.8</v>
      </c>
      <c r="L47" s="21"/>
      <c r="M47" s="21">
        <v>206.4</v>
      </c>
      <c r="N47" s="20">
        <v>159.9</v>
      </c>
      <c r="O47" s="20">
        <v>160</v>
      </c>
      <c r="P47" s="21"/>
      <c r="Q47" s="21">
        <v>199.8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43">
        <v>5.89</v>
      </c>
      <c r="F49" s="20">
        <v>6.09</v>
      </c>
      <c r="G49" s="20">
        <v>6.04</v>
      </c>
      <c r="H49" s="21"/>
      <c r="I49" s="21">
        <v>5.72</v>
      </c>
      <c r="J49" s="20"/>
      <c r="K49" s="20">
        <v>5.9</v>
      </c>
      <c r="L49" s="21"/>
      <c r="M49" s="21">
        <v>6</v>
      </c>
      <c r="N49" s="20">
        <v>5.93</v>
      </c>
      <c r="O49" s="20">
        <v>5.68</v>
      </c>
      <c r="P49" s="21"/>
      <c r="Q49" s="21">
        <v>5.33</v>
      </c>
    </row>
    <row r="50" spans="2:17" ht="20.100000000000001" customHeight="1">
      <c r="B50" s="92" t="s">
        <v>91</v>
      </c>
      <c r="C50" s="92"/>
      <c r="D50" s="92"/>
      <c r="E50" s="43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42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B1" zoomScale="85" zoomScaleNormal="60" workbookViewId="0">
      <selection activeCell="Q19" sqref="Q1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45754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47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74.3</v>
      </c>
      <c r="G11" s="20">
        <v>71.400000000000006</v>
      </c>
      <c r="H11" s="21"/>
      <c r="I11" s="21">
        <v>83.2</v>
      </c>
      <c r="J11" s="20"/>
      <c r="K11" s="20">
        <v>73.8</v>
      </c>
      <c r="L11" s="21"/>
      <c r="M11" s="21">
        <v>74.599999999999994</v>
      </c>
      <c r="N11" s="20">
        <v>80.400000000000006</v>
      </c>
      <c r="O11" s="20">
        <v>77.400000000000006</v>
      </c>
      <c r="P11" s="21"/>
      <c r="Q11" s="21">
        <v>75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0.6</v>
      </c>
      <c r="G12" s="20">
        <v>0.6</v>
      </c>
      <c r="H12" s="21"/>
      <c r="I12" s="21">
        <v>0</v>
      </c>
      <c r="J12" s="20"/>
      <c r="K12" s="20">
        <v>0</v>
      </c>
      <c r="L12" s="21"/>
      <c r="M12" s="21">
        <v>0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70</v>
      </c>
      <c r="G13" s="20">
        <v>65.900000000000006</v>
      </c>
      <c r="H13" s="21"/>
      <c r="I13" s="21">
        <v>80</v>
      </c>
      <c r="J13" s="20"/>
      <c r="K13" s="20">
        <v>70.5</v>
      </c>
      <c r="L13" s="21"/>
      <c r="M13" s="21">
        <v>69.2</v>
      </c>
      <c r="N13" s="20">
        <v>76.5</v>
      </c>
      <c r="O13" s="20">
        <v>72.3</v>
      </c>
      <c r="P13" s="21"/>
      <c r="Q13" s="21">
        <v>70.2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63.3</v>
      </c>
      <c r="G14" s="20">
        <v>67.3</v>
      </c>
      <c r="H14" s="21"/>
      <c r="I14" s="21">
        <v>67.900000000000006</v>
      </c>
      <c r="J14" s="20"/>
      <c r="K14" s="20">
        <v>65.2</v>
      </c>
      <c r="L14" s="21"/>
      <c r="M14" s="21">
        <v>66.8</v>
      </c>
      <c r="N14" s="20">
        <v>69.3</v>
      </c>
      <c r="O14" s="20">
        <v>72.599999999999994</v>
      </c>
      <c r="P14" s="21"/>
      <c r="Q14" s="21">
        <v>70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39.299999999999997</v>
      </c>
      <c r="G15" s="20">
        <v>36.799999999999997</v>
      </c>
      <c r="H15" s="21"/>
      <c r="I15" s="21">
        <v>52.2</v>
      </c>
      <c r="J15" s="20"/>
      <c r="K15" s="20">
        <v>41.4</v>
      </c>
      <c r="L15" s="21"/>
      <c r="M15" s="21">
        <v>32.4</v>
      </c>
      <c r="N15" s="20">
        <v>56.8</v>
      </c>
      <c r="O15" s="20">
        <v>55.4</v>
      </c>
      <c r="P15" s="21"/>
      <c r="Q15" s="21">
        <v>41.1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>
        <v>118.1</v>
      </c>
      <c r="G17" s="20">
        <v>114.3</v>
      </c>
      <c r="H17" s="21"/>
      <c r="I17" s="21">
        <v>116.3</v>
      </c>
      <c r="J17" s="20"/>
      <c r="K17" s="20">
        <v>115.9</v>
      </c>
      <c r="L17" s="21"/>
      <c r="M17" s="21">
        <v>114.2</v>
      </c>
      <c r="N17" s="20">
        <v>119.4</v>
      </c>
      <c r="O17" s="20">
        <v>116.4</v>
      </c>
      <c r="P17" s="21"/>
      <c r="Q17" s="21">
        <v>115.8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>
        <v>1167</v>
      </c>
      <c r="G18" s="20">
        <v>1133</v>
      </c>
      <c r="H18" s="21"/>
      <c r="I18" s="21">
        <v>1193</v>
      </c>
      <c r="J18" s="20"/>
      <c r="K18" s="20">
        <v>1191</v>
      </c>
      <c r="L18" s="21"/>
      <c r="M18" s="21">
        <v>1169</v>
      </c>
      <c r="N18" s="20">
        <v>1224</v>
      </c>
      <c r="O18" s="20">
        <v>1194</v>
      </c>
      <c r="P18" s="21"/>
      <c r="Q18" s="21">
        <v>1187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>
        <v>49811.199999999997</v>
      </c>
      <c r="G19" s="20">
        <v>49801.9</v>
      </c>
      <c r="H19" s="21"/>
      <c r="I19" s="21">
        <v>51053</v>
      </c>
      <c r="J19" s="20"/>
      <c r="K19" s="20">
        <v>48739.3</v>
      </c>
      <c r="L19" s="21"/>
      <c r="M19" s="21">
        <v>51128.5</v>
      </c>
      <c r="N19" s="20">
        <v>50306.6</v>
      </c>
      <c r="O19" s="20">
        <v>50297.4</v>
      </c>
      <c r="P19" s="21"/>
      <c r="Q19" s="21">
        <v>50413.5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>
        <v>58.1</v>
      </c>
      <c r="G22" s="20">
        <v>58.1</v>
      </c>
      <c r="H22" s="21"/>
      <c r="I22" s="21">
        <v>59.1</v>
      </c>
      <c r="J22" s="20"/>
      <c r="K22" s="20">
        <v>57.7</v>
      </c>
      <c r="L22" s="21"/>
      <c r="M22" s="21">
        <v>57.2</v>
      </c>
      <c r="N22" s="20">
        <v>58.3</v>
      </c>
      <c r="O22" s="20">
        <v>58.4</v>
      </c>
      <c r="P22" s="21"/>
      <c r="Q22" s="21">
        <v>59.2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>
        <v>0.52</v>
      </c>
      <c r="G23" s="20">
        <v>0.52</v>
      </c>
      <c r="H23" s="21"/>
      <c r="I23" s="21">
        <v>0.48</v>
      </c>
      <c r="J23" s="20"/>
      <c r="K23" s="20">
        <v>0.57999999999999996</v>
      </c>
      <c r="L23" s="21"/>
      <c r="M23" s="21">
        <v>0.52</v>
      </c>
      <c r="N23" s="20">
        <v>0.47</v>
      </c>
      <c r="O23" s="20">
        <v>0.47</v>
      </c>
      <c r="P23" s="21"/>
      <c r="Q23" s="21">
        <v>0.49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>
        <v>45.1</v>
      </c>
      <c r="G25" s="20">
        <v>45.1</v>
      </c>
      <c r="H25" s="21"/>
      <c r="I25" s="21">
        <v>44.9</v>
      </c>
      <c r="J25" s="20"/>
      <c r="K25" s="20">
        <v>45</v>
      </c>
      <c r="L25" s="21"/>
      <c r="M25" s="21">
        <v>44.9</v>
      </c>
      <c r="N25" s="20">
        <v>45.1</v>
      </c>
      <c r="O25" s="20">
        <v>45.1</v>
      </c>
      <c r="P25" s="21"/>
      <c r="Q25" s="21">
        <v>44.9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>
        <v>0.22</v>
      </c>
      <c r="G26" s="20">
        <v>0.22</v>
      </c>
      <c r="H26" s="21"/>
      <c r="I26" s="21">
        <v>0.21</v>
      </c>
      <c r="J26" s="20"/>
      <c r="K26" s="20">
        <v>0.22</v>
      </c>
      <c r="L26" s="21"/>
      <c r="M26" s="21">
        <v>0.22</v>
      </c>
      <c r="N26" s="20">
        <v>0.22</v>
      </c>
      <c r="O26" s="20">
        <v>0.22</v>
      </c>
      <c r="P26" s="21"/>
      <c r="Q26" s="21">
        <v>0.22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>
        <v>3.9</v>
      </c>
      <c r="G27" s="20">
        <v>3.8</v>
      </c>
      <c r="H27" s="21"/>
      <c r="I27" s="21">
        <v>2.6</v>
      </c>
      <c r="J27" s="20"/>
      <c r="K27" s="20">
        <v>4</v>
      </c>
      <c r="L27" s="21"/>
      <c r="M27" s="21">
        <v>3.7</v>
      </c>
      <c r="N27" s="20">
        <v>3.9</v>
      </c>
      <c r="O27" s="20">
        <v>3.7</v>
      </c>
      <c r="P27" s="21"/>
      <c r="Q27" s="21">
        <v>4.0999999999999996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>
        <v>3.2</v>
      </c>
      <c r="G28" s="20">
        <v>3.2</v>
      </c>
      <c r="H28" s="21"/>
      <c r="I28" s="21">
        <v>1.7</v>
      </c>
      <c r="J28" s="20"/>
      <c r="K28" s="20">
        <v>3</v>
      </c>
      <c r="L28" s="21"/>
      <c r="M28" s="21">
        <v>2.7</v>
      </c>
      <c r="N28" s="20">
        <v>2.6</v>
      </c>
      <c r="O28" s="20">
        <v>2.8</v>
      </c>
      <c r="P28" s="21"/>
      <c r="Q28" s="21">
        <v>3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1.0999999999999996</v>
      </c>
      <c r="G29" s="27">
        <f>G32-G28</f>
        <v>0.89999999999999947</v>
      </c>
      <c r="H29" s="27">
        <f t="shared" ref="H29:Q29" si="0">H32-H28</f>
        <v>0</v>
      </c>
      <c r="I29" s="27">
        <f t="shared" si="0"/>
        <v>2.5</v>
      </c>
      <c r="J29" s="27">
        <f t="shared" si="0"/>
        <v>0</v>
      </c>
      <c r="K29" s="27">
        <f t="shared" si="0"/>
        <v>0.89999999999999991</v>
      </c>
      <c r="L29" s="27">
        <f>L32-L28</f>
        <v>0</v>
      </c>
      <c r="M29" s="27">
        <f>M32-M28</f>
        <v>1.1999999999999997</v>
      </c>
      <c r="N29" s="27">
        <f>N32-N28</f>
        <v>1.6</v>
      </c>
      <c r="O29" s="27">
        <f>O32-O28</f>
        <v>1.1000000000000001</v>
      </c>
      <c r="P29" s="27">
        <f t="shared" si="0"/>
        <v>0</v>
      </c>
      <c r="Q29" s="27">
        <f t="shared" si="0"/>
        <v>1.2000000000000002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>
        <v>692.7</v>
      </c>
      <c r="G30" s="20">
        <v>652</v>
      </c>
      <c r="H30" s="21"/>
      <c r="I30" s="21">
        <v>639.5</v>
      </c>
      <c r="J30" s="20"/>
      <c r="K30" s="20">
        <v>640.79999999999995</v>
      </c>
      <c r="L30" s="21"/>
      <c r="M30" s="21">
        <v>637.20000000000005</v>
      </c>
      <c r="N30" s="20">
        <v>690.9</v>
      </c>
      <c r="O30" s="20">
        <v>640.70000000000005</v>
      </c>
      <c r="P30" s="21"/>
      <c r="Q30" s="21">
        <v>639.5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>
        <v>12.7</v>
      </c>
      <c r="G31" s="20">
        <v>13.2</v>
      </c>
      <c r="H31" s="21"/>
      <c r="I31" s="21">
        <v>13</v>
      </c>
      <c r="J31" s="20"/>
      <c r="K31" s="20">
        <v>13</v>
      </c>
      <c r="L31" s="21"/>
      <c r="M31" s="21">
        <v>13.2</v>
      </c>
      <c r="N31" s="20">
        <v>12.8</v>
      </c>
      <c r="O31" s="20">
        <v>13.2</v>
      </c>
      <c r="P31" s="21"/>
      <c r="Q31" s="21">
        <v>12.6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>
        <v>4.3</v>
      </c>
      <c r="G32" s="20">
        <v>4.0999999999999996</v>
      </c>
      <c r="H32" s="21"/>
      <c r="I32" s="21">
        <v>4.2</v>
      </c>
      <c r="J32" s="20"/>
      <c r="K32" s="20">
        <v>3.9</v>
      </c>
      <c r="L32" s="21"/>
      <c r="M32" s="21">
        <v>3.9</v>
      </c>
      <c r="N32" s="20">
        <v>4.2</v>
      </c>
      <c r="O32" s="20">
        <v>3.9</v>
      </c>
      <c r="P32" s="21"/>
      <c r="Q32" s="21">
        <v>4.2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8.3999999999999986</v>
      </c>
      <c r="G33" s="27">
        <f>G31-G32</f>
        <v>9.1</v>
      </c>
      <c r="H33" s="27">
        <f t="shared" ref="H33:Q33" si="1">H31-H32</f>
        <v>0</v>
      </c>
      <c r="I33" s="27">
        <f t="shared" si="1"/>
        <v>8.8000000000000007</v>
      </c>
      <c r="J33" s="27">
        <f t="shared" si="1"/>
        <v>0</v>
      </c>
      <c r="K33" s="27">
        <f t="shared" si="1"/>
        <v>9.1</v>
      </c>
      <c r="L33" s="27">
        <f>L31-L32</f>
        <v>0</v>
      </c>
      <c r="M33" s="27">
        <f>M31-M32</f>
        <v>9.2999999999999989</v>
      </c>
      <c r="N33" s="27">
        <f>N31-N32</f>
        <v>8.6000000000000014</v>
      </c>
      <c r="O33" s="27">
        <f>O31-O32</f>
        <v>9.2999999999999989</v>
      </c>
      <c r="P33" s="27">
        <f t="shared" si="1"/>
        <v>0</v>
      </c>
      <c r="Q33" s="27">
        <f t="shared" si="1"/>
        <v>8.3999999999999986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6719.0300230946877</v>
      </c>
      <c r="G34" s="28">
        <f>(G33*G30)/0.866</f>
        <v>6851.2702078521943</v>
      </c>
      <c r="H34" s="28">
        <f t="shared" ref="H34:Q34" si="2">(H33*H30)/0.866</f>
        <v>0</v>
      </c>
      <c r="I34" s="28">
        <f t="shared" si="2"/>
        <v>6498.3833718244805</v>
      </c>
      <c r="J34" s="28">
        <f t="shared" si="2"/>
        <v>0</v>
      </c>
      <c r="K34" s="28">
        <f t="shared" si="2"/>
        <v>6733.5796766743642</v>
      </c>
      <c r="L34" s="28">
        <f>(L33*L30)/0.866</f>
        <v>0</v>
      </c>
      <c r="M34" s="28">
        <f>(M33*M30)/0.866</f>
        <v>6842.9099307159358</v>
      </c>
      <c r="N34" s="28">
        <f>(N33*N30)/0.866</f>
        <v>6861.1316397228647</v>
      </c>
      <c r="O34" s="28">
        <f>(O33*O30)/0.866</f>
        <v>6880.4965357967658</v>
      </c>
      <c r="P34" s="28">
        <f t="shared" si="2"/>
        <v>0</v>
      </c>
      <c r="Q34" s="28">
        <f t="shared" si="2"/>
        <v>6203.0023094688213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>
        <v>0.81</v>
      </c>
      <c r="G35" s="20">
        <v>0.8</v>
      </c>
      <c r="H35" s="21"/>
      <c r="I35" s="21">
        <v>0.82</v>
      </c>
      <c r="J35" s="20"/>
      <c r="K35" s="20">
        <v>0.81</v>
      </c>
      <c r="L35" s="21"/>
      <c r="M35" s="21">
        <v>0.8</v>
      </c>
      <c r="N35" s="20">
        <v>0.66</v>
      </c>
      <c r="O35" s="20">
        <v>0.76</v>
      </c>
      <c r="P35" s="21"/>
      <c r="Q35" s="21">
        <v>0.81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>
        <v>35.9</v>
      </c>
      <c r="G36" s="20">
        <v>35.1</v>
      </c>
      <c r="H36" s="21"/>
      <c r="I36" s="21">
        <v>35.700000000000003</v>
      </c>
      <c r="J36" s="20"/>
      <c r="K36" s="20">
        <v>35.5</v>
      </c>
      <c r="L36" s="21"/>
      <c r="M36" s="21">
        <v>35.4</v>
      </c>
      <c r="N36" s="20">
        <v>35.299999999999997</v>
      </c>
      <c r="O36" s="20">
        <v>34.700000000000003</v>
      </c>
      <c r="P36" s="21"/>
      <c r="Q36" s="21">
        <v>35.4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>
        <v>36.799999999999997</v>
      </c>
      <c r="G37" s="20">
        <v>35.6</v>
      </c>
      <c r="H37" s="21"/>
      <c r="I37" s="21">
        <v>36.5</v>
      </c>
      <c r="J37" s="20"/>
      <c r="K37" s="20">
        <v>36.200000000000003</v>
      </c>
      <c r="L37" s="21"/>
      <c r="M37" s="21">
        <v>35.9</v>
      </c>
      <c r="N37" s="20">
        <v>35.9</v>
      </c>
      <c r="O37" s="20">
        <v>35.200000000000003</v>
      </c>
      <c r="P37" s="21"/>
      <c r="Q37" s="21">
        <v>36.200000000000003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2.1999999999999957</v>
      </c>
      <c r="G38" s="27">
        <f>G37-G41</f>
        <v>1.7000000000000028</v>
      </c>
      <c r="H38" s="27">
        <f>H37-H41</f>
        <v>0</v>
      </c>
      <c r="I38" s="27">
        <f>I37-I41</f>
        <v>3.2000000000000028</v>
      </c>
      <c r="J38" s="27">
        <f t="shared" ref="J38:Q38" si="3">J37-J41</f>
        <v>0</v>
      </c>
      <c r="K38" s="27">
        <f t="shared" si="3"/>
        <v>2.1000000000000014</v>
      </c>
      <c r="L38" s="27">
        <f>L37-L41</f>
        <v>0</v>
      </c>
      <c r="M38" s="27">
        <f>M37-M41</f>
        <v>2.2999999999999972</v>
      </c>
      <c r="N38" s="27">
        <f>N37-N41</f>
        <v>1.6000000000000014</v>
      </c>
      <c r="O38" s="27">
        <f>O37-O41</f>
        <v>1.6000000000000014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>
        <v>29</v>
      </c>
      <c r="G40" s="20">
        <v>28.6</v>
      </c>
      <c r="H40" s="21"/>
      <c r="I40" s="21">
        <v>28.4</v>
      </c>
      <c r="J40" s="20"/>
      <c r="K40" s="20">
        <v>28.6</v>
      </c>
      <c r="L40" s="21"/>
      <c r="M40" s="21">
        <v>28.5</v>
      </c>
      <c r="N40" s="20">
        <v>29</v>
      </c>
      <c r="O40" s="20">
        <v>28.4</v>
      </c>
      <c r="P40" s="21"/>
      <c r="Q40" s="21">
        <v>28.3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>
        <v>34.6</v>
      </c>
      <c r="G41" s="20">
        <v>33.9</v>
      </c>
      <c r="H41" s="21"/>
      <c r="I41" s="21">
        <v>33.299999999999997</v>
      </c>
      <c r="J41" s="20"/>
      <c r="K41" s="20">
        <v>34.1</v>
      </c>
      <c r="L41" s="21"/>
      <c r="M41" s="21">
        <v>33.6</v>
      </c>
      <c r="N41" s="20">
        <v>34.299999999999997</v>
      </c>
      <c r="O41" s="20">
        <v>33.6</v>
      </c>
      <c r="P41" s="21"/>
      <c r="Q41" s="21">
        <v>33.700000000000003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5.6000000000000014</v>
      </c>
      <c r="G42" s="27">
        <f>G41-G40</f>
        <v>5.2999999999999972</v>
      </c>
      <c r="H42" s="27">
        <f t="shared" ref="H42:Q42" si="4">H41-H40</f>
        <v>0</v>
      </c>
      <c r="I42" s="27">
        <f t="shared" si="4"/>
        <v>4.8999999999999986</v>
      </c>
      <c r="J42" s="27">
        <f t="shared" si="4"/>
        <v>0</v>
      </c>
      <c r="K42" s="27">
        <f t="shared" si="4"/>
        <v>5.5</v>
      </c>
      <c r="L42" s="27">
        <f>L41-L40</f>
        <v>0</v>
      </c>
      <c r="M42" s="27">
        <f>M41-M40</f>
        <v>5.1000000000000014</v>
      </c>
      <c r="N42" s="27">
        <f>N41-N40</f>
        <v>5.2999999999999972</v>
      </c>
      <c r="O42" s="27">
        <f>O41-O40</f>
        <v>5.2000000000000028</v>
      </c>
      <c r="P42" s="27">
        <f t="shared" si="4"/>
        <v>0</v>
      </c>
      <c r="Q42" s="27">
        <f t="shared" si="4"/>
        <v>5.4000000000000021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>
        <v>1296.2</v>
      </c>
      <c r="G43" s="20">
        <v>1290.0999999999999</v>
      </c>
      <c r="H43" s="21"/>
      <c r="I43" s="21">
        <v>1303</v>
      </c>
      <c r="J43" s="20"/>
      <c r="K43" s="20">
        <v>1296.3</v>
      </c>
      <c r="L43" s="21"/>
      <c r="M43" s="20">
        <v>1298.4000000000001</v>
      </c>
      <c r="N43" s="20">
        <v>1293.8</v>
      </c>
      <c r="O43" s="20">
        <v>1293.7</v>
      </c>
      <c r="P43" s="21"/>
      <c r="Q43" s="21">
        <v>1297.5999999999999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8381.8937644341822</v>
      </c>
      <c r="G44" s="28">
        <f>G42*G43/0.866</f>
        <v>7895.5311778290952</v>
      </c>
      <c r="H44" s="28">
        <f t="shared" ref="H44:Q44" si="5">H42*H43/0.866</f>
        <v>0</v>
      </c>
      <c r="I44" s="28">
        <f t="shared" si="5"/>
        <v>7372.6327944572722</v>
      </c>
      <c r="J44" s="28">
        <f t="shared" si="5"/>
        <v>0</v>
      </c>
      <c r="K44" s="28">
        <f t="shared" si="5"/>
        <v>8232.8521939953807</v>
      </c>
      <c r="L44" s="28">
        <f>L42*L43/0.866</f>
        <v>0</v>
      </c>
      <c r="M44" s="28">
        <f>M42*M43/0.866</f>
        <v>7646.4665127020808</v>
      </c>
      <c r="N44" s="28">
        <f>N42*N43/0.866</f>
        <v>7918.1755196304803</v>
      </c>
      <c r="O44" s="28">
        <f>O42*O43/0.866</f>
        <v>7768.1755196304903</v>
      </c>
      <c r="P44" s="28">
        <f t="shared" si="5"/>
        <v>0</v>
      </c>
      <c r="Q44" s="28">
        <f t="shared" si="5"/>
        <v>8091.270207852197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>
        <v>0.46</v>
      </c>
      <c r="G45" s="20">
        <v>0.45</v>
      </c>
      <c r="H45" s="21"/>
      <c r="I45" s="21">
        <v>0.44</v>
      </c>
      <c r="J45" s="20"/>
      <c r="K45" s="20">
        <v>0.45</v>
      </c>
      <c r="L45" s="21"/>
      <c r="M45" s="21">
        <v>0.45</v>
      </c>
      <c r="N45" s="20">
        <v>0.45</v>
      </c>
      <c r="O45" s="20">
        <v>0.44</v>
      </c>
      <c r="P45" s="21"/>
      <c r="Q45" s="21">
        <v>0.46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>
        <v>19.3</v>
      </c>
      <c r="G46" s="20">
        <v>19.2</v>
      </c>
      <c r="H46" s="21"/>
      <c r="I46" s="21">
        <v>18.8</v>
      </c>
      <c r="J46" s="20"/>
      <c r="K46" s="20">
        <v>19</v>
      </c>
      <c r="L46" s="21"/>
      <c r="M46" s="21">
        <v>19.2</v>
      </c>
      <c r="N46" s="20">
        <v>18.8</v>
      </c>
      <c r="O46" s="20">
        <v>18.5</v>
      </c>
      <c r="P46" s="21"/>
      <c r="Q46" s="21">
        <v>19.100000000000001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>
        <v>192.9</v>
      </c>
      <c r="G47" s="20">
        <v>198.8</v>
      </c>
      <c r="H47" s="21"/>
      <c r="I47" s="21">
        <v>132.5</v>
      </c>
      <c r="J47" s="20"/>
      <c r="K47" s="20">
        <v>197.4</v>
      </c>
      <c r="L47" s="21"/>
      <c r="M47" s="21">
        <v>211.5</v>
      </c>
      <c r="N47" s="20">
        <v>158.19999999999999</v>
      </c>
      <c r="O47" s="20">
        <v>163.69999999999999</v>
      </c>
      <c r="P47" s="21"/>
      <c r="Q47" s="21">
        <v>198.5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47">
        <v>5.89</v>
      </c>
      <c r="F49" s="20">
        <v>5.51</v>
      </c>
      <c r="G49" s="20">
        <v>5.95</v>
      </c>
      <c r="H49" s="21"/>
      <c r="I49" s="21">
        <v>5.47</v>
      </c>
      <c r="J49" s="20"/>
      <c r="K49" s="20">
        <v>5.65</v>
      </c>
      <c r="L49" s="21"/>
      <c r="M49" s="21">
        <v>5.88</v>
      </c>
      <c r="N49" s="20">
        <v>5.35</v>
      </c>
      <c r="O49" s="20">
        <v>5.73</v>
      </c>
      <c r="P49" s="21"/>
      <c r="Q49" s="21">
        <v>5.22</v>
      </c>
    </row>
    <row r="50" spans="2:17" ht="20.100000000000001" customHeight="1">
      <c r="B50" s="92" t="s">
        <v>91</v>
      </c>
      <c r="C50" s="92"/>
      <c r="D50" s="92"/>
      <c r="E50" s="47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46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B4" zoomScale="85" zoomScaleNormal="60" workbookViewId="0">
      <selection activeCell="B8" sqref="B8:D8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45755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45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 t="s">
        <v>19</v>
      </c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74</v>
      </c>
      <c r="G11" s="20">
        <v>67.8</v>
      </c>
      <c r="H11" s="21"/>
      <c r="I11" s="21">
        <v>76.400000000000006</v>
      </c>
      <c r="J11" s="20"/>
      <c r="K11" s="20">
        <v>74.7</v>
      </c>
      <c r="L11" s="21"/>
      <c r="M11" s="21">
        <v>73.400000000000006</v>
      </c>
      <c r="N11" s="20">
        <v>76.099999999999994</v>
      </c>
      <c r="O11" s="20">
        <v>71.900000000000006</v>
      </c>
      <c r="P11" s="21"/>
      <c r="Q11" s="21">
        <v>71.099999999999994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0.4</v>
      </c>
      <c r="G12" s="20">
        <v>0.6</v>
      </c>
      <c r="H12" s="21"/>
      <c r="I12" s="21">
        <v>0</v>
      </c>
      <c r="J12" s="20"/>
      <c r="K12" s="20">
        <v>0</v>
      </c>
      <c r="L12" s="21"/>
      <c r="M12" s="21">
        <v>0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69</v>
      </c>
      <c r="G13" s="20">
        <v>60.8</v>
      </c>
      <c r="H13" s="21"/>
      <c r="I13" s="21">
        <v>71.2</v>
      </c>
      <c r="J13" s="20"/>
      <c r="K13" s="20">
        <v>70.099999999999994</v>
      </c>
      <c r="L13" s="21"/>
      <c r="M13" s="21">
        <v>68.8</v>
      </c>
      <c r="N13" s="20">
        <v>70.8</v>
      </c>
      <c r="O13" s="20">
        <v>65.7</v>
      </c>
      <c r="P13" s="21"/>
      <c r="Q13" s="21">
        <v>64.900000000000006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62.2</v>
      </c>
      <c r="G14" s="20">
        <v>69</v>
      </c>
      <c r="H14" s="21"/>
      <c r="I14" s="21">
        <v>69.7</v>
      </c>
      <c r="J14" s="20"/>
      <c r="K14" s="20">
        <v>64.099999999999994</v>
      </c>
      <c r="L14" s="21"/>
      <c r="M14" s="21">
        <v>64.3</v>
      </c>
      <c r="N14" s="20">
        <v>69.099999999999994</v>
      </c>
      <c r="O14" s="20">
        <v>73.3</v>
      </c>
      <c r="P14" s="21"/>
      <c r="Q14" s="21">
        <v>73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39.799999999999997</v>
      </c>
      <c r="G15" s="20">
        <v>35.9</v>
      </c>
      <c r="H15" s="21"/>
      <c r="I15" s="21">
        <v>49</v>
      </c>
      <c r="J15" s="20"/>
      <c r="K15" s="20">
        <v>36.700000000000003</v>
      </c>
      <c r="L15" s="21"/>
      <c r="M15" s="21">
        <v>33.4</v>
      </c>
      <c r="N15" s="20">
        <v>42</v>
      </c>
      <c r="O15" s="20">
        <v>40.9</v>
      </c>
      <c r="P15" s="21"/>
      <c r="Q15" s="21">
        <v>41.5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>
        <v>116.9</v>
      </c>
      <c r="G17" s="20">
        <v>115.8</v>
      </c>
      <c r="H17" s="21"/>
      <c r="I17" s="21">
        <v>116.2</v>
      </c>
      <c r="J17" s="20"/>
      <c r="K17" s="20">
        <v>119</v>
      </c>
      <c r="L17" s="21"/>
      <c r="M17" s="21">
        <v>116.4</v>
      </c>
      <c r="N17" s="20">
        <v>117.2</v>
      </c>
      <c r="O17" s="20">
        <v>117.5</v>
      </c>
      <c r="P17" s="21"/>
      <c r="Q17" s="21">
        <v>116.6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>
        <v>1151</v>
      </c>
      <c r="G18" s="20">
        <v>1138</v>
      </c>
      <c r="H18" s="21"/>
      <c r="I18" s="21">
        <v>1176</v>
      </c>
      <c r="J18" s="20"/>
      <c r="K18" s="20">
        <v>1211</v>
      </c>
      <c r="L18" s="21"/>
      <c r="M18" s="21">
        <v>1178</v>
      </c>
      <c r="N18" s="20">
        <v>1198</v>
      </c>
      <c r="O18" s="20">
        <v>1184</v>
      </c>
      <c r="P18" s="21"/>
      <c r="Q18" s="21">
        <v>1180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>
        <v>49832.2</v>
      </c>
      <c r="G19" s="20">
        <v>49822.7</v>
      </c>
      <c r="H19" s="21"/>
      <c r="I19" s="21">
        <v>21063</v>
      </c>
      <c r="J19" s="20"/>
      <c r="K19" s="20">
        <v>48749</v>
      </c>
      <c r="L19" s="21"/>
      <c r="M19" s="21">
        <v>51138.5</v>
      </c>
      <c r="N19" s="20">
        <v>50433.2</v>
      </c>
      <c r="O19" s="20">
        <v>50316.1</v>
      </c>
      <c r="P19" s="21"/>
      <c r="Q19" s="21">
        <v>50423.5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>
        <v>58.1</v>
      </c>
      <c r="G22" s="20">
        <v>58.2</v>
      </c>
      <c r="H22" s="21"/>
      <c r="I22" s="21">
        <v>59.1</v>
      </c>
      <c r="J22" s="20"/>
      <c r="K22" s="20">
        <v>58</v>
      </c>
      <c r="L22" s="21"/>
      <c r="M22" s="21">
        <v>57.3</v>
      </c>
      <c r="N22" s="20">
        <v>58.9</v>
      </c>
      <c r="O22" s="20">
        <v>59.1</v>
      </c>
      <c r="P22" s="21"/>
      <c r="Q22" s="21">
        <v>58.9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>
        <v>0.52</v>
      </c>
      <c r="G23" s="20">
        <v>0.53</v>
      </c>
      <c r="H23" s="21"/>
      <c r="I23" s="21">
        <v>0.5</v>
      </c>
      <c r="J23" s="20"/>
      <c r="K23" s="20">
        <v>0.59</v>
      </c>
      <c r="L23" s="21"/>
      <c r="M23" s="21">
        <v>0.52</v>
      </c>
      <c r="N23" s="20">
        <v>49</v>
      </c>
      <c r="O23" s="20">
        <v>0.5</v>
      </c>
      <c r="P23" s="21"/>
      <c r="Q23" s="21">
        <v>0.5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>
        <v>44.9</v>
      </c>
      <c r="G25" s="20">
        <v>44.8</v>
      </c>
      <c r="H25" s="21"/>
      <c r="I25" s="21">
        <v>44.7</v>
      </c>
      <c r="J25" s="20"/>
      <c r="K25" s="20">
        <v>45</v>
      </c>
      <c r="L25" s="21"/>
      <c r="M25" s="21">
        <v>45.1</v>
      </c>
      <c r="N25" s="20">
        <v>45.1</v>
      </c>
      <c r="O25" s="20">
        <v>45.2</v>
      </c>
      <c r="P25" s="21"/>
      <c r="Q25" s="21">
        <v>45.1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>
        <v>0.22</v>
      </c>
      <c r="G26" s="20">
        <v>0.25</v>
      </c>
      <c r="H26" s="21"/>
      <c r="I26" s="21">
        <v>0.22</v>
      </c>
      <c r="J26" s="20"/>
      <c r="K26" s="20">
        <v>0.21</v>
      </c>
      <c r="L26" s="21"/>
      <c r="M26" s="21">
        <v>0.22</v>
      </c>
      <c r="N26" s="20">
        <v>0.22</v>
      </c>
      <c r="O26" s="20">
        <v>0.23</v>
      </c>
      <c r="P26" s="21"/>
      <c r="Q26" s="21">
        <v>0.23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>
        <v>3.7</v>
      </c>
      <c r="G27" s="20">
        <v>4.7</v>
      </c>
      <c r="H27" s="21"/>
      <c r="I27" s="21">
        <v>3.7</v>
      </c>
      <c r="J27" s="20"/>
      <c r="K27" s="20">
        <v>4.4000000000000004</v>
      </c>
      <c r="L27" s="21"/>
      <c r="M27" s="21">
        <v>4</v>
      </c>
      <c r="N27" s="20">
        <v>4.4000000000000004</v>
      </c>
      <c r="O27" s="20">
        <v>4.9000000000000004</v>
      </c>
      <c r="P27" s="21"/>
      <c r="Q27" s="21">
        <v>4.8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>
        <v>3.2</v>
      </c>
      <c r="G28" s="20">
        <v>4.0999999999999996</v>
      </c>
      <c r="H28" s="21"/>
      <c r="I28" s="21">
        <v>2.9</v>
      </c>
      <c r="J28" s="20"/>
      <c r="K28" s="20">
        <v>3.6</v>
      </c>
      <c r="L28" s="21"/>
      <c r="M28" s="21">
        <v>2.9</v>
      </c>
      <c r="N28" s="20">
        <v>3.4</v>
      </c>
      <c r="O28" s="20">
        <v>3.9</v>
      </c>
      <c r="P28" s="21"/>
      <c r="Q28" s="21">
        <v>4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1.0999999999999996</v>
      </c>
      <c r="G29" s="27">
        <v>0.90000000000000036</v>
      </c>
      <c r="H29" s="27">
        <f t="shared" ref="H29:Q29" si="0">H32-H28</f>
        <v>0</v>
      </c>
      <c r="I29" s="27">
        <f t="shared" si="0"/>
        <v>2.1</v>
      </c>
      <c r="J29" s="27">
        <f t="shared" si="0"/>
        <v>0</v>
      </c>
      <c r="K29" s="27">
        <f t="shared" si="0"/>
        <v>0.89999999999999991</v>
      </c>
      <c r="L29" s="27">
        <f>L32-L28</f>
        <v>0</v>
      </c>
      <c r="M29" s="27">
        <v>0.89999999999999991</v>
      </c>
      <c r="N29" s="27">
        <f>N32-N28</f>
        <v>1.0000000000000004</v>
      </c>
      <c r="O29" s="27">
        <f>O32-O28</f>
        <v>1.0000000000000004</v>
      </c>
      <c r="P29" s="27">
        <f t="shared" si="0"/>
        <v>0</v>
      </c>
      <c r="Q29" s="27">
        <f t="shared" si="0"/>
        <v>1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>
        <v>696.4</v>
      </c>
      <c r="G30" s="20">
        <v>653.4</v>
      </c>
      <c r="H30" s="21"/>
      <c r="I30" s="21">
        <v>638.70000000000005</v>
      </c>
      <c r="J30" s="20"/>
      <c r="K30" s="20">
        <v>639.4</v>
      </c>
      <c r="L30" s="21"/>
      <c r="M30" s="21">
        <v>641.20000000000005</v>
      </c>
      <c r="N30" s="20">
        <v>674.6</v>
      </c>
      <c r="O30" s="20">
        <v>638.5</v>
      </c>
      <c r="P30" s="21"/>
      <c r="Q30" s="21">
        <v>639.6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 t="s">
        <v>101</v>
      </c>
      <c r="G31" s="20">
        <v>13.6</v>
      </c>
      <c r="H31" s="21"/>
      <c r="I31" s="21">
        <v>13.7</v>
      </c>
      <c r="J31" s="20"/>
      <c r="K31" s="20">
        <v>13.4</v>
      </c>
      <c r="L31" s="21"/>
      <c r="M31" s="21">
        <v>12.8</v>
      </c>
      <c r="N31" s="20">
        <v>12.8</v>
      </c>
      <c r="O31" s="20">
        <v>13.5</v>
      </c>
      <c r="P31" s="21"/>
      <c r="Q31" s="21">
        <v>13.5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>
        <v>4.3</v>
      </c>
      <c r="G32" s="20">
        <v>5</v>
      </c>
      <c r="H32" s="21"/>
      <c r="I32" s="21">
        <v>5</v>
      </c>
      <c r="J32" s="20"/>
      <c r="K32" s="20">
        <v>4.5</v>
      </c>
      <c r="L32" s="21"/>
      <c r="M32" s="21">
        <v>3.8</v>
      </c>
      <c r="N32" s="20">
        <v>4.4000000000000004</v>
      </c>
      <c r="O32" s="20">
        <v>4.9000000000000004</v>
      </c>
      <c r="P32" s="21"/>
      <c r="Q32" s="21">
        <v>5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 t="e">
        <f>F31-F32</f>
        <v>#VALUE!</v>
      </c>
      <c r="G33" s="27">
        <v>8.6</v>
      </c>
      <c r="H33" s="27">
        <f t="shared" ref="H33:Q33" si="1">H31-H32</f>
        <v>0</v>
      </c>
      <c r="I33" s="27">
        <f t="shared" si="1"/>
        <v>8.6999999999999993</v>
      </c>
      <c r="J33" s="27">
        <f t="shared" si="1"/>
        <v>0</v>
      </c>
      <c r="K33" s="27">
        <f t="shared" si="1"/>
        <v>8.9</v>
      </c>
      <c r="L33" s="27">
        <f>L31-L32</f>
        <v>0</v>
      </c>
      <c r="M33" s="27">
        <v>9</v>
      </c>
      <c r="N33" s="27">
        <f>N31-N32</f>
        <v>8.4</v>
      </c>
      <c r="O33" s="27">
        <f>O31-O32</f>
        <v>8.6</v>
      </c>
      <c r="P33" s="27">
        <f t="shared" si="1"/>
        <v>0</v>
      </c>
      <c r="Q33" s="27">
        <f t="shared" si="1"/>
        <v>8.5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 t="e">
        <f>(F33*F30)/0.866</f>
        <v>#VALUE!</v>
      </c>
      <c r="G34" s="28">
        <v>6488.7297921478057</v>
      </c>
      <c r="H34" s="28">
        <f t="shared" ref="H34:Q34" si="2">(H33*H30)/0.866</f>
        <v>0</v>
      </c>
      <c r="I34" s="28">
        <f t="shared" si="2"/>
        <v>6416.5011547344111</v>
      </c>
      <c r="J34" s="28">
        <f t="shared" si="2"/>
        <v>0</v>
      </c>
      <c r="K34" s="28">
        <f t="shared" si="2"/>
        <v>6571.2009237875291</v>
      </c>
      <c r="L34" s="28">
        <f>(L33*L30)/0.866</f>
        <v>0</v>
      </c>
      <c r="M34" s="28">
        <v>6663.7413394919167</v>
      </c>
      <c r="N34" s="28">
        <f>(N33*N30)/0.866</f>
        <v>6543.4642032332567</v>
      </c>
      <c r="O34" s="28">
        <f>(O33*O30)/0.866</f>
        <v>6340.7621247113157</v>
      </c>
      <c r="P34" s="28">
        <f t="shared" si="2"/>
        <v>0</v>
      </c>
      <c r="Q34" s="28">
        <f t="shared" si="2"/>
        <v>6277.8290993071596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>
        <v>0.81</v>
      </c>
      <c r="G35" s="20">
        <v>0.83</v>
      </c>
      <c r="H35" s="21"/>
      <c r="I35" s="21">
        <v>0.85</v>
      </c>
      <c r="J35" s="20"/>
      <c r="K35" s="20">
        <v>0.84</v>
      </c>
      <c r="L35" s="21"/>
      <c r="M35" s="21">
        <v>0.83</v>
      </c>
      <c r="N35" s="20">
        <v>0.82</v>
      </c>
      <c r="O35" s="20">
        <v>0.84</v>
      </c>
      <c r="P35" s="21"/>
      <c r="Q35" s="21">
        <v>0.85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>
        <v>35.5</v>
      </c>
      <c r="G36" s="20">
        <v>36.4</v>
      </c>
      <c r="H36" s="21"/>
      <c r="I36" s="21">
        <v>37</v>
      </c>
      <c r="J36" s="20"/>
      <c r="K36" s="20">
        <v>36.700000000000003</v>
      </c>
      <c r="L36" s="21"/>
      <c r="M36" s="21">
        <v>36.6</v>
      </c>
      <c r="N36" s="20">
        <v>35.799999999999997</v>
      </c>
      <c r="O36" s="20">
        <v>36.700000000000003</v>
      </c>
      <c r="P36" s="21"/>
      <c r="Q36" s="21">
        <v>36.799999999999997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>
        <v>36.1</v>
      </c>
      <c r="G37" s="20">
        <v>36.799999999999997</v>
      </c>
      <c r="H37" s="21"/>
      <c r="I37" s="21">
        <v>37.799999999999997</v>
      </c>
      <c r="J37" s="20"/>
      <c r="K37" s="20">
        <v>37.4</v>
      </c>
      <c r="L37" s="21"/>
      <c r="M37" s="21">
        <v>37.1</v>
      </c>
      <c r="N37" s="20">
        <v>36.5</v>
      </c>
      <c r="O37" s="20">
        <v>37.4</v>
      </c>
      <c r="P37" s="21"/>
      <c r="Q37" s="21">
        <v>37.5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1.7000000000000028</v>
      </c>
      <c r="G38" s="27">
        <v>2.0999999999999943</v>
      </c>
      <c r="H38" s="27">
        <v>1</v>
      </c>
      <c r="I38" s="27">
        <f>I37-I41</f>
        <v>3.6999999999999957</v>
      </c>
      <c r="J38" s="27">
        <f t="shared" ref="J38:Q38" si="3">J37-J41</f>
        <v>0</v>
      </c>
      <c r="K38" s="27">
        <f t="shared" si="3"/>
        <v>2.5</v>
      </c>
      <c r="L38" s="27">
        <f>L37-L41</f>
        <v>0</v>
      </c>
      <c r="M38" s="27">
        <v>2.7000000000000028</v>
      </c>
      <c r="N38" s="27">
        <f>N37-N41</f>
        <v>2.5</v>
      </c>
      <c r="O38" s="27">
        <f>O37-O41</f>
        <v>3</v>
      </c>
      <c r="P38" s="27">
        <f t="shared" si="3"/>
        <v>0</v>
      </c>
      <c r="Q38" s="27">
        <f t="shared" si="3"/>
        <v>2.8999999999999986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>
        <v>28.8</v>
      </c>
      <c r="G40" s="20">
        <v>28.7</v>
      </c>
      <c r="H40" s="21"/>
      <c r="I40" s="21">
        <v>28.8</v>
      </c>
      <c r="J40" s="20"/>
      <c r="K40" s="20">
        <v>28.9</v>
      </c>
      <c r="L40" s="21"/>
      <c r="M40" s="21">
        <v>28.8</v>
      </c>
      <c r="N40" s="20">
        <v>28.7</v>
      </c>
      <c r="O40" s="20">
        <v>28.6</v>
      </c>
      <c r="P40" s="21"/>
      <c r="Q40" s="21">
        <v>28.8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>
        <v>34.4</v>
      </c>
      <c r="G41" s="20">
        <v>34.700000000000003</v>
      </c>
      <c r="H41" s="21"/>
      <c r="I41" s="21">
        <v>34.1</v>
      </c>
      <c r="J41" s="20"/>
      <c r="K41" s="20">
        <v>34.9</v>
      </c>
      <c r="L41" s="21"/>
      <c r="M41" s="21">
        <v>34.4</v>
      </c>
      <c r="N41" s="20">
        <v>34</v>
      </c>
      <c r="O41" s="20">
        <v>34.4</v>
      </c>
      <c r="P41" s="21"/>
      <c r="Q41" s="21">
        <v>34.6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5.5999999999999979</v>
      </c>
      <c r="G42" s="27">
        <v>6.0000000000000036</v>
      </c>
      <c r="H42" s="27">
        <f t="shared" ref="H42:Q42" si="4">H41-H40</f>
        <v>0</v>
      </c>
      <c r="I42" s="27">
        <f t="shared" si="4"/>
        <v>5.3000000000000007</v>
      </c>
      <c r="J42" s="27">
        <f t="shared" si="4"/>
        <v>0</v>
      </c>
      <c r="K42" s="27">
        <f t="shared" si="4"/>
        <v>6</v>
      </c>
      <c r="L42" s="27">
        <f>L41-L40</f>
        <v>0</v>
      </c>
      <c r="M42" s="27">
        <v>5.5999999999999979</v>
      </c>
      <c r="N42" s="27">
        <f>N41-N40</f>
        <v>5.3000000000000007</v>
      </c>
      <c r="O42" s="27">
        <f>O41-O40</f>
        <v>5.7999999999999972</v>
      </c>
      <c r="P42" s="27">
        <f t="shared" si="4"/>
        <v>0</v>
      </c>
      <c r="Q42" s="27">
        <f t="shared" si="4"/>
        <v>5.8000000000000007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>
        <v>1258.7</v>
      </c>
      <c r="G43" s="20">
        <v>1151.9000000000001</v>
      </c>
      <c r="H43" s="21"/>
      <c r="I43" s="21">
        <v>1131.5999999999999</v>
      </c>
      <c r="J43" s="20"/>
      <c r="K43" s="20">
        <v>1162.4000000000001</v>
      </c>
      <c r="L43" s="21"/>
      <c r="M43" s="20">
        <v>1148.2</v>
      </c>
      <c r="N43" s="20">
        <v>1296.2</v>
      </c>
      <c r="O43" s="20">
        <v>1145.3</v>
      </c>
      <c r="P43" s="21"/>
      <c r="Q43" s="21">
        <v>1156.0999999999999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8139.3995381062332</v>
      </c>
      <c r="G44" s="28">
        <v>7980.8314087759863</v>
      </c>
      <c r="H44" s="28">
        <f t="shared" ref="H44:Q44" si="5">H42*H43/0.866</f>
        <v>0</v>
      </c>
      <c r="I44" s="28">
        <f t="shared" si="5"/>
        <v>6925.4965357967676</v>
      </c>
      <c r="J44" s="28">
        <f t="shared" si="5"/>
        <v>0</v>
      </c>
      <c r="K44" s="28">
        <f t="shared" si="5"/>
        <v>8053.5796766743651</v>
      </c>
      <c r="L44" s="28">
        <f>L42*L43/0.866</f>
        <v>0</v>
      </c>
      <c r="M44" s="28">
        <v>7424.8498845265567</v>
      </c>
      <c r="N44" s="28">
        <f>N42*N43/0.866</f>
        <v>7932.8637413394936</v>
      </c>
      <c r="O44" s="28">
        <f>O42*O43/0.866</f>
        <v>7670.6004618937604</v>
      </c>
      <c r="P44" s="28">
        <f t="shared" si="5"/>
        <v>0</v>
      </c>
      <c r="Q44" s="28">
        <f t="shared" si="5"/>
        <v>7742.933025404157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>
        <v>0.45</v>
      </c>
      <c r="G45" s="20">
        <v>0.48</v>
      </c>
      <c r="H45" s="21"/>
      <c r="I45" s="21">
        <v>0.47</v>
      </c>
      <c r="J45" s="20"/>
      <c r="K45" s="20">
        <v>0.47</v>
      </c>
      <c r="L45" s="21"/>
      <c r="M45" s="21">
        <v>0.47</v>
      </c>
      <c r="N45" s="20">
        <v>0.46</v>
      </c>
      <c r="O45" s="20">
        <v>0.48</v>
      </c>
      <c r="P45" s="21"/>
      <c r="Q45" s="21">
        <v>0.48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>
        <v>19.3</v>
      </c>
      <c r="G46" s="20">
        <v>20.5</v>
      </c>
      <c r="H46" s="21"/>
      <c r="I46" s="21">
        <v>20.2</v>
      </c>
      <c r="J46" s="20"/>
      <c r="K46" s="20">
        <v>19.899999999999999</v>
      </c>
      <c r="L46" s="21"/>
      <c r="M46" s="21">
        <v>20</v>
      </c>
      <c r="N46" s="20">
        <v>19.600000000000001</v>
      </c>
      <c r="O46" s="20">
        <v>20.6</v>
      </c>
      <c r="P46" s="21"/>
      <c r="Q46" s="21">
        <v>20.7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>
        <v>204.9</v>
      </c>
      <c r="G47" s="20">
        <v>193.4</v>
      </c>
      <c r="H47" s="21"/>
      <c r="I47" s="21">
        <v>123.1</v>
      </c>
      <c r="J47" s="20"/>
      <c r="K47" s="20">
        <v>205.5</v>
      </c>
      <c r="L47" s="21"/>
      <c r="M47" s="21">
        <v>211.7</v>
      </c>
      <c r="N47" s="20">
        <v>196.9</v>
      </c>
      <c r="O47" s="20">
        <v>204</v>
      </c>
      <c r="P47" s="21"/>
      <c r="Q47" s="21">
        <v>209.7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45">
        <v>5.89</v>
      </c>
      <c r="F49" s="20">
        <v>5.48</v>
      </c>
      <c r="G49" s="20">
        <v>5.58</v>
      </c>
      <c r="H49" s="21"/>
      <c r="I49" s="21">
        <v>5.5</v>
      </c>
      <c r="J49" s="20"/>
      <c r="K49" s="20">
        <v>5.48</v>
      </c>
      <c r="L49" s="21"/>
      <c r="M49" s="21">
        <v>5.73</v>
      </c>
      <c r="N49" s="20">
        <v>5.18</v>
      </c>
      <c r="O49" s="20">
        <v>5.4</v>
      </c>
      <c r="P49" s="21"/>
      <c r="Q49" s="21">
        <v>5.36</v>
      </c>
    </row>
    <row r="50" spans="2:17" ht="20.100000000000001" customHeight="1">
      <c r="B50" s="92" t="s">
        <v>91</v>
      </c>
      <c r="C50" s="92"/>
      <c r="D50" s="92"/>
      <c r="E50" s="45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44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B4" zoomScale="85" zoomScaleNormal="60" workbookViewId="0">
      <selection activeCell="G19" sqref="G1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45756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49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 t="s">
        <v>19</v>
      </c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/>
      <c r="H11" s="21"/>
      <c r="I11" s="21"/>
      <c r="J11" s="20">
        <v>74.900000000000006</v>
      </c>
      <c r="K11" s="20"/>
      <c r="L11" s="21">
        <v>79</v>
      </c>
      <c r="M11" s="21"/>
      <c r="N11" s="20"/>
      <c r="O11" s="20"/>
      <c r="P11" s="21"/>
      <c r="Q11" s="21"/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/>
      <c r="H12" s="21"/>
      <c r="I12" s="21"/>
      <c r="J12" s="20">
        <v>0</v>
      </c>
      <c r="K12" s="20"/>
      <c r="L12" s="21">
        <v>0.1</v>
      </c>
      <c r="M12" s="21"/>
      <c r="N12" s="20"/>
      <c r="O12" s="20"/>
      <c r="P12" s="21"/>
      <c r="Q12" s="21"/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/>
      <c r="H13" s="21"/>
      <c r="I13" s="21"/>
      <c r="J13" s="20">
        <v>70.5</v>
      </c>
      <c r="K13" s="20"/>
      <c r="L13" s="21">
        <v>74.5</v>
      </c>
      <c r="M13" s="21"/>
      <c r="N13" s="20"/>
      <c r="O13" s="20"/>
      <c r="P13" s="21"/>
      <c r="Q13" s="21"/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/>
      <c r="H14" s="21"/>
      <c r="I14" s="21"/>
      <c r="J14" s="20">
        <v>62.2</v>
      </c>
      <c r="K14" s="20"/>
      <c r="L14" s="21">
        <v>65.099999999999994</v>
      </c>
      <c r="M14" s="21"/>
      <c r="N14" s="20"/>
      <c r="O14" s="20"/>
      <c r="P14" s="21"/>
      <c r="Q14" s="21"/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/>
      <c r="H15" s="21"/>
      <c r="I15" s="21"/>
      <c r="J15" s="20">
        <v>39.200000000000003</v>
      </c>
      <c r="K15" s="20"/>
      <c r="L15" s="21">
        <v>37.9</v>
      </c>
      <c r="M15" s="21"/>
      <c r="N15" s="20"/>
      <c r="O15" s="20"/>
      <c r="P15" s="21"/>
      <c r="Q15" s="21"/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/>
      <c r="G16" s="20"/>
      <c r="H16" s="21"/>
      <c r="I16" s="21"/>
      <c r="J16" s="20">
        <v>6.6</v>
      </c>
      <c r="K16" s="20"/>
      <c r="L16" s="21">
        <v>6.6</v>
      </c>
      <c r="M16" s="21"/>
      <c r="N16" s="20"/>
      <c r="O16" s="20"/>
      <c r="P16" s="21"/>
      <c r="Q16" s="21"/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/>
      <c r="G17" s="20"/>
      <c r="H17" s="21"/>
      <c r="I17" s="21"/>
      <c r="J17" s="20">
        <v>116.5</v>
      </c>
      <c r="K17" s="20"/>
      <c r="L17" s="21">
        <v>118.9</v>
      </c>
      <c r="M17" s="21"/>
      <c r="N17" s="20"/>
      <c r="O17" s="20"/>
      <c r="P17" s="21"/>
      <c r="Q17" s="21"/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/>
      <c r="G18" s="20"/>
      <c r="H18" s="21"/>
      <c r="I18" s="21"/>
      <c r="J18" s="20">
        <v>1184</v>
      </c>
      <c r="K18" s="20"/>
      <c r="L18" s="21">
        <v>1213</v>
      </c>
      <c r="M18" s="21"/>
      <c r="N18" s="20"/>
      <c r="O18" s="20"/>
      <c r="P18" s="21"/>
      <c r="Q18" s="21"/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/>
      <c r="G19" s="20"/>
      <c r="H19" s="21"/>
      <c r="I19" s="21"/>
      <c r="J19" s="20">
        <v>48768.5</v>
      </c>
      <c r="K19" s="20"/>
      <c r="L19" s="21">
        <v>51157.8</v>
      </c>
      <c r="M19" s="21"/>
      <c r="N19" s="20"/>
      <c r="O19" s="20"/>
      <c r="P19" s="21"/>
      <c r="Q19" s="21"/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/>
      <c r="G22" s="20"/>
      <c r="H22" s="21"/>
      <c r="I22" s="21"/>
      <c r="J22" s="20">
        <v>57.5</v>
      </c>
      <c r="K22" s="20"/>
      <c r="L22" s="21">
        <v>57.3</v>
      </c>
      <c r="M22" s="21"/>
      <c r="N22" s="20"/>
      <c r="O22" s="20"/>
      <c r="P22" s="21"/>
      <c r="Q22" s="21"/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/>
      <c r="G23" s="20"/>
      <c r="H23" s="21"/>
      <c r="I23" s="21"/>
      <c r="J23" s="20">
        <v>0.57999999999999996</v>
      </c>
      <c r="K23" s="20"/>
      <c r="L23" s="21">
        <v>0.52</v>
      </c>
      <c r="M23" s="21"/>
      <c r="N23" s="20"/>
      <c r="O23" s="20"/>
      <c r="P23" s="21"/>
      <c r="Q23" s="21"/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/>
      <c r="G25" s="20"/>
      <c r="H25" s="21"/>
      <c r="I25" s="21"/>
      <c r="J25" s="20">
        <v>45</v>
      </c>
      <c r="K25" s="20"/>
      <c r="L25" s="21">
        <v>45</v>
      </c>
      <c r="M25" s="21"/>
      <c r="N25" s="20"/>
      <c r="O25" s="20"/>
      <c r="P25" s="21"/>
      <c r="Q25" s="21"/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/>
      <c r="G26" s="20"/>
      <c r="H26" s="21"/>
      <c r="I26" s="21"/>
      <c r="J26" s="20">
        <v>0.23</v>
      </c>
      <c r="K26" s="20"/>
      <c r="L26" s="21">
        <v>0.22</v>
      </c>
      <c r="M26" s="21"/>
      <c r="N26" s="20"/>
      <c r="O26" s="20"/>
      <c r="P26" s="21"/>
      <c r="Q26" s="21"/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/>
      <c r="G27" s="20"/>
      <c r="H27" s="21"/>
      <c r="I27" s="21"/>
      <c r="J27" s="20">
        <v>3.9</v>
      </c>
      <c r="K27" s="20"/>
      <c r="L27" s="21">
        <v>3.8</v>
      </c>
      <c r="M27" s="21"/>
      <c r="N27" s="20"/>
      <c r="O27" s="20"/>
      <c r="P27" s="21"/>
      <c r="Q27" s="21"/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/>
      <c r="G28" s="20"/>
      <c r="H28" s="21"/>
      <c r="I28" s="21"/>
      <c r="J28" s="20">
        <v>3.2</v>
      </c>
      <c r="K28" s="20"/>
      <c r="L28" s="21">
        <v>2.8</v>
      </c>
      <c r="M28" s="21"/>
      <c r="N28" s="20"/>
      <c r="O28" s="20"/>
      <c r="P28" s="21"/>
      <c r="Q28" s="21"/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</v>
      </c>
      <c r="H29" s="27">
        <f>H32-H28</f>
        <v>0</v>
      </c>
      <c r="I29" s="27">
        <f t="shared" ref="I29:Q29" si="0">I32-I28</f>
        <v>0</v>
      </c>
      <c r="J29" s="27">
        <f t="shared" si="0"/>
        <v>0.79999999999999982</v>
      </c>
      <c r="K29" s="27">
        <f t="shared" si="0"/>
        <v>0</v>
      </c>
      <c r="L29" s="27">
        <f>L32-L28</f>
        <v>1.4000000000000004</v>
      </c>
      <c r="M29" s="27">
        <f>M32-M28</f>
        <v>0</v>
      </c>
      <c r="N29" s="27">
        <f>N32-N28</f>
        <v>0</v>
      </c>
      <c r="O29" s="27">
        <f>O32-O28</f>
        <v>0</v>
      </c>
      <c r="P29" s="27">
        <f t="shared" si="0"/>
        <v>0</v>
      </c>
      <c r="Q29" s="27">
        <f t="shared" si="0"/>
        <v>0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/>
      <c r="G30" s="20"/>
      <c r="H30" s="21"/>
      <c r="I30" s="21"/>
      <c r="J30" s="20">
        <v>680.4</v>
      </c>
      <c r="K30" s="20"/>
      <c r="L30" s="21">
        <v>710.9</v>
      </c>
      <c r="M30" s="21"/>
      <c r="N30" s="20"/>
      <c r="O30" s="20"/>
      <c r="P30" s="21"/>
      <c r="Q30" s="21"/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/>
      <c r="G31" s="20"/>
      <c r="H31" s="21"/>
      <c r="I31" s="21"/>
      <c r="J31" s="20">
        <v>12.6</v>
      </c>
      <c r="K31" s="20"/>
      <c r="L31" s="21">
        <v>12.8</v>
      </c>
      <c r="M31" s="21"/>
      <c r="N31" s="20"/>
      <c r="O31" s="20"/>
      <c r="P31" s="21"/>
      <c r="Q31" s="21"/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/>
      <c r="G32" s="20"/>
      <c r="H32" s="21"/>
      <c r="I32" s="21"/>
      <c r="J32" s="20">
        <v>4</v>
      </c>
      <c r="K32" s="20"/>
      <c r="L32" s="21">
        <v>4.2</v>
      </c>
      <c r="M32" s="21"/>
      <c r="N32" s="20"/>
      <c r="O32" s="20"/>
      <c r="P32" s="21"/>
      <c r="Q32" s="21"/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0</v>
      </c>
      <c r="H33" s="27">
        <f>H31-H32</f>
        <v>0</v>
      </c>
      <c r="I33" s="27">
        <f t="shared" ref="I33:Q33" si="1">I31-I32</f>
        <v>0</v>
      </c>
      <c r="J33" s="27">
        <f t="shared" si="1"/>
        <v>8.6</v>
      </c>
      <c r="K33" s="27">
        <f t="shared" si="1"/>
        <v>0</v>
      </c>
      <c r="L33" s="27">
        <f>L31-L32</f>
        <v>8.6000000000000014</v>
      </c>
      <c r="M33" s="27">
        <f>M31-M32</f>
        <v>0</v>
      </c>
      <c r="N33" s="27">
        <f>N31-N32</f>
        <v>0</v>
      </c>
      <c r="O33" s="27">
        <f>O31-O32</f>
        <v>0</v>
      </c>
      <c r="P33" s="27">
        <f t="shared" si="1"/>
        <v>0</v>
      </c>
      <c r="Q33" s="27">
        <f t="shared" si="1"/>
        <v>0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0</v>
      </c>
      <c r="H34" s="28">
        <f>(H33*H30)/0.866</f>
        <v>0</v>
      </c>
      <c r="I34" s="28">
        <f t="shared" ref="I34:Q34" si="2">(I33*I30)/0.866</f>
        <v>0</v>
      </c>
      <c r="J34" s="28">
        <f t="shared" si="2"/>
        <v>6756.8591224018473</v>
      </c>
      <c r="K34" s="28">
        <f t="shared" si="2"/>
        <v>0</v>
      </c>
      <c r="L34" s="28">
        <f>(L33*L30)/0.866</f>
        <v>7059.7459584295621</v>
      </c>
      <c r="M34" s="28">
        <f>(M33*M30)/0.866</f>
        <v>0</v>
      </c>
      <c r="N34" s="28">
        <f>(N33*N30)/0.866</f>
        <v>0</v>
      </c>
      <c r="O34" s="28">
        <f>(O33*O30)/0.866</f>
        <v>0</v>
      </c>
      <c r="P34" s="28">
        <f t="shared" si="2"/>
        <v>0</v>
      </c>
      <c r="Q34" s="28">
        <f t="shared" si="2"/>
        <v>0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/>
      <c r="G35" s="20"/>
      <c r="H35" s="21"/>
      <c r="I35" s="21"/>
      <c r="J35" s="20">
        <v>0.81</v>
      </c>
      <c r="K35" s="20"/>
      <c r="L35" s="21">
        <v>0.81</v>
      </c>
      <c r="M35" s="21"/>
      <c r="N35" s="20"/>
      <c r="O35" s="20"/>
      <c r="P35" s="21"/>
      <c r="Q35" s="21"/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/>
      <c r="G36" s="20"/>
      <c r="H36" s="21"/>
      <c r="I36" s="21"/>
      <c r="J36" s="20">
        <v>35.6</v>
      </c>
      <c r="K36" s="20"/>
      <c r="L36" s="21">
        <v>35.6</v>
      </c>
      <c r="M36" s="21"/>
      <c r="N36" s="20"/>
      <c r="O36" s="20"/>
      <c r="P36" s="21"/>
      <c r="Q36" s="21"/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/>
      <c r="G37" s="20"/>
      <c r="H37" s="21"/>
      <c r="I37" s="21"/>
      <c r="J37" s="20">
        <v>36.299999999999997</v>
      </c>
      <c r="K37" s="20"/>
      <c r="L37" s="21">
        <v>36.200000000000003</v>
      </c>
      <c r="M37" s="21"/>
      <c r="N37" s="20"/>
      <c r="O37" s="20"/>
      <c r="P37" s="21"/>
      <c r="Q37" s="21"/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0</v>
      </c>
      <c r="H38" s="27">
        <f>H37-H41</f>
        <v>0</v>
      </c>
      <c r="I38" s="27">
        <f>I37-I41</f>
        <v>0</v>
      </c>
      <c r="J38" s="27">
        <f t="shared" ref="J38:Q38" si="3">J37-J41</f>
        <v>2.1999999999999957</v>
      </c>
      <c r="K38" s="27">
        <f t="shared" si="3"/>
        <v>0</v>
      </c>
      <c r="L38" s="27">
        <f>L37-L41</f>
        <v>2.3000000000000043</v>
      </c>
      <c r="M38" s="27">
        <f>M37-M41</f>
        <v>0</v>
      </c>
      <c r="N38" s="27">
        <f>N37-N41</f>
        <v>0</v>
      </c>
      <c r="O38" s="27">
        <f>O37-O41</f>
        <v>0</v>
      </c>
      <c r="P38" s="27">
        <f t="shared" si="3"/>
        <v>0</v>
      </c>
      <c r="Q38" s="27">
        <f t="shared" si="3"/>
        <v>0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/>
      <c r="G40" s="20"/>
      <c r="H40" s="21"/>
      <c r="I40" s="21"/>
      <c r="J40" s="20">
        <v>28.6</v>
      </c>
      <c r="K40" s="20"/>
      <c r="L40" s="21">
        <v>28.6</v>
      </c>
      <c r="M40" s="21"/>
      <c r="N40" s="20"/>
      <c r="O40" s="20"/>
      <c r="P40" s="21"/>
      <c r="Q40" s="21"/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/>
      <c r="G41" s="20"/>
      <c r="H41" s="21"/>
      <c r="I41" s="21"/>
      <c r="J41" s="20">
        <v>34.1</v>
      </c>
      <c r="K41" s="20"/>
      <c r="L41" s="21">
        <v>33.9</v>
      </c>
      <c r="M41" s="21"/>
      <c r="N41" s="20"/>
      <c r="O41" s="20"/>
      <c r="P41" s="21"/>
      <c r="Q41" s="21"/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0</v>
      </c>
      <c r="H42" s="27">
        <f>H41-H40</f>
        <v>0</v>
      </c>
      <c r="I42" s="27">
        <f t="shared" ref="I42:Q42" si="4">I41-I40</f>
        <v>0</v>
      </c>
      <c r="J42" s="27">
        <f t="shared" si="4"/>
        <v>5.5</v>
      </c>
      <c r="K42" s="27">
        <f t="shared" si="4"/>
        <v>0</v>
      </c>
      <c r="L42" s="27">
        <f>L41-L40</f>
        <v>5.2999999999999972</v>
      </c>
      <c r="M42" s="27">
        <f>M41-M40</f>
        <v>0</v>
      </c>
      <c r="N42" s="27">
        <f>N41-N40</f>
        <v>0</v>
      </c>
      <c r="O42" s="27">
        <f>O41-O40</f>
        <v>0</v>
      </c>
      <c r="P42" s="27">
        <f t="shared" si="4"/>
        <v>0</v>
      </c>
      <c r="Q42" s="27">
        <f t="shared" si="4"/>
        <v>0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/>
      <c r="G43" s="20"/>
      <c r="H43" s="21"/>
      <c r="I43" s="21"/>
      <c r="J43" s="20">
        <v>1293.5999999999999</v>
      </c>
      <c r="K43" s="20"/>
      <c r="L43" s="21">
        <v>1298.5</v>
      </c>
      <c r="M43" s="20"/>
      <c r="N43" s="20"/>
      <c r="O43" s="20"/>
      <c r="P43" s="21"/>
      <c r="Q43" s="21"/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0</v>
      </c>
      <c r="H44" s="28">
        <f>H42*H43/0.866</f>
        <v>0</v>
      </c>
      <c r="I44" s="28">
        <f t="shared" ref="I44:Q44" si="5">I42*I43/0.866</f>
        <v>0</v>
      </c>
      <c r="J44" s="28">
        <f t="shared" si="5"/>
        <v>8215.7043879907615</v>
      </c>
      <c r="K44" s="28">
        <f t="shared" si="5"/>
        <v>0</v>
      </c>
      <c r="L44" s="28">
        <f>L42*L43/0.866</f>
        <v>7946.93995381062</v>
      </c>
      <c r="M44" s="28">
        <f>M42*M43/0.866</f>
        <v>0</v>
      </c>
      <c r="N44" s="28">
        <f>N42*N43/0.866</f>
        <v>0</v>
      </c>
      <c r="O44" s="28">
        <f>O42*O43/0.866</f>
        <v>0</v>
      </c>
      <c r="P44" s="28">
        <f t="shared" si="5"/>
        <v>0</v>
      </c>
      <c r="Q44" s="28">
        <f t="shared" si="5"/>
        <v>0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/>
      <c r="G45" s="20"/>
      <c r="H45" s="21"/>
      <c r="I45" s="21"/>
      <c r="J45" s="20">
        <v>0.46</v>
      </c>
      <c r="K45" s="20"/>
      <c r="L45" s="21">
        <v>0.45</v>
      </c>
      <c r="M45" s="21"/>
      <c r="N45" s="20"/>
      <c r="O45" s="20"/>
      <c r="P45" s="21"/>
      <c r="Q45" s="21"/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/>
      <c r="G46" s="20"/>
      <c r="H46" s="21"/>
      <c r="I46" s="21"/>
      <c r="J46" s="20">
        <v>19.100000000000001</v>
      </c>
      <c r="K46" s="20"/>
      <c r="L46" s="21">
        <v>19.2</v>
      </c>
      <c r="M46" s="21"/>
      <c r="N46" s="20"/>
      <c r="O46" s="20"/>
      <c r="P46" s="21"/>
      <c r="Q46" s="21"/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/>
      <c r="G47" s="20"/>
      <c r="H47" s="21"/>
      <c r="I47" s="21"/>
      <c r="J47" s="20">
        <v>206.6</v>
      </c>
      <c r="K47" s="20"/>
      <c r="L47" s="21">
        <v>209.2</v>
      </c>
      <c r="M47" s="21"/>
      <c r="N47" s="20"/>
      <c r="O47" s="20"/>
      <c r="P47" s="21"/>
      <c r="Q47" s="21"/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49">
        <v>5.89</v>
      </c>
      <c r="F49" s="20"/>
      <c r="G49" s="20"/>
      <c r="H49" s="21"/>
      <c r="I49" s="21"/>
      <c r="J49" s="20">
        <v>5.41</v>
      </c>
      <c r="K49" s="20"/>
      <c r="L49" s="21">
        <v>5.24</v>
      </c>
      <c r="M49" s="21"/>
      <c r="N49" s="20"/>
      <c r="O49" s="20"/>
      <c r="P49" s="21"/>
      <c r="Q49" s="21"/>
    </row>
    <row r="50" spans="2:17" ht="20.100000000000001" customHeight="1">
      <c r="B50" s="92" t="s">
        <v>91</v>
      </c>
      <c r="C50" s="92"/>
      <c r="D50" s="92"/>
      <c r="E50" s="49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48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C2" sqref="C2:M5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45757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51" t="s">
        <v>18</v>
      </c>
      <c r="E10" s="15"/>
      <c r="F10" s="16"/>
      <c r="G10" s="17" t="s">
        <v>19</v>
      </c>
      <c r="H10" s="18" t="s">
        <v>19</v>
      </c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71.5</v>
      </c>
      <c r="H11" s="21"/>
      <c r="I11" s="21">
        <v>83.1</v>
      </c>
      <c r="J11" s="20">
        <v>74</v>
      </c>
      <c r="K11" s="20">
        <v>74.7</v>
      </c>
      <c r="L11" s="21"/>
      <c r="M11" s="21">
        <v>74</v>
      </c>
      <c r="N11" s="20">
        <v>75.599999999999994</v>
      </c>
      <c r="O11" s="20">
        <v>77.3</v>
      </c>
      <c r="P11" s="21"/>
      <c r="Q11" s="21">
        <v>75.599999999999994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0.8</v>
      </c>
      <c r="H12" s="21"/>
      <c r="I12" s="21">
        <v>0</v>
      </c>
      <c r="J12" s="20">
        <v>0</v>
      </c>
      <c r="K12" s="20">
        <v>0</v>
      </c>
      <c r="L12" s="21"/>
      <c r="M12" s="21">
        <v>0</v>
      </c>
      <c r="N12" s="20">
        <v>0</v>
      </c>
      <c r="O12" s="20">
        <v>0.2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66</v>
      </c>
      <c r="H13" s="21"/>
      <c r="I13" s="21">
        <v>79</v>
      </c>
      <c r="J13" s="20">
        <v>69.400000000000006</v>
      </c>
      <c r="K13" s="20">
        <v>71.099999999999994</v>
      </c>
      <c r="L13" s="21"/>
      <c r="M13" s="21">
        <v>69.599999999999994</v>
      </c>
      <c r="N13" s="20">
        <v>71</v>
      </c>
      <c r="O13" s="20">
        <v>73.2</v>
      </c>
      <c r="P13" s="21"/>
      <c r="Q13" s="21">
        <v>70.5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68.099999999999994</v>
      </c>
      <c r="H14" s="21"/>
      <c r="I14" s="21">
        <v>69.3</v>
      </c>
      <c r="J14" s="20">
        <v>63</v>
      </c>
      <c r="K14" s="20">
        <v>64.400000000000006</v>
      </c>
      <c r="L14" s="21"/>
      <c r="M14" s="21">
        <v>66.2</v>
      </c>
      <c r="N14" s="20">
        <v>71</v>
      </c>
      <c r="O14" s="20">
        <v>75.099999999999994</v>
      </c>
      <c r="P14" s="21"/>
      <c r="Q14" s="21">
        <v>73.3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38</v>
      </c>
      <c r="H15" s="21"/>
      <c r="I15" s="21">
        <v>52.5</v>
      </c>
      <c r="J15" s="20">
        <v>39.200000000000003</v>
      </c>
      <c r="K15" s="20">
        <v>40.9</v>
      </c>
      <c r="L15" s="21"/>
      <c r="M15" s="21">
        <v>33.9</v>
      </c>
      <c r="N15" s="20">
        <v>55.1</v>
      </c>
      <c r="O15" s="20">
        <v>55.9</v>
      </c>
      <c r="P15" s="21"/>
      <c r="Q15" s="21">
        <v>45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0"/>
      <c r="I16" s="20">
        <v>6.6</v>
      </c>
      <c r="J16" s="20">
        <v>6.6</v>
      </c>
      <c r="K16" s="20">
        <v>6.6</v>
      </c>
      <c r="L16" s="20"/>
      <c r="M16" s="20">
        <v>6.6</v>
      </c>
      <c r="N16" s="20">
        <v>6.6</v>
      </c>
      <c r="O16" s="20">
        <v>6.6</v>
      </c>
      <c r="P16" s="20"/>
      <c r="Q16" s="20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/>
      <c r="G17" s="20">
        <v>118.5</v>
      </c>
      <c r="H17" s="21"/>
      <c r="I17" s="21">
        <v>120</v>
      </c>
      <c r="J17" s="20">
        <v>116.2</v>
      </c>
      <c r="K17" s="20">
        <v>118.7</v>
      </c>
      <c r="L17" s="21"/>
      <c r="M17" s="21">
        <v>116.6</v>
      </c>
      <c r="N17" s="20">
        <v>116.7</v>
      </c>
      <c r="O17" s="20">
        <v>119.9</v>
      </c>
      <c r="P17" s="21"/>
      <c r="Q17" s="21">
        <v>119.7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/>
      <c r="G18" s="20">
        <v>1164</v>
      </c>
      <c r="H18" s="21"/>
      <c r="I18" s="21">
        <v>1210</v>
      </c>
      <c r="J18" s="20">
        <v>1188</v>
      </c>
      <c r="K18" s="20">
        <v>1197</v>
      </c>
      <c r="L18" s="21"/>
      <c r="M18" s="21">
        <v>1177</v>
      </c>
      <c r="N18" s="20">
        <v>1198</v>
      </c>
      <c r="O18" s="20">
        <v>1213</v>
      </c>
      <c r="P18" s="21"/>
      <c r="Q18" s="21">
        <v>1206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49847.8</v>
      </c>
      <c r="H19" s="21"/>
      <c r="I19" s="21">
        <v>51080.800000000003</v>
      </c>
      <c r="J19" s="20">
        <v>48792.5</v>
      </c>
      <c r="K19" s="20">
        <v>48781.5</v>
      </c>
      <c r="L19" s="21"/>
      <c r="M19" s="21">
        <v>51166.7</v>
      </c>
      <c r="N19" s="20">
        <v>50345.2</v>
      </c>
      <c r="O19" s="20">
        <v>50334.2</v>
      </c>
      <c r="P19" s="21"/>
      <c r="Q19" s="21">
        <v>50453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/>
      <c r="G22" s="20">
        <v>58.4</v>
      </c>
      <c r="H22" s="21"/>
      <c r="I22" s="21">
        <v>59.4</v>
      </c>
      <c r="J22" s="20">
        <v>57.5</v>
      </c>
      <c r="K22" s="20">
        <v>57.8</v>
      </c>
      <c r="L22" s="21"/>
      <c r="M22" s="21">
        <v>57.3</v>
      </c>
      <c r="N22" s="20">
        <v>58.7</v>
      </c>
      <c r="O22" s="20">
        <v>58.5</v>
      </c>
      <c r="P22" s="21"/>
      <c r="Q22" s="21">
        <v>58.9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0.49</v>
      </c>
      <c r="J23" s="20">
        <v>0.59</v>
      </c>
      <c r="K23" s="20">
        <v>0.57999999999999996</v>
      </c>
      <c r="L23" s="21"/>
      <c r="M23" s="21">
        <v>0.52</v>
      </c>
      <c r="N23" s="20">
        <v>0.48</v>
      </c>
      <c r="O23" s="20">
        <v>0.48</v>
      </c>
      <c r="P23" s="21"/>
      <c r="Q23" s="21">
        <v>0.49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/>
      <c r="G25" s="20">
        <v>45</v>
      </c>
      <c r="H25" s="21"/>
      <c r="I25" s="21">
        <v>45</v>
      </c>
      <c r="J25" s="20">
        <v>45</v>
      </c>
      <c r="K25" s="20">
        <v>45</v>
      </c>
      <c r="L25" s="21"/>
      <c r="M25" s="21">
        <v>45.1</v>
      </c>
      <c r="N25" s="20">
        <v>44.9</v>
      </c>
      <c r="O25" s="20">
        <v>45.1</v>
      </c>
      <c r="P25" s="21"/>
      <c r="Q25" s="21">
        <v>45.2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0.21</v>
      </c>
      <c r="J26" s="20">
        <v>0.23</v>
      </c>
      <c r="K26" s="20">
        <v>0.22</v>
      </c>
      <c r="L26" s="21"/>
      <c r="M26" s="21">
        <v>0.22</v>
      </c>
      <c r="N26" s="20">
        <v>0.22</v>
      </c>
      <c r="O26" s="20">
        <v>0.22</v>
      </c>
      <c r="P26" s="21"/>
      <c r="Q26" s="21">
        <v>0.23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/>
      <c r="G27" s="20">
        <v>4.4000000000000004</v>
      </c>
      <c r="H27" s="21"/>
      <c r="I27" s="21">
        <v>3.2</v>
      </c>
      <c r="J27" s="20">
        <v>4.3</v>
      </c>
      <c r="K27" s="20">
        <v>4</v>
      </c>
      <c r="L27" s="21"/>
      <c r="M27" s="21">
        <v>3.8</v>
      </c>
      <c r="N27" s="20">
        <v>4.2</v>
      </c>
      <c r="O27" s="20">
        <v>4</v>
      </c>
      <c r="P27" s="21"/>
      <c r="Q27" s="21">
        <v>4.5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/>
      <c r="G28" s="20">
        <v>3.8</v>
      </c>
      <c r="H28" s="21"/>
      <c r="I28" s="21">
        <v>2.2999999999999998</v>
      </c>
      <c r="J28" s="20">
        <v>3.5</v>
      </c>
      <c r="K28" s="20">
        <v>3.2</v>
      </c>
      <c r="L28" s="21"/>
      <c r="M28" s="21">
        <v>2.8</v>
      </c>
      <c r="N28" s="20">
        <v>3.1</v>
      </c>
      <c r="O28" s="20">
        <v>3.2</v>
      </c>
      <c r="P28" s="21"/>
      <c r="Q28" s="21">
        <v>3.6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0.79999999999999982</v>
      </c>
      <c r="H29" s="27">
        <f t="shared" ref="H29:Q29" si="0">H32-H28</f>
        <v>0</v>
      </c>
      <c r="I29" s="27">
        <f t="shared" si="0"/>
        <v>2.2999999999999998</v>
      </c>
      <c r="J29" s="27">
        <f t="shared" si="0"/>
        <v>0.79999999999999982</v>
      </c>
      <c r="K29" s="27">
        <f t="shared" si="0"/>
        <v>1.3999999999999995</v>
      </c>
      <c r="L29" s="27">
        <f>L32-L28</f>
        <v>0</v>
      </c>
      <c r="M29" s="27">
        <f>M32-M28</f>
        <v>0.70000000000000018</v>
      </c>
      <c r="N29" s="27">
        <f>N32-N28</f>
        <v>1.4</v>
      </c>
      <c r="O29" s="27">
        <f>O32-O28</f>
        <v>1</v>
      </c>
      <c r="P29" s="27">
        <f t="shared" si="0"/>
        <v>0</v>
      </c>
      <c r="Q29" s="27">
        <f t="shared" si="0"/>
        <v>1.1000000000000001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/>
      <c r="G30" s="20">
        <v>670.48</v>
      </c>
      <c r="H30" s="21"/>
      <c r="I30" s="21">
        <v>649.84</v>
      </c>
      <c r="J30" s="20">
        <v>682.5</v>
      </c>
      <c r="K30" s="20">
        <v>646.64</v>
      </c>
      <c r="L30" s="21"/>
      <c r="M30" s="21">
        <v>626.24</v>
      </c>
      <c r="N30" s="20">
        <v>691.3</v>
      </c>
      <c r="O30" s="20">
        <v>657.36</v>
      </c>
      <c r="P30" s="21"/>
      <c r="Q30" s="21">
        <v>646.08000000000004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/>
      <c r="G31" s="20">
        <v>13</v>
      </c>
      <c r="H31" s="21"/>
      <c r="I31" s="21">
        <v>13</v>
      </c>
      <c r="J31" s="20">
        <v>12.8</v>
      </c>
      <c r="K31" s="20">
        <v>13.5</v>
      </c>
      <c r="L31" s="21"/>
      <c r="M31" s="21">
        <v>12.7</v>
      </c>
      <c r="N31" s="20">
        <v>12.8</v>
      </c>
      <c r="O31" s="20">
        <v>12.9</v>
      </c>
      <c r="P31" s="21"/>
      <c r="Q31" s="21">
        <v>13.2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/>
      <c r="G32" s="20">
        <v>4.5999999999999996</v>
      </c>
      <c r="H32" s="21"/>
      <c r="I32" s="21">
        <v>4.5999999999999996</v>
      </c>
      <c r="J32" s="20">
        <v>4.3</v>
      </c>
      <c r="K32" s="20">
        <v>4.5999999999999996</v>
      </c>
      <c r="L32" s="21"/>
      <c r="M32" s="21">
        <v>3.5</v>
      </c>
      <c r="N32" s="20">
        <v>4.5</v>
      </c>
      <c r="O32" s="20">
        <v>4.2</v>
      </c>
      <c r="P32" s="21"/>
      <c r="Q32" s="21">
        <v>4.7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8.4</v>
      </c>
      <c r="H33" s="27">
        <f t="shared" ref="H33:Q33" si="1">H31-H32</f>
        <v>0</v>
      </c>
      <c r="I33" s="27">
        <f t="shared" si="1"/>
        <v>8.4</v>
      </c>
      <c r="J33" s="27">
        <f t="shared" si="1"/>
        <v>8.5</v>
      </c>
      <c r="K33" s="27">
        <f t="shared" si="1"/>
        <v>8.9</v>
      </c>
      <c r="L33" s="27">
        <f>L31-L32</f>
        <v>0</v>
      </c>
      <c r="M33" s="27">
        <f>M31-M32</f>
        <v>9.1999999999999993</v>
      </c>
      <c r="N33" s="27">
        <f>N31-N32</f>
        <v>8.3000000000000007</v>
      </c>
      <c r="O33" s="27">
        <f>O31-O32</f>
        <v>8.6999999999999993</v>
      </c>
      <c r="P33" s="27">
        <f t="shared" si="1"/>
        <v>0</v>
      </c>
      <c r="Q33" s="27">
        <f t="shared" si="1"/>
        <v>8.5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6503.5011547344111</v>
      </c>
      <c r="H34" s="28">
        <f t="shared" ref="H34:Q34" si="2">(H33*H30)/0.866</f>
        <v>0</v>
      </c>
      <c r="I34" s="28">
        <f t="shared" si="2"/>
        <v>6303.2979214780607</v>
      </c>
      <c r="J34" s="28">
        <f t="shared" si="2"/>
        <v>6698.9030023094692</v>
      </c>
      <c r="K34" s="28">
        <f t="shared" si="2"/>
        <v>6645.6073903002316</v>
      </c>
      <c r="L34" s="28">
        <f>(L33*L30)/0.866</f>
        <v>0</v>
      </c>
      <c r="M34" s="28">
        <f>(M33*M30)/0.866</f>
        <v>6652.8960739030017</v>
      </c>
      <c r="N34" s="28">
        <f>(N33*N30)/0.866</f>
        <v>6625.6235565819861</v>
      </c>
      <c r="O34" s="28">
        <f>(O33*O30)/0.866</f>
        <v>6603.9630484988447</v>
      </c>
      <c r="P34" s="28">
        <f t="shared" si="2"/>
        <v>0</v>
      </c>
      <c r="Q34" s="28">
        <f t="shared" si="2"/>
        <v>6341.4318706697468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0.82</v>
      </c>
      <c r="H35" s="21"/>
      <c r="I35" s="21">
        <v>0.84</v>
      </c>
      <c r="J35" s="20">
        <v>0.84</v>
      </c>
      <c r="K35" s="20">
        <v>0.84</v>
      </c>
      <c r="L35" s="21"/>
      <c r="M35" s="21">
        <v>0.82</v>
      </c>
      <c r="N35" s="20">
        <v>0.81</v>
      </c>
      <c r="O35" s="20">
        <v>0.81</v>
      </c>
      <c r="P35" s="21"/>
      <c r="Q35" s="21">
        <v>0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/>
      <c r="G36" s="20">
        <v>35.6</v>
      </c>
      <c r="H36" s="21"/>
      <c r="I36" s="21">
        <v>36.299999999999997</v>
      </c>
      <c r="J36" s="20">
        <v>36.5</v>
      </c>
      <c r="K36" s="20">
        <v>35.799999999999997</v>
      </c>
      <c r="L36" s="21"/>
      <c r="M36" s="21">
        <v>35.5</v>
      </c>
      <c r="N36" s="20">
        <v>35.700000000000003</v>
      </c>
      <c r="O36" s="20">
        <v>34.9</v>
      </c>
      <c r="P36" s="21"/>
      <c r="Q36" s="21">
        <v>0.83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/>
      <c r="G37" s="20">
        <v>36.4</v>
      </c>
      <c r="H37" s="21"/>
      <c r="I37" s="21">
        <v>37.200000000000003</v>
      </c>
      <c r="J37" s="20">
        <v>37.200000000000003</v>
      </c>
      <c r="K37" s="20">
        <v>37</v>
      </c>
      <c r="L37" s="21"/>
      <c r="M37" s="21">
        <v>36.5</v>
      </c>
      <c r="N37" s="20">
        <v>36.1</v>
      </c>
      <c r="O37" s="20">
        <v>36</v>
      </c>
      <c r="P37" s="21"/>
      <c r="Q37" s="21">
        <v>36.799999999999997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2.3999999999999986</v>
      </c>
      <c r="H38" s="27">
        <v>1</v>
      </c>
      <c r="I38" s="27">
        <f t="shared" ref="I38:Q38" si="3">I37-I41</f>
        <v>3.5</v>
      </c>
      <c r="J38" s="27">
        <f t="shared" si="3"/>
        <v>2.1000000000000014</v>
      </c>
      <c r="K38" s="27">
        <f t="shared" si="3"/>
        <v>2.7999999999999972</v>
      </c>
      <c r="L38" s="27">
        <f>L37-L41</f>
        <v>0</v>
      </c>
      <c r="M38" s="27">
        <f>M37-M41</f>
        <v>3</v>
      </c>
      <c r="N38" s="27">
        <f>N37-N41</f>
        <v>1.5</v>
      </c>
      <c r="O38" s="27">
        <f>O37-O41</f>
        <v>2.3999999999999986</v>
      </c>
      <c r="P38" s="27">
        <f t="shared" si="3"/>
        <v>0</v>
      </c>
      <c r="Q38" s="27">
        <f t="shared" si="3"/>
        <v>2.7999999999999972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/>
      <c r="G40" s="20">
        <v>28.9</v>
      </c>
      <c r="H40" s="21"/>
      <c r="I40" s="21">
        <v>28.7</v>
      </c>
      <c r="J40" s="20">
        <v>29.7</v>
      </c>
      <c r="K40" s="20">
        <v>28.8</v>
      </c>
      <c r="L40" s="21"/>
      <c r="M40" s="21">
        <v>28.5</v>
      </c>
      <c r="N40" s="20">
        <v>29.2</v>
      </c>
      <c r="O40" s="20">
        <v>28.6</v>
      </c>
      <c r="P40" s="21"/>
      <c r="Q40" s="21">
        <v>28.8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/>
      <c r="G41" s="20">
        <v>34</v>
      </c>
      <c r="H41" s="21"/>
      <c r="I41" s="21">
        <v>33.700000000000003</v>
      </c>
      <c r="J41" s="20">
        <v>35.1</v>
      </c>
      <c r="K41" s="20">
        <v>34.200000000000003</v>
      </c>
      <c r="L41" s="21"/>
      <c r="M41" s="21">
        <v>33.5</v>
      </c>
      <c r="N41" s="20">
        <v>34.6</v>
      </c>
      <c r="O41" s="20">
        <v>33.6</v>
      </c>
      <c r="P41" s="21"/>
      <c r="Q41" s="21">
        <v>34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5.1000000000000014</v>
      </c>
      <c r="H42" s="27">
        <f t="shared" ref="H42:Q42" si="4">H41-H40</f>
        <v>0</v>
      </c>
      <c r="I42" s="27">
        <f t="shared" si="4"/>
        <v>5.0000000000000036</v>
      </c>
      <c r="J42" s="27">
        <f t="shared" si="4"/>
        <v>5.4000000000000021</v>
      </c>
      <c r="K42" s="27">
        <f t="shared" si="4"/>
        <v>5.4000000000000021</v>
      </c>
      <c r="L42" s="27">
        <f>L41-L40</f>
        <v>0</v>
      </c>
      <c r="M42" s="27">
        <f>M41-M40</f>
        <v>5</v>
      </c>
      <c r="N42" s="27">
        <f>N41-N40</f>
        <v>5.4000000000000021</v>
      </c>
      <c r="O42" s="27">
        <f>O41-O40</f>
        <v>5</v>
      </c>
      <c r="P42" s="27">
        <f t="shared" si="4"/>
        <v>0</v>
      </c>
      <c r="Q42" s="27">
        <f t="shared" si="4"/>
        <v>5.1999999999999993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/>
      <c r="G43" s="20">
        <v>1292.2</v>
      </c>
      <c r="H43" s="21"/>
      <c r="I43" s="21">
        <v>1305.08</v>
      </c>
      <c r="J43" s="20">
        <v>1286.5</v>
      </c>
      <c r="K43" s="20">
        <v>1293.8800000000001</v>
      </c>
      <c r="L43" s="21"/>
      <c r="M43" s="20">
        <v>1298.92</v>
      </c>
      <c r="N43" s="20">
        <v>1298.0999999999999</v>
      </c>
      <c r="O43" s="20">
        <v>1296.26</v>
      </c>
      <c r="P43" s="21"/>
      <c r="Q43" s="21">
        <v>1296.82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7609.9538106235586</v>
      </c>
      <c r="H44" s="28">
        <f t="shared" ref="H44:Q44" si="5">H42*H43/0.866</f>
        <v>0</v>
      </c>
      <c r="I44" s="28">
        <f t="shared" si="5"/>
        <v>7535.1039260970028</v>
      </c>
      <c r="J44" s="28">
        <f t="shared" si="5"/>
        <v>8022.0554272517356</v>
      </c>
      <c r="K44" s="28">
        <f t="shared" si="5"/>
        <v>8068.0739030023133</v>
      </c>
      <c r="L44" s="28">
        <f>L42*L43/0.866</f>
        <v>0</v>
      </c>
      <c r="M44" s="28">
        <f>M42*M43/0.866</f>
        <v>7499.5381062355664</v>
      </c>
      <c r="N44" s="28">
        <f>N42*N43/0.866</f>
        <v>8094.3879907621276</v>
      </c>
      <c r="O44" s="28">
        <f>O42*O43/0.866</f>
        <v>7484.1801385681292</v>
      </c>
      <c r="P44" s="28">
        <f t="shared" si="5"/>
        <v>0</v>
      </c>
      <c r="Q44" s="28">
        <f t="shared" si="5"/>
        <v>7786.909930715934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0.46</v>
      </c>
      <c r="H45" s="21"/>
      <c r="I45" s="21">
        <v>0.46</v>
      </c>
      <c r="J45" s="20">
        <v>0.47</v>
      </c>
      <c r="K45" s="20">
        <v>0.46</v>
      </c>
      <c r="L45" s="21"/>
      <c r="M45" s="21">
        <v>0.46</v>
      </c>
      <c r="N45" s="20">
        <v>0.46</v>
      </c>
      <c r="O45" s="20">
        <v>0.45</v>
      </c>
      <c r="P45" s="21"/>
      <c r="Q45" s="21">
        <v>0.46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/>
      <c r="G46" s="20">
        <v>19.7</v>
      </c>
      <c r="H46" s="21"/>
      <c r="I46" s="21">
        <v>19.100000000000001</v>
      </c>
      <c r="J46" s="20">
        <v>19.899999999999999</v>
      </c>
      <c r="K46" s="20">
        <v>19.2</v>
      </c>
      <c r="L46" s="21"/>
      <c r="M46" s="21">
        <v>19.3</v>
      </c>
      <c r="N46" s="20">
        <v>19.2</v>
      </c>
      <c r="O46" s="20">
        <v>18.899999999999999</v>
      </c>
      <c r="P46" s="21"/>
      <c r="Q46" s="21">
        <v>19.8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/>
      <c r="G47" s="20">
        <v>214.4</v>
      </c>
      <c r="H47" s="21"/>
      <c r="I47" s="21">
        <v>125</v>
      </c>
      <c r="J47" s="20">
        <v>207.4</v>
      </c>
      <c r="K47" s="20">
        <v>200.9</v>
      </c>
      <c r="L47" s="21"/>
      <c r="M47" s="21">
        <v>211.1</v>
      </c>
      <c r="N47" s="20">
        <v>169</v>
      </c>
      <c r="O47" s="20">
        <v>158.69999999999999</v>
      </c>
      <c r="P47" s="21"/>
      <c r="Q47" s="21">
        <v>195.5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51">
        <v>5.89</v>
      </c>
      <c r="F49" s="20"/>
      <c r="G49" s="20">
        <v>5.71</v>
      </c>
      <c r="H49" s="21"/>
      <c r="I49" s="21">
        <v>5.39</v>
      </c>
      <c r="J49" s="20">
        <v>5.32</v>
      </c>
      <c r="K49" s="20">
        <v>5.65</v>
      </c>
      <c r="L49" s="21"/>
      <c r="M49" s="21">
        <v>5.67</v>
      </c>
      <c r="N49" s="20">
        <v>5.15</v>
      </c>
      <c r="O49" s="20">
        <v>5.78</v>
      </c>
      <c r="P49" s="21"/>
      <c r="Q49" s="21">
        <v>5.46</v>
      </c>
    </row>
    <row r="50" spans="2:17" ht="20.100000000000001" customHeight="1">
      <c r="B50" s="92" t="s">
        <v>91</v>
      </c>
      <c r="C50" s="92"/>
      <c r="D50" s="92"/>
      <c r="E50" s="51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50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4" zoomScale="85" zoomScaleNormal="60" workbookViewId="0">
      <selection activeCell="P27" sqref="P27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45758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53" t="s">
        <v>18</v>
      </c>
      <c r="E10" s="15"/>
      <c r="F10" s="16"/>
      <c r="G10" s="17" t="s">
        <v>19</v>
      </c>
      <c r="H10" s="18"/>
      <c r="I10" s="18" t="s">
        <v>19</v>
      </c>
      <c r="J10" s="17"/>
      <c r="K10" s="17" t="s">
        <v>19</v>
      </c>
      <c r="L10" s="18"/>
      <c r="M10" s="18" t="s">
        <v>19</v>
      </c>
      <c r="N10" s="16"/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70</v>
      </c>
      <c r="H11" s="21"/>
      <c r="I11" s="21">
        <v>77.7</v>
      </c>
      <c r="J11" s="20"/>
      <c r="K11" s="20">
        <v>73.5</v>
      </c>
      <c r="L11" s="21"/>
      <c r="M11" s="21">
        <v>71.7</v>
      </c>
      <c r="N11" s="20"/>
      <c r="O11" s="20">
        <v>75.599999999999994</v>
      </c>
      <c r="P11" s="21"/>
      <c r="Q11" s="21">
        <v>74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0.6</v>
      </c>
      <c r="H12" s="21"/>
      <c r="I12" s="21">
        <v>0</v>
      </c>
      <c r="J12" s="20"/>
      <c r="K12" s="20">
        <v>0</v>
      </c>
      <c r="L12" s="21"/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64.3</v>
      </c>
      <c r="H13" s="21"/>
      <c r="I13" s="21">
        <v>73.099999999999994</v>
      </c>
      <c r="J13" s="20"/>
      <c r="K13" s="20">
        <v>68.2</v>
      </c>
      <c r="L13" s="21"/>
      <c r="M13" s="21">
        <v>68.900000000000006</v>
      </c>
      <c r="N13" s="20"/>
      <c r="O13" s="20">
        <v>71</v>
      </c>
      <c r="P13" s="21"/>
      <c r="Q13" s="21">
        <v>68.099999999999994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66</v>
      </c>
      <c r="H14" s="21"/>
      <c r="I14" s="21">
        <v>68.400000000000006</v>
      </c>
      <c r="J14" s="20"/>
      <c r="K14" s="20">
        <v>63.9</v>
      </c>
      <c r="L14" s="21"/>
      <c r="M14" s="21">
        <v>65.2</v>
      </c>
      <c r="N14" s="20"/>
      <c r="O14" s="20">
        <v>72</v>
      </c>
      <c r="P14" s="21"/>
      <c r="Q14" s="21">
        <v>72.3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35.4</v>
      </c>
      <c r="H15" s="21"/>
      <c r="I15" s="21">
        <v>49</v>
      </c>
      <c r="J15" s="20"/>
      <c r="K15" s="20">
        <v>36.700000000000003</v>
      </c>
      <c r="L15" s="21"/>
      <c r="M15" s="21">
        <v>31.5</v>
      </c>
      <c r="N15" s="20"/>
      <c r="O15" s="20">
        <v>42.3</v>
      </c>
      <c r="P15" s="21"/>
      <c r="Q15" s="21">
        <v>43.9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/>
      <c r="K16" s="20">
        <v>6.6</v>
      </c>
      <c r="L16" s="21"/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/>
      <c r="G17" s="20">
        <v>115.9</v>
      </c>
      <c r="H17" s="21"/>
      <c r="I17" s="21">
        <v>114.7</v>
      </c>
      <c r="J17" s="20"/>
      <c r="K17" s="20">
        <v>115.4</v>
      </c>
      <c r="L17" s="21"/>
      <c r="M17" s="21">
        <v>113.9</v>
      </c>
      <c r="N17" s="20"/>
      <c r="O17" s="20">
        <v>118</v>
      </c>
      <c r="P17" s="21"/>
      <c r="Q17" s="21">
        <v>117.4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/>
      <c r="G18" s="20">
        <v>1155</v>
      </c>
      <c r="H18" s="21"/>
      <c r="I18" s="21">
        <v>1175</v>
      </c>
      <c r="J18" s="20"/>
      <c r="K18" s="20">
        <v>1194</v>
      </c>
      <c r="L18" s="21"/>
      <c r="M18" s="21">
        <v>1172</v>
      </c>
      <c r="N18" s="20"/>
      <c r="O18" s="20">
        <v>1205</v>
      </c>
      <c r="P18" s="21"/>
      <c r="Q18" s="21">
        <v>1201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49857.599999999999</v>
      </c>
      <c r="H19" s="21"/>
      <c r="I19" s="21">
        <v>51091.1</v>
      </c>
      <c r="J19" s="20"/>
      <c r="K19" s="20">
        <v>48802.1</v>
      </c>
      <c r="L19" s="21"/>
      <c r="M19" s="21">
        <v>51176.9</v>
      </c>
      <c r="N19" s="20"/>
      <c r="O19" s="20">
        <v>50358.6</v>
      </c>
      <c r="P19" s="21"/>
      <c r="Q19" s="21">
        <v>50462.8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/>
      <c r="G22" s="20">
        <v>58.6</v>
      </c>
      <c r="H22" s="21"/>
      <c r="I22" s="21">
        <v>59</v>
      </c>
      <c r="J22" s="20"/>
      <c r="K22" s="20">
        <v>58</v>
      </c>
      <c r="L22" s="21"/>
      <c r="M22" s="21">
        <v>57.6</v>
      </c>
      <c r="N22" s="20"/>
      <c r="O22" s="20">
        <v>58.7</v>
      </c>
      <c r="P22" s="21"/>
      <c r="Q22" s="21">
        <v>59.7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0.5</v>
      </c>
      <c r="J23" s="20"/>
      <c r="K23" s="20">
        <v>0.59</v>
      </c>
      <c r="L23" s="21"/>
      <c r="M23" s="21">
        <v>0.52</v>
      </c>
      <c r="N23" s="20"/>
      <c r="O23" s="20">
        <v>0.53</v>
      </c>
      <c r="P23" s="21"/>
      <c r="Q23" s="21">
        <v>0.5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/>
      <c r="G25" s="20">
        <v>44.7</v>
      </c>
      <c r="H25" s="21"/>
      <c r="I25" s="21">
        <v>45.1</v>
      </c>
      <c r="J25" s="20"/>
      <c r="K25" s="20">
        <v>45</v>
      </c>
      <c r="L25" s="21"/>
      <c r="M25" s="21">
        <v>44.8</v>
      </c>
      <c r="N25" s="20"/>
      <c r="O25" s="20">
        <v>44.9</v>
      </c>
      <c r="P25" s="21"/>
      <c r="Q25" s="21">
        <v>45.1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0.22</v>
      </c>
      <c r="J26" s="20"/>
      <c r="K26" s="20">
        <v>0.23</v>
      </c>
      <c r="L26" s="21"/>
      <c r="M26" s="21">
        <v>0.22</v>
      </c>
      <c r="N26" s="20"/>
      <c r="O26" s="20">
        <v>0.23</v>
      </c>
      <c r="P26" s="21"/>
      <c r="Q26" s="21">
        <v>0.23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/>
      <c r="G27" s="20">
        <v>4.4000000000000004</v>
      </c>
      <c r="H27" s="21"/>
      <c r="I27" s="21">
        <v>3.6</v>
      </c>
      <c r="J27" s="20"/>
      <c r="K27" s="20">
        <v>4.4000000000000004</v>
      </c>
      <c r="L27" s="21"/>
      <c r="M27" s="21">
        <v>4</v>
      </c>
      <c r="N27" s="20"/>
      <c r="O27" s="20">
        <v>4.2</v>
      </c>
      <c r="P27" s="21"/>
      <c r="Q27" s="21">
        <v>4.9000000000000004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/>
      <c r="G28" s="20">
        <v>3.8</v>
      </c>
      <c r="H28" s="21"/>
      <c r="I28" s="21">
        <v>2.5</v>
      </c>
      <c r="J28" s="20"/>
      <c r="K28" s="20">
        <v>3.5</v>
      </c>
      <c r="L28" s="21"/>
      <c r="M28" s="21">
        <v>2.8</v>
      </c>
      <c r="N28" s="20"/>
      <c r="O28" s="20">
        <v>3.2</v>
      </c>
      <c r="P28" s="21"/>
      <c r="Q28" s="21">
        <v>3.8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0.79999999999999982</v>
      </c>
      <c r="H29" s="27">
        <f t="shared" ref="H29:Q29" si="0">H32-H28</f>
        <v>0</v>
      </c>
      <c r="I29" s="27">
        <f t="shared" si="0"/>
        <v>2.0999999999999996</v>
      </c>
      <c r="J29" s="27">
        <f t="shared" si="0"/>
        <v>0</v>
      </c>
      <c r="K29" s="27">
        <f t="shared" si="0"/>
        <v>1.0999999999999996</v>
      </c>
      <c r="L29" s="27">
        <f>L32-L28</f>
        <v>0</v>
      </c>
      <c r="M29" s="27">
        <f>M32-M28</f>
        <v>1.1000000000000001</v>
      </c>
      <c r="N29" s="27">
        <f>N32-N28</f>
        <v>0</v>
      </c>
      <c r="O29" s="27">
        <f>O32-O28</f>
        <v>1.0999999999999996</v>
      </c>
      <c r="P29" s="27">
        <f t="shared" si="0"/>
        <v>0</v>
      </c>
      <c r="Q29" s="27">
        <f t="shared" si="0"/>
        <v>0.90000000000000036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/>
      <c r="G30" s="20">
        <v>668.72</v>
      </c>
      <c r="H30" s="21"/>
      <c r="I30" s="21">
        <v>649.76</v>
      </c>
      <c r="J30" s="20"/>
      <c r="K30" s="20">
        <v>635.44000000000005</v>
      </c>
      <c r="L30" s="21"/>
      <c r="M30" s="21">
        <v>639.28</v>
      </c>
      <c r="N30" s="20"/>
      <c r="O30" s="20">
        <v>656.32</v>
      </c>
      <c r="P30" s="21"/>
      <c r="Q30" s="21">
        <v>649.12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/>
      <c r="G31" s="20">
        <v>12.9</v>
      </c>
      <c r="H31" s="21"/>
      <c r="I31" s="21">
        <v>13.1</v>
      </c>
      <c r="J31" s="20"/>
      <c r="K31" s="20">
        <v>13.5</v>
      </c>
      <c r="L31" s="21"/>
      <c r="M31" s="21">
        <v>12.9</v>
      </c>
      <c r="N31" s="20"/>
      <c r="O31" s="20">
        <v>13</v>
      </c>
      <c r="P31" s="21"/>
      <c r="Q31" s="21">
        <v>13.3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/>
      <c r="G32" s="20">
        <v>4.5999999999999996</v>
      </c>
      <c r="H32" s="21"/>
      <c r="I32" s="21">
        <v>4.5999999999999996</v>
      </c>
      <c r="J32" s="20"/>
      <c r="K32" s="20">
        <v>4.5999999999999996</v>
      </c>
      <c r="L32" s="21"/>
      <c r="M32" s="21">
        <v>3.9</v>
      </c>
      <c r="N32" s="20"/>
      <c r="O32" s="20">
        <v>4.3</v>
      </c>
      <c r="P32" s="21"/>
      <c r="Q32" s="21">
        <v>4.7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8.3000000000000007</v>
      </c>
      <c r="H33" s="27">
        <f t="shared" ref="H33:Q33" si="1">H31-H32</f>
        <v>0</v>
      </c>
      <c r="I33" s="27">
        <f t="shared" si="1"/>
        <v>8.5</v>
      </c>
      <c r="J33" s="27">
        <f t="shared" si="1"/>
        <v>0</v>
      </c>
      <c r="K33" s="27">
        <f t="shared" si="1"/>
        <v>8.9</v>
      </c>
      <c r="L33" s="27">
        <f>L31-L32</f>
        <v>0</v>
      </c>
      <c r="M33" s="27">
        <f>M31-M32</f>
        <v>9</v>
      </c>
      <c r="N33" s="27">
        <f>N31-N32</f>
        <v>0</v>
      </c>
      <c r="O33" s="27">
        <f>O31-O32</f>
        <v>8.6999999999999993</v>
      </c>
      <c r="P33" s="27">
        <f t="shared" si="1"/>
        <v>0</v>
      </c>
      <c r="Q33" s="27">
        <f t="shared" si="1"/>
        <v>8.6000000000000014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6409.2101616628188</v>
      </c>
      <c r="H34" s="28">
        <f t="shared" ref="H34:Q34" si="2">(H33*H30)/0.866</f>
        <v>0</v>
      </c>
      <c r="I34" s="28">
        <f t="shared" si="2"/>
        <v>6377.5519630484987</v>
      </c>
      <c r="J34" s="28">
        <f t="shared" si="2"/>
        <v>0</v>
      </c>
      <c r="K34" s="28">
        <f t="shared" si="2"/>
        <v>6530.5034642032342</v>
      </c>
      <c r="L34" s="28">
        <f>(L33*L30)/0.866</f>
        <v>0</v>
      </c>
      <c r="M34" s="28">
        <f>(M33*M30)/0.866</f>
        <v>6643.7875288683599</v>
      </c>
      <c r="N34" s="28">
        <f>(N33*N30)/0.866</f>
        <v>0</v>
      </c>
      <c r="O34" s="28">
        <f>(O33*O30)/0.866</f>
        <v>6593.5150115473443</v>
      </c>
      <c r="P34" s="28">
        <f t="shared" si="2"/>
        <v>0</v>
      </c>
      <c r="Q34" s="28">
        <f t="shared" si="2"/>
        <v>6446.2263279445733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0.83</v>
      </c>
      <c r="H35" s="21"/>
      <c r="I35" s="21">
        <v>0.85</v>
      </c>
      <c r="J35" s="20"/>
      <c r="K35" s="20">
        <v>0.84</v>
      </c>
      <c r="L35" s="21"/>
      <c r="M35" s="21">
        <v>0.83</v>
      </c>
      <c r="N35" s="20"/>
      <c r="O35" s="20">
        <v>0.82</v>
      </c>
      <c r="P35" s="21"/>
      <c r="Q35" s="21">
        <v>0.84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/>
      <c r="G36" s="20">
        <v>36.299999999999997</v>
      </c>
      <c r="H36" s="21"/>
      <c r="I36" s="21">
        <v>36.6</v>
      </c>
      <c r="J36" s="20"/>
      <c r="K36" s="20">
        <v>36.6</v>
      </c>
      <c r="L36" s="21"/>
      <c r="M36" s="21">
        <v>36.6</v>
      </c>
      <c r="N36" s="20"/>
      <c r="O36" s="20">
        <v>35.9</v>
      </c>
      <c r="P36" s="21"/>
      <c r="Q36" s="21">
        <v>36.700000000000003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/>
      <c r="G37" s="20">
        <v>36.799999999999997</v>
      </c>
      <c r="H37" s="21"/>
      <c r="I37" s="21">
        <v>37.6</v>
      </c>
      <c r="J37" s="20"/>
      <c r="K37" s="20">
        <v>37.299999999999997</v>
      </c>
      <c r="L37" s="21"/>
      <c r="M37" s="21">
        <v>36.9</v>
      </c>
      <c r="N37" s="20"/>
      <c r="O37" s="20">
        <v>36.4</v>
      </c>
      <c r="P37" s="21"/>
      <c r="Q37" s="21">
        <v>37.299999999999997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2.3999999999999986</v>
      </c>
      <c r="H38" s="27">
        <f t="shared" ref="H38:Q38" si="3">H37-H41</f>
        <v>0</v>
      </c>
      <c r="I38" s="27">
        <f t="shared" si="3"/>
        <v>3.6000000000000014</v>
      </c>
      <c r="J38" s="27">
        <f t="shared" si="3"/>
        <v>0</v>
      </c>
      <c r="K38" s="27">
        <f t="shared" si="3"/>
        <v>2.8999999999999986</v>
      </c>
      <c r="L38" s="27">
        <f>L37-L41</f>
        <v>0</v>
      </c>
      <c r="M38" s="27">
        <f>M37-M41</f>
        <v>2.8999999999999986</v>
      </c>
      <c r="N38" s="27">
        <f>N37-N41</f>
        <v>0</v>
      </c>
      <c r="O38" s="27">
        <f>O37-O41</f>
        <v>2.3999999999999986</v>
      </c>
      <c r="P38" s="27">
        <f t="shared" si="3"/>
        <v>0</v>
      </c>
      <c r="Q38" s="27">
        <f t="shared" si="3"/>
        <v>2.7999999999999972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/>
      <c r="G40" s="20">
        <v>29.3</v>
      </c>
      <c r="H40" s="21"/>
      <c r="I40" s="21">
        <v>29.1</v>
      </c>
      <c r="J40" s="20"/>
      <c r="K40" s="20">
        <v>29.2</v>
      </c>
      <c r="L40" s="21"/>
      <c r="M40" s="21">
        <v>29</v>
      </c>
      <c r="N40" s="20"/>
      <c r="O40" s="20">
        <v>29</v>
      </c>
      <c r="P40" s="21"/>
      <c r="Q40" s="21">
        <v>29.3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/>
      <c r="G41" s="20">
        <v>34.4</v>
      </c>
      <c r="H41" s="21"/>
      <c r="I41" s="21">
        <v>34</v>
      </c>
      <c r="J41" s="20"/>
      <c r="K41" s="20">
        <v>34.4</v>
      </c>
      <c r="L41" s="21"/>
      <c r="M41" s="21">
        <v>34</v>
      </c>
      <c r="N41" s="20"/>
      <c r="O41" s="20">
        <v>34</v>
      </c>
      <c r="P41" s="21"/>
      <c r="Q41" s="21">
        <v>34.5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5.0999999999999979</v>
      </c>
      <c r="H42" s="27">
        <f t="shared" ref="H42:Q42" si="4">H41-H40</f>
        <v>0</v>
      </c>
      <c r="I42" s="27">
        <f t="shared" si="4"/>
        <v>4.8999999999999986</v>
      </c>
      <c r="J42" s="27">
        <f t="shared" si="4"/>
        <v>0</v>
      </c>
      <c r="K42" s="27">
        <f t="shared" si="4"/>
        <v>5.1999999999999993</v>
      </c>
      <c r="L42" s="27">
        <f>L41-L40</f>
        <v>0</v>
      </c>
      <c r="M42" s="27">
        <f>M41-M40</f>
        <v>5</v>
      </c>
      <c r="N42" s="27">
        <f>N41-N40</f>
        <v>0</v>
      </c>
      <c r="O42" s="27">
        <f>O41-O40</f>
        <v>5</v>
      </c>
      <c r="P42" s="27">
        <f t="shared" si="4"/>
        <v>0</v>
      </c>
      <c r="Q42" s="27">
        <f t="shared" si="4"/>
        <v>5.1999999999999993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/>
      <c r="G43" s="20">
        <v>1297.24</v>
      </c>
      <c r="H43" s="21"/>
      <c r="I43" s="21">
        <v>1296.96</v>
      </c>
      <c r="J43" s="20"/>
      <c r="K43" s="20">
        <v>1290.6600000000001</v>
      </c>
      <c r="L43" s="21"/>
      <c r="M43" s="20">
        <v>1295.42</v>
      </c>
      <c r="N43" s="20"/>
      <c r="O43" s="20">
        <v>1294.44</v>
      </c>
      <c r="P43" s="21"/>
      <c r="Q43" s="21">
        <v>1296.26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7639.6351039260935</v>
      </c>
      <c r="H44" s="28">
        <f t="shared" ref="H44:Q44" si="5">H42*H43/0.866</f>
        <v>0</v>
      </c>
      <c r="I44" s="28">
        <f t="shared" si="5"/>
        <v>7338.4572748267883</v>
      </c>
      <c r="J44" s="28">
        <f t="shared" si="5"/>
        <v>0</v>
      </c>
      <c r="K44" s="28">
        <f t="shared" si="5"/>
        <v>7749.921478060046</v>
      </c>
      <c r="L44" s="28">
        <f>L42*L43/0.866</f>
        <v>0</v>
      </c>
      <c r="M44" s="28">
        <f>M42*M43/0.866</f>
        <v>7479.3302540415707</v>
      </c>
      <c r="N44" s="28">
        <f>N42*N43/0.866</f>
        <v>0</v>
      </c>
      <c r="O44" s="28">
        <f>O42*O43/0.866</f>
        <v>7473.6720554272524</v>
      </c>
      <c r="P44" s="28">
        <f t="shared" si="5"/>
        <v>0</v>
      </c>
      <c r="Q44" s="28">
        <f t="shared" si="5"/>
        <v>7783.5473441108534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>
        <v>0.46</v>
      </c>
      <c r="J45" s="20"/>
      <c r="K45" s="20">
        <v>0.47</v>
      </c>
      <c r="L45" s="21"/>
      <c r="M45" s="21">
        <v>0.46</v>
      </c>
      <c r="N45" s="20"/>
      <c r="O45" s="20">
        <v>0.46</v>
      </c>
      <c r="P45" s="21"/>
      <c r="Q45" s="21">
        <v>0.47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/>
      <c r="G46" s="20">
        <v>20.3</v>
      </c>
      <c r="H46" s="21"/>
      <c r="I46" s="21">
        <v>19.7</v>
      </c>
      <c r="J46" s="20"/>
      <c r="K46" s="20">
        <v>20</v>
      </c>
      <c r="L46" s="21"/>
      <c r="M46" s="21">
        <v>19.7</v>
      </c>
      <c r="N46" s="20"/>
      <c r="O46" s="20">
        <v>19.5</v>
      </c>
      <c r="P46" s="21"/>
      <c r="Q46" s="21">
        <v>20.3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/>
      <c r="G47" s="20">
        <v>191.7</v>
      </c>
      <c r="H47" s="21"/>
      <c r="I47" s="21">
        <v>125.7</v>
      </c>
      <c r="J47" s="20"/>
      <c r="K47" s="20">
        <v>210.6</v>
      </c>
      <c r="L47" s="21"/>
      <c r="M47" s="21">
        <v>205.6</v>
      </c>
      <c r="N47" s="20"/>
      <c r="O47" s="20">
        <v>158.1</v>
      </c>
      <c r="P47" s="21"/>
      <c r="Q47" s="21">
        <v>192.1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53">
        <v>5.89</v>
      </c>
      <c r="F49" s="20"/>
      <c r="G49" s="20">
        <v>5.55</v>
      </c>
      <c r="H49" s="21"/>
      <c r="I49" s="21">
        <v>5.48</v>
      </c>
      <c r="J49" s="20"/>
      <c r="K49" s="20">
        <v>5.52</v>
      </c>
      <c r="L49" s="21"/>
      <c r="M49" s="21">
        <v>5.69</v>
      </c>
      <c r="N49" s="20"/>
      <c r="O49" s="20">
        <v>5.42</v>
      </c>
      <c r="P49" s="21"/>
      <c r="Q49" s="21">
        <v>5.23</v>
      </c>
    </row>
    <row r="50" spans="2:17" ht="20.100000000000001" customHeight="1">
      <c r="B50" s="92" t="s">
        <v>91</v>
      </c>
      <c r="C50" s="92"/>
      <c r="D50" s="92"/>
      <c r="E50" s="53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52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4" zoomScale="85" zoomScaleNormal="60" workbookViewId="0">
      <selection activeCell="B8" sqref="B8:D8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45759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55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71.400000000000006</v>
      </c>
      <c r="H11" s="21"/>
      <c r="I11" s="21">
        <v>83.2</v>
      </c>
      <c r="J11" s="20">
        <v>72.599999999999994</v>
      </c>
      <c r="K11" s="20">
        <v>73.8</v>
      </c>
      <c r="L11" s="21"/>
      <c r="M11" s="21">
        <v>74.599999999999994</v>
      </c>
      <c r="N11" s="20">
        <v>79.900000000000006</v>
      </c>
      <c r="O11" s="20">
        <v>77.400000000000006</v>
      </c>
      <c r="P11" s="21"/>
      <c r="Q11" s="21">
        <v>75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0.6</v>
      </c>
      <c r="H12" s="21"/>
      <c r="I12" s="21">
        <v>0</v>
      </c>
      <c r="J12" s="20">
        <v>0</v>
      </c>
      <c r="K12" s="20">
        <v>0</v>
      </c>
      <c r="L12" s="21"/>
      <c r="M12" s="21">
        <v>0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65.900000000000006</v>
      </c>
      <c r="H13" s="21"/>
      <c r="I13" s="21">
        <v>80</v>
      </c>
      <c r="J13" s="20">
        <v>69.400000000000006</v>
      </c>
      <c r="K13" s="20">
        <v>70.5</v>
      </c>
      <c r="L13" s="21"/>
      <c r="M13" s="21">
        <v>69.2</v>
      </c>
      <c r="N13" s="20">
        <v>76.099999999999994</v>
      </c>
      <c r="O13" s="20">
        <v>72.3</v>
      </c>
      <c r="P13" s="21"/>
      <c r="Q13" s="21">
        <v>70.2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67.3</v>
      </c>
      <c r="H14" s="21"/>
      <c r="I14" s="21">
        <v>67.900000000000006</v>
      </c>
      <c r="J14" s="20">
        <v>61.5</v>
      </c>
      <c r="K14" s="20">
        <v>65.2</v>
      </c>
      <c r="L14" s="21"/>
      <c r="M14" s="21">
        <v>66.8</v>
      </c>
      <c r="N14" s="20">
        <v>69.099999999999994</v>
      </c>
      <c r="O14" s="20">
        <v>72.599999999999994</v>
      </c>
      <c r="P14" s="21"/>
      <c r="Q14" s="21">
        <v>70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36.799999999999997</v>
      </c>
      <c r="H15" s="21"/>
      <c r="I15" s="21">
        <v>52.2</v>
      </c>
      <c r="J15" s="20">
        <v>38.799999999999997</v>
      </c>
      <c r="K15" s="20">
        <v>41.4</v>
      </c>
      <c r="L15" s="21"/>
      <c r="M15" s="21">
        <v>32.4</v>
      </c>
      <c r="N15" s="20">
        <v>57.3</v>
      </c>
      <c r="O15" s="20">
        <v>55.4</v>
      </c>
      <c r="P15" s="21"/>
      <c r="Q15" s="21">
        <v>41.1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/>
      <c r="G17" s="20">
        <v>114.3</v>
      </c>
      <c r="H17" s="21"/>
      <c r="I17" s="21">
        <v>116.3</v>
      </c>
      <c r="J17" s="20">
        <v>117</v>
      </c>
      <c r="K17" s="20">
        <v>115.9</v>
      </c>
      <c r="L17" s="21"/>
      <c r="M17" s="21">
        <v>114.2</v>
      </c>
      <c r="N17" s="20">
        <v>120.6</v>
      </c>
      <c r="O17" s="20">
        <v>116.4</v>
      </c>
      <c r="P17" s="21"/>
      <c r="Q17" s="21">
        <v>115.8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/>
      <c r="G18" s="20">
        <v>1133</v>
      </c>
      <c r="H18" s="21"/>
      <c r="I18" s="21">
        <v>1193</v>
      </c>
      <c r="J18" s="20">
        <v>1187</v>
      </c>
      <c r="K18" s="20">
        <v>1191</v>
      </c>
      <c r="L18" s="21"/>
      <c r="M18" s="21">
        <v>1169</v>
      </c>
      <c r="N18" s="20">
        <v>1227</v>
      </c>
      <c r="O18" s="20">
        <v>1194</v>
      </c>
      <c r="P18" s="21"/>
      <c r="Q18" s="21">
        <v>1187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49882</v>
      </c>
      <c r="H19" s="21"/>
      <c r="I19" s="21">
        <v>51100.9</v>
      </c>
      <c r="J19" s="20">
        <v>48823.199999999997</v>
      </c>
      <c r="K19" s="20">
        <v>48812.4</v>
      </c>
      <c r="L19" s="21"/>
      <c r="M19" s="21">
        <v>51195.9</v>
      </c>
      <c r="N19" s="20">
        <v>50379.4</v>
      </c>
      <c r="O19" s="20">
        <v>50368.6</v>
      </c>
      <c r="P19" s="21"/>
      <c r="Q19" s="21">
        <v>50472.3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/>
      <c r="G22" s="20">
        <v>58.1</v>
      </c>
      <c r="H22" s="21"/>
      <c r="I22" s="21">
        <v>59.1</v>
      </c>
      <c r="J22" s="20">
        <v>57.8</v>
      </c>
      <c r="K22" s="20">
        <v>57.7</v>
      </c>
      <c r="L22" s="21"/>
      <c r="M22" s="21">
        <v>57.2</v>
      </c>
      <c r="N22" s="20">
        <v>58.5</v>
      </c>
      <c r="O22" s="20">
        <v>58.4</v>
      </c>
      <c r="P22" s="21"/>
      <c r="Q22" s="21">
        <v>59.2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/>
      <c r="G23" s="20">
        <v>0.52</v>
      </c>
      <c r="H23" s="21"/>
      <c r="I23" s="21">
        <v>0.48</v>
      </c>
      <c r="J23" s="20">
        <v>0.59</v>
      </c>
      <c r="K23" s="20">
        <v>0.57999999999999996</v>
      </c>
      <c r="L23" s="21"/>
      <c r="M23" s="21">
        <v>0.52</v>
      </c>
      <c r="N23" s="20">
        <v>0.47</v>
      </c>
      <c r="O23" s="20">
        <v>0.47</v>
      </c>
      <c r="P23" s="21"/>
      <c r="Q23" s="21">
        <v>0.49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/>
      <c r="G25" s="20">
        <v>45.1</v>
      </c>
      <c r="H25" s="21"/>
      <c r="I25" s="21">
        <v>44.9</v>
      </c>
      <c r="J25" s="20">
        <v>45</v>
      </c>
      <c r="K25" s="20">
        <v>45</v>
      </c>
      <c r="L25" s="21"/>
      <c r="M25" s="21">
        <v>44.9</v>
      </c>
      <c r="N25" s="20">
        <v>45</v>
      </c>
      <c r="O25" s="20">
        <v>45.1</v>
      </c>
      <c r="P25" s="21"/>
      <c r="Q25" s="21">
        <v>44.9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0.22</v>
      </c>
      <c r="H26" s="21"/>
      <c r="I26" s="21">
        <v>0.21</v>
      </c>
      <c r="J26" s="20">
        <v>0.23</v>
      </c>
      <c r="K26" s="20">
        <v>0.22</v>
      </c>
      <c r="L26" s="21"/>
      <c r="M26" s="21">
        <v>0.22</v>
      </c>
      <c r="N26" s="20">
        <v>0.22</v>
      </c>
      <c r="O26" s="20">
        <v>0.22</v>
      </c>
      <c r="P26" s="21"/>
      <c r="Q26" s="21">
        <v>0.22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/>
      <c r="G27" s="20">
        <v>3.8</v>
      </c>
      <c r="H27" s="21"/>
      <c r="I27" s="21">
        <v>2.6</v>
      </c>
      <c r="J27" s="20">
        <v>4.4000000000000004</v>
      </c>
      <c r="K27" s="20">
        <v>4</v>
      </c>
      <c r="L27" s="21"/>
      <c r="M27" s="21">
        <v>3.7</v>
      </c>
      <c r="N27" s="20">
        <v>4</v>
      </c>
      <c r="O27" s="20">
        <v>3.7</v>
      </c>
      <c r="P27" s="21"/>
      <c r="Q27" s="21">
        <v>4.0999999999999996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/>
      <c r="G28" s="20">
        <v>3.2</v>
      </c>
      <c r="H28" s="21"/>
      <c r="I28" s="21">
        <v>1.7</v>
      </c>
      <c r="J28" s="20">
        <v>3.6</v>
      </c>
      <c r="K28" s="20">
        <v>3</v>
      </c>
      <c r="L28" s="21"/>
      <c r="M28" s="21">
        <v>2.7</v>
      </c>
      <c r="N28" s="20">
        <v>2.5</v>
      </c>
      <c r="O28" s="20">
        <v>2.8</v>
      </c>
      <c r="P28" s="21"/>
      <c r="Q28" s="21">
        <v>3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0.79999999999999982</v>
      </c>
      <c r="H29" s="27">
        <f t="shared" ref="H29:Q29" si="0">H32-H28</f>
        <v>0</v>
      </c>
      <c r="I29" s="27">
        <f t="shared" si="0"/>
        <v>2.5999999999999996</v>
      </c>
      <c r="J29" s="27">
        <f t="shared" si="0"/>
        <v>1.1999999999999997</v>
      </c>
      <c r="K29" s="27">
        <f t="shared" si="0"/>
        <v>1.2999999999999998</v>
      </c>
      <c r="L29" s="27">
        <f>L32-L28</f>
        <v>0</v>
      </c>
      <c r="M29" s="27">
        <f>M32-M28</f>
        <v>1</v>
      </c>
      <c r="N29" s="27">
        <f>N32-N28</f>
        <v>1.5999999999999996</v>
      </c>
      <c r="O29" s="27">
        <f>O32-O28</f>
        <v>1</v>
      </c>
      <c r="P29" s="27">
        <f t="shared" si="0"/>
        <v>0</v>
      </c>
      <c r="Q29" s="27">
        <f t="shared" si="0"/>
        <v>1.2000000000000002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/>
      <c r="G30" s="20">
        <v>653.44000000000005</v>
      </c>
      <c r="H30" s="21"/>
      <c r="I30" s="21">
        <v>632.32000000000005</v>
      </c>
      <c r="J30" s="20">
        <v>678.6</v>
      </c>
      <c r="K30" s="20">
        <v>634.88</v>
      </c>
      <c r="L30" s="21"/>
      <c r="M30" s="21">
        <v>624.64</v>
      </c>
      <c r="N30" s="20">
        <v>685.4</v>
      </c>
      <c r="O30" s="20">
        <v>632</v>
      </c>
      <c r="P30" s="21"/>
      <c r="Q30" s="21">
        <v>631.36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/>
      <c r="G31" s="20">
        <v>12.8</v>
      </c>
      <c r="H31" s="21"/>
      <c r="I31" s="21">
        <v>12.8</v>
      </c>
      <c r="J31" s="20">
        <v>13.3</v>
      </c>
      <c r="K31" s="20">
        <v>13.5</v>
      </c>
      <c r="L31" s="21"/>
      <c r="M31" s="21">
        <v>13.2</v>
      </c>
      <c r="N31" s="20">
        <v>12.7</v>
      </c>
      <c r="O31" s="20">
        <v>12.8</v>
      </c>
      <c r="P31" s="21"/>
      <c r="Q31" s="21">
        <v>12.9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/>
      <c r="G32" s="20">
        <v>4</v>
      </c>
      <c r="H32" s="21"/>
      <c r="I32" s="21">
        <v>4.3</v>
      </c>
      <c r="J32" s="20">
        <v>4.8</v>
      </c>
      <c r="K32" s="20">
        <v>4.3</v>
      </c>
      <c r="L32" s="21"/>
      <c r="M32" s="21">
        <v>3.7</v>
      </c>
      <c r="N32" s="20">
        <v>4.0999999999999996</v>
      </c>
      <c r="O32" s="20">
        <v>3.8</v>
      </c>
      <c r="P32" s="21"/>
      <c r="Q32" s="21">
        <v>4.2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8.8000000000000007</v>
      </c>
      <c r="H33" s="27">
        <f t="shared" ref="H33:Q33" si="1">H31-H32</f>
        <v>0</v>
      </c>
      <c r="I33" s="27">
        <f t="shared" si="1"/>
        <v>8.5</v>
      </c>
      <c r="J33" s="27">
        <f t="shared" si="1"/>
        <v>8.5</v>
      </c>
      <c r="K33" s="27">
        <f t="shared" si="1"/>
        <v>9.1999999999999993</v>
      </c>
      <c r="L33" s="27">
        <f>L31-L32</f>
        <v>0</v>
      </c>
      <c r="M33" s="27">
        <f>M31-M32</f>
        <v>9.5</v>
      </c>
      <c r="N33" s="27">
        <f>N31-N32</f>
        <v>8.6</v>
      </c>
      <c r="O33" s="27">
        <f>O31-O32</f>
        <v>9</v>
      </c>
      <c r="P33" s="27">
        <f t="shared" si="1"/>
        <v>0</v>
      </c>
      <c r="Q33" s="27">
        <f t="shared" si="1"/>
        <v>8.6999999999999993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6640.0369515011562</v>
      </c>
      <c r="H34" s="28">
        <f t="shared" ref="H34:Q34" si="2">(H33*H30)/0.866</f>
        <v>0</v>
      </c>
      <c r="I34" s="28">
        <f t="shared" si="2"/>
        <v>6206.3741339491917</v>
      </c>
      <c r="J34" s="28">
        <f t="shared" si="2"/>
        <v>6660.623556581987</v>
      </c>
      <c r="K34" s="28">
        <f t="shared" si="2"/>
        <v>6744.6836027713625</v>
      </c>
      <c r="L34" s="28">
        <f>(L33*L30)/0.866</f>
        <v>0</v>
      </c>
      <c r="M34" s="28">
        <f>(M33*M30)/0.866</f>
        <v>6852.2863741339488</v>
      </c>
      <c r="N34" s="28">
        <f>(N33*N30)/0.866</f>
        <v>6806.5127020785212</v>
      </c>
      <c r="O34" s="28">
        <f>(O33*O30)/0.866</f>
        <v>6568.1293302540416</v>
      </c>
      <c r="P34" s="28">
        <f t="shared" si="2"/>
        <v>0</v>
      </c>
      <c r="Q34" s="28">
        <f t="shared" si="2"/>
        <v>6342.7621247113157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</v>
      </c>
      <c r="H35" s="21"/>
      <c r="I35" s="21">
        <v>0.82</v>
      </c>
      <c r="J35" s="20">
        <v>0.83</v>
      </c>
      <c r="K35" s="20">
        <v>0.81</v>
      </c>
      <c r="L35" s="21"/>
      <c r="M35" s="21">
        <v>0.8</v>
      </c>
      <c r="N35" s="20">
        <v>0.8</v>
      </c>
      <c r="O35" s="20">
        <v>0.79</v>
      </c>
      <c r="P35" s="21"/>
      <c r="Q35" s="21">
        <v>0.81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/>
      <c r="G36" s="20">
        <v>35.1</v>
      </c>
      <c r="H36" s="21"/>
      <c r="I36" s="21">
        <v>35.700000000000003</v>
      </c>
      <c r="J36" s="20">
        <v>36.200000000000003</v>
      </c>
      <c r="K36" s="20">
        <v>35.5</v>
      </c>
      <c r="L36" s="21"/>
      <c r="M36" s="21">
        <v>35.4</v>
      </c>
      <c r="N36" s="20">
        <v>35.299999999999997</v>
      </c>
      <c r="O36" s="20">
        <v>34.700000000000003</v>
      </c>
      <c r="P36" s="21"/>
      <c r="Q36" s="21">
        <v>35.4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/>
      <c r="G37" s="20">
        <v>35.5</v>
      </c>
      <c r="H37" s="21"/>
      <c r="I37" s="21">
        <v>36.299999999999997</v>
      </c>
      <c r="J37" s="20">
        <v>36.9</v>
      </c>
      <c r="K37" s="20">
        <v>36.1</v>
      </c>
      <c r="L37" s="21"/>
      <c r="M37" s="21">
        <v>35.700000000000003</v>
      </c>
      <c r="N37" s="20">
        <v>35.799999999999997</v>
      </c>
      <c r="O37" s="20">
        <v>35.1</v>
      </c>
      <c r="P37" s="21"/>
      <c r="Q37" s="21">
        <v>36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2.3999999999999986</v>
      </c>
      <c r="H38" s="27">
        <f>H37-H41</f>
        <v>0</v>
      </c>
      <c r="I38" s="27">
        <f>I37-I41</f>
        <v>3.6999999999999957</v>
      </c>
      <c r="J38" s="27">
        <f t="shared" ref="J38:Q38" si="3">J37-J41</f>
        <v>2.1000000000000014</v>
      </c>
      <c r="K38" s="27">
        <f t="shared" si="3"/>
        <v>2.8000000000000043</v>
      </c>
      <c r="L38" s="27">
        <f>L37-L41</f>
        <v>0</v>
      </c>
      <c r="M38" s="27">
        <f>M37-M41</f>
        <v>3</v>
      </c>
      <c r="N38" s="27">
        <f>N37-N41</f>
        <v>1.5</v>
      </c>
      <c r="O38" s="27">
        <f>O37-O41</f>
        <v>2.3999999999999986</v>
      </c>
      <c r="P38" s="27">
        <f t="shared" si="3"/>
        <v>0</v>
      </c>
      <c r="Q38" s="27">
        <f t="shared" si="3"/>
        <v>2.7999999999999972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/>
      <c r="G40" s="20">
        <v>27.9</v>
      </c>
      <c r="H40" s="21"/>
      <c r="I40" s="21">
        <v>27.7</v>
      </c>
      <c r="J40" s="20">
        <v>29.3</v>
      </c>
      <c r="K40" s="20">
        <v>27.8</v>
      </c>
      <c r="L40" s="21"/>
      <c r="M40" s="21">
        <v>27.5</v>
      </c>
      <c r="N40" s="20">
        <v>28.9</v>
      </c>
      <c r="O40" s="20">
        <v>27.6</v>
      </c>
      <c r="P40" s="21"/>
      <c r="Q40" s="21">
        <v>27.9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/>
      <c r="G41" s="20">
        <v>33.1</v>
      </c>
      <c r="H41" s="21"/>
      <c r="I41" s="21">
        <v>32.6</v>
      </c>
      <c r="J41" s="20">
        <v>34.799999999999997</v>
      </c>
      <c r="K41" s="20">
        <v>33.299999999999997</v>
      </c>
      <c r="L41" s="21"/>
      <c r="M41" s="21">
        <v>32.700000000000003</v>
      </c>
      <c r="N41" s="20">
        <v>34.299999999999997</v>
      </c>
      <c r="O41" s="20">
        <v>32.700000000000003</v>
      </c>
      <c r="P41" s="21"/>
      <c r="Q41" s="21">
        <v>33.200000000000003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5.2000000000000028</v>
      </c>
      <c r="H42" s="27">
        <f t="shared" ref="H42:Q42" si="4">H41-H40</f>
        <v>0</v>
      </c>
      <c r="I42" s="27">
        <f t="shared" si="4"/>
        <v>4.9000000000000021</v>
      </c>
      <c r="J42" s="27">
        <f t="shared" si="4"/>
        <v>5.4999999999999964</v>
      </c>
      <c r="K42" s="27">
        <f t="shared" si="4"/>
        <v>5.4999999999999964</v>
      </c>
      <c r="L42" s="27">
        <f>L41-L40</f>
        <v>0</v>
      </c>
      <c r="M42" s="27">
        <f>M41-M40</f>
        <v>5.2000000000000028</v>
      </c>
      <c r="N42" s="27">
        <f>N41-N40</f>
        <v>5.3999999999999986</v>
      </c>
      <c r="O42" s="27">
        <f>O41-O40</f>
        <v>5.1000000000000014</v>
      </c>
      <c r="P42" s="27">
        <f t="shared" si="4"/>
        <v>0</v>
      </c>
      <c r="Q42" s="27">
        <f t="shared" si="4"/>
        <v>5.3000000000000043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/>
      <c r="G43" s="20">
        <v>1296.26</v>
      </c>
      <c r="H43" s="21"/>
      <c r="I43" s="21">
        <v>1301.1600000000001</v>
      </c>
      <c r="J43" s="20">
        <v>1291.5999999999999</v>
      </c>
      <c r="K43" s="20">
        <v>1298.5</v>
      </c>
      <c r="L43" s="21"/>
      <c r="M43" s="20">
        <v>1289.4000000000001</v>
      </c>
      <c r="N43" s="20">
        <v>1300.46</v>
      </c>
      <c r="O43" s="20">
        <v>1290.3800000000001</v>
      </c>
      <c r="P43" s="21"/>
      <c r="Q43" s="21">
        <v>1295.28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7783.5473441108588</v>
      </c>
      <c r="H44" s="28">
        <f t="shared" ref="H44:Q44" si="5">H42*H43/0.866</f>
        <v>0</v>
      </c>
      <c r="I44" s="28">
        <f t="shared" si="5"/>
        <v>7362.2217090069316</v>
      </c>
      <c r="J44" s="28">
        <f t="shared" si="5"/>
        <v>8203.0023094688167</v>
      </c>
      <c r="K44" s="28">
        <f t="shared" si="5"/>
        <v>8246.8244803695106</v>
      </c>
      <c r="L44" s="28">
        <f>L42*L43/0.866</f>
        <v>0</v>
      </c>
      <c r="M44" s="28">
        <f>M42*M43/0.866</f>
        <v>7742.3556581986186</v>
      </c>
      <c r="N44" s="28">
        <f>N42*N43/0.866</f>
        <v>8109.1039260969965</v>
      </c>
      <c r="O44" s="28">
        <f>O42*O43/0.866</f>
        <v>7599.2355658198649</v>
      </c>
      <c r="P44" s="28">
        <f t="shared" si="5"/>
        <v>0</v>
      </c>
      <c r="Q44" s="28">
        <f t="shared" si="5"/>
        <v>7927.2332563510454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0.45</v>
      </c>
      <c r="H45" s="21"/>
      <c r="I45" s="21">
        <v>0.44</v>
      </c>
      <c r="J45" s="20">
        <v>0.46</v>
      </c>
      <c r="K45" s="20">
        <v>0.45</v>
      </c>
      <c r="L45" s="21"/>
      <c r="M45" s="21">
        <v>0.45</v>
      </c>
      <c r="N45" s="20">
        <v>0.45</v>
      </c>
      <c r="O45" s="20">
        <v>0.44</v>
      </c>
      <c r="P45" s="21"/>
      <c r="Q45" s="21">
        <v>0.46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/>
      <c r="G46" s="20">
        <v>19.2</v>
      </c>
      <c r="H46" s="21"/>
      <c r="I46" s="21">
        <v>18.8</v>
      </c>
      <c r="J46" s="20">
        <v>19.7</v>
      </c>
      <c r="K46" s="20">
        <v>19</v>
      </c>
      <c r="L46" s="21"/>
      <c r="M46" s="21">
        <v>19.2</v>
      </c>
      <c r="N46" s="20">
        <v>18.8</v>
      </c>
      <c r="O46" s="20">
        <v>18.5</v>
      </c>
      <c r="P46" s="21"/>
      <c r="Q46" s="21">
        <v>19.100000000000001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/>
      <c r="G47" s="20">
        <v>198.8</v>
      </c>
      <c r="H47" s="21"/>
      <c r="I47" s="21">
        <v>132.5</v>
      </c>
      <c r="J47" s="20">
        <v>200.9</v>
      </c>
      <c r="K47" s="20">
        <v>197.4</v>
      </c>
      <c r="L47" s="21"/>
      <c r="M47" s="21">
        <v>211.5</v>
      </c>
      <c r="N47" s="20">
        <v>155.6</v>
      </c>
      <c r="O47" s="20">
        <v>163.69999999999999</v>
      </c>
      <c r="P47" s="21"/>
      <c r="Q47" s="21">
        <v>198.5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55">
        <v>5.89</v>
      </c>
      <c r="F49" s="20"/>
      <c r="G49" s="20">
        <v>5.95</v>
      </c>
      <c r="H49" s="21"/>
      <c r="I49" s="21">
        <v>5.47</v>
      </c>
      <c r="J49" s="20">
        <v>5.39</v>
      </c>
      <c r="K49" s="20">
        <v>5.65</v>
      </c>
      <c r="L49" s="21"/>
      <c r="M49" s="21">
        <v>5.88</v>
      </c>
      <c r="N49" s="20">
        <v>5.35</v>
      </c>
      <c r="O49" s="20">
        <v>5.73</v>
      </c>
      <c r="P49" s="21"/>
      <c r="Q49" s="21">
        <v>5.22</v>
      </c>
    </row>
    <row r="50" spans="2:17" ht="20.100000000000001" customHeight="1">
      <c r="B50" s="92" t="s">
        <v>91</v>
      </c>
      <c r="C50" s="92"/>
      <c r="D50" s="92"/>
      <c r="E50" s="55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54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M27" sqref="M27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45760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57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/>
      <c r="K10" s="17" t="s">
        <v>19</v>
      </c>
      <c r="L10" s="18" t="s">
        <v>19</v>
      </c>
      <c r="M10" s="18" t="s">
        <v>19</v>
      </c>
      <c r="N10" s="17"/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71.7</v>
      </c>
      <c r="G11" s="20">
        <v>71.5</v>
      </c>
      <c r="H11" s="21"/>
      <c r="I11" s="21">
        <v>83.4</v>
      </c>
      <c r="J11" s="20"/>
      <c r="K11" s="20">
        <v>74.7</v>
      </c>
      <c r="L11" s="21">
        <v>74</v>
      </c>
      <c r="M11" s="21">
        <v>73</v>
      </c>
      <c r="N11" s="20"/>
      <c r="O11" s="20">
        <v>75.5</v>
      </c>
      <c r="P11" s="21"/>
      <c r="Q11" s="21">
        <v>75.599999999999994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</v>
      </c>
      <c r="G12" s="20">
        <v>0</v>
      </c>
      <c r="H12" s="21"/>
      <c r="I12" s="21">
        <v>0</v>
      </c>
      <c r="J12" s="20"/>
      <c r="K12" s="20">
        <v>0</v>
      </c>
      <c r="L12" s="21">
        <v>0</v>
      </c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66.2</v>
      </c>
      <c r="G13" s="20">
        <v>66</v>
      </c>
      <c r="H13" s="21"/>
      <c r="I13" s="21">
        <v>80.2</v>
      </c>
      <c r="J13" s="20"/>
      <c r="K13" s="20">
        <v>69.599999999999994</v>
      </c>
      <c r="L13" s="21">
        <v>68.7</v>
      </c>
      <c r="M13" s="21">
        <v>67.900000000000006</v>
      </c>
      <c r="N13" s="20"/>
      <c r="O13" s="20">
        <v>71.3</v>
      </c>
      <c r="P13" s="21"/>
      <c r="Q13" s="21">
        <v>70.599999999999994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69.400000000000006</v>
      </c>
      <c r="G14" s="20">
        <v>65.900000000000006</v>
      </c>
      <c r="H14" s="21"/>
      <c r="I14" s="21">
        <v>67.5</v>
      </c>
      <c r="J14" s="20"/>
      <c r="K14" s="20">
        <v>64.7</v>
      </c>
      <c r="L14" s="21">
        <v>65.8</v>
      </c>
      <c r="M14" s="21">
        <v>65.8</v>
      </c>
      <c r="N14" s="20"/>
      <c r="O14" s="20">
        <v>71.7</v>
      </c>
      <c r="P14" s="21"/>
      <c r="Q14" s="21">
        <v>68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37.6</v>
      </c>
      <c r="G15" s="20">
        <v>35.9</v>
      </c>
      <c r="H15" s="21"/>
      <c r="I15" s="21">
        <v>51.6</v>
      </c>
      <c r="J15" s="20"/>
      <c r="K15" s="20">
        <v>40.9</v>
      </c>
      <c r="L15" s="21">
        <v>33.4</v>
      </c>
      <c r="M15" s="21">
        <v>31.9</v>
      </c>
      <c r="N15" s="20"/>
      <c r="O15" s="20">
        <v>57</v>
      </c>
      <c r="P15" s="21"/>
      <c r="Q15" s="21">
        <v>41.7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>
        <v>116.9</v>
      </c>
      <c r="G17" s="20">
        <v>116.3</v>
      </c>
      <c r="H17" s="21"/>
      <c r="I17" s="21">
        <v>117.6</v>
      </c>
      <c r="J17" s="20"/>
      <c r="K17" s="20">
        <v>117.3</v>
      </c>
      <c r="L17" s="21">
        <v>115.2</v>
      </c>
      <c r="M17" s="21">
        <v>115.1</v>
      </c>
      <c r="N17" s="20"/>
      <c r="O17" s="20">
        <v>117.5</v>
      </c>
      <c r="P17" s="21"/>
      <c r="Q17" s="21">
        <v>117.3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>
        <v>1152</v>
      </c>
      <c r="G18" s="20">
        <v>1137</v>
      </c>
      <c r="H18" s="21"/>
      <c r="I18" s="21">
        <v>1191</v>
      </c>
      <c r="J18" s="20"/>
      <c r="K18" s="20">
        <v>1184</v>
      </c>
      <c r="L18" s="21">
        <v>1173</v>
      </c>
      <c r="M18" s="21">
        <v>1164</v>
      </c>
      <c r="N18" s="20"/>
      <c r="O18" s="20">
        <v>1188</v>
      </c>
      <c r="P18" s="21"/>
      <c r="Q18" s="21">
        <v>1184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>
        <v>49899.5</v>
      </c>
      <c r="G19" s="20">
        <v>49891.199999999997</v>
      </c>
      <c r="H19" s="21"/>
      <c r="I19" s="21">
        <v>51110</v>
      </c>
      <c r="J19" s="20"/>
      <c r="K19" s="20">
        <v>48834.7</v>
      </c>
      <c r="L19" s="21">
        <v>51214.1</v>
      </c>
      <c r="M19" s="21">
        <v>51205.8</v>
      </c>
      <c r="N19" s="20"/>
      <c r="O19" s="20">
        <v>50387.4</v>
      </c>
      <c r="P19" s="21"/>
      <c r="Q19" s="21">
        <v>50481.7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>
        <v>58.2</v>
      </c>
      <c r="G22" s="20">
        <v>58.1</v>
      </c>
      <c r="H22" s="21"/>
      <c r="I22" s="21">
        <v>59</v>
      </c>
      <c r="J22" s="20"/>
      <c r="K22" s="20">
        <v>57.7</v>
      </c>
      <c r="L22" s="21">
        <v>57.2</v>
      </c>
      <c r="M22" s="21">
        <v>57.3</v>
      </c>
      <c r="N22" s="20"/>
      <c r="O22" s="20">
        <v>58.6</v>
      </c>
      <c r="P22" s="21"/>
      <c r="Q22" s="21">
        <v>59.1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>
        <v>0.52</v>
      </c>
      <c r="G23" s="20">
        <v>0.52</v>
      </c>
      <c r="H23" s="21"/>
      <c r="I23" s="21">
        <v>0.49</v>
      </c>
      <c r="J23" s="20"/>
      <c r="K23" s="20">
        <v>0.57999999999999996</v>
      </c>
      <c r="L23" s="21">
        <v>0.52</v>
      </c>
      <c r="M23" s="21">
        <v>0.52</v>
      </c>
      <c r="N23" s="20"/>
      <c r="O23" s="20">
        <v>0.56999999999999995</v>
      </c>
      <c r="P23" s="21"/>
      <c r="Q23" s="21">
        <v>0.49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>
        <v>45.2</v>
      </c>
      <c r="G25" s="20">
        <v>45</v>
      </c>
      <c r="H25" s="21"/>
      <c r="I25" s="21">
        <v>45.1</v>
      </c>
      <c r="J25" s="20"/>
      <c r="K25" s="20">
        <v>45.1</v>
      </c>
      <c r="L25" s="21">
        <v>45.9</v>
      </c>
      <c r="M25" s="21">
        <v>45</v>
      </c>
      <c r="N25" s="20"/>
      <c r="O25" s="20">
        <v>44.9</v>
      </c>
      <c r="P25" s="21"/>
      <c r="Q25" s="21">
        <v>45.1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0.22</v>
      </c>
      <c r="H26" s="21"/>
      <c r="I26" s="21">
        <v>0.2</v>
      </c>
      <c r="J26" s="20"/>
      <c r="K26" s="20">
        <v>0.22</v>
      </c>
      <c r="L26" s="21">
        <v>0.22</v>
      </c>
      <c r="M26" s="21">
        <v>0.22</v>
      </c>
      <c r="N26" s="20"/>
      <c r="O26" s="20">
        <v>0.21</v>
      </c>
      <c r="P26" s="21"/>
      <c r="Q26" s="21">
        <v>0.22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>
        <v>4.2</v>
      </c>
      <c r="G27" s="20">
        <v>3.8</v>
      </c>
      <c r="H27" s="21"/>
      <c r="I27" s="21">
        <v>2.4</v>
      </c>
      <c r="J27" s="20"/>
      <c r="K27" s="20">
        <v>3.8</v>
      </c>
      <c r="L27" s="21">
        <v>3.9</v>
      </c>
      <c r="M27" s="21">
        <v>3.8</v>
      </c>
      <c r="N27" s="20"/>
      <c r="O27" s="20">
        <v>3.9</v>
      </c>
      <c r="P27" s="21"/>
      <c r="Q27" s="21">
        <v>3.9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>
        <v>3.5</v>
      </c>
      <c r="G28" s="20">
        <v>3.2</v>
      </c>
      <c r="H28" s="21"/>
      <c r="I28" s="21">
        <v>4.8</v>
      </c>
      <c r="J28" s="20"/>
      <c r="K28" s="20">
        <v>3</v>
      </c>
      <c r="L28" s="21">
        <v>2.6</v>
      </c>
      <c r="M28" s="21">
        <v>2.8</v>
      </c>
      <c r="N28" s="20"/>
      <c r="O28" s="20">
        <v>2.2000000000000002</v>
      </c>
      <c r="P28" s="21"/>
      <c r="Q28" s="21">
        <v>2.8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0.79999999999999982</v>
      </c>
      <c r="G29" s="27">
        <f>G32-G28</f>
        <v>0.89999999999999947</v>
      </c>
      <c r="H29" s="27">
        <f t="shared" ref="H29:Q29" si="0">H32-H28</f>
        <v>0</v>
      </c>
      <c r="I29" s="27">
        <f t="shared" si="0"/>
        <v>-1.0999999999999996</v>
      </c>
      <c r="J29" s="27">
        <f t="shared" si="0"/>
        <v>0</v>
      </c>
      <c r="K29" s="27">
        <f t="shared" si="0"/>
        <v>1.2999999999999998</v>
      </c>
      <c r="L29" s="27">
        <f>L32-L28</f>
        <v>1</v>
      </c>
      <c r="M29" s="27">
        <f>M32-M28</f>
        <v>0.90000000000000036</v>
      </c>
      <c r="N29" s="27">
        <f>N32-N28</f>
        <v>0</v>
      </c>
      <c r="O29" s="27">
        <f>O32-O28</f>
        <v>1.6999999999999997</v>
      </c>
      <c r="P29" s="27">
        <f t="shared" si="0"/>
        <v>0</v>
      </c>
      <c r="Q29" s="27">
        <f t="shared" si="0"/>
        <v>1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>
        <v>644.48</v>
      </c>
      <c r="G30" s="20">
        <v>652.79999999999995</v>
      </c>
      <c r="H30" s="21"/>
      <c r="I30" s="21">
        <v>641.4</v>
      </c>
      <c r="J30" s="20"/>
      <c r="K30" s="20">
        <v>640.20000000000005</v>
      </c>
      <c r="L30" s="21">
        <v>629.44000000000005</v>
      </c>
      <c r="M30" s="21">
        <v>626.79999999999995</v>
      </c>
      <c r="N30" s="20"/>
      <c r="O30" s="20">
        <v>636.6</v>
      </c>
      <c r="P30" s="21"/>
      <c r="Q30" s="21">
        <v>641.9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>
        <v>13.2</v>
      </c>
      <c r="G31" s="20">
        <v>12.8</v>
      </c>
      <c r="H31" s="21"/>
      <c r="I31" s="21">
        <v>12.4</v>
      </c>
      <c r="J31" s="20"/>
      <c r="K31" s="20">
        <v>13.1</v>
      </c>
      <c r="L31" s="21">
        <v>13</v>
      </c>
      <c r="M31" s="21">
        <v>13.2</v>
      </c>
      <c r="N31" s="20"/>
      <c r="O31" s="20">
        <v>12.8</v>
      </c>
      <c r="P31" s="21"/>
      <c r="Q31" s="21">
        <v>12.4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>
        <v>4.3</v>
      </c>
      <c r="G32" s="20">
        <v>4.0999999999999996</v>
      </c>
      <c r="H32" s="21"/>
      <c r="I32" s="21">
        <v>3.7</v>
      </c>
      <c r="J32" s="20"/>
      <c r="K32" s="20">
        <v>4.3</v>
      </c>
      <c r="L32" s="21">
        <v>3.6</v>
      </c>
      <c r="M32" s="21">
        <v>3.7</v>
      </c>
      <c r="N32" s="20"/>
      <c r="O32" s="20">
        <v>3.9</v>
      </c>
      <c r="P32" s="21"/>
      <c r="Q32" s="21">
        <v>3.8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8.8999999999999986</v>
      </c>
      <c r="G33" s="27">
        <f>G31-G32</f>
        <v>8.7000000000000011</v>
      </c>
      <c r="H33" s="27">
        <f t="shared" ref="H33:Q33" si="1">H31-H32</f>
        <v>0</v>
      </c>
      <c r="I33" s="27">
        <f t="shared" si="1"/>
        <v>8.6999999999999993</v>
      </c>
      <c r="J33" s="27">
        <f t="shared" si="1"/>
        <v>0</v>
      </c>
      <c r="K33" s="27">
        <f t="shared" si="1"/>
        <v>8.8000000000000007</v>
      </c>
      <c r="L33" s="27">
        <f>L31-L32</f>
        <v>9.4</v>
      </c>
      <c r="M33" s="27">
        <f>M31-M32</f>
        <v>9.5</v>
      </c>
      <c r="N33" s="27">
        <f>N31-N32</f>
        <v>0</v>
      </c>
      <c r="O33" s="27">
        <f>O31-O32</f>
        <v>8.9</v>
      </c>
      <c r="P33" s="27">
        <f t="shared" si="1"/>
        <v>0</v>
      </c>
      <c r="Q33" s="27">
        <f t="shared" si="1"/>
        <v>8.6000000000000014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6623.4087759815238</v>
      </c>
      <c r="G34" s="28">
        <f>(G33*G30)/0.866</f>
        <v>6558.1524249422637</v>
      </c>
      <c r="H34" s="28">
        <f t="shared" ref="H34:Q34" si="2">(H33*H30)/0.866</f>
        <v>0</v>
      </c>
      <c r="I34" s="28">
        <f t="shared" si="2"/>
        <v>6443.6258660508074</v>
      </c>
      <c r="J34" s="28">
        <f t="shared" si="2"/>
        <v>0</v>
      </c>
      <c r="K34" s="28">
        <f t="shared" si="2"/>
        <v>6505.4965357967685</v>
      </c>
      <c r="L34" s="28">
        <f>(L33*L30)/0.866</f>
        <v>6832.2586605080842</v>
      </c>
      <c r="M34" s="28">
        <f>(M33*M30)/0.866</f>
        <v>6875.9815242494224</v>
      </c>
      <c r="N34" s="28">
        <f>(N33*N30)/0.866</f>
        <v>0</v>
      </c>
      <c r="O34" s="28">
        <f>(O33*O30)/0.866</f>
        <v>6542.4249422632802</v>
      </c>
      <c r="P34" s="28">
        <f t="shared" si="2"/>
        <v>0</v>
      </c>
      <c r="Q34" s="28">
        <f t="shared" si="2"/>
        <v>6374.5265588914563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>
        <v>0.81</v>
      </c>
      <c r="G35" s="20">
        <v>0.8</v>
      </c>
      <c r="H35" s="21"/>
      <c r="I35" s="21">
        <v>0.82</v>
      </c>
      <c r="J35" s="20"/>
      <c r="K35" s="20">
        <v>0.81</v>
      </c>
      <c r="L35" s="21">
        <v>0.82</v>
      </c>
      <c r="M35" s="21">
        <v>0.81</v>
      </c>
      <c r="N35" s="20"/>
      <c r="O35" s="20">
        <v>0.79</v>
      </c>
      <c r="P35" s="21"/>
      <c r="Q35" s="21">
        <v>0.81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>
        <v>36.5</v>
      </c>
      <c r="G36" s="20">
        <v>35.299999999999997</v>
      </c>
      <c r="H36" s="21"/>
      <c r="I36" s="21">
        <v>35.700000000000003</v>
      </c>
      <c r="J36" s="20"/>
      <c r="K36" s="20">
        <v>35.6</v>
      </c>
      <c r="L36" s="21">
        <v>35.799999999999997</v>
      </c>
      <c r="M36" s="21">
        <v>35.6</v>
      </c>
      <c r="N36" s="20"/>
      <c r="O36" s="20">
        <v>35</v>
      </c>
      <c r="P36" s="21"/>
      <c r="Q36" s="21">
        <v>35.5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>
        <v>36</v>
      </c>
      <c r="G37" s="20">
        <v>35.799999999999997</v>
      </c>
      <c r="H37" s="21"/>
      <c r="I37" s="21">
        <v>36.6</v>
      </c>
      <c r="J37" s="20"/>
      <c r="K37" s="20">
        <v>36.299999999999997</v>
      </c>
      <c r="L37" s="21">
        <v>36.299999999999997</v>
      </c>
      <c r="M37" s="21">
        <v>36</v>
      </c>
      <c r="N37" s="20"/>
      <c r="O37" s="20">
        <v>35.299999999999997</v>
      </c>
      <c r="P37" s="21"/>
      <c r="Q37" s="21">
        <v>36.299999999999997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2.3999999999999986</v>
      </c>
      <c r="G38" s="27">
        <f>G37-G41</f>
        <v>1.6999999999999957</v>
      </c>
      <c r="H38" s="27">
        <f>H37-H41</f>
        <v>0</v>
      </c>
      <c r="I38" s="27">
        <f>I37-I41</f>
        <v>3.2000000000000028</v>
      </c>
      <c r="J38" s="27">
        <f t="shared" ref="J38:Q38" si="3">J37-J41</f>
        <v>0</v>
      </c>
      <c r="K38" s="27">
        <f t="shared" si="3"/>
        <v>2.0999999999999943</v>
      </c>
      <c r="L38" s="27">
        <f>L37-L41</f>
        <v>3</v>
      </c>
      <c r="M38" s="27">
        <f>M37-M41</f>
        <v>2.2999999999999972</v>
      </c>
      <c r="N38" s="27">
        <f>N37-N41</f>
        <v>0</v>
      </c>
      <c r="O38" s="27">
        <f>O37-O41</f>
        <v>1.3999999999999986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>
        <v>28.5</v>
      </c>
      <c r="G40" s="20">
        <v>28.7</v>
      </c>
      <c r="H40" s="21"/>
      <c r="I40" s="21">
        <v>28.7</v>
      </c>
      <c r="J40" s="20"/>
      <c r="K40" s="20">
        <v>28.6</v>
      </c>
      <c r="L40" s="21">
        <v>28.3</v>
      </c>
      <c r="M40" s="21">
        <v>28.7</v>
      </c>
      <c r="N40" s="20"/>
      <c r="O40" s="20">
        <v>28.5</v>
      </c>
      <c r="P40" s="21"/>
      <c r="Q40" s="21">
        <v>28.5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>
        <v>33.6</v>
      </c>
      <c r="G41" s="20">
        <v>34.1</v>
      </c>
      <c r="H41" s="21"/>
      <c r="I41" s="21">
        <v>33.4</v>
      </c>
      <c r="J41" s="20"/>
      <c r="K41" s="20">
        <v>34.200000000000003</v>
      </c>
      <c r="L41" s="21">
        <v>33.299999999999997</v>
      </c>
      <c r="M41" s="21">
        <v>33.700000000000003</v>
      </c>
      <c r="N41" s="20"/>
      <c r="O41" s="20">
        <v>33.9</v>
      </c>
      <c r="P41" s="21"/>
      <c r="Q41" s="21">
        <v>33.799999999999997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5.1000000000000014</v>
      </c>
      <c r="G42" s="27">
        <f>G41-G40</f>
        <v>5.4000000000000021</v>
      </c>
      <c r="H42" s="27">
        <f t="shared" ref="H42:Q42" si="4">H41-H40</f>
        <v>0</v>
      </c>
      <c r="I42" s="27">
        <f t="shared" si="4"/>
        <v>4.6999999999999993</v>
      </c>
      <c r="J42" s="27">
        <f t="shared" si="4"/>
        <v>0</v>
      </c>
      <c r="K42" s="27">
        <f t="shared" si="4"/>
        <v>5.6000000000000014</v>
      </c>
      <c r="L42" s="27">
        <f>L41-L40</f>
        <v>4.9999999999999964</v>
      </c>
      <c r="M42" s="27">
        <f>M41-M40</f>
        <v>5.0000000000000036</v>
      </c>
      <c r="N42" s="27">
        <f>N41-N40</f>
        <v>0</v>
      </c>
      <c r="O42" s="27">
        <f>O41-O40</f>
        <v>5.3999999999999986</v>
      </c>
      <c r="P42" s="27">
        <f t="shared" si="4"/>
        <v>0</v>
      </c>
      <c r="Q42" s="27">
        <f t="shared" si="4"/>
        <v>5.2999999999999972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>
        <v>1302.7</v>
      </c>
      <c r="G43" s="20">
        <v>1294</v>
      </c>
      <c r="H43" s="21"/>
      <c r="I43" s="21">
        <v>1301.5</v>
      </c>
      <c r="J43" s="20"/>
      <c r="K43" s="20">
        <v>1296.4000000000001</v>
      </c>
      <c r="L43" s="21">
        <v>1290.94</v>
      </c>
      <c r="M43" s="20">
        <v>1298.7</v>
      </c>
      <c r="N43" s="20"/>
      <c r="O43" s="20">
        <v>1297.2</v>
      </c>
      <c r="P43" s="21"/>
      <c r="Q43" s="21">
        <v>1299.2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7671.7898383371848</v>
      </c>
      <c r="G44" s="28">
        <f>G42*G43/0.866</f>
        <v>8068.8221709006966</v>
      </c>
      <c r="H44" s="28">
        <f t="shared" ref="H44:Q44" si="5">H42*H43/0.866</f>
        <v>0</v>
      </c>
      <c r="I44" s="28">
        <f t="shared" si="5"/>
        <v>7063.5681293302532</v>
      </c>
      <c r="J44" s="28">
        <f t="shared" si="5"/>
        <v>0</v>
      </c>
      <c r="K44" s="28">
        <f t="shared" si="5"/>
        <v>8383.1870669745986</v>
      </c>
      <c r="L44" s="28">
        <f>L42*L43/0.866</f>
        <v>7453.4642032332513</v>
      </c>
      <c r="M44" s="28">
        <f>M42*M43/0.866</f>
        <v>7498.2678983833775</v>
      </c>
      <c r="N44" s="28">
        <f>N42*N43/0.866</f>
        <v>0</v>
      </c>
      <c r="O44" s="28">
        <f>O42*O43/0.866</f>
        <v>8088.7759815242471</v>
      </c>
      <c r="P44" s="28">
        <f t="shared" si="5"/>
        <v>0</v>
      </c>
      <c r="Q44" s="28">
        <f t="shared" si="5"/>
        <v>7951.2240184757466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>
        <v>0.45</v>
      </c>
      <c r="G45" s="20">
        <v>0.45</v>
      </c>
      <c r="H45" s="21"/>
      <c r="I45" s="21">
        <v>0.44</v>
      </c>
      <c r="J45" s="20"/>
      <c r="K45" s="20">
        <v>0.45</v>
      </c>
      <c r="L45" s="21">
        <v>0.46</v>
      </c>
      <c r="M45" s="21">
        <v>0.45</v>
      </c>
      <c r="N45" s="20"/>
      <c r="O45" s="20">
        <v>0.44</v>
      </c>
      <c r="P45" s="21"/>
      <c r="Q45" s="21">
        <v>0.45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>
        <v>19.5</v>
      </c>
      <c r="G46" s="20">
        <v>35.799999999999997</v>
      </c>
      <c r="H46" s="21"/>
      <c r="I46" s="21">
        <v>18.5</v>
      </c>
      <c r="J46" s="20"/>
      <c r="K46" s="20">
        <v>19.2</v>
      </c>
      <c r="L46" s="21">
        <v>19.5</v>
      </c>
      <c r="M46" s="21">
        <v>19.399999999999999</v>
      </c>
      <c r="N46" s="20"/>
      <c r="O46" s="20">
        <v>18.600000000000001</v>
      </c>
      <c r="P46" s="21"/>
      <c r="Q46" s="21">
        <v>19.100000000000001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>
        <v>198.9</v>
      </c>
      <c r="G47" s="20">
        <v>201.8</v>
      </c>
      <c r="H47" s="21"/>
      <c r="I47" s="21">
        <v>133.30000000000001</v>
      </c>
      <c r="J47" s="20"/>
      <c r="K47" s="20">
        <v>198.8</v>
      </c>
      <c r="L47" s="21">
        <v>216.7</v>
      </c>
      <c r="M47" s="21">
        <v>211.9</v>
      </c>
      <c r="N47" s="20"/>
      <c r="O47" s="20">
        <v>163.80000000000001</v>
      </c>
      <c r="P47" s="21"/>
      <c r="Q47" s="21">
        <v>201.2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57">
        <v>5.89</v>
      </c>
      <c r="F49" s="20">
        <v>5.97</v>
      </c>
      <c r="G49" s="20">
        <v>5.8</v>
      </c>
      <c r="H49" s="21"/>
      <c r="I49" s="21">
        <v>5.59</v>
      </c>
      <c r="J49" s="20"/>
      <c r="K49" s="20">
        <v>5.61</v>
      </c>
      <c r="L49" s="21">
        <v>5.76</v>
      </c>
      <c r="M49" s="21">
        <v>5.84</v>
      </c>
      <c r="N49" s="20"/>
      <c r="O49" s="20">
        <v>5.62</v>
      </c>
      <c r="P49" s="21"/>
      <c r="Q49" s="21">
        <v>5.2</v>
      </c>
    </row>
    <row r="50" spans="2:17" ht="20.100000000000001" customHeight="1">
      <c r="B50" s="92" t="s">
        <v>91</v>
      </c>
      <c r="C50" s="92"/>
      <c r="D50" s="92"/>
      <c r="E50" s="57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56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O56" sqref="O56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45761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59" t="s">
        <v>18</v>
      </c>
      <c r="E10" s="15"/>
      <c r="F10" s="16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/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71</v>
      </c>
      <c r="H11" s="21"/>
      <c r="I11" s="21">
        <v>82.3</v>
      </c>
      <c r="J11" s="20">
        <v>75.8</v>
      </c>
      <c r="K11" s="20">
        <v>74.599999999999994</v>
      </c>
      <c r="L11" s="21"/>
      <c r="M11" s="21">
        <v>70.099999999999994</v>
      </c>
      <c r="N11" s="20">
        <v>77</v>
      </c>
      <c r="O11" s="20">
        <v>77</v>
      </c>
      <c r="P11" s="21"/>
      <c r="Q11" s="21">
        <v>73.3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</v>
      </c>
      <c r="H12" s="21"/>
      <c r="I12" s="21">
        <v>0</v>
      </c>
      <c r="J12" s="20">
        <v>0</v>
      </c>
      <c r="K12" s="20">
        <v>0</v>
      </c>
      <c r="L12" s="21"/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65.7</v>
      </c>
      <c r="H13" s="21"/>
      <c r="I13" s="21">
        <v>78.099999999999994</v>
      </c>
      <c r="J13" s="20">
        <v>70.2</v>
      </c>
      <c r="K13" s="20">
        <v>69.5</v>
      </c>
      <c r="L13" s="21"/>
      <c r="M13" s="21">
        <v>65.900000000000006</v>
      </c>
      <c r="N13" s="20">
        <v>72</v>
      </c>
      <c r="O13" s="20">
        <v>72.3</v>
      </c>
      <c r="P13" s="21"/>
      <c r="Q13" s="21">
        <v>68.5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66.5</v>
      </c>
      <c r="H14" s="21"/>
      <c r="I14" s="21">
        <v>68.2</v>
      </c>
      <c r="J14" s="20">
        <v>63.3</v>
      </c>
      <c r="K14" s="20">
        <v>63.2</v>
      </c>
      <c r="L14" s="21"/>
      <c r="M14" s="21">
        <v>65.900000000000006</v>
      </c>
      <c r="N14" s="20">
        <v>70.8</v>
      </c>
      <c r="O14" s="20">
        <v>72.2</v>
      </c>
      <c r="P14" s="21"/>
      <c r="Q14" s="21">
        <v>72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36.799999999999997</v>
      </c>
      <c r="H15" s="21"/>
      <c r="I15" s="21">
        <v>53</v>
      </c>
      <c r="J15" s="20">
        <v>41</v>
      </c>
      <c r="K15" s="20">
        <v>38.299999999999997</v>
      </c>
      <c r="L15" s="21"/>
      <c r="M15" s="21">
        <v>30.6</v>
      </c>
      <c r="N15" s="20">
        <v>58.2</v>
      </c>
      <c r="O15" s="20">
        <v>58.1</v>
      </c>
      <c r="P15" s="21"/>
      <c r="Q15" s="21">
        <v>44.7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/>
      <c r="G17" s="20">
        <v>117.5</v>
      </c>
      <c r="H17" s="21"/>
      <c r="I17" s="21">
        <v>118.2</v>
      </c>
      <c r="J17" s="20">
        <v>117</v>
      </c>
      <c r="K17" s="20">
        <v>117.4</v>
      </c>
      <c r="L17" s="21"/>
      <c r="M17" s="21">
        <v>113</v>
      </c>
      <c r="N17" s="20">
        <v>117.7</v>
      </c>
      <c r="O17" s="20">
        <v>118.9</v>
      </c>
      <c r="P17" s="21"/>
      <c r="Q17" s="21">
        <v>118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/>
      <c r="G18" s="20">
        <v>1155</v>
      </c>
      <c r="H18" s="21"/>
      <c r="I18" s="21">
        <v>1197</v>
      </c>
      <c r="J18" s="20">
        <v>1198</v>
      </c>
      <c r="K18" s="20">
        <v>1189</v>
      </c>
      <c r="L18" s="21"/>
      <c r="M18" s="21">
        <v>1145</v>
      </c>
      <c r="N18" s="20">
        <v>1206</v>
      </c>
      <c r="O18" s="20">
        <v>1208</v>
      </c>
      <c r="P18" s="21"/>
      <c r="Q18" s="21">
        <v>1192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49909.5</v>
      </c>
      <c r="H19" s="21"/>
      <c r="I19" s="21">
        <v>51119.8</v>
      </c>
      <c r="J19" s="20">
        <v>48853.2</v>
      </c>
      <c r="K19" s="20">
        <v>48843.9</v>
      </c>
      <c r="L19" s="21"/>
      <c r="M19" s="21">
        <v>51229.3</v>
      </c>
      <c r="N19" s="20">
        <v>50405.8</v>
      </c>
      <c r="O19" s="20">
        <v>50396.6</v>
      </c>
      <c r="P19" s="21"/>
      <c r="Q19" s="21">
        <v>50490.400000000001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/>
      <c r="G22" s="20">
        <v>58.2</v>
      </c>
      <c r="H22" s="21"/>
      <c r="I22" s="21">
        <v>59.2</v>
      </c>
      <c r="J22" s="20">
        <v>57.6</v>
      </c>
      <c r="K22" s="20">
        <v>57.6</v>
      </c>
      <c r="L22" s="21"/>
      <c r="M22" s="21">
        <v>57.2</v>
      </c>
      <c r="N22" s="20">
        <v>58.6</v>
      </c>
      <c r="O22" s="20">
        <v>58.7</v>
      </c>
      <c r="P22" s="21"/>
      <c r="Q22" s="21">
        <v>59.1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/>
      <c r="G23" s="20">
        <v>0.52</v>
      </c>
      <c r="H23" s="21"/>
      <c r="I23" s="21">
        <v>0.48</v>
      </c>
      <c r="J23" s="20">
        <v>0.59</v>
      </c>
      <c r="K23" s="20">
        <v>0.59</v>
      </c>
      <c r="L23" s="21"/>
      <c r="M23" s="21">
        <v>0.52</v>
      </c>
      <c r="N23" s="20">
        <v>0.47</v>
      </c>
      <c r="O23" s="20">
        <v>0.47</v>
      </c>
      <c r="P23" s="21"/>
      <c r="Q23" s="21">
        <v>0.5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/>
      <c r="G25" s="20">
        <v>44.9</v>
      </c>
      <c r="H25" s="21"/>
      <c r="I25" s="21">
        <v>44.9</v>
      </c>
      <c r="J25" s="20">
        <v>45.1</v>
      </c>
      <c r="K25" s="20">
        <v>45</v>
      </c>
      <c r="L25" s="21"/>
      <c r="M25" s="21">
        <v>45.1</v>
      </c>
      <c r="N25" s="20">
        <v>44.9</v>
      </c>
      <c r="O25" s="20">
        <v>44.9</v>
      </c>
      <c r="P25" s="21"/>
      <c r="Q25" s="21">
        <v>44.8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0.21</v>
      </c>
      <c r="J26" s="20">
        <v>0.22</v>
      </c>
      <c r="K26" s="20">
        <v>0.22</v>
      </c>
      <c r="L26" s="21"/>
      <c r="M26" s="21">
        <v>0.22</v>
      </c>
      <c r="N26" s="20">
        <v>0.23</v>
      </c>
      <c r="O26" s="20">
        <v>0.22</v>
      </c>
      <c r="P26" s="21"/>
      <c r="Q26" s="21">
        <v>0.23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/>
      <c r="G27" s="20">
        <v>4.2</v>
      </c>
      <c r="H27" s="21"/>
      <c r="I27" s="21">
        <v>3</v>
      </c>
      <c r="J27" s="20">
        <v>4.0999999999999996</v>
      </c>
      <c r="K27" s="20">
        <v>4</v>
      </c>
      <c r="L27" s="21"/>
      <c r="M27" s="21">
        <v>3.7</v>
      </c>
      <c r="N27" s="20">
        <v>4.0999999999999996</v>
      </c>
      <c r="O27" s="20">
        <v>4.3</v>
      </c>
      <c r="P27" s="21"/>
      <c r="Q27" s="21">
        <v>4.8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/>
      <c r="G28" s="20">
        <v>3.6</v>
      </c>
      <c r="H28" s="21"/>
      <c r="I28" s="21">
        <v>2.1</v>
      </c>
      <c r="J28" s="20">
        <v>3.3</v>
      </c>
      <c r="K28" s="20">
        <v>3.3</v>
      </c>
      <c r="L28" s="21"/>
      <c r="M28" s="21">
        <v>2.4</v>
      </c>
      <c r="N28" s="20">
        <v>3.2</v>
      </c>
      <c r="O28" s="20">
        <v>3.2</v>
      </c>
      <c r="P28" s="21"/>
      <c r="Q28" s="21">
        <v>3.7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/>
      <c r="G29" s="27">
        <f>G32-G28</f>
        <v>0.99999999999999956</v>
      </c>
      <c r="H29" s="27">
        <f t="shared" ref="H29:Q29" si="0">H32-H28</f>
        <v>0</v>
      </c>
      <c r="I29" s="27">
        <f t="shared" si="0"/>
        <v>2.4999999999999996</v>
      </c>
      <c r="J29" s="27">
        <f t="shared" si="0"/>
        <v>1.5</v>
      </c>
      <c r="K29" s="27">
        <f t="shared" si="0"/>
        <v>0.79999999999999982</v>
      </c>
      <c r="L29" s="27">
        <f>L32-L28</f>
        <v>0</v>
      </c>
      <c r="M29" s="27">
        <f>M32-M28</f>
        <v>1.6</v>
      </c>
      <c r="N29" s="27">
        <f>N32-N28</f>
        <v>0.89999999999999947</v>
      </c>
      <c r="O29" s="27">
        <f>O32-O28</f>
        <v>1.2000000000000002</v>
      </c>
      <c r="P29" s="27">
        <f t="shared" si="0"/>
        <v>0</v>
      </c>
      <c r="Q29" s="27">
        <f t="shared" si="0"/>
        <v>1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/>
      <c r="G30" s="20">
        <v>670.7</v>
      </c>
      <c r="H30" s="21"/>
      <c r="I30" s="21">
        <v>641.4</v>
      </c>
      <c r="J30" s="20">
        <v>678.08</v>
      </c>
      <c r="K30" s="20">
        <v>646.04999999999995</v>
      </c>
      <c r="L30" s="21"/>
      <c r="M30" s="21">
        <v>638.1</v>
      </c>
      <c r="N30" s="20">
        <v>685.36</v>
      </c>
      <c r="O30" s="20">
        <v>656</v>
      </c>
      <c r="P30" s="21"/>
      <c r="Q30" s="21">
        <v>637.20000000000005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/>
      <c r="G31" s="20">
        <v>13.3</v>
      </c>
      <c r="H31" s="21"/>
      <c r="I31" s="21">
        <v>13.5</v>
      </c>
      <c r="J31" s="20">
        <v>13.2</v>
      </c>
      <c r="K31" s="20">
        <v>13.1</v>
      </c>
      <c r="L31" s="21"/>
      <c r="M31" s="21">
        <v>12.9</v>
      </c>
      <c r="N31" s="20">
        <v>12.5</v>
      </c>
      <c r="O31" s="20">
        <v>13.4</v>
      </c>
      <c r="P31" s="21"/>
      <c r="Q31" s="21">
        <v>13.5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/>
      <c r="G32" s="20">
        <v>4.5999999999999996</v>
      </c>
      <c r="H32" s="21"/>
      <c r="I32" s="21">
        <v>4.5999999999999996</v>
      </c>
      <c r="J32" s="20">
        <v>4.8</v>
      </c>
      <c r="K32" s="20">
        <v>4.0999999999999996</v>
      </c>
      <c r="L32" s="21"/>
      <c r="M32" s="21">
        <v>4</v>
      </c>
      <c r="N32" s="20">
        <v>4.0999999999999996</v>
      </c>
      <c r="O32" s="20">
        <v>4.4000000000000004</v>
      </c>
      <c r="P32" s="21"/>
      <c r="Q32" s="21">
        <v>4.7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8.7000000000000011</v>
      </c>
      <c r="H33" s="27">
        <f t="shared" ref="H33:Q33" si="1">H31-H32</f>
        <v>0</v>
      </c>
      <c r="I33" s="27">
        <f t="shared" si="1"/>
        <v>8.9</v>
      </c>
      <c r="J33" s="27">
        <f t="shared" si="1"/>
        <v>8.3999999999999986</v>
      </c>
      <c r="K33" s="27">
        <f t="shared" si="1"/>
        <v>9</v>
      </c>
      <c r="L33" s="27">
        <f>L31-L32</f>
        <v>0</v>
      </c>
      <c r="M33" s="27">
        <f>M31-M32</f>
        <v>8.9</v>
      </c>
      <c r="N33" s="27">
        <f>N31-N32</f>
        <v>8.4</v>
      </c>
      <c r="O33" s="27">
        <f>O31-O32</f>
        <v>9</v>
      </c>
      <c r="P33" s="27">
        <f t="shared" si="1"/>
        <v>0</v>
      </c>
      <c r="Q33" s="27">
        <f t="shared" si="1"/>
        <v>8.8000000000000007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6737.979214780602</v>
      </c>
      <c r="H34" s="28">
        <f t="shared" ref="H34:Q34" si="2">(H33*H30)/0.866</f>
        <v>0</v>
      </c>
      <c r="I34" s="28">
        <f t="shared" si="2"/>
        <v>6591.75519630485</v>
      </c>
      <c r="J34" s="28">
        <f t="shared" si="2"/>
        <v>6577.2193995381058</v>
      </c>
      <c r="K34" s="28">
        <f t="shared" si="2"/>
        <v>6714.1454965357971</v>
      </c>
      <c r="L34" s="28">
        <f>(L33*L30)/0.866</f>
        <v>0</v>
      </c>
      <c r="M34" s="28">
        <f>(M33*M30)/0.866</f>
        <v>6557.8406466512706</v>
      </c>
      <c r="N34" s="28">
        <f>(N33*N30)/0.866</f>
        <v>6647.833718244804</v>
      </c>
      <c r="O34" s="28">
        <f>(O33*O30)/0.866</f>
        <v>6817.5519630484987</v>
      </c>
      <c r="P34" s="28">
        <f t="shared" si="2"/>
        <v>0</v>
      </c>
      <c r="Q34" s="28">
        <f t="shared" si="2"/>
        <v>6475.0115473441119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0.81</v>
      </c>
      <c r="H35" s="21"/>
      <c r="I35" s="21">
        <v>0.83</v>
      </c>
      <c r="J35" s="20">
        <v>0.84</v>
      </c>
      <c r="K35" s="20">
        <v>0.82</v>
      </c>
      <c r="L35" s="21"/>
      <c r="M35" s="21">
        <v>0.81</v>
      </c>
      <c r="N35" s="20">
        <v>0.81</v>
      </c>
      <c r="O35" s="20">
        <v>0.8</v>
      </c>
      <c r="P35" s="21"/>
      <c r="Q35" s="21">
        <v>0.82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/>
      <c r="G36" s="20">
        <v>35.700000000000003</v>
      </c>
      <c r="H36" s="21"/>
      <c r="I36" s="21">
        <v>36.200000000000003</v>
      </c>
      <c r="J36" s="20">
        <v>36.5</v>
      </c>
      <c r="K36" s="20">
        <v>36</v>
      </c>
      <c r="L36" s="21"/>
      <c r="M36" s="21">
        <v>35.6</v>
      </c>
      <c r="N36" s="20">
        <v>35.5</v>
      </c>
      <c r="O36" s="20">
        <v>35.299999999999997</v>
      </c>
      <c r="P36" s="21"/>
      <c r="Q36" s="21">
        <v>35.9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/>
      <c r="G37" s="20">
        <v>36.1</v>
      </c>
      <c r="H37" s="21"/>
      <c r="I37" s="21">
        <v>37</v>
      </c>
      <c r="J37" s="20">
        <v>37.299999999999997</v>
      </c>
      <c r="K37" s="20">
        <v>36.700000000000003</v>
      </c>
      <c r="L37" s="21"/>
      <c r="M37" s="21">
        <v>36.1</v>
      </c>
      <c r="N37" s="20">
        <v>36</v>
      </c>
      <c r="O37" s="20">
        <v>35.700000000000003</v>
      </c>
      <c r="P37" s="21"/>
      <c r="Q37" s="21">
        <v>36.6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1.6000000000000014</v>
      </c>
      <c r="H38" s="27">
        <f>H37-H41</f>
        <v>0</v>
      </c>
      <c r="I38" s="27">
        <f>I37-I41</f>
        <v>3.2000000000000028</v>
      </c>
      <c r="J38" s="27">
        <f t="shared" ref="J38:Q38" si="3">J37-J41</f>
        <v>2.7999999999999972</v>
      </c>
      <c r="K38" s="27">
        <f t="shared" si="3"/>
        <v>2.1000000000000014</v>
      </c>
      <c r="L38" s="27">
        <f>L37-L41</f>
        <v>0</v>
      </c>
      <c r="M38" s="27">
        <f>M37-M41</f>
        <v>2.2000000000000028</v>
      </c>
      <c r="N38" s="27">
        <f>N37-N41</f>
        <v>31.9</v>
      </c>
      <c r="O38" s="27">
        <f>O37-O41</f>
        <v>1.5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/>
      <c r="G40" s="20">
        <v>29</v>
      </c>
      <c r="H40" s="21"/>
      <c r="I40" s="21">
        <v>29</v>
      </c>
      <c r="J40" s="20">
        <v>29</v>
      </c>
      <c r="K40" s="20">
        <v>29.1</v>
      </c>
      <c r="L40" s="21"/>
      <c r="M40" s="21">
        <v>28.9</v>
      </c>
      <c r="N40" s="20">
        <v>28.7</v>
      </c>
      <c r="O40" s="20">
        <v>28.7</v>
      </c>
      <c r="P40" s="21"/>
      <c r="Q40" s="21">
        <v>28.9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/>
      <c r="G41" s="20">
        <v>34.5</v>
      </c>
      <c r="H41" s="21"/>
      <c r="I41" s="21">
        <v>33.799999999999997</v>
      </c>
      <c r="J41" s="20">
        <v>34.5</v>
      </c>
      <c r="K41" s="20">
        <v>34.6</v>
      </c>
      <c r="L41" s="21"/>
      <c r="M41" s="21">
        <v>33.9</v>
      </c>
      <c r="N41" s="20">
        <v>4.0999999999999996</v>
      </c>
      <c r="O41" s="20">
        <v>34.200000000000003</v>
      </c>
      <c r="P41" s="21"/>
      <c r="Q41" s="21">
        <v>34.1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5.5</v>
      </c>
      <c r="H42" s="27">
        <f t="shared" ref="H42:Q42" si="4">H41-H40</f>
        <v>0</v>
      </c>
      <c r="I42" s="27">
        <f t="shared" si="4"/>
        <v>4.7999999999999972</v>
      </c>
      <c r="J42" s="27">
        <f t="shared" si="4"/>
        <v>5.5</v>
      </c>
      <c r="K42" s="27">
        <f t="shared" si="4"/>
        <v>5.5</v>
      </c>
      <c r="L42" s="27">
        <f>L41-L40</f>
        <v>0</v>
      </c>
      <c r="M42" s="27">
        <f>M41-M40</f>
        <v>5</v>
      </c>
      <c r="N42" s="27">
        <f>N41-N40</f>
        <v>-24.6</v>
      </c>
      <c r="O42" s="27">
        <f>O41-O40</f>
        <v>5.5000000000000036</v>
      </c>
      <c r="P42" s="27">
        <f t="shared" si="4"/>
        <v>0</v>
      </c>
      <c r="Q42" s="27">
        <f t="shared" si="4"/>
        <v>5.2000000000000028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/>
      <c r="G43" s="20">
        <v>1298.8</v>
      </c>
      <c r="H43" s="21"/>
      <c r="I43" s="21">
        <v>1303.5999999999999</v>
      </c>
      <c r="J43" s="20">
        <v>1288.28</v>
      </c>
      <c r="K43" s="20">
        <v>1292.5999999999999</v>
      </c>
      <c r="L43" s="21"/>
      <c r="M43" s="20">
        <v>1299.5</v>
      </c>
      <c r="N43" s="20">
        <v>1294.1600000000001</v>
      </c>
      <c r="O43" s="20">
        <v>1294.9000000000001</v>
      </c>
      <c r="P43" s="21"/>
      <c r="Q43" s="21">
        <v>1286.2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8248.7297921478057</v>
      </c>
      <c r="H44" s="28">
        <f t="shared" ref="H44:Q44" si="5">H42*H43/0.866</f>
        <v>0</v>
      </c>
      <c r="I44" s="28">
        <f t="shared" si="5"/>
        <v>7225.4965357967621</v>
      </c>
      <c r="J44" s="28">
        <f t="shared" si="5"/>
        <v>8181.9168591224015</v>
      </c>
      <c r="K44" s="28">
        <f t="shared" si="5"/>
        <v>8209.3533487297918</v>
      </c>
      <c r="L44" s="28">
        <f>L42*L43/0.866</f>
        <v>0</v>
      </c>
      <c r="M44" s="28">
        <f>M42*M43/0.866</f>
        <v>7502.8868360277138</v>
      </c>
      <c r="N44" s="28">
        <f>N42*N43/0.866</f>
        <v>-36762.512702078522</v>
      </c>
      <c r="O44" s="28">
        <f>O42*O43/0.866</f>
        <v>8223.9607390300298</v>
      </c>
      <c r="P44" s="28">
        <f t="shared" si="5"/>
        <v>0</v>
      </c>
      <c r="Q44" s="28">
        <f t="shared" si="5"/>
        <v>7723.1408775981572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0.46</v>
      </c>
      <c r="H45" s="21"/>
      <c r="I45" s="21">
        <v>0.45</v>
      </c>
      <c r="J45" s="20">
        <v>0.46</v>
      </c>
      <c r="K45" s="20">
        <v>0.46</v>
      </c>
      <c r="L45" s="21"/>
      <c r="M45" s="21">
        <v>0.46</v>
      </c>
      <c r="N45" s="20">
        <v>0.45</v>
      </c>
      <c r="O45" s="20">
        <v>0.45</v>
      </c>
      <c r="P45" s="21"/>
      <c r="Q45" s="21">
        <v>0.47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/>
      <c r="G46" s="20">
        <v>19.600000000000001</v>
      </c>
      <c r="H46" s="21"/>
      <c r="I46" s="21">
        <v>18.899999999999999</v>
      </c>
      <c r="J46" s="20">
        <v>19.7</v>
      </c>
      <c r="K46" s="20">
        <v>19.5</v>
      </c>
      <c r="L46" s="21"/>
      <c r="M46" s="21">
        <v>19.399999999999999</v>
      </c>
      <c r="N46" s="20">
        <v>18.899999999999999</v>
      </c>
      <c r="O46" s="20">
        <v>18.899999999999999</v>
      </c>
      <c r="P46" s="21"/>
      <c r="Q46" s="21">
        <v>19.899999999999999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/>
      <c r="G47" s="20">
        <v>204</v>
      </c>
      <c r="H47" s="21"/>
      <c r="I47" s="21">
        <v>124.2</v>
      </c>
      <c r="J47" s="20">
        <v>197.3</v>
      </c>
      <c r="K47" s="20">
        <v>205.5</v>
      </c>
      <c r="L47" s="21"/>
      <c r="M47" s="21">
        <v>209.7</v>
      </c>
      <c r="N47" s="20">
        <v>151.69999999999999</v>
      </c>
      <c r="O47" s="20">
        <v>154.19999999999999</v>
      </c>
      <c r="P47" s="21"/>
      <c r="Q47" s="21">
        <v>198.6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59">
        <v>5.89</v>
      </c>
      <c r="F49" s="20"/>
      <c r="G49" s="20">
        <v>5.57</v>
      </c>
      <c r="H49" s="21"/>
      <c r="I49" s="21">
        <v>5.45</v>
      </c>
      <c r="J49" s="20">
        <v>5.31</v>
      </c>
      <c r="K49" s="20">
        <v>5.61</v>
      </c>
      <c r="L49" s="21"/>
      <c r="M49" s="21">
        <v>5.76</v>
      </c>
      <c r="N49" s="20">
        <v>5.22</v>
      </c>
      <c r="O49" s="20">
        <v>5.5</v>
      </c>
      <c r="P49" s="21"/>
      <c r="Q49" s="21">
        <v>5.43</v>
      </c>
    </row>
    <row r="50" spans="2:17" ht="20.100000000000001" customHeight="1">
      <c r="B50" s="92" t="s">
        <v>91</v>
      </c>
      <c r="C50" s="92"/>
      <c r="D50" s="92"/>
      <c r="E50" s="59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58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M19" sqref="M1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45762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61" t="s">
        <v>18</v>
      </c>
      <c r="E10" s="15"/>
      <c r="F10" s="16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/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70.099999999999994</v>
      </c>
      <c r="H11" s="21"/>
      <c r="I11" s="21">
        <v>81.900000000000006</v>
      </c>
      <c r="J11" s="20"/>
      <c r="K11" s="20">
        <v>73.8</v>
      </c>
      <c r="L11" s="21"/>
      <c r="M11" s="21">
        <v>71.3</v>
      </c>
      <c r="N11" s="20"/>
      <c r="O11" s="20">
        <v>76.400000000000006</v>
      </c>
      <c r="P11" s="21"/>
      <c r="Q11" s="21">
        <v>75.2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0.6</v>
      </c>
      <c r="H12" s="21"/>
      <c r="I12" s="21">
        <v>0</v>
      </c>
      <c r="J12" s="20"/>
      <c r="K12" s="20">
        <v>0</v>
      </c>
      <c r="L12" s="21"/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64.400000000000006</v>
      </c>
      <c r="H13" s="21"/>
      <c r="I13" s="21">
        <v>77.5</v>
      </c>
      <c r="J13" s="20"/>
      <c r="K13" s="20">
        <v>67.8</v>
      </c>
      <c r="L13" s="21"/>
      <c r="M13" s="21">
        <v>65.8</v>
      </c>
      <c r="N13" s="20"/>
      <c r="O13" s="20">
        <v>71.099999999999994</v>
      </c>
      <c r="P13" s="21"/>
      <c r="Q13" s="21">
        <v>69.7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69.2</v>
      </c>
      <c r="H14" s="21"/>
      <c r="I14" s="21">
        <v>69.3</v>
      </c>
      <c r="J14" s="20"/>
      <c r="K14" s="20">
        <v>63.9</v>
      </c>
      <c r="L14" s="21"/>
      <c r="M14" s="21">
        <v>66.400000000000006</v>
      </c>
      <c r="N14" s="20"/>
      <c r="O14" s="20">
        <v>74.2</v>
      </c>
      <c r="P14" s="21"/>
      <c r="Q14" s="21">
        <v>72.5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40.1</v>
      </c>
      <c r="H15" s="21"/>
      <c r="I15" s="21">
        <v>55.9</v>
      </c>
      <c r="J15" s="20"/>
      <c r="K15" s="20">
        <v>40.6</v>
      </c>
      <c r="L15" s="21"/>
      <c r="M15" s="21">
        <v>31.5</v>
      </c>
      <c r="N15" s="20"/>
      <c r="O15" s="20">
        <v>58.2</v>
      </c>
      <c r="P15" s="21"/>
      <c r="Q15" s="21">
        <v>43.9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/>
      <c r="K16" s="20">
        <v>6.6</v>
      </c>
      <c r="L16" s="21"/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/>
      <c r="G17" s="20">
        <v>116.6</v>
      </c>
      <c r="H17" s="21"/>
      <c r="I17" s="21">
        <v>118.1</v>
      </c>
      <c r="J17" s="20"/>
      <c r="K17" s="20">
        <v>115.5</v>
      </c>
      <c r="L17" s="21"/>
      <c r="M17" s="21">
        <v>113.3</v>
      </c>
      <c r="N17" s="20"/>
      <c r="O17" s="20">
        <v>118.8</v>
      </c>
      <c r="P17" s="21"/>
      <c r="Q17" s="21">
        <v>118.6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/>
      <c r="G18" s="20">
        <v>1145</v>
      </c>
      <c r="H18" s="21"/>
      <c r="I18" s="21">
        <v>1194</v>
      </c>
      <c r="J18" s="20"/>
      <c r="K18" s="20">
        <v>1180</v>
      </c>
      <c r="L18" s="21"/>
      <c r="M18" s="21">
        <v>1144</v>
      </c>
      <c r="N18" s="20"/>
      <c r="O18" s="20">
        <v>1202</v>
      </c>
      <c r="P18" s="21"/>
      <c r="Q18" s="21">
        <v>1197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49919.3</v>
      </c>
      <c r="H19" s="21"/>
      <c r="I19" s="21">
        <v>51129.9</v>
      </c>
      <c r="J19" s="20"/>
      <c r="K19" s="20">
        <v>48862.400000000001</v>
      </c>
      <c r="L19" s="21"/>
      <c r="M19" s="21">
        <v>51239.3</v>
      </c>
      <c r="N19" s="20"/>
      <c r="O19" s="20">
        <v>50419.6</v>
      </c>
      <c r="P19" s="21"/>
      <c r="Q19" s="21">
        <v>50500.6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/>
      <c r="G22" s="20">
        <v>58.8</v>
      </c>
      <c r="H22" s="21"/>
      <c r="I22" s="21">
        <v>59.2</v>
      </c>
      <c r="J22" s="20"/>
      <c r="K22" s="20">
        <v>57.9</v>
      </c>
      <c r="L22" s="21"/>
      <c r="M22" s="21">
        <v>57.2</v>
      </c>
      <c r="N22" s="20"/>
      <c r="O22" s="20">
        <v>58.6</v>
      </c>
      <c r="P22" s="21"/>
      <c r="Q22" s="21">
        <v>58.9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0.48</v>
      </c>
      <c r="J23" s="20"/>
      <c r="K23" s="20">
        <v>0.59</v>
      </c>
      <c r="L23" s="21"/>
      <c r="M23" s="21">
        <v>0.52</v>
      </c>
      <c r="N23" s="20"/>
      <c r="O23" s="20">
        <v>0.47</v>
      </c>
      <c r="P23" s="21"/>
      <c r="Q23" s="21">
        <v>0.49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/>
      <c r="G25" s="20">
        <v>44.8</v>
      </c>
      <c r="H25" s="21"/>
      <c r="I25" s="21">
        <v>44.9</v>
      </c>
      <c r="J25" s="20"/>
      <c r="K25" s="20">
        <v>44.9</v>
      </c>
      <c r="L25" s="21"/>
      <c r="M25" s="21">
        <v>45.1</v>
      </c>
      <c r="N25" s="20"/>
      <c r="O25" s="20">
        <v>44.8</v>
      </c>
      <c r="P25" s="21"/>
      <c r="Q25" s="21">
        <v>45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0.21</v>
      </c>
      <c r="J26" s="20"/>
      <c r="K26" s="20">
        <v>0.22</v>
      </c>
      <c r="L26" s="21"/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/>
      <c r="G27" s="20">
        <v>4.3</v>
      </c>
      <c r="H27" s="21"/>
      <c r="I27" s="21">
        <v>3.1</v>
      </c>
      <c r="J27" s="20"/>
      <c r="K27" s="20">
        <v>4.4000000000000004</v>
      </c>
      <c r="L27" s="21"/>
      <c r="M27" s="21">
        <v>3.7</v>
      </c>
      <c r="N27" s="20"/>
      <c r="O27" s="20">
        <v>4.4000000000000004</v>
      </c>
      <c r="P27" s="21"/>
      <c r="Q27" s="21">
        <v>4.5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/>
      <c r="G28" s="20">
        <v>3.7</v>
      </c>
      <c r="H28" s="21"/>
      <c r="I28" s="21">
        <v>2.2000000000000002</v>
      </c>
      <c r="J28" s="20"/>
      <c r="K28" s="20">
        <v>3.4</v>
      </c>
      <c r="L28" s="21"/>
      <c r="M28" s="21">
        <v>2.6</v>
      </c>
      <c r="N28" s="20"/>
      <c r="O28" s="20">
        <v>3.2</v>
      </c>
      <c r="P28" s="21"/>
      <c r="Q28" s="21">
        <v>3.6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/>
      <c r="G29" s="27">
        <f>G32-G28</f>
        <v>1.0999999999999996</v>
      </c>
      <c r="H29" s="27">
        <f t="shared" ref="H29:Q29" si="0">H32-H28</f>
        <v>0</v>
      </c>
      <c r="I29" s="27">
        <f t="shared" si="0"/>
        <v>2.5999999999999996</v>
      </c>
      <c r="J29" s="27">
        <f t="shared" si="0"/>
        <v>0</v>
      </c>
      <c r="K29" s="27">
        <f t="shared" si="0"/>
        <v>0.69999999999999973</v>
      </c>
      <c r="L29" s="27">
        <f>L32-L28</f>
        <v>0</v>
      </c>
      <c r="M29" s="27">
        <f>M32-M28</f>
        <v>1.2999999999999998</v>
      </c>
      <c r="N29" s="27">
        <f>N32-N28</f>
        <v>0</v>
      </c>
      <c r="O29" s="27">
        <f>O32-O28</f>
        <v>1.3999999999999995</v>
      </c>
      <c r="P29" s="27">
        <f t="shared" si="0"/>
        <v>0</v>
      </c>
      <c r="Q29" s="27">
        <f t="shared" si="0"/>
        <v>0.99999999999999956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/>
      <c r="G30" s="20">
        <v>662.4</v>
      </c>
      <c r="H30" s="21"/>
      <c r="I30" s="21">
        <v>640.6</v>
      </c>
      <c r="J30" s="20"/>
      <c r="K30" s="20">
        <v>639.6</v>
      </c>
      <c r="L30" s="21"/>
      <c r="M30" s="21">
        <v>637.79999999999995</v>
      </c>
      <c r="N30" s="20"/>
      <c r="O30" s="20">
        <v>647.5</v>
      </c>
      <c r="P30" s="21"/>
      <c r="Q30" s="21">
        <v>640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/>
      <c r="G31" s="20">
        <v>13.7</v>
      </c>
      <c r="H31" s="21"/>
      <c r="I31" s="21">
        <v>13.8</v>
      </c>
      <c r="J31" s="20"/>
      <c r="K31" s="20">
        <v>13.2</v>
      </c>
      <c r="L31" s="21"/>
      <c r="M31" s="21">
        <v>13.1</v>
      </c>
      <c r="N31" s="20"/>
      <c r="O31" s="20">
        <v>13.8</v>
      </c>
      <c r="P31" s="21"/>
      <c r="Q31" s="21">
        <v>13.5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/>
      <c r="G32" s="20">
        <v>4.8</v>
      </c>
      <c r="H32" s="21"/>
      <c r="I32" s="21">
        <v>4.8</v>
      </c>
      <c r="J32" s="20"/>
      <c r="K32" s="20">
        <v>4.0999999999999996</v>
      </c>
      <c r="L32" s="21"/>
      <c r="M32" s="21">
        <v>3.9</v>
      </c>
      <c r="N32" s="20"/>
      <c r="O32" s="20">
        <v>4.5999999999999996</v>
      </c>
      <c r="P32" s="21"/>
      <c r="Q32" s="21">
        <v>4.5999999999999996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8.8999999999999986</v>
      </c>
      <c r="H33" s="27">
        <f t="shared" ref="H33:Q33" si="1">H31-H32</f>
        <v>0</v>
      </c>
      <c r="I33" s="27">
        <f t="shared" si="1"/>
        <v>9</v>
      </c>
      <c r="J33" s="27">
        <f t="shared" si="1"/>
        <v>0</v>
      </c>
      <c r="K33" s="27">
        <f t="shared" si="1"/>
        <v>9.1</v>
      </c>
      <c r="L33" s="27">
        <f>L31-L32</f>
        <v>0</v>
      </c>
      <c r="M33" s="27">
        <f>M31-M32</f>
        <v>9.1999999999999993</v>
      </c>
      <c r="N33" s="27">
        <f>N31-N32</f>
        <v>0</v>
      </c>
      <c r="O33" s="27">
        <f>O31-O32</f>
        <v>9.2000000000000011</v>
      </c>
      <c r="P33" s="27">
        <f t="shared" si="1"/>
        <v>0</v>
      </c>
      <c r="Q33" s="27">
        <f t="shared" si="1"/>
        <v>8.9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6807.5750577367189</v>
      </c>
      <c r="H34" s="28">
        <f t="shared" ref="H34:Q34" si="2">(H33*H30)/0.866</f>
        <v>0</v>
      </c>
      <c r="I34" s="28">
        <f t="shared" si="2"/>
        <v>6657.5057736720564</v>
      </c>
      <c r="J34" s="28">
        <f t="shared" si="2"/>
        <v>0</v>
      </c>
      <c r="K34" s="28">
        <f t="shared" si="2"/>
        <v>6720.9699769053113</v>
      </c>
      <c r="L34" s="28">
        <f>(L33*L30)/0.866</f>
        <v>0</v>
      </c>
      <c r="M34" s="28">
        <f>(M33*M30)/0.866</f>
        <v>6775.7043879907615</v>
      </c>
      <c r="N34" s="28">
        <f>(N33*N30)/0.866</f>
        <v>0</v>
      </c>
      <c r="O34" s="28">
        <f>(O33*O30)/0.866</f>
        <v>6878.7528868360287</v>
      </c>
      <c r="P34" s="28">
        <f t="shared" si="2"/>
        <v>0</v>
      </c>
      <c r="Q34" s="28">
        <f t="shared" si="2"/>
        <v>6577.3672055427251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</v>
      </c>
      <c r="H35" s="21"/>
      <c r="I35" s="21">
        <v>0.82</v>
      </c>
      <c r="J35" s="20"/>
      <c r="K35" s="20">
        <v>0.81</v>
      </c>
      <c r="L35" s="21"/>
      <c r="M35" s="21">
        <v>0.8</v>
      </c>
      <c r="N35" s="20"/>
      <c r="O35" s="20">
        <v>0.8</v>
      </c>
      <c r="P35" s="21"/>
      <c r="Q35" s="21">
        <v>0.81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/>
      <c r="G36" s="20">
        <v>35.299999999999997</v>
      </c>
      <c r="H36" s="21"/>
      <c r="I36" s="21">
        <v>35.9</v>
      </c>
      <c r="J36" s="20"/>
      <c r="K36" s="20">
        <v>35.6</v>
      </c>
      <c r="L36" s="21"/>
      <c r="M36" s="21">
        <v>35.4</v>
      </c>
      <c r="N36" s="20"/>
      <c r="O36" s="20">
        <v>34.9</v>
      </c>
      <c r="P36" s="21"/>
      <c r="Q36" s="21">
        <v>35.4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/>
      <c r="G37" s="20">
        <v>35.700000000000003</v>
      </c>
      <c r="H37" s="21"/>
      <c r="I37" s="21">
        <v>36.700000000000003</v>
      </c>
      <c r="J37" s="20"/>
      <c r="K37" s="20">
        <v>36.299999999999997</v>
      </c>
      <c r="L37" s="21"/>
      <c r="M37" s="21">
        <v>35.799999999999997</v>
      </c>
      <c r="N37" s="20"/>
      <c r="O37" s="20">
        <v>35.4</v>
      </c>
      <c r="P37" s="21"/>
      <c r="Q37" s="21">
        <v>36.299999999999997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1.6000000000000014</v>
      </c>
      <c r="H38" s="27">
        <f>H37-H41</f>
        <v>0</v>
      </c>
      <c r="I38" s="27">
        <f>I37-I41</f>
        <v>3.2000000000000028</v>
      </c>
      <c r="J38" s="27">
        <f t="shared" ref="J38:Q38" si="3">J37-J41</f>
        <v>0</v>
      </c>
      <c r="K38" s="27">
        <f t="shared" si="3"/>
        <v>2.1999999999999957</v>
      </c>
      <c r="L38" s="27">
        <f>L37-L41</f>
        <v>0</v>
      </c>
      <c r="M38" s="27">
        <f>M37-M41</f>
        <v>2.2999999999999972</v>
      </c>
      <c r="N38" s="27">
        <f>N37-N41</f>
        <v>0</v>
      </c>
      <c r="O38" s="27">
        <f>O37-O41</f>
        <v>1.5</v>
      </c>
      <c r="P38" s="27">
        <f t="shared" si="3"/>
        <v>0</v>
      </c>
      <c r="Q38" s="27">
        <f t="shared" si="3"/>
        <v>2.5999999999999943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/>
      <c r="G40" s="20">
        <v>28.6</v>
      </c>
      <c r="H40" s="21"/>
      <c r="I40" s="21">
        <v>28.5</v>
      </c>
      <c r="J40" s="20"/>
      <c r="K40" s="20">
        <v>28.7</v>
      </c>
      <c r="L40" s="21"/>
      <c r="M40" s="21">
        <v>28.6</v>
      </c>
      <c r="N40" s="20"/>
      <c r="O40" s="20">
        <v>28.3</v>
      </c>
      <c r="P40" s="21"/>
      <c r="Q40" s="21">
        <v>28.4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/>
      <c r="G41" s="20">
        <v>34.1</v>
      </c>
      <c r="H41" s="21"/>
      <c r="I41" s="21">
        <v>33.5</v>
      </c>
      <c r="J41" s="20"/>
      <c r="K41" s="20">
        <v>34.1</v>
      </c>
      <c r="L41" s="21"/>
      <c r="M41" s="21">
        <v>33.5</v>
      </c>
      <c r="N41" s="20"/>
      <c r="O41" s="20">
        <v>33.9</v>
      </c>
      <c r="P41" s="21"/>
      <c r="Q41" s="21">
        <v>33.700000000000003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5.5</v>
      </c>
      <c r="H42" s="27">
        <f t="shared" ref="H42:Q42" si="4">H41-H40</f>
        <v>0</v>
      </c>
      <c r="I42" s="27">
        <f t="shared" si="4"/>
        <v>5</v>
      </c>
      <c r="J42" s="27">
        <f t="shared" si="4"/>
        <v>0</v>
      </c>
      <c r="K42" s="27">
        <f t="shared" si="4"/>
        <v>5.4000000000000021</v>
      </c>
      <c r="L42" s="27">
        <f>L41-L40</f>
        <v>0</v>
      </c>
      <c r="M42" s="27">
        <f>M41-M40</f>
        <v>4.8999999999999986</v>
      </c>
      <c r="N42" s="27">
        <f>N41-N40</f>
        <v>0</v>
      </c>
      <c r="O42" s="27">
        <f>O41-O40</f>
        <v>5.5999999999999979</v>
      </c>
      <c r="P42" s="27">
        <f t="shared" si="4"/>
        <v>0</v>
      </c>
      <c r="Q42" s="27">
        <f t="shared" si="4"/>
        <v>5.3000000000000043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/>
      <c r="G43" s="20">
        <v>1293.5999999999999</v>
      </c>
      <c r="H43" s="21"/>
      <c r="I43" s="21">
        <v>1302.5999999999999</v>
      </c>
      <c r="J43" s="20"/>
      <c r="K43" s="20">
        <v>1289.9000000000001</v>
      </c>
      <c r="L43" s="21"/>
      <c r="M43" s="20">
        <v>1296.9000000000001</v>
      </c>
      <c r="N43" s="20"/>
      <c r="O43" s="20">
        <v>1290.8</v>
      </c>
      <c r="P43" s="21"/>
      <c r="Q43" s="21">
        <v>1296.4000000000001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8215.7043879907615</v>
      </c>
      <c r="H44" s="28">
        <f t="shared" ref="H44:Q44" si="5">H42*H43/0.866</f>
        <v>0</v>
      </c>
      <c r="I44" s="28">
        <f t="shared" si="5"/>
        <v>7520.7852193995386</v>
      </c>
      <c r="J44" s="28">
        <f t="shared" si="5"/>
        <v>0</v>
      </c>
      <c r="K44" s="28">
        <f t="shared" si="5"/>
        <v>8043.2563510392656</v>
      </c>
      <c r="L44" s="28">
        <f>L42*L43/0.866</f>
        <v>0</v>
      </c>
      <c r="M44" s="28">
        <f>M42*M43/0.866</f>
        <v>7338.1177829099288</v>
      </c>
      <c r="N44" s="28">
        <f>N42*N43/0.866</f>
        <v>0</v>
      </c>
      <c r="O44" s="28">
        <f>O42*O43/0.866</f>
        <v>8346.9745958429521</v>
      </c>
      <c r="P44" s="28">
        <f t="shared" si="5"/>
        <v>0</v>
      </c>
      <c r="Q44" s="28">
        <f t="shared" si="5"/>
        <v>7934.0877598152501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0.46</v>
      </c>
      <c r="H45" s="21"/>
      <c r="I45" s="21">
        <v>0.45</v>
      </c>
      <c r="J45" s="20"/>
      <c r="K45" s="20">
        <v>0.46</v>
      </c>
      <c r="L45" s="21"/>
      <c r="M45" s="21">
        <v>0.46</v>
      </c>
      <c r="N45" s="20"/>
      <c r="O45" s="20">
        <v>0.45</v>
      </c>
      <c r="P45" s="21"/>
      <c r="Q45" s="21">
        <v>0.46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/>
      <c r="G46" s="20">
        <v>19.600000000000001</v>
      </c>
      <c r="H46" s="21"/>
      <c r="I46" s="21">
        <v>18.7</v>
      </c>
      <c r="J46" s="20"/>
      <c r="K46" s="20">
        <v>19.5</v>
      </c>
      <c r="L46" s="21"/>
      <c r="M46" s="21">
        <v>19.399999999999999</v>
      </c>
      <c r="N46" s="20"/>
      <c r="O46" s="20">
        <v>18.899999999999999</v>
      </c>
      <c r="P46" s="21"/>
      <c r="Q46" s="21">
        <v>19.600000000000001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/>
      <c r="G47" s="20">
        <v>193.4</v>
      </c>
      <c r="H47" s="21"/>
      <c r="I47" s="21">
        <v>123.2</v>
      </c>
      <c r="J47" s="20"/>
      <c r="K47" s="20">
        <v>206.6</v>
      </c>
      <c r="L47" s="21"/>
      <c r="M47" s="21">
        <v>202.5</v>
      </c>
      <c r="N47" s="20"/>
      <c r="O47" s="20">
        <v>158.5</v>
      </c>
      <c r="P47" s="21"/>
      <c r="Q47" s="21">
        <v>198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61">
        <v>5.89</v>
      </c>
      <c r="F49" s="20"/>
      <c r="G49" s="20">
        <v>5.73</v>
      </c>
      <c r="H49" s="21"/>
      <c r="I49" s="21">
        <v>5.55</v>
      </c>
      <c r="J49" s="20"/>
      <c r="K49" s="20">
        <v>5.71</v>
      </c>
      <c r="L49" s="21"/>
      <c r="M49" s="21">
        <v>5.93</v>
      </c>
      <c r="N49" s="20"/>
      <c r="O49" s="20">
        <v>5.62</v>
      </c>
      <c r="P49" s="21"/>
      <c r="Q49" s="21">
        <v>5.43</v>
      </c>
    </row>
    <row r="50" spans="2:17" ht="20.100000000000001" customHeight="1">
      <c r="B50" s="92" t="s">
        <v>91</v>
      </c>
      <c r="C50" s="92"/>
      <c r="D50" s="92"/>
      <c r="E50" s="61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60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4" zoomScale="85" zoomScaleNormal="60" workbookViewId="0">
      <selection activeCell="L48" sqref="L48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45763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63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71.400000000000006</v>
      </c>
      <c r="H11" s="21"/>
      <c r="I11" s="21">
        <v>81.3</v>
      </c>
      <c r="J11" s="20">
        <v>75.2</v>
      </c>
      <c r="K11" s="20">
        <v>72</v>
      </c>
      <c r="L11" s="21"/>
      <c r="M11" s="21">
        <v>70.400000000000006</v>
      </c>
      <c r="N11" s="20">
        <v>75.8</v>
      </c>
      <c r="O11" s="20">
        <v>78.5</v>
      </c>
      <c r="P11" s="21"/>
      <c r="Q11" s="21">
        <v>74.900000000000006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0.4</v>
      </c>
      <c r="H12" s="21"/>
      <c r="I12" s="21">
        <v>0</v>
      </c>
      <c r="J12" s="20">
        <v>0</v>
      </c>
      <c r="K12" s="20">
        <v>0</v>
      </c>
      <c r="L12" s="21"/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66.3</v>
      </c>
      <c r="H13" s="21"/>
      <c r="I13" s="21">
        <v>77.099999999999994</v>
      </c>
      <c r="J13" s="20">
        <v>70.7</v>
      </c>
      <c r="K13" s="20">
        <v>68.2</v>
      </c>
      <c r="L13" s="21"/>
      <c r="M13" s="21">
        <v>65</v>
      </c>
      <c r="N13" s="20">
        <v>70.400000000000006</v>
      </c>
      <c r="O13" s="20">
        <v>74.099999999999994</v>
      </c>
      <c r="P13" s="21"/>
      <c r="Q13" s="21">
        <v>69.7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69.5</v>
      </c>
      <c r="H14" s="21"/>
      <c r="I14" s="21">
        <v>70.400000000000006</v>
      </c>
      <c r="J14" s="20">
        <v>63.8</v>
      </c>
      <c r="K14" s="20">
        <v>64.7</v>
      </c>
      <c r="L14" s="21"/>
      <c r="M14" s="21">
        <v>66.5</v>
      </c>
      <c r="N14" s="20">
        <v>72.7</v>
      </c>
      <c r="O14" s="20">
        <v>74.8</v>
      </c>
      <c r="P14" s="21"/>
      <c r="Q14" s="21">
        <v>72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42</v>
      </c>
      <c r="H15" s="21"/>
      <c r="I15" s="21">
        <v>56</v>
      </c>
      <c r="J15" s="20">
        <v>38.799999999999997</v>
      </c>
      <c r="K15" s="20">
        <v>42.1</v>
      </c>
      <c r="L15" s="21"/>
      <c r="M15" s="21">
        <v>34.9</v>
      </c>
      <c r="N15" s="20">
        <v>52.1</v>
      </c>
      <c r="O15" s="20">
        <v>58.2</v>
      </c>
      <c r="P15" s="21"/>
      <c r="Q15" s="21">
        <v>42.6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/>
      <c r="G17" s="20">
        <v>115.9</v>
      </c>
      <c r="H17" s="21"/>
      <c r="I17" s="21">
        <v>116.7</v>
      </c>
      <c r="J17" s="20">
        <v>118</v>
      </c>
      <c r="K17" s="20">
        <v>114.6</v>
      </c>
      <c r="L17" s="21"/>
      <c r="M17" s="21">
        <v>111.9</v>
      </c>
      <c r="N17" s="20">
        <v>117.6</v>
      </c>
      <c r="O17" s="20">
        <v>118.9</v>
      </c>
      <c r="P17" s="21"/>
      <c r="Q17" s="21">
        <v>116.8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/>
      <c r="G18" s="20">
        <v>1125</v>
      </c>
      <c r="H18" s="21"/>
      <c r="I18" s="21">
        <v>1175</v>
      </c>
      <c r="J18" s="20">
        <v>1209</v>
      </c>
      <c r="K18" s="20">
        <v>1153</v>
      </c>
      <c r="L18" s="21"/>
      <c r="M18" s="21">
        <v>1133</v>
      </c>
      <c r="N18" s="20">
        <v>1207</v>
      </c>
      <c r="O18" s="20">
        <v>1200</v>
      </c>
      <c r="P18" s="21"/>
      <c r="Q18" s="21">
        <v>1179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49937.5</v>
      </c>
      <c r="H19" s="21"/>
      <c r="I19" s="21">
        <v>51140</v>
      </c>
      <c r="J19" s="20">
        <v>48881.1</v>
      </c>
      <c r="K19" s="20">
        <v>48872.4</v>
      </c>
      <c r="L19" s="21"/>
      <c r="M19" s="21">
        <v>51261</v>
      </c>
      <c r="N19" s="20">
        <v>50438.2</v>
      </c>
      <c r="O19" s="20">
        <v>50429.599999999999</v>
      </c>
      <c r="P19" s="21"/>
      <c r="Q19" s="21">
        <v>50510.1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/>
      <c r="G22" s="20">
        <v>58</v>
      </c>
      <c r="H22" s="21"/>
      <c r="I22" s="21">
        <v>58.9</v>
      </c>
      <c r="J22" s="20">
        <v>58</v>
      </c>
      <c r="K22" s="20">
        <v>57.7</v>
      </c>
      <c r="L22" s="21"/>
      <c r="M22" s="21">
        <v>57.2</v>
      </c>
      <c r="N22" s="20">
        <v>58.7</v>
      </c>
      <c r="O22" s="20">
        <v>58.6</v>
      </c>
      <c r="P22" s="21"/>
      <c r="Q22" s="21">
        <v>59.1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/>
      <c r="G23" s="20">
        <v>0.52</v>
      </c>
      <c r="H23" s="21"/>
      <c r="I23" s="21">
        <v>0.48</v>
      </c>
      <c r="J23" s="20">
        <v>0.59</v>
      </c>
      <c r="K23" s="20">
        <v>0.57999999999999996</v>
      </c>
      <c r="L23" s="21"/>
      <c r="M23" s="21">
        <v>0.52</v>
      </c>
      <c r="N23" s="20">
        <v>0.48</v>
      </c>
      <c r="O23" s="20">
        <v>0.56999999999999995</v>
      </c>
      <c r="P23" s="21"/>
      <c r="Q23" s="21">
        <v>0.49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/>
      <c r="G25" s="20">
        <v>45</v>
      </c>
      <c r="H25" s="21"/>
      <c r="I25" s="21">
        <v>45</v>
      </c>
      <c r="J25" s="20">
        <v>44.9</v>
      </c>
      <c r="K25" s="20">
        <v>45.1</v>
      </c>
      <c r="L25" s="21"/>
      <c r="M25" s="21">
        <v>45</v>
      </c>
      <c r="N25" s="20">
        <v>44.9</v>
      </c>
      <c r="O25" s="20">
        <v>45</v>
      </c>
      <c r="P25" s="21"/>
      <c r="Q25" s="21">
        <v>44.9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0.21</v>
      </c>
      <c r="H26" s="21"/>
      <c r="I26" s="21">
        <v>0.21</v>
      </c>
      <c r="J26" s="20">
        <v>0.23</v>
      </c>
      <c r="K26" s="20">
        <v>0.23</v>
      </c>
      <c r="L26" s="21"/>
      <c r="M26" s="21">
        <v>0.22</v>
      </c>
      <c r="N26" s="20">
        <v>0.22</v>
      </c>
      <c r="O26" s="20">
        <v>0.22</v>
      </c>
      <c r="P26" s="21"/>
      <c r="Q26" s="21">
        <v>0.22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/>
      <c r="G27" s="20">
        <v>3.9</v>
      </c>
      <c r="H27" s="21"/>
      <c r="I27" s="21">
        <v>2.8</v>
      </c>
      <c r="J27" s="20">
        <v>4.5</v>
      </c>
      <c r="K27" s="20">
        <v>4</v>
      </c>
      <c r="L27" s="21"/>
      <c r="M27" s="21">
        <v>3.9</v>
      </c>
      <c r="N27" s="20">
        <v>4.5</v>
      </c>
      <c r="O27" s="20">
        <v>4</v>
      </c>
      <c r="P27" s="21"/>
      <c r="Q27" s="21">
        <v>4.2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/>
      <c r="G28" s="20">
        <v>3.3</v>
      </c>
      <c r="H28" s="21"/>
      <c r="I28" s="21">
        <v>2</v>
      </c>
      <c r="J28" s="20">
        <v>3.7</v>
      </c>
      <c r="K28" s="20">
        <v>3.2</v>
      </c>
      <c r="L28" s="21"/>
      <c r="M28" s="21">
        <v>2.4</v>
      </c>
      <c r="N28" s="20">
        <v>3.2</v>
      </c>
      <c r="O28" s="20">
        <v>2.8</v>
      </c>
      <c r="P28" s="21"/>
      <c r="Q28" s="21">
        <v>3.1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1</v>
      </c>
      <c r="H29" s="27">
        <f t="shared" ref="H29:Q29" si="0">H32-H28</f>
        <v>0</v>
      </c>
      <c r="I29" s="27">
        <f t="shared" si="0"/>
        <v>2.5999999999999996</v>
      </c>
      <c r="J29" s="27">
        <f t="shared" si="0"/>
        <v>0.79999999999999982</v>
      </c>
      <c r="K29" s="27">
        <f t="shared" si="0"/>
        <v>1.3999999999999995</v>
      </c>
      <c r="L29" s="27">
        <f>L32-L28</f>
        <v>0</v>
      </c>
      <c r="M29" s="27">
        <f>M32-M28</f>
        <v>1.3000000000000003</v>
      </c>
      <c r="N29" s="27">
        <f>N32-N28</f>
        <v>1.3999999999999995</v>
      </c>
      <c r="O29" s="27">
        <f>O32-O28</f>
        <v>1.2999999999999998</v>
      </c>
      <c r="P29" s="27">
        <f t="shared" si="0"/>
        <v>0</v>
      </c>
      <c r="Q29" s="27">
        <f t="shared" si="0"/>
        <v>1.1999999999999997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/>
      <c r="G30" s="20">
        <v>656.4</v>
      </c>
      <c r="H30" s="21"/>
      <c r="I30" s="21">
        <v>635.6</v>
      </c>
      <c r="J30" s="20">
        <v>679.82</v>
      </c>
      <c r="K30" s="20">
        <v>637.4</v>
      </c>
      <c r="L30" s="21"/>
      <c r="M30" s="21">
        <v>624.79999999999995</v>
      </c>
      <c r="N30" s="20">
        <v>686.7</v>
      </c>
      <c r="O30" s="20">
        <v>642.29999999999995</v>
      </c>
      <c r="P30" s="21"/>
      <c r="Q30" s="21">
        <v>638.9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/>
      <c r="G31" s="20">
        <v>13.3</v>
      </c>
      <c r="H31" s="21"/>
      <c r="I31" s="21">
        <v>13.4</v>
      </c>
      <c r="J31" s="20">
        <v>13.2</v>
      </c>
      <c r="K31" s="20">
        <v>13.5</v>
      </c>
      <c r="L31" s="21"/>
      <c r="M31" s="21">
        <v>13</v>
      </c>
      <c r="N31" s="20">
        <v>13.2</v>
      </c>
      <c r="O31" s="20">
        <v>13.4</v>
      </c>
      <c r="P31" s="21"/>
      <c r="Q31" s="21">
        <v>13.2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/>
      <c r="G32" s="20">
        <v>4.3</v>
      </c>
      <c r="H32" s="21"/>
      <c r="I32" s="21">
        <v>4.5999999999999996</v>
      </c>
      <c r="J32" s="20">
        <v>4.5</v>
      </c>
      <c r="K32" s="20">
        <v>4.5999999999999996</v>
      </c>
      <c r="L32" s="21"/>
      <c r="M32" s="21">
        <v>3.7</v>
      </c>
      <c r="N32" s="20">
        <v>4.5999999999999996</v>
      </c>
      <c r="O32" s="20">
        <v>4.0999999999999996</v>
      </c>
      <c r="P32" s="21"/>
      <c r="Q32" s="21">
        <v>4.3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</v>
      </c>
      <c r="H33" s="27">
        <f t="shared" ref="H33:Q33" si="1">H31-H32</f>
        <v>0</v>
      </c>
      <c r="I33" s="27">
        <f t="shared" si="1"/>
        <v>8.8000000000000007</v>
      </c>
      <c r="J33" s="27">
        <f t="shared" si="1"/>
        <v>8.6999999999999993</v>
      </c>
      <c r="K33" s="27">
        <f t="shared" si="1"/>
        <v>8.9</v>
      </c>
      <c r="L33" s="27">
        <f>L31-L32</f>
        <v>0</v>
      </c>
      <c r="M33" s="27">
        <f>M31-M32</f>
        <v>9.3000000000000007</v>
      </c>
      <c r="N33" s="27">
        <f>N31-N32</f>
        <v>8.6</v>
      </c>
      <c r="O33" s="27">
        <f>O31-O32</f>
        <v>9.3000000000000007</v>
      </c>
      <c r="P33" s="27">
        <f t="shared" si="1"/>
        <v>0</v>
      </c>
      <c r="Q33" s="27">
        <f t="shared" si="1"/>
        <v>8.8999999999999986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6821.7090069284059</v>
      </c>
      <c r="H34" s="28">
        <f t="shared" ref="H34:Q34" si="2">(H33*H30)/0.866</f>
        <v>0</v>
      </c>
      <c r="I34" s="28">
        <f t="shared" si="2"/>
        <v>6458.7528868360287</v>
      </c>
      <c r="J34" s="28">
        <f t="shared" si="2"/>
        <v>6829.600461893765</v>
      </c>
      <c r="K34" s="28">
        <f t="shared" si="2"/>
        <v>6550.6466512702073</v>
      </c>
      <c r="L34" s="28">
        <f>(L33*L30)/0.866</f>
        <v>0</v>
      </c>
      <c r="M34" s="28">
        <f>(M33*M30)/0.866</f>
        <v>6709.7459584295621</v>
      </c>
      <c r="N34" s="28">
        <f>(N33*N30)/0.866</f>
        <v>6819.4226327944571</v>
      </c>
      <c r="O34" s="28">
        <f>(O33*O30)/0.866</f>
        <v>6897.678983833719</v>
      </c>
      <c r="P34" s="28">
        <f t="shared" si="2"/>
        <v>0</v>
      </c>
      <c r="Q34" s="28">
        <f t="shared" si="2"/>
        <v>6566.0623556581977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0.78</v>
      </c>
      <c r="H35" s="21"/>
      <c r="I35" s="21">
        <v>0.8</v>
      </c>
      <c r="J35" s="20">
        <v>0.84</v>
      </c>
      <c r="K35" s="20">
        <v>0.8</v>
      </c>
      <c r="L35" s="21"/>
      <c r="M35" s="21">
        <v>0.78</v>
      </c>
      <c r="N35" s="20">
        <v>0.81</v>
      </c>
      <c r="O35" s="20">
        <v>0.77</v>
      </c>
      <c r="P35" s="21"/>
      <c r="Q35" s="21">
        <v>0.79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/>
      <c r="G36" s="20">
        <v>34.5</v>
      </c>
      <c r="H36" s="21"/>
      <c r="I36" s="21">
        <v>35</v>
      </c>
      <c r="J36" s="20">
        <v>36.700000000000003</v>
      </c>
      <c r="K36" s="20">
        <v>34.799999999999997</v>
      </c>
      <c r="L36" s="21"/>
      <c r="M36" s="21">
        <v>34.700000000000003</v>
      </c>
      <c r="N36" s="20">
        <v>35.9</v>
      </c>
      <c r="O36" s="20">
        <v>34.1</v>
      </c>
      <c r="P36" s="21"/>
      <c r="Q36" s="21">
        <v>34.700000000000003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/>
      <c r="G37" s="20">
        <v>35.1</v>
      </c>
      <c r="H37" s="21"/>
      <c r="I37" s="21">
        <v>36</v>
      </c>
      <c r="J37" s="20">
        <v>37.5</v>
      </c>
      <c r="K37" s="20">
        <v>35.6</v>
      </c>
      <c r="L37" s="21"/>
      <c r="M37" s="21">
        <v>35.1</v>
      </c>
      <c r="N37" s="20">
        <v>36.200000000000003</v>
      </c>
      <c r="O37" s="20">
        <v>34.700000000000003</v>
      </c>
      <c r="P37" s="21"/>
      <c r="Q37" s="21">
        <v>35.5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1.7000000000000028</v>
      </c>
      <c r="H38" s="27">
        <v>1</v>
      </c>
      <c r="I38" s="27">
        <f t="shared" ref="I38:Q38" si="3">I37-I41</f>
        <v>3.2999999999999972</v>
      </c>
      <c r="J38" s="27">
        <f t="shared" si="3"/>
        <v>2.1000000000000014</v>
      </c>
      <c r="K38" s="27">
        <f t="shared" si="3"/>
        <v>2.2000000000000028</v>
      </c>
      <c r="L38" s="27">
        <f>L37-L41</f>
        <v>0</v>
      </c>
      <c r="M38" s="27">
        <f>M37-M41</f>
        <v>2.3000000000000043</v>
      </c>
      <c r="N38" s="27">
        <f>N37-N41</f>
        <v>1.5</v>
      </c>
      <c r="O38" s="27">
        <f>O37-O41</f>
        <v>1.6000000000000014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/>
      <c r="G40" s="20">
        <v>27.9</v>
      </c>
      <c r="H40" s="21"/>
      <c r="I40" s="21">
        <v>27.8</v>
      </c>
      <c r="J40" s="20">
        <v>29.8</v>
      </c>
      <c r="K40" s="20">
        <v>27.2</v>
      </c>
      <c r="L40" s="21"/>
      <c r="M40" s="21">
        <v>27.8</v>
      </c>
      <c r="N40" s="20">
        <v>29.3</v>
      </c>
      <c r="O40" s="20">
        <v>27.5</v>
      </c>
      <c r="P40" s="21"/>
      <c r="Q40" s="21">
        <v>27.6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/>
      <c r="G41" s="20">
        <v>33.4</v>
      </c>
      <c r="H41" s="21"/>
      <c r="I41" s="21">
        <v>32.700000000000003</v>
      </c>
      <c r="J41" s="20">
        <v>35.4</v>
      </c>
      <c r="K41" s="20">
        <v>33.4</v>
      </c>
      <c r="L41" s="21"/>
      <c r="M41" s="21">
        <v>32.799999999999997</v>
      </c>
      <c r="N41" s="20">
        <v>34.700000000000003</v>
      </c>
      <c r="O41" s="20">
        <v>33.1</v>
      </c>
      <c r="P41" s="21"/>
      <c r="Q41" s="21">
        <v>33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5.5</v>
      </c>
      <c r="H42" s="27">
        <f t="shared" ref="H42:Q42" si="4">H41-H40</f>
        <v>0</v>
      </c>
      <c r="I42" s="27">
        <f t="shared" si="4"/>
        <v>4.9000000000000021</v>
      </c>
      <c r="J42" s="27">
        <f t="shared" si="4"/>
        <v>5.5999999999999979</v>
      </c>
      <c r="K42" s="27">
        <f t="shared" si="4"/>
        <v>6.1999999999999993</v>
      </c>
      <c r="L42" s="27">
        <f>L41-L40</f>
        <v>0</v>
      </c>
      <c r="M42" s="27">
        <f>M41-M40</f>
        <v>4.9999999999999964</v>
      </c>
      <c r="N42" s="27">
        <f>N41-N40</f>
        <v>5.4000000000000021</v>
      </c>
      <c r="O42" s="27">
        <f>O41-O40</f>
        <v>5.6000000000000014</v>
      </c>
      <c r="P42" s="27">
        <f t="shared" si="4"/>
        <v>0</v>
      </c>
      <c r="Q42" s="27">
        <f t="shared" si="4"/>
        <v>5.3999999999999986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/>
      <c r="G43" s="20">
        <v>1295.8</v>
      </c>
      <c r="H43" s="21"/>
      <c r="I43" s="21">
        <v>1300.5999999999999</v>
      </c>
      <c r="J43" s="20">
        <v>1297.8</v>
      </c>
      <c r="K43" s="20">
        <v>1295.8</v>
      </c>
      <c r="L43" s="21"/>
      <c r="M43" s="20">
        <v>1293.0999999999999</v>
      </c>
      <c r="N43" s="20">
        <v>1299.5999999999999</v>
      </c>
      <c r="O43" s="20">
        <v>1285.4000000000001</v>
      </c>
      <c r="P43" s="21"/>
      <c r="Q43" s="21">
        <v>1296.4000000000001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8229.676674364895</v>
      </c>
      <c r="H44" s="28">
        <f t="shared" ref="H44:Q44" si="5">H42*H43/0.866</f>
        <v>0</v>
      </c>
      <c r="I44" s="28">
        <f t="shared" si="5"/>
        <v>7359.0531177829125</v>
      </c>
      <c r="J44" s="28">
        <f t="shared" si="5"/>
        <v>8392.240184757502</v>
      </c>
      <c r="K44" s="28">
        <f t="shared" si="5"/>
        <v>9277.0900692840642</v>
      </c>
      <c r="L44" s="28">
        <f>L42*L43/0.866</f>
        <v>0</v>
      </c>
      <c r="M44" s="28">
        <f>M42*M43/0.866</f>
        <v>7465.9353348729728</v>
      </c>
      <c r="N44" s="28">
        <f>N42*N43/0.866</f>
        <v>8103.7413394919195</v>
      </c>
      <c r="O44" s="28">
        <f>O42*O43/0.866</f>
        <v>8312.0554272517347</v>
      </c>
      <c r="P44" s="28">
        <f t="shared" si="5"/>
        <v>0</v>
      </c>
      <c r="Q44" s="28">
        <f t="shared" si="5"/>
        <v>8083.787528868359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0.45</v>
      </c>
      <c r="H45" s="21"/>
      <c r="I45" s="21">
        <v>0.44</v>
      </c>
      <c r="J45" s="20">
        <v>0.47</v>
      </c>
      <c r="K45" s="20">
        <v>0.45</v>
      </c>
      <c r="L45" s="21"/>
      <c r="M45" s="21">
        <v>0.45</v>
      </c>
      <c r="N45" s="20">
        <v>0.46</v>
      </c>
      <c r="O45" s="20">
        <v>0.44</v>
      </c>
      <c r="P45" s="21"/>
      <c r="Q45" s="21">
        <v>0.45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/>
      <c r="G46" s="20">
        <v>18.899999999999999</v>
      </c>
      <c r="H46" s="21"/>
      <c r="I46" s="21">
        <v>18.2</v>
      </c>
      <c r="J46" s="20">
        <v>20</v>
      </c>
      <c r="K46" s="20">
        <v>19</v>
      </c>
      <c r="L46" s="21"/>
      <c r="M46" s="21">
        <v>19.100000000000001</v>
      </c>
      <c r="N46" s="20">
        <v>19.399999999999999</v>
      </c>
      <c r="O46" s="20">
        <v>18.100000000000001</v>
      </c>
      <c r="P46" s="21"/>
      <c r="Q46" s="21">
        <v>18.899999999999999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/>
      <c r="G47" s="20">
        <v>201.7</v>
      </c>
      <c r="H47" s="21"/>
      <c r="I47" s="21">
        <v>117.8</v>
      </c>
      <c r="J47" s="20">
        <v>212.1</v>
      </c>
      <c r="K47" s="20">
        <v>200.8</v>
      </c>
      <c r="L47" s="21"/>
      <c r="M47" s="21">
        <v>206.4</v>
      </c>
      <c r="N47" s="20">
        <v>157.30000000000001</v>
      </c>
      <c r="O47" s="20">
        <v>160</v>
      </c>
      <c r="P47" s="21"/>
      <c r="Q47" s="21">
        <v>199.8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63">
        <v>5.89</v>
      </c>
      <c r="F49" s="20"/>
      <c r="G49" s="20">
        <v>6.04</v>
      </c>
      <c r="H49" s="21"/>
      <c r="I49" s="21">
        <v>5.72</v>
      </c>
      <c r="J49" s="20">
        <v>5.33</v>
      </c>
      <c r="K49" s="20">
        <v>5.9</v>
      </c>
      <c r="L49" s="21"/>
      <c r="M49" s="21">
        <v>6</v>
      </c>
      <c r="N49" s="20">
        <v>5.25</v>
      </c>
      <c r="O49" s="20">
        <v>5.68</v>
      </c>
      <c r="P49" s="21"/>
      <c r="Q49" s="21">
        <v>5.33</v>
      </c>
    </row>
    <row r="50" spans="2:17" ht="20.100000000000001" customHeight="1">
      <c r="B50" s="92" t="s">
        <v>91</v>
      </c>
      <c r="C50" s="92"/>
      <c r="D50" s="92"/>
      <c r="E50" s="63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62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M23" sqref="M23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45764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65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/>
      <c r="H11" s="21"/>
      <c r="I11" s="21"/>
      <c r="J11" s="20">
        <v>74</v>
      </c>
      <c r="K11" s="20"/>
      <c r="L11" s="21"/>
      <c r="M11" s="21"/>
      <c r="N11" s="20">
        <v>80.099999999999994</v>
      </c>
      <c r="O11" s="20"/>
      <c r="P11" s="21"/>
      <c r="Q11" s="21"/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/>
      <c r="H12" s="21"/>
      <c r="I12" s="21"/>
      <c r="J12" s="20">
        <v>0</v>
      </c>
      <c r="K12" s="20"/>
      <c r="L12" s="21"/>
      <c r="M12" s="21"/>
      <c r="N12" s="20">
        <v>0</v>
      </c>
      <c r="O12" s="20"/>
      <c r="P12" s="21"/>
      <c r="Q12" s="21"/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/>
      <c r="H13" s="21"/>
      <c r="I13" s="21"/>
      <c r="J13" s="20">
        <v>71.7</v>
      </c>
      <c r="K13" s="20"/>
      <c r="L13" s="21"/>
      <c r="M13" s="21"/>
      <c r="N13" s="20">
        <v>75.2</v>
      </c>
      <c r="O13" s="20"/>
      <c r="P13" s="21"/>
      <c r="Q13" s="21"/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/>
      <c r="H14" s="21"/>
      <c r="I14" s="21"/>
      <c r="J14" s="20">
        <v>63.9</v>
      </c>
      <c r="K14" s="20"/>
      <c r="L14" s="21"/>
      <c r="M14" s="21"/>
      <c r="N14" s="20">
        <v>75.400000000000006</v>
      </c>
      <c r="O14" s="20"/>
      <c r="P14" s="21"/>
      <c r="Q14" s="21"/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/>
      <c r="H15" s="21"/>
      <c r="I15" s="21"/>
      <c r="J15" s="20">
        <v>38.5</v>
      </c>
      <c r="K15" s="20"/>
      <c r="L15" s="21"/>
      <c r="M15" s="21"/>
      <c r="N15" s="20">
        <v>56.1</v>
      </c>
      <c r="O15" s="20"/>
      <c r="P15" s="21"/>
      <c r="Q15" s="21"/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/>
      <c r="G16" s="20"/>
      <c r="H16" s="21"/>
      <c r="I16" s="21"/>
      <c r="J16" s="20">
        <v>6.6</v>
      </c>
      <c r="K16" s="20"/>
      <c r="L16" s="21"/>
      <c r="M16" s="21"/>
      <c r="N16" s="20">
        <v>6.6</v>
      </c>
      <c r="O16" s="20"/>
      <c r="P16" s="21"/>
      <c r="Q16" s="21"/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/>
      <c r="G17" s="20"/>
      <c r="H17" s="21"/>
      <c r="I17" s="21"/>
      <c r="J17" s="20">
        <v>117</v>
      </c>
      <c r="K17" s="20"/>
      <c r="L17" s="21"/>
      <c r="M17" s="21"/>
      <c r="N17" s="20">
        <v>120.2</v>
      </c>
      <c r="O17" s="20"/>
      <c r="P17" s="21"/>
      <c r="Q17" s="21"/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/>
      <c r="G18" s="20"/>
      <c r="H18" s="21"/>
      <c r="I18" s="21"/>
      <c r="J18" s="20">
        <v>1196</v>
      </c>
      <c r="K18" s="20"/>
      <c r="L18" s="21"/>
      <c r="M18" s="21"/>
      <c r="N18" s="20">
        <v>1227</v>
      </c>
      <c r="O18" s="20"/>
      <c r="P18" s="21"/>
      <c r="Q18" s="21"/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/>
      <c r="G19" s="20"/>
      <c r="H19" s="21"/>
      <c r="I19" s="21"/>
      <c r="J19" s="20">
        <v>48899.8</v>
      </c>
      <c r="K19" s="20"/>
      <c r="L19" s="21"/>
      <c r="M19" s="21"/>
      <c r="N19" s="20">
        <v>50460.2</v>
      </c>
      <c r="O19" s="20"/>
      <c r="P19" s="21"/>
      <c r="Q19" s="21"/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/>
      <c r="G22" s="20"/>
      <c r="H22" s="21"/>
      <c r="I22" s="21"/>
      <c r="J22" s="20">
        <v>57.9</v>
      </c>
      <c r="K22" s="20"/>
      <c r="L22" s="21"/>
      <c r="M22" s="21"/>
      <c r="N22" s="20">
        <v>58.5</v>
      </c>
      <c r="O22" s="20"/>
      <c r="P22" s="21"/>
      <c r="Q22" s="21"/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/>
      <c r="G23" s="20"/>
      <c r="H23" s="21"/>
      <c r="I23" s="21"/>
      <c r="J23" s="20">
        <v>0.59</v>
      </c>
      <c r="K23" s="20"/>
      <c r="L23" s="21"/>
      <c r="M23" s="21"/>
      <c r="N23" s="20">
        <v>0.48</v>
      </c>
      <c r="O23" s="20"/>
      <c r="P23" s="21"/>
      <c r="Q23" s="21"/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/>
      <c r="G25" s="20"/>
      <c r="H25" s="21"/>
      <c r="I25" s="21"/>
      <c r="J25" s="20">
        <v>45</v>
      </c>
      <c r="K25" s="20"/>
      <c r="L25" s="21"/>
      <c r="M25" s="21"/>
      <c r="N25" s="20">
        <v>45</v>
      </c>
      <c r="O25" s="20"/>
      <c r="P25" s="21"/>
      <c r="Q25" s="21"/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/>
      <c r="G26" s="20"/>
      <c r="H26" s="21"/>
      <c r="I26" s="21"/>
      <c r="J26" s="20">
        <v>0.23</v>
      </c>
      <c r="K26" s="20"/>
      <c r="L26" s="21"/>
      <c r="M26" s="21"/>
      <c r="N26" s="20">
        <v>0.22</v>
      </c>
      <c r="O26" s="20"/>
      <c r="P26" s="21"/>
      <c r="Q26" s="21"/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/>
      <c r="G27" s="20"/>
      <c r="H27" s="21"/>
      <c r="I27" s="21"/>
      <c r="J27" s="20">
        <v>4.0999999999999996</v>
      </c>
      <c r="K27" s="20"/>
      <c r="L27" s="21"/>
      <c r="M27" s="21"/>
      <c r="N27" s="20">
        <v>4.3</v>
      </c>
      <c r="O27" s="20"/>
      <c r="P27" s="21"/>
      <c r="Q27" s="21"/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/>
      <c r="G28" s="20"/>
      <c r="H28" s="21"/>
      <c r="I28" s="21"/>
      <c r="J28" s="20">
        <v>3.2</v>
      </c>
      <c r="K28" s="20"/>
      <c r="L28" s="21"/>
      <c r="M28" s="21"/>
      <c r="N28" s="20">
        <v>3.2</v>
      </c>
      <c r="O28" s="20"/>
      <c r="P28" s="21"/>
      <c r="Q28" s="21"/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</v>
      </c>
      <c r="H29" s="27">
        <f t="shared" ref="H29:Q29" si="0">H32-H28</f>
        <v>0</v>
      </c>
      <c r="I29" s="27">
        <f t="shared" si="0"/>
        <v>0</v>
      </c>
      <c r="J29" s="27">
        <f t="shared" si="0"/>
        <v>0.79999999999999982</v>
      </c>
      <c r="K29" s="27">
        <f t="shared" si="0"/>
        <v>0</v>
      </c>
      <c r="L29" s="27">
        <f>L32-L28</f>
        <v>0</v>
      </c>
      <c r="M29" s="27">
        <f>M32-M28</f>
        <v>0</v>
      </c>
      <c r="N29" s="27">
        <f>N32-N28</f>
        <v>1.5</v>
      </c>
      <c r="O29" s="27">
        <f>O32-O28</f>
        <v>0</v>
      </c>
      <c r="P29" s="27">
        <f t="shared" si="0"/>
        <v>0</v>
      </c>
      <c r="Q29" s="27">
        <f t="shared" si="0"/>
        <v>0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/>
      <c r="G30" s="20"/>
      <c r="H30" s="21"/>
      <c r="I30" s="21"/>
      <c r="J30" s="20">
        <v>687.9</v>
      </c>
      <c r="K30" s="20"/>
      <c r="L30" s="21"/>
      <c r="M30" s="21"/>
      <c r="N30" s="20">
        <v>685.4</v>
      </c>
      <c r="O30" s="20"/>
      <c r="P30" s="21"/>
      <c r="Q30" s="21"/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/>
      <c r="G31" s="20"/>
      <c r="H31" s="21"/>
      <c r="I31" s="21"/>
      <c r="J31" s="20">
        <v>13.1</v>
      </c>
      <c r="K31" s="20"/>
      <c r="L31" s="21"/>
      <c r="M31" s="21"/>
      <c r="N31" s="20">
        <v>13.7</v>
      </c>
      <c r="O31" s="20"/>
      <c r="P31" s="21"/>
      <c r="Q31" s="21"/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/>
      <c r="G32" s="20"/>
      <c r="H32" s="21"/>
      <c r="I32" s="21"/>
      <c r="J32" s="20">
        <v>4</v>
      </c>
      <c r="K32" s="20"/>
      <c r="L32" s="21"/>
      <c r="M32" s="21"/>
      <c r="N32" s="20">
        <v>4.7</v>
      </c>
      <c r="O32" s="20"/>
      <c r="P32" s="21"/>
      <c r="Q32" s="21"/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0</v>
      </c>
      <c r="H33" s="27">
        <f t="shared" ref="H33:Q33" si="1">H31-H32</f>
        <v>0</v>
      </c>
      <c r="I33" s="27">
        <f t="shared" si="1"/>
        <v>0</v>
      </c>
      <c r="J33" s="27">
        <f t="shared" si="1"/>
        <v>9.1</v>
      </c>
      <c r="K33" s="27">
        <f t="shared" si="1"/>
        <v>0</v>
      </c>
      <c r="L33" s="27">
        <f>L31-L32</f>
        <v>0</v>
      </c>
      <c r="M33" s="27">
        <f>M31-M32</f>
        <v>0</v>
      </c>
      <c r="N33" s="27">
        <f>N31-N32</f>
        <v>9</v>
      </c>
      <c r="O33" s="27">
        <f>O31-O32</f>
        <v>0</v>
      </c>
      <c r="P33" s="27">
        <f t="shared" si="1"/>
        <v>0</v>
      </c>
      <c r="Q33" s="27">
        <f t="shared" si="1"/>
        <v>0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0</v>
      </c>
      <c r="H34" s="28">
        <f t="shared" ref="H34:Q34" si="2">(H33*H30)/0.866</f>
        <v>0</v>
      </c>
      <c r="I34" s="28">
        <f t="shared" si="2"/>
        <v>0</v>
      </c>
      <c r="J34" s="28">
        <f t="shared" si="2"/>
        <v>7228.510392609699</v>
      </c>
      <c r="K34" s="28">
        <f t="shared" si="2"/>
        <v>0</v>
      </c>
      <c r="L34" s="28">
        <f>(L33*L30)/0.866</f>
        <v>0</v>
      </c>
      <c r="M34" s="28">
        <f>(M33*M30)/0.866</f>
        <v>0</v>
      </c>
      <c r="N34" s="28">
        <f>(N33*N30)/0.866</f>
        <v>7123.0946882217086</v>
      </c>
      <c r="O34" s="28">
        <f>(O33*O30)/0.866</f>
        <v>0</v>
      </c>
      <c r="P34" s="28">
        <f t="shared" si="2"/>
        <v>0</v>
      </c>
      <c r="Q34" s="28">
        <f t="shared" si="2"/>
        <v>0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/>
      <c r="G35" s="20"/>
      <c r="H35" s="21"/>
      <c r="I35" s="21"/>
      <c r="J35" s="20">
        <v>0.82</v>
      </c>
      <c r="K35" s="20"/>
      <c r="L35" s="21"/>
      <c r="M35" s="21"/>
      <c r="N35" s="20">
        <v>0.8</v>
      </c>
      <c r="O35" s="20"/>
      <c r="P35" s="21"/>
      <c r="Q35" s="21"/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/>
      <c r="G36" s="20"/>
      <c r="H36" s="21"/>
      <c r="I36" s="21"/>
      <c r="J36" s="20">
        <v>35.799999999999997</v>
      </c>
      <c r="K36" s="20"/>
      <c r="L36" s="21"/>
      <c r="M36" s="21"/>
      <c r="N36" s="20">
        <v>34.9</v>
      </c>
      <c r="O36" s="20"/>
      <c r="P36" s="21"/>
      <c r="Q36" s="21"/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/>
      <c r="G37" s="20"/>
      <c r="H37" s="21"/>
      <c r="I37" s="21"/>
      <c r="J37" s="20">
        <v>36.6</v>
      </c>
      <c r="K37" s="20"/>
      <c r="L37" s="21"/>
      <c r="M37" s="21"/>
      <c r="N37" s="20">
        <v>35.6</v>
      </c>
      <c r="O37" s="20"/>
      <c r="P37" s="21"/>
      <c r="Q37" s="21"/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0</v>
      </c>
      <c r="H38" s="27">
        <f>H37-H41</f>
        <v>0</v>
      </c>
      <c r="I38" s="27">
        <f>I37-I41</f>
        <v>0</v>
      </c>
      <c r="J38" s="27">
        <f t="shared" ref="J38:Q38" si="3">J37-J41</f>
        <v>2.2000000000000028</v>
      </c>
      <c r="K38" s="27">
        <f t="shared" si="3"/>
        <v>0</v>
      </c>
      <c r="L38" s="27">
        <f>L37-L41</f>
        <v>0</v>
      </c>
      <c r="M38" s="27">
        <f>M37-M41</f>
        <v>0</v>
      </c>
      <c r="N38" s="27">
        <f>N37-N41</f>
        <v>1.6000000000000014</v>
      </c>
      <c r="O38" s="27">
        <f>O37-O41</f>
        <v>0</v>
      </c>
      <c r="P38" s="27">
        <f t="shared" si="3"/>
        <v>0</v>
      </c>
      <c r="Q38" s="27">
        <f t="shared" si="3"/>
        <v>0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/>
      <c r="G40" s="20"/>
      <c r="H40" s="21"/>
      <c r="I40" s="21"/>
      <c r="J40" s="20">
        <v>28.9</v>
      </c>
      <c r="K40" s="20"/>
      <c r="L40" s="21"/>
      <c r="M40" s="21"/>
      <c r="N40" s="20">
        <v>28.5</v>
      </c>
      <c r="O40" s="20"/>
      <c r="P40" s="21"/>
      <c r="Q40" s="21"/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/>
      <c r="G41" s="20"/>
      <c r="H41" s="21"/>
      <c r="I41" s="21"/>
      <c r="J41" s="20">
        <v>34.4</v>
      </c>
      <c r="K41" s="20"/>
      <c r="L41" s="21"/>
      <c r="M41" s="21"/>
      <c r="N41" s="20">
        <v>34</v>
      </c>
      <c r="O41" s="20"/>
      <c r="P41" s="21"/>
      <c r="Q41" s="21"/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0</v>
      </c>
      <c r="H42" s="27">
        <f t="shared" ref="H42:Q42" si="4">H41-H40</f>
        <v>0</v>
      </c>
      <c r="I42" s="27">
        <f t="shared" si="4"/>
        <v>0</v>
      </c>
      <c r="J42" s="27">
        <f t="shared" si="4"/>
        <v>5.5</v>
      </c>
      <c r="K42" s="27">
        <f t="shared" si="4"/>
        <v>0</v>
      </c>
      <c r="L42" s="27">
        <f>L41-L40</f>
        <v>0</v>
      </c>
      <c r="M42" s="27">
        <f>M41-M40</f>
        <v>0</v>
      </c>
      <c r="N42" s="27">
        <f>N41-N40</f>
        <v>5.5</v>
      </c>
      <c r="O42" s="27">
        <f>O41-O40</f>
        <v>0</v>
      </c>
      <c r="P42" s="27">
        <f t="shared" si="4"/>
        <v>0</v>
      </c>
      <c r="Q42" s="27">
        <f t="shared" si="4"/>
        <v>0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/>
      <c r="G43" s="20"/>
      <c r="H43" s="21"/>
      <c r="I43" s="21"/>
      <c r="J43" s="20">
        <v>1297.9000000000001</v>
      </c>
      <c r="K43" s="20"/>
      <c r="L43" s="21"/>
      <c r="M43" s="20"/>
      <c r="N43" s="20">
        <v>1309.7</v>
      </c>
      <c r="O43" s="20"/>
      <c r="P43" s="21"/>
      <c r="Q43" s="21"/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0</v>
      </c>
      <c r="H44" s="28">
        <f t="shared" ref="H44:Q44" si="5">H42*H43/0.866</f>
        <v>0</v>
      </c>
      <c r="I44" s="28">
        <f t="shared" si="5"/>
        <v>0</v>
      </c>
      <c r="J44" s="28">
        <f t="shared" si="5"/>
        <v>8243.0138568129332</v>
      </c>
      <c r="K44" s="28">
        <f t="shared" si="5"/>
        <v>0</v>
      </c>
      <c r="L44" s="28">
        <f>L42*L43/0.866</f>
        <v>0</v>
      </c>
      <c r="M44" s="28">
        <f>M42*M43/0.866</f>
        <v>0</v>
      </c>
      <c r="N44" s="28">
        <f>N42*N43/0.866</f>
        <v>8317.9561200923799</v>
      </c>
      <c r="O44" s="28">
        <f>O42*O43/0.866</f>
        <v>0</v>
      </c>
      <c r="P44" s="28">
        <f t="shared" si="5"/>
        <v>0</v>
      </c>
      <c r="Q44" s="28">
        <f t="shared" si="5"/>
        <v>0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/>
      <c r="G45" s="20"/>
      <c r="H45" s="21"/>
      <c r="I45" s="21"/>
      <c r="J45" s="20">
        <v>0.45</v>
      </c>
      <c r="K45" s="20"/>
      <c r="L45" s="21"/>
      <c r="M45" s="21"/>
      <c r="N45" s="20">
        <v>0.45</v>
      </c>
      <c r="O45" s="20"/>
      <c r="P45" s="21"/>
      <c r="Q45" s="21"/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/>
      <c r="G46" s="20"/>
      <c r="H46" s="21"/>
      <c r="I46" s="21"/>
      <c r="J46" s="20">
        <v>19.2</v>
      </c>
      <c r="K46" s="20"/>
      <c r="L46" s="21"/>
      <c r="M46" s="21"/>
      <c r="N46" s="20">
        <v>19</v>
      </c>
      <c r="O46" s="20"/>
      <c r="P46" s="21"/>
      <c r="Q46" s="21"/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/>
      <c r="G47" s="20"/>
      <c r="H47" s="21"/>
      <c r="I47" s="21"/>
      <c r="J47" s="20">
        <v>204.3</v>
      </c>
      <c r="K47" s="20"/>
      <c r="L47" s="21"/>
      <c r="M47" s="21"/>
      <c r="N47" s="20">
        <v>163.4</v>
      </c>
      <c r="O47" s="20"/>
      <c r="P47" s="21"/>
      <c r="Q47" s="21"/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65">
        <v>5.89</v>
      </c>
      <c r="F49" s="20"/>
      <c r="G49" s="20"/>
      <c r="H49" s="21"/>
      <c r="I49" s="21"/>
      <c r="J49" s="20">
        <v>5.6</v>
      </c>
      <c r="K49" s="20"/>
      <c r="L49" s="21"/>
      <c r="M49" s="21"/>
      <c r="N49" s="20">
        <v>5.42</v>
      </c>
      <c r="O49" s="20"/>
      <c r="P49" s="21"/>
      <c r="Q49" s="21"/>
    </row>
    <row r="50" spans="2:17" ht="20.100000000000001" customHeight="1">
      <c r="B50" s="92" t="s">
        <v>91</v>
      </c>
      <c r="C50" s="92"/>
      <c r="D50" s="92"/>
      <c r="E50" s="65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64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H28" sqref="H28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45765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67" t="s">
        <v>18</v>
      </c>
      <c r="E10" s="15"/>
      <c r="F10" s="16"/>
      <c r="G10" s="17" t="s">
        <v>19</v>
      </c>
      <c r="H10" s="18"/>
      <c r="I10" s="18" t="s">
        <v>19</v>
      </c>
      <c r="J10" s="17"/>
      <c r="K10" s="17" t="s">
        <v>19</v>
      </c>
      <c r="L10" s="18"/>
      <c r="M10" s="18" t="s">
        <v>19</v>
      </c>
      <c r="N10" s="16"/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72.2</v>
      </c>
      <c r="G11" s="20">
        <v>71</v>
      </c>
      <c r="H11" s="21"/>
      <c r="I11" s="21">
        <v>80.8</v>
      </c>
      <c r="J11" s="20"/>
      <c r="K11" s="20">
        <v>74.599999999999994</v>
      </c>
      <c r="L11" s="21">
        <v>72.3</v>
      </c>
      <c r="M11" s="21">
        <v>71.7</v>
      </c>
      <c r="N11" s="20"/>
      <c r="O11" s="20">
        <v>76.599999999999994</v>
      </c>
      <c r="P11" s="21"/>
      <c r="Q11" s="21">
        <v>72.5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0.6</v>
      </c>
      <c r="G12" s="20">
        <v>0.5</v>
      </c>
      <c r="H12" s="21"/>
      <c r="I12" s="21">
        <v>0</v>
      </c>
      <c r="J12" s="20"/>
      <c r="K12" s="20">
        <v>0</v>
      </c>
      <c r="L12" s="21">
        <v>0.1</v>
      </c>
      <c r="M12" s="21">
        <v>0</v>
      </c>
      <c r="N12" s="20"/>
      <c r="O12" s="20">
        <v>0.2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67</v>
      </c>
      <c r="G13" s="20">
        <v>65.2</v>
      </c>
      <c r="H13" s="21"/>
      <c r="I13" s="21">
        <v>76.099999999999994</v>
      </c>
      <c r="J13" s="20"/>
      <c r="K13" s="20">
        <v>70.2</v>
      </c>
      <c r="L13" s="21">
        <v>69.599999999999994</v>
      </c>
      <c r="M13" s="21">
        <v>69.2</v>
      </c>
      <c r="N13" s="20"/>
      <c r="O13" s="20">
        <v>71.599999999999994</v>
      </c>
      <c r="P13" s="21"/>
      <c r="Q13" s="21">
        <v>66.599999999999994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68.8</v>
      </c>
      <c r="G14" s="20">
        <v>67.5</v>
      </c>
      <c r="H14" s="21"/>
      <c r="I14" s="21">
        <v>68.8</v>
      </c>
      <c r="J14" s="20"/>
      <c r="K14" s="20">
        <v>64.8</v>
      </c>
      <c r="L14" s="21">
        <v>66.099999999999994</v>
      </c>
      <c r="M14" s="21">
        <v>65.8</v>
      </c>
      <c r="N14" s="20"/>
      <c r="O14" s="20">
        <v>72.099999999999994</v>
      </c>
      <c r="P14" s="21"/>
      <c r="Q14" s="21">
        <v>74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40.799999999999997</v>
      </c>
      <c r="G15" s="20">
        <v>37.9</v>
      </c>
      <c r="H15" s="21"/>
      <c r="I15" s="21">
        <v>53.1</v>
      </c>
      <c r="J15" s="20"/>
      <c r="K15" s="20">
        <v>37.4</v>
      </c>
      <c r="L15" s="21">
        <v>34.6</v>
      </c>
      <c r="M15" s="21">
        <v>33.4</v>
      </c>
      <c r="N15" s="20"/>
      <c r="O15" s="20">
        <v>56.1</v>
      </c>
      <c r="P15" s="21"/>
      <c r="Q15" s="21">
        <v>44.1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0"/>
      <c r="I16" s="20">
        <v>6.6</v>
      </c>
      <c r="J16" s="20"/>
      <c r="K16" s="20">
        <v>6.6</v>
      </c>
      <c r="L16" s="20">
        <v>6.6</v>
      </c>
      <c r="M16" s="20">
        <v>6.6</v>
      </c>
      <c r="N16" s="20"/>
      <c r="O16" s="20">
        <v>6.6</v>
      </c>
      <c r="P16" s="20"/>
      <c r="Q16" s="20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>
        <v>118.4</v>
      </c>
      <c r="G17" s="20">
        <v>117.8</v>
      </c>
      <c r="H17" s="21"/>
      <c r="I17" s="21">
        <v>117.8</v>
      </c>
      <c r="J17" s="20"/>
      <c r="K17" s="20">
        <v>116.9</v>
      </c>
      <c r="L17" s="21">
        <v>114.2</v>
      </c>
      <c r="M17" s="21">
        <v>113.2</v>
      </c>
      <c r="N17" s="20"/>
      <c r="O17" s="20">
        <v>119.1</v>
      </c>
      <c r="P17" s="21"/>
      <c r="Q17" s="21">
        <v>117.2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>
        <v>1166</v>
      </c>
      <c r="G18" s="20">
        <v>1142</v>
      </c>
      <c r="H18" s="21"/>
      <c r="I18" s="21">
        <v>1186</v>
      </c>
      <c r="J18" s="20"/>
      <c r="K18" s="20">
        <v>1182</v>
      </c>
      <c r="L18" s="21">
        <v>1166</v>
      </c>
      <c r="M18" s="21">
        <v>1144</v>
      </c>
      <c r="N18" s="20"/>
      <c r="O18" s="20">
        <v>1200</v>
      </c>
      <c r="P18" s="21"/>
      <c r="Q18" s="21">
        <v>1178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>
        <v>49966.9</v>
      </c>
      <c r="G19" s="20">
        <v>49955.7</v>
      </c>
      <c r="H19" s="21"/>
      <c r="I19" s="21">
        <v>51157.8</v>
      </c>
      <c r="J19" s="20"/>
      <c r="K19" s="20">
        <v>48911.8</v>
      </c>
      <c r="L19" s="21">
        <v>51290.7</v>
      </c>
      <c r="M19" s="21">
        <v>51279.5</v>
      </c>
      <c r="N19" s="20"/>
      <c r="O19" s="20">
        <v>50467.4</v>
      </c>
      <c r="P19" s="21"/>
      <c r="Q19" s="21">
        <v>50528.1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>
        <v>58.8</v>
      </c>
      <c r="G22" s="20">
        <v>58.6</v>
      </c>
      <c r="H22" s="21"/>
      <c r="I22" s="21">
        <v>59.2</v>
      </c>
      <c r="J22" s="20"/>
      <c r="K22" s="20">
        <v>57.9</v>
      </c>
      <c r="L22" s="21">
        <v>57.2</v>
      </c>
      <c r="M22" s="21">
        <v>57.2</v>
      </c>
      <c r="N22" s="20"/>
      <c r="O22" s="20">
        <v>58.8</v>
      </c>
      <c r="P22" s="21"/>
      <c r="Q22" s="21">
        <v>59.8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>
        <v>0.53</v>
      </c>
      <c r="G23" s="20">
        <v>0.52</v>
      </c>
      <c r="H23" s="21"/>
      <c r="I23" s="21">
        <v>0.49</v>
      </c>
      <c r="J23" s="20"/>
      <c r="K23" s="20">
        <v>0.57999999999999996</v>
      </c>
      <c r="L23" s="21">
        <v>0.52</v>
      </c>
      <c r="M23" s="21">
        <v>0.52</v>
      </c>
      <c r="N23" s="20"/>
      <c r="O23" s="20">
        <v>0.47</v>
      </c>
      <c r="P23" s="21"/>
      <c r="Q23" s="21">
        <v>0.49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>
        <v>44.9</v>
      </c>
      <c r="G25" s="20">
        <v>44.9</v>
      </c>
      <c r="H25" s="21"/>
      <c r="I25" s="21">
        <v>45</v>
      </c>
      <c r="J25" s="20"/>
      <c r="K25" s="20">
        <v>45</v>
      </c>
      <c r="L25" s="21">
        <v>45</v>
      </c>
      <c r="M25" s="21">
        <v>45.1</v>
      </c>
      <c r="N25" s="20"/>
      <c r="O25" s="20">
        <v>44.9</v>
      </c>
      <c r="P25" s="21"/>
      <c r="Q25" s="21">
        <v>45.3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0.23</v>
      </c>
      <c r="H26" s="21"/>
      <c r="I26" s="21">
        <v>0.21</v>
      </c>
      <c r="J26" s="20"/>
      <c r="K26" s="20">
        <v>0.22</v>
      </c>
      <c r="L26" s="21">
        <v>0.22</v>
      </c>
      <c r="M26" s="21">
        <v>0.21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>
        <v>4.4000000000000004</v>
      </c>
      <c r="G27" s="20">
        <v>4.3</v>
      </c>
      <c r="H27" s="21"/>
      <c r="I27" s="21">
        <v>3.2</v>
      </c>
      <c r="J27" s="20"/>
      <c r="K27" s="20">
        <v>4</v>
      </c>
      <c r="L27" s="21">
        <v>3.5</v>
      </c>
      <c r="M27" s="21">
        <v>3.5</v>
      </c>
      <c r="N27" s="20"/>
      <c r="O27" s="20">
        <v>4.3</v>
      </c>
      <c r="P27" s="21"/>
      <c r="Q27" s="21">
        <v>4.7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>
        <v>4</v>
      </c>
      <c r="G28" s="20">
        <v>3.8</v>
      </c>
      <c r="H28" s="21"/>
      <c r="I28" s="21">
        <v>2.4</v>
      </c>
      <c r="J28" s="20"/>
      <c r="K28" s="20">
        <v>3.2</v>
      </c>
      <c r="L28" s="21">
        <v>2.5</v>
      </c>
      <c r="M28" s="21">
        <v>2.4</v>
      </c>
      <c r="N28" s="20"/>
      <c r="O28" s="20">
        <v>3.2</v>
      </c>
      <c r="P28" s="21"/>
      <c r="Q28" s="21">
        <v>3.8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1</v>
      </c>
      <c r="G29" s="27">
        <f>G32-G28</f>
        <v>1</v>
      </c>
      <c r="H29" s="27">
        <f t="shared" ref="H29:Q29" si="0">H32-H28</f>
        <v>0</v>
      </c>
      <c r="I29" s="27">
        <f t="shared" si="0"/>
        <v>2.3000000000000003</v>
      </c>
      <c r="J29" s="27">
        <f t="shared" si="0"/>
        <v>0</v>
      </c>
      <c r="K29" s="27">
        <f t="shared" si="0"/>
        <v>0.79999999999999982</v>
      </c>
      <c r="L29" s="27">
        <f>L32-L28</f>
        <v>1.2999999999999998</v>
      </c>
      <c r="M29" s="27">
        <f>M32-M28</f>
        <v>1.2000000000000002</v>
      </c>
      <c r="N29" s="27">
        <f>N32-N28</f>
        <v>0</v>
      </c>
      <c r="O29" s="27">
        <f>O32-O28</f>
        <v>1.2999999999999998</v>
      </c>
      <c r="P29" s="27">
        <f t="shared" si="0"/>
        <v>0</v>
      </c>
      <c r="Q29" s="27">
        <f t="shared" si="0"/>
        <v>1.1000000000000005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>
        <v>667.7</v>
      </c>
      <c r="G30" s="20">
        <v>678.9</v>
      </c>
      <c r="H30" s="21"/>
      <c r="I30" s="21">
        <v>656.8</v>
      </c>
      <c r="J30" s="20"/>
      <c r="K30" s="20">
        <v>636.20000000000005</v>
      </c>
      <c r="L30" s="21">
        <v>632.5</v>
      </c>
      <c r="M30" s="21">
        <v>636.1</v>
      </c>
      <c r="N30" s="20"/>
      <c r="O30" s="20">
        <v>663.2</v>
      </c>
      <c r="P30" s="21"/>
      <c r="Q30" s="21">
        <v>651.5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>
        <v>14</v>
      </c>
      <c r="G31" s="20">
        <v>13.4</v>
      </c>
      <c r="H31" s="21"/>
      <c r="I31" s="21">
        <v>13.4</v>
      </c>
      <c r="J31" s="20"/>
      <c r="K31" s="20">
        <v>13.1</v>
      </c>
      <c r="L31" s="21">
        <v>13</v>
      </c>
      <c r="M31" s="21">
        <v>12.7</v>
      </c>
      <c r="N31" s="20"/>
      <c r="O31" s="20">
        <v>13.3</v>
      </c>
      <c r="P31" s="21"/>
      <c r="Q31" s="21">
        <v>13.3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>
        <v>5</v>
      </c>
      <c r="G32" s="20">
        <v>4.8</v>
      </c>
      <c r="H32" s="21"/>
      <c r="I32" s="21">
        <v>4.7</v>
      </c>
      <c r="J32" s="20"/>
      <c r="K32" s="20">
        <v>4</v>
      </c>
      <c r="L32" s="21">
        <v>3.8</v>
      </c>
      <c r="M32" s="21">
        <v>3.6</v>
      </c>
      <c r="N32" s="20"/>
      <c r="O32" s="20">
        <v>4.5</v>
      </c>
      <c r="P32" s="21"/>
      <c r="Q32" s="21">
        <v>4.9000000000000004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9</v>
      </c>
      <c r="G33" s="27">
        <f>G31-G32</f>
        <v>8.6000000000000014</v>
      </c>
      <c r="H33" s="27">
        <f t="shared" ref="H33:Q33" si="1">H31-H32</f>
        <v>0</v>
      </c>
      <c r="I33" s="27">
        <f t="shared" si="1"/>
        <v>8.6999999999999993</v>
      </c>
      <c r="J33" s="27">
        <f t="shared" si="1"/>
        <v>0</v>
      </c>
      <c r="K33" s="27">
        <f t="shared" si="1"/>
        <v>9.1</v>
      </c>
      <c r="L33" s="27">
        <f>L31-L32</f>
        <v>9.1999999999999993</v>
      </c>
      <c r="M33" s="27">
        <f>M31-M32</f>
        <v>9.1</v>
      </c>
      <c r="N33" s="27">
        <f>N31-N32</f>
        <v>0</v>
      </c>
      <c r="O33" s="27">
        <f>O31-O32</f>
        <v>8.8000000000000007</v>
      </c>
      <c r="P33" s="27">
        <f t="shared" si="1"/>
        <v>0</v>
      </c>
      <c r="Q33" s="27">
        <f t="shared" si="1"/>
        <v>8.4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6939.1454965357971</v>
      </c>
      <c r="G34" s="28">
        <f>(G33*G30)/0.866</f>
        <v>6741.9630484988465</v>
      </c>
      <c r="H34" s="28">
        <f t="shared" ref="H34:Q34" si="2">(H33*H30)/0.866</f>
        <v>0</v>
      </c>
      <c r="I34" s="28">
        <f t="shared" si="2"/>
        <v>6598.3371824480355</v>
      </c>
      <c r="J34" s="28">
        <f t="shared" si="2"/>
        <v>0</v>
      </c>
      <c r="K34" s="28">
        <f t="shared" si="2"/>
        <v>6685.2424942263278</v>
      </c>
      <c r="L34" s="28">
        <f>(L33*L30)/0.866</f>
        <v>6719.3995381062359</v>
      </c>
      <c r="M34" s="28">
        <f>(M33*M30)/0.866</f>
        <v>6684.1916859122402</v>
      </c>
      <c r="N34" s="28">
        <f>(N33*N30)/0.866</f>
        <v>0</v>
      </c>
      <c r="O34" s="28">
        <f>(O33*O30)/0.866</f>
        <v>6739.2147806004632</v>
      </c>
      <c r="P34" s="28">
        <f t="shared" si="2"/>
        <v>0</v>
      </c>
      <c r="Q34" s="28">
        <f t="shared" si="2"/>
        <v>6319.3995381062359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>
        <v>0.81</v>
      </c>
      <c r="G35" s="20">
        <v>0.81</v>
      </c>
      <c r="H35" s="21"/>
      <c r="I35" s="21">
        <v>0.83</v>
      </c>
      <c r="J35" s="20"/>
      <c r="K35" s="20">
        <v>0.82</v>
      </c>
      <c r="L35" s="21">
        <v>0.81</v>
      </c>
      <c r="M35" s="21">
        <v>0.81</v>
      </c>
      <c r="N35" s="20"/>
      <c r="O35" s="20">
        <v>0.81</v>
      </c>
      <c r="P35" s="21"/>
      <c r="Q35" s="21">
        <v>0.82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>
        <v>35.700000000000003</v>
      </c>
      <c r="G36" s="20">
        <v>35.6</v>
      </c>
      <c r="H36" s="21"/>
      <c r="I36" s="21">
        <v>36.1</v>
      </c>
      <c r="J36" s="20"/>
      <c r="K36" s="20">
        <v>35.9</v>
      </c>
      <c r="L36" s="21">
        <v>35.799999999999997</v>
      </c>
      <c r="M36" s="21">
        <v>35.799999999999997</v>
      </c>
      <c r="N36" s="20"/>
      <c r="O36" s="20">
        <v>35.1</v>
      </c>
      <c r="P36" s="21"/>
      <c r="Q36" s="21">
        <v>35.700000000000003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>
        <v>36.200000000000003</v>
      </c>
      <c r="G37" s="20">
        <v>36.1</v>
      </c>
      <c r="H37" s="21"/>
      <c r="I37" s="21">
        <v>37</v>
      </c>
      <c r="J37" s="20"/>
      <c r="K37" s="20">
        <v>36.6</v>
      </c>
      <c r="L37" s="21">
        <v>36.299999999999997</v>
      </c>
      <c r="M37" s="21">
        <v>36.1</v>
      </c>
      <c r="N37" s="20"/>
      <c r="O37" s="20">
        <v>35.700000000000003</v>
      </c>
      <c r="P37" s="21"/>
      <c r="Q37" s="21">
        <v>36.5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1.7000000000000028</v>
      </c>
      <c r="G38" s="27">
        <f>G37-G41</f>
        <v>1.6000000000000014</v>
      </c>
      <c r="H38" s="27">
        <v>1</v>
      </c>
      <c r="I38" s="27">
        <f t="shared" ref="I38:Q38" si="3">I37-I41</f>
        <v>3.2000000000000028</v>
      </c>
      <c r="J38" s="27">
        <f t="shared" si="3"/>
        <v>0</v>
      </c>
      <c r="K38" s="27">
        <f t="shared" si="3"/>
        <v>2.1000000000000014</v>
      </c>
      <c r="L38" s="27">
        <f>L37-L41</f>
        <v>2.2999999999999972</v>
      </c>
      <c r="M38" s="27">
        <f>M37-M41</f>
        <v>2.2000000000000028</v>
      </c>
      <c r="N38" s="27">
        <f>N37-N41</f>
        <v>0</v>
      </c>
      <c r="O38" s="27">
        <f>O37-O41</f>
        <v>1.5</v>
      </c>
      <c r="P38" s="27">
        <f t="shared" si="3"/>
        <v>0</v>
      </c>
      <c r="Q38" s="27">
        <f t="shared" si="3"/>
        <v>2.3999999999999986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>
        <v>29</v>
      </c>
      <c r="G40" s="20">
        <v>28</v>
      </c>
      <c r="H40" s="21"/>
      <c r="I40" s="21">
        <v>28.9</v>
      </c>
      <c r="J40" s="20"/>
      <c r="K40" s="20">
        <v>29.1</v>
      </c>
      <c r="L40" s="21">
        <v>29</v>
      </c>
      <c r="M40" s="21">
        <v>29</v>
      </c>
      <c r="N40" s="20"/>
      <c r="O40" s="20">
        <v>28.7</v>
      </c>
      <c r="P40" s="21"/>
      <c r="Q40" s="21">
        <v>28.6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>
        <v>34.5</v>
      </c>
      <c r="G41" s="20">
        <v>34.5</v>
      </c>
      <c r="H41" s="21"/>
      <c r="I41" s="21">
        <v>33.799999999999997</v>
      </c>
      <c r="J41" s="20"/>
      <c r="K41" s="20">
        <v>34.5</v>
      </c>
      <c r="L41" s="21">
        <v>34</v>
      </c>
      <c r="M41" s="21">
        <v>33.9</v>
      </c>
      <c r="N41" s="20"/>
      <c r="O41" s="20">
        <v>34.200000000000003</v>
      </c>
      <c r="P41" s="21"/>
      <c r="Q41" s="21">
        <v>34.1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5.5</v>
      </c>
      <c r="G42" s="27">
        <f>G41-G40</f>
        <v>6.5</v>
      </c>
      <c r="H42" s="27">
        <f t="shared" ref="H42:Q42" si="4">H41-H40</f>
        <v>0</v>
      </c>
      <c r="I42" s="27">
        <f t="shared" si="4"/>
        <v>4.8999999999999986</v>
      </c>
      <c r="J42" s="27">
        <f t="shared" si="4"/>
        <v>0</v>
      </c>
      <c r="K42" s="27">
        <f t="shared" si="4"/>
        <v>5.3999999999999986</v>
      </c>
      <c r="L42" s="27">
        <f>L41-L40</f>
        <v>5</v>
      </c>
      <c r="M42" s="27">
        <f>M41-M40</f>
        <v>4.8999999999999986</v>
      </c>
      <c r="N42" s="27">
        <f>N41-N40</f>
        <v>0</v>
      </c>
      <c r="O42" s="27">
        <f>O41-O40</f>
        <v>5.5000000000000036</v>
      </c>
      <c r="P42" s="27">
        <f t="shared" si="4"/>
        <v>0</v>
      </c>
      <c r="Q42" s="27">
        <f t="shared" si="4"/>
        <v>5.5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>
        <v>1292.0999999999999</v>
      </c>
      <c r="G43" s="20">
        <v>1299.3</v>
      </c>
      <c r="H43" s="21"/>
      <c r="I43" s="21">
        <v>1301.9000000000001</v>
      </c>
      <c r="J43" s="20"/>
      <c r="K43" s="20">
        <v>1298.3</v>
      </c>
      <c r="L43" s="21">
        <v>1306</v>
      </c>
      <c r="M43" s="20">
        <v>1299.7</v>
      </c>
      <c r="N43" s="20"/>
      <c r="O43" s="20">
        <v>1288.5</v>
      </c>
      <c r="P43" s="21"/>
      <c r="Q43" s="21">
        <v>1301.0999999999999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8206.1778290993061</v>
      </c>
      <c r="G44" s="28">
        <f>G42*G43/0.866</f>
        <v>9752.2517321016148</v>
      </c>
      <c r="H44" s="28">
        <f t="shared" ref="H44:Q44" si="5">H42*H43/0.866</f>
        <v>0</v>
      </c>
      <c r="I44" s="28">
        <f t="shared" si="5"/>
        <v>7366.4087759815229</v>
      </c>
      <c r="J44" s="28">
        <f t="shared" si="5"/>
        <v>0</v>
      </c>
      <c r="K44" s="28">
        <f t="shared" si="5"/>
        <v>8095.6351039260944</v>
      </c>
      <c r="L44" s="28">
        <f>L42*L43/0.866</f>
        <v>7540.4157043879904</v>
      </c>
      <c r="M44" s="28">
        <f>M42*M43/0.866</f>
        <v>7353.9607390300207</v>
      </c>
      <c r="N44" s="28">
        <f>N42*N43/0.866</f>
        <v>0</v>
      </c>
      <c r="O44" s="28">
        <f>O42*O43/0.866</f>
        <v>8183.3140877598207</v>
      </c>
      <c r="P44" s="28">
        <f t="shared" si="5"/>
        <v>0</v>
      </c>
      <c r="Q44" s="28">
        <f t="shared" si="5"/>
        <v>8263.3371824480364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>
        <v>0.46</v>
      </c>
      <c r="G45" s="20">
        <v>0.46</v>
      </c>
      <c r="H45" s="21"/>
      <c r="I45" s="21">
        <v>0.45</v>
      </c>
      <c r="J45" s="20"/>
      <c r="K45" s="20">
        <v>0.46</v>
      </c>
      <c r="L45" s="21">
        <v>0.45</v>
      </c>
      <c r="M45" s="21">
        <v>0.45</v>
      </c>
      <c r="N45" s="20"/>
      <c r="O45" s="20">
        <v>0.45</v>
      </c>
      <c r="P45" s="21"/>
      <c r="Q45" s="21">
        <v>0.47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>
        <v>19.8</v>
      </c>
      <c r="G46" s="20">
        <v>19.7</v>
      </c>
      <c r="H46" s="21"/>
      <c r="I46" s="21">
        <v>19</v>
      </c>
      <c r="J46" s="20"/>
      <c r="K46" s="20">
        <v>19.399999999999999</v>
      </c>
      <c r="L46" s="21">
        <v>19.3</v>
      </c>
      <c r="M46" s="21">
        <v>19.2</v>
      </c>
      <c r="N46" s="20"/>
      <c r="O46" s="20">
        <v>18.899999999999999</v>
      </c>
      <c r="P46" s="21"/>
      <c r="Q46" s="21">
        <v>20.100000000000001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>
        <v>205.5</v>
      </c>
      <c r="G47" s="20">
        <v>209.9</v>
      </c>
      <c r="H47" s="21"/>
      <c r="I47" s="21">
        <v>122.5</v>
      </c>
      <c r="J47" s="20"/>
      <c r="K47" s="20">
        <v>204</v>
      </c>
      <c r="L47" s="21">
        <v>206</v>
      </c>
      <c r="M47" s="21">
        <v>206.9</v>
      </c>
      <c r="N47" s="20"/>
      <c r="O47" s="20">
        <v>161.80000000000001</v>
      </c>
      <c r="P47" s="21"/>
      <c r="Q47" s="21">
        <v>199.7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67">
        <v>5.89</v>
      </c>
      <c r="F49" s="20">
        <v>5.72</v>
      </c>
      <c r="G49" s="20">
        <v>5.59</v>
      </c>
      <c r="H49" s="21"/>
      <c r="I49" s="21">
        <v>5.45</v>
      </c>
      <c r="J49" s="20"/>
      <c r="K49" s="20">
        <v>5.7</v>
      </c>
      <c r="L49" s="21">
        <v>5.78</v>
      </c>
      <c r="M49" s="21">
        <v>5.93</v>
      </c>
      <c r="N49" s="20"/>
      <c r="O49" s="20">
        <v>5.42</v>
      </c>
      <c r="P49" s="21"/>
      <c r="Q49" s="21">
        <v>5.28</v>
      </c>
    </row>
    <row r="50" spans="2:17" ht="20.100000000000001" customHeight="1">
      <c r="B50" s="92" t="s">
        <v>91</v>
      </c>
      <c r="C50" s="92"/>
      <c r="D50" s="92"/>
      <c r="E50" s="67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66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P26" sqref="P26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45766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69" t="s">
        <v>18</v>
      </c>
      <c r="E10" s="15"/>
      <c r="F10" s="16"/>
      <c r="G10" s="17" t="s">
        <v>19</v>
      </c>
      <c r="H10" s="18"/>
      <c r="I10" s="18" t="s">
        <v>19</v>
      </c>
      <c r="J10" s="17"/>
      <c r="K10" s="17" t="s">
        <v>19</v>
      </c>
      <c r="L10" s="18"/>
      <c r="M10" s="18" t="s">
        <v>19</v>
      </c>
      <c r="N10" s="16"/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70.099999999999994</v>
      </c>
      <c r="H11" s="21"/>
      <c r="I11" s="21">
        <v>79.5</v>
      </c>
      <c r="J11" s="20"/>
      <c r="K11" s="20">
        <v>74.599999999999994</v>
      </c>
      <c r="L11" s="21"/>
      <c r="M11" s="21">
        <v>75.599999999999994</v>
      </c>
      <c r="N11" s="20"/>
      <c r="O11" s="20">
        <v>77.099999999999994</v>
      </c>
      <c r="P11" s="21"/>
      <c r="Q11" s="21">
        <v>74.3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0.6</v>
      </c>
      <c r="H12" s="21"/>
      <c r="I12" s="21">
        <v>0</v>
      </c>
      <c r="J12" s="20"/>
      <c r="K12" s="20">
        <v>0</v>
      </c>
      <c r="L12" s="21"/>
      <c r="M12" s="21">
        <v>0.1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63.4</v>
      </c>
      <c r="H13" s="21"/>
      <c r="I13" s="21">
        <v>76</v>
      </c>
      <c r="J13" s="20"/>
      <c r="K13" s="20">
        <v>70.099999999999994</v>
      </c>
      <c r="L13" s="21"/>
      <c r="M13" s="21">
        <v>70.8</v>
      </c>
      <c r="N13" s="20"/>
      <c r="O13" s="20">
        <v>72.7</v>
      </c>
      <c r="P13" s="21"/>
      <c r="Q13" s="21">
        <v>69.7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69.8</v>
      </c>
      <c r="H14" s="21"/>
      <c r="I14" s="21">
        <v>70.3</v>
      </c>
      <c r="J14" s="20"/>
      <c r="K14" s="20">
        <v>63.6</v>
      </c>
      <c r="L14" s="21"/>
      <c r="M14" s="21">
        <v>65.900000000000006</v>
      </c>
      <c r="N14" s="20"/>
      <c r="O14" s="20">
        <v>74.7</v>
      </c>
      <c r="P14" s="21"/>
      <c r="Q14" s="21">
        <v>73.5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36.799999999999997</v>
      </c>
      <c r="H15" s="21"/>
      <c r="I15" s="21">
        <v>53.1</v>
      </c>
      <c r="J15" s="20"/>
      <c r="K15" s="20">
        <v>38.5</v>
      </c>
      <c r="L15" s="21"/>
      <c r="M15" s="21">
        <v>34.6</v>
      </c>
      <c r="N15" s="20"/>
      <c r="O15" s="20">
        <v>63.3</v>
      </c>
      <c r="P15" s="21"/>
      <c r="Q15" s="21">
        <v>45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/>
      <c r="K16" s="20">
        <v>6.6</v>
      </c>
      <c r="L16" s="21"/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/>
      <c r="G17" s="20">
        <v>116</v>
      </c>
      <c r="H17" s="21"/>
      <c r="I17" s="21">
        <v>117.8</v>
      </c>
      <c r="J17" s="20"/>
      <c r="K17" s="20">
        <v>116.5</v>
      </c>
      <c r="L17" s="21"/>
      <c r="M17" s="21">
        <v>116.8</v>
      </c>
      <c r="N17" s="20"/>
      <c r="O17" s="20">
        <v>119.7</v>
      </c>
      <c r="P17" s="21"/>
      <c r="Q17" s="21">
        <v>118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/>
      <c r="G18" s="20">
        <v>1142</v>
      </c>
      <c r="H18" s="21"/>
      <c r="I18" s="21">
        <v>1186</v>
      </c>
      <c r="J18" s="20"/>
      <c r="K18" s="20">
        <v>1187</v>
      </c>
      <c r="L18" s="21"/>
      <c r="M18" s="21">
        <v>1185</v>
      </c>
      <c r="N18" s="20"/>
      <c r="O18" s="20">
        <v>1209</v>
      </c>
      <c r="P18" s="21"/>
      <c r="Q18" s="21">
        <v>1192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49976.1</v>
      </c>
      <c r="H19" s="21"/>
      <c r="I19" s="21">
        <v>51167.5</v>
      </c>
      <c r="J19" s="20"/>
      <c r="K19" s="20">
        <v>48921.599999999999</v>
      </c>
      <c r="L19" s="21"/>
      <c r="M19" s="21">
        <v>51301.5</v>
      </c>
      <c r="N19" s="20"/>
      <c r="O19" s="20">
        <v>50477.2</v>
      </c>
      <c r="P19" s="21"/>
      <c r="Q19" s="21">
        <v>50537.599999999999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/>
      <c r="G22" s="20">
        <v>58.6</v>
      </c>
      <c r="H22" s="21"/>
      <c r="I22" s="21">
        <v>59.2</v>
      </c>
      <c r="J22" s="20"/>
      <c r="K22" s="20">
        <v>57.7</v>
      </c>
      <c r="L22" s="21"/>
      <c r="M22" s="21">
        <v>57.5</v>
      </c>
      <c r="N22" s="20"/>
      <c r="O22" s="20">
        <v>58.7</v>
      </c>
      <c r="P22" s="21"/>
      <c r="Q22" s="21">
        <v>59.1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0.49</v>
      </c>
      <c r="J23" s="20"/>
      <c r="K23" s="20">
        <v>0.59</v>
      </c>
      <c r="L23" s="21"/>
      <c r="M23" s="21">
        <v>0.52</v>
      </c>
      <c r="N23" s="20"/>
      <c r="O23" s="20">
        <v>0.45</v>
      </c>
      <c r="P23" s="21"/>
      <c r="Q23" s="21">
        <v>0.5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/>
      <c r="G25" s="20">
        <v>45.3</v>
      </c>
      <c r="H25" s="21"/>
      <c r="I25" s="21">
        <v>44.9</v>
      </c>
      <c r="J25" s="20"/>
      <c r="K25" s="20">
        <v>44.3</v>
      </c>
      <c r="L25" s="21"/>
      <c r="M25" s="21">
        <v>44.6</v>
      </c>
      <c r="N25" s="20"/>
      <c r="O25" s="20">
        <v>44.9</v>
      </c>
      <c r="P25" s="21"/>
      <c r="Q25" s="21">
        <v>45.2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0.24</v>
      </c>
      <c r="H26" s="21"/>
      <c r="I26" s="21">
        <v>0.22</v>
      </c>
      <c r="J26" s="20"/>
      <c r="K26" s="20">
        <v>0.23</v>
      </c>
      <c r="L26" s="21"/>
      <c r="M26" s="21">
        <v>0.22</v>
      </c>
      <c r="N26" s="20"/>
      <c r="O26" s="20">
        <v>0.23</v>
      </c>
      <c r="P26" s="21"/>
      <c r="Q26" s="21">
        <v>0.23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/>
      <c r="G27" s="20">
        <v>4.5</v>
      </c>
      <c r="H27" s="21"/>
      <c r="I27" s="21">
        <v>3.4</v>
      </c>
      <c r="J27" s="20"/>
      <c r="K27" s="20">
        <v>4.4000000000000004</v>
      </c>
      <c r="L27" s="21"/>
      <c r="M27" s="21">
        <v>3.7</v>
      </c>
      <c r="N27" s="20"/>
      <c r="O27" s="20">
        <v>4.2</v>
      </c>
      <c r="P27" s="21"/>
      <c r="Q27" s="21">
        <v>4.7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/>
      <c r="G28" s="20">
        <v>3.9</v>
      </c>
      <c r="H28" s="21"/>
      <c r="I28" s="21">
        <v>2.4</v>
      </c>
      <c r="J28" s="20"/>
      <c r="K28" s="20">
        <v>3.4</v>
      </c>
      <c r="L28" s="21"/>
      <c r="M28" s="21">
        <v>2.9</v>
      </c>
      <c r="N28" s="20"/>
      <c r="O28" s="20">
        <v>3.1</v>
      </c>
      <c r="P28" s="21"/>
      <c r="Q28" s="21">
        <v>3.8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0.69999999999999973</v>
      </c>
      <c r="H29" s="27">
        <f t="shared" ref="H29:Q29" si="0">H32-H28</f>
        <v>0</v>
      </c>
      <c r="I29" s="27">
        <f t="shared" si="0"/>
        <v>2.1999999999999997</v>
      </c>
      <c r="J29" s="27">
        <f t="shared" si="0"/>
        <v>0</v>
      </c>
      <c r="K29" s="27">
        <f t="shared" si="0"/>
        <v>1.1999999999999997</v>
      </c>
      <c r="L29" s="27">
        <f>L32-L28</f>
        <v>0</v>
      </c>
      <c r="M29" s="27">
        <f>M32-M28</f>
        <v>1</v>
      </c>
      <c r="N29" s="27">
        <f>N32-N28</f>
        <v>0</v>
      </c>
      <c r="O29" s="27">
        <f>O32-O28</f>
        <v>1.1000000000000001</v>
      </c>
      <c r="P29" s="27">
        <f t="shared" si="0"/>
        <v>0</v>
      </c>
      <c r="Q29" s="27">
        <f t="shared" si="0"/>
        <v>1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/>
      <c r="G30" s="20">
        <v>640.88</v>
      </c>
      <c r="H30" s="21"/>
      <c r="I30" s="21">
        <v>647.52</v>
      </c>
      <c r="J30" s="20"/>
      <c r="K30" s="20">
        <v>637.28</v>
      </c>
      <c r="L30" s="21"/>
      <c r="M30" s="21">
        <v>642.64</v>
      </c>
      <c r="N30" s="20"/>
      <c r="O30" s="20">
        <v>631.44000000000005</v>
      </c>
      <c r="P30" s="21"/>
      <c r="Q30" s="21">
        <v>646.32000000000005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/>
      <c r="G31" s="20">
        <v>13.5</v>
      </c>
      <c r="H31" s="21"/>
      <c r="I31" s="21">
        <v>13.4</v>
      </c>
      <c r="J31" s="20"/>
      <c r="K31" s="20">
        <v>13.7</v>
      </c>
      <c r="L31" s="21"/>
      <c r="M31" s="21">
        <v>12.9</v>
      </c>
      <c r="N31" s="20"/>
      <c r="O31" s="20">
        <v>13.5</v>
      </c>
      <c r="P31" s="21"/>
      <c r="Q31" s="21">
        <v>13.5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/>
      <c r="G32" s="20">
        <v>4.5999999999999996</v>
      </c>
      <c r="H32" s="21"/>
      <c r="I32" s="21">
        <v>4.5999999999999996</v>
      </c>
      <c r="J32" s="20"/>
      <c r="K32" s="20">
        <v>4.5999999999999996</v>
      </c>
      <c r="L32" s="21"/>
      <c r="M32" s="21">
        <v>3.9</v>
      </c>
      <c r="N32" s="20"/>
      <c r="O32" s="20">
        <v>4.2</v>
      </c>
      <c r="P32" s="21"/>
      <c r="Q32" s="21">
        <v>4.8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8.9</v>
      </c>
      <c r="H33" s="27">
        <f t="shared" ref="H33:Q33" si="1">H31-H32</f>
        <v>0</v>
      </c>
      <c r="I33" s="27">
        <f t="shared" si="1"/>
        <v>8.8000000000000007</v>
      </c>
      <c r="J33" s="27">
        <f t="shared" si="1"/>
        <v>0</v>
      </c>
      <c r="K33" s="27">
        <f t="shared" si="1"/>
        <v>9.1</v>
      </c>
      <c r="L33" s="27">
        <f>L31-L32</f>
        <v>0</v>
      </c>
      <c r="M33" s="27">
        <f>M31-M32</f>
        <v>9</v>
      </c>
      <c r="N33" s="27">
        <f>N31-N32</f>
        <v>0</v>
      </c>
      <c r="O33" s="27">
        <f>O31-O32</f>
        <v>9.3000000000000007</v>
      </c>
      <c r="P33" s="27">
        <f t="shared" si="1"/>
        <v>0</v>
      </c>
      <c r="Q33" s="27">
        <f t="shared" si="1"/>
        <v>8.6999999999999993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6586.4110854503469</v>
      </c>
      <c r="H34" s="28">
        <f t="shared" ref="H34:Q34" si="2">(H33*H30)/0.866</f>
        <v>0</v>
      </c>
      <c r="I34" s="28">
        <f t="shared" si="2"/>
        <v>6579.8799076212472</v>
      </c>
      <c r="J34" s="28">
        <f t="shared" si="2"/>
        <v>0</v>
      </c>
      <c r="K34" s="28">
        <f t="shared" si="2"/>
        <v>6696.5912240184753</v>
      </c>
      <c r="L34" s="28">
        <f>(L33*L30)/0.866</f>
        <v>0</v>
      </c>
      <c r="M34" s="28">
        <f>(M33*M30)/0.866</f>
        <v>6678.7066974595846</v>
      </c>
      <c r="N34" s="28">
        <f>(N33*N30)/0.866</f>
        <v>0</v>
      </c>
      <c r="O34" s="28">
        <f>(O33*O30)/0.866</f>
        <v>6781.0531177829107</v>
      </c>
      <c r="P34" s="28">
        <f t="shared" si="2"/>
        <v>0</v>
      </c>
      <c r="Q34" s="28">
        <f t="shared" si="2"/>
        <v>6493.0531177829107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0.81</v>
      </c>
      <c r="H35" s="21"/>
      <c r="I35" s="21">
        <v>0.83</v>
      </c>
      <c r="J35" s="20"/>
      <c r="K35" s="20">
        <v>0.83</v>
      </c>
      <c r="L35" s="21"/>
      <c r="M35" s="21">
        <v>0.81</v>
      </c>
      <c r="N35" s="20"/>
      <c r="O35" s="20">
        <v>0.8</v>
      </c>
      <c r="P35" s="21"/>
      <c r="Q35" s="21">
        <v>0.83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/>
      <c r="G36" s="20">
        <v>35.6</v>
      </c>
      <c r="H36" s="21"/>
      <c r="I36" s="21">
        <v>36.1</v>
      </c>
      <c r="J36" s="20"/>
      <c r="K36" s="20">
        <v>35.9</v>
      </c>
      <c r="L36" s="21"/>
      <c r="M36" s="21">
        <v>35.799999999999997</v>
      </c>
      <c r="N36" s="20"/>
      <c r="O36" s="20">
        <v>35.200000000000003</v>
      </c>
      <c r="P36" s="21"/>
      <c r="Q36" s="21">
        <v>35.799999999999997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/>
      <c r="G37" s="20">
        <v>36.1</v>
      </c>
      <c r="H37" s="21"/>
      <c r="I37" s="21">
        <v>37</v>
      </c>
      <c r="J37" s="20"/>
      <c r="K37" s="20">
        <v>36.700000000000003</v>
      </c>
      <c r="L37" s="21"/>
      <c r="M37" s="21">
        <v>36.200000000000003</v>
      </c>
      <c r="N37" s="20"/>
      <c r="O37" s="20">
        <v>35.799999999999997</v>
      </c>
      <c r="P37" s="21"/>
      <c r="Q37" s="21">
        <v>36.6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2.5</v>
      </c>
      <c r="H38" s="27">
        <v>1</v>
      </c>
      <c r="I38" s="27">
        <f t="shared" ref="I38:Q38" si="3">I37-I41</f>
        <v>3.7000000000000028</v>
      </c>
      <c r="J38" s="27">
        <f t="shared" si="3"/>
        <v>0</v>
      </c>
      <c r="K38" s="27">
        <f t="shared" si="3"/>
        <v>2.9000000000000057</v>
      </c>
      <c r="L38" s="27">
        <f>L37-L41</f>
        <v>0</v>
      </c>
      <c r="M38" s="27">
        <f>M37-M41</f>
        <v>2.9000000000000057</v>
      </c>
      <c r="N38" s="27">
        <f>N37-N41</f>
        <v>0</v>
      </c>
      <c r="O38" s="27">
        <f>O37-O41</f>
        <v>2.3999999999999986</v>
      </c>
      <c r="P38" s="27">
        <f t="shared" si="3"/>
        <v>0</v>
      </c>
      <c r="Q38" s="27">
        <f t="shared" si="3"/>
        <v>2.7000000000000028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/>
      <c r="G40" s="20">
        <v>28.5</v>
      </c>
      <c r="H40" s="21"/>
      <c r="I40" s="21">
        <v>28.4</v>
      </c>
      <c r="J40" s="20"/>
      <c r="K40" s="20">
        <v>28.3</v>
      </c>
      <c r="L40" s="21"/>
      <c r="M40" s="21">
        <v>28.2</v>
      </c>
      <c r="N40" s="20"/>
      <c r="O40" s="20">
        <v>28.3</v>
      </c>
      <c r="P40" s="21"/>
      <c r="Q40" s="21">
        <v>28.5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/>
      <c r="G41" s="20">
        <v>33.6</v>
      </c>
      <c r="H41" s="21"/>
      <c r="I41" s="21">
        <v>33.299999999999997</v>
      </c>
      <c r="J41" s="20"/>
      <c r="K41" s="20">
        <v>33.799999999999997</v>
      </c>
      <c r="L41" s="21"/>
      <c r="M41" s="21">
        <v>33.299999999999997</v>
      </c>
      <c r="N41" s="20"/>
      <c r="O41" s="20">
        <v>33.4</v>
      </c>
      <c r="P41" s="21"/>
      <c r="Q41" s="21">
        <v>33.9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5.1000000000000014</v>
      </c>
      <c r="H42" s="27">
        <f t="shared" ref="H42:Q42" si="4">H41-H40</f>
        <v>0</v>
      </c>
      <c r="I42" s="27">
        <f t="shared" si="4"/>
        <v>4.8999999999999986</v>
      </c>
      <c r="J42" s="27">
        <f t="shared" si="4"/>
        <v>0</v>
      </c>
      <c r="K42" s="27">
        <f t="shared" si="4"/>
        <v>5.4999999999999964</v>
      </c>
      <c r="L42" s="27">
        <f>L41-L40</f>
        <v>0</v>
      </c>
      <c r="M42" s="27">
        <f>M41-M40</f>
        <v>5.0999999999999979</v>
      </c>
      <c r="N42" s="27">
        <f>N41-N40</f>
        <v>0</v>
      </c>
      <c r="O42" s="27">
        <f>O41-O40</f>
        <v>5.0999999999999979</v>
      </c>
      <c r="P42" s="27">
        <f t="shared" si="4"/>
        <v>0</v>
      </c>
      <c r="Q42" s="27">
        <f t="shared" si="4"/>
        <v>5.3999999999999986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/>
      <c r="G43" s="20">
        <v>1296.82</v>
      </c>
      <c r="H43" s="21"/>
      <c r="I43" s="21">
        <v>1302.56</v>
      </c>
      <c r="J43" s="20"/>
      <c r="K43" s="20">
        <v>1296.54</v>
      </c>
      <c r="L43" s="21"/>
      <c r="M43" s="20">
        <v>1296.1199999999999</v>
      </c>
      <c r="N43" s="20"/>
      <c r="O43" s="20">
        <v>1285.3399999999999</v>
      </c>
      <c r="P43" s="21"/>
      <c r="Q43" s="21">
        <v>1297.94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7637.1616628175543</v>
      </c>
      <c r="H44" s="28">
        <f t="shared" ref="H44:Q44" si="5">H42*H43/0.866</f>
        <v>0</v>
      </c>
      <c r="I44" s="28">
        <f t="shared" si="5"/>
        <v>7370.1431870669721</v>
      </c>
      <c r="J44" s="28">
        <f t="shared" si="5"/>
        <v>0</v>
      </c>
      <c r="K44" s="28">
        <f t="shared" si="5"/>
        <v>8234.3764434180084</v>
      </c>
      <c r="L44" s="28">
        <f>L42*L43/0.866</f>
        <v>0</v>
      </c>
      <c r="M44" s="28">
        <f>M42*M43/0.866</f>
        <v>7633.0392609699729</v>
      </c>
      <c r="N44" s="28">
        <f>N42*N43/0.866</f>
        <v>0</v>
      </c>
      <c r="O44" s="28">
        <f>O42*O43/0.866</f>
        <v>7569.5542725173173</v>
      </c>
      <c r="P44" s="28">
        <f t="shared" si="5"/>
        <v>0</v>
      </c>
      <c r="Q44" s="28">
        <f t="shared" si="5"/>
        <v>8093.3903002309453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>
        <v>0.45</v>
      </c>
      <c r="J45" s="20"/>
      <c r="K45" s="20">
        <v>0.46</v>
      </c>
      <c r="L45" s="21"/>
      <c r="M45" s="21">
        <v>0.46</v>
      </c>
      <c r="N45" s="20"/>
      <c r="O45" s="20">
        <v>0.45</v>
      </c>
      <c r="P45" s="21"/>
      <c r="Q45" s="21">
        <v>0.46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/>
      <c r="G46" s="20">
        <v>19.8</v>
      </c>
      <c r="H46" s="21"/>
      <c r="I46" s="21">
        <v>19.3</v>
      </c>
      <c r="J46" s="20"/>
      <c r="K46" s="20">
        <v>19.600000000000001</v>
      </c>
      <c r="L46" s="21"/>
      <c r="M46" s="21">
        <v>19.399999999999999</v>
      </c>
      <c r="N46" s="20"/>
      <c r="O46" s="20">
        <v>19.100000000000001</v>
      </c>
      <c r="P46" s="21"/>
      <c r="Q46" s="21">
        <v>19.8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/>
      <c r="G47" s="20">
        <v>201.8</v>
      </c>
      <c r="H47" s="21"/>
      <c r="I47" s="21">
        <v>117.7</v>
      </c>
      <c r="J47" s="20"/>
      <c r="K47" s="20">
        <v>209</v>
      </c>
      <c r="L47" s="21"/>
      <c r="M47" s="21">
        <v>221</v>
      </c>
      <c r="N47" s="20"/>
      <c r="O47" s="20">
        <v>161.80000000000001</v>
      </c>
      <c r="P47" s="21"/>
      <c r="Q47" s="21">
        <v>194.2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69">
        <v>5.89</v>
      </c>
      <c r="F49" s="20"/>
      <c r="G49" s="20">
        <v>5.91</v>
      </c>
      <c r="H49" s="21"/>
      <c r="I49" s="21">
        <v>5.52</v>
      </c>
      <c r="J49" s="20"/>
      <c r="K49" s="20">
        <v>5.78</v>
      </c>
      <c r="L49" s="21"/>
      <c r="M49" s="21">
        <v>5.68</v>
      </c>
      <c r="N49" s="20"/>
      <c r="O49" s="20">
        <v>5.76</v>
      </c>
      <c r="P49" s="21"/>
      <c r="Q49" s="21">
        <v>5.54</v>
      </c>
    </row>
    <row r="50" spans="2:17" ht="20.100000000000001" customHeight="1">
      <c r="B50" s="92" t="s">
        <v>91</v>
      </c>
      <c r="C50" s="92"/>
      <c r="D50" s="92"/>
      <c r="E50" s="69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68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N50" sqref="N50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45767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71" t="s">
        <v>18</v>
      </c>
      <c r="E10" s="15"/>
      <c r="F10" s="16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/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70</v>
      </c>
      <c r="H11" s="21"/>
      <c r="I11" s="21">
        <v>77.7</v>
      </c>
      <c r="J11" s="20">
        <v>74</v>
      </c>
      <c r="K11" s="20">
        <v>73.5</v>
      </c>
      <c r="L11" s="21"/>
      <c r="M11" s="21">
        <v>71.7</v>
      </c>
      <c r="N11" s="20">
        <v>76.400000000000006</v>
      </c>
      <c r="O11" s="20">
        <v>75.599999999999994</v>
      </c>
      <c r="P11" s="21"/>
      <c r="Q11" s="21">
        <v>74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0.6</v>
      </c>
      <c r="H12" s="21"/>
      <c r="I12" s="21">
        <v>0</v>
      </c>
      <c r="J12" s="20">
        <v>0</v>
      </c>
      <c r="K12" s="20">
        <v>0</v>
      </c>
      <c r="L12" s="21"/>
      <c r="M12" s="21">
        <v>0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64.3</v>
      </c>
      <c r="H13" s="21"/>
      <c r="I13" s="21">
        <v>73.099999999999994</v>
      </c>
      <c r="J13" s="20">
        <v>70.7</v>
      </c>
      <c r="K13" s="20">
        <v>68.2</v>
      </c>
      <c r="L13" s="21"/>
      <c r="M13" s="21">
        <v>68.900000000000006</v>
      </c>
      <c r="N13" s="20">
        <v>71.599999999999994</v>
      </c>
      <c r="O13" s="20">
        <v>71</v>
      </c>
      <c r="P13" s="21"/>
      <c r="Q13" s="21">
        <v>68.099999999999994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66</v>
      </c>
      <c r="H14" s="21"/>
      <c r="I14" s="21">
        <v>68.400000000000006</v>
      </c>
      <c r="J14" s="20">
        <v>64.3</v>
      </c>
      <c r="K14" s="20">
        <v>63.9</v>
      </c>
      <c r="L14" s="21"/>
      <c r="M14" s="21">
        <v>65.2</v>
      </c>
      <c r="N14" s="20">
        <v>72.8</v>
      </c>
      <c r="O14" s="20">
        <v>72</v>
      </c>
      <c r="P14" s="21"/>
      <c r="Q14" s="21">
        <v>72.3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35.4</v>
      </c>
      <c r="H15" s="21"/>
      <c r="I15" s="21">
        <v>49</v>
      </c>
      <c r="J15" s="20">
        <v>38.799999999999997</v>
      </c>
      <c r="K15" s="20">
        <v>36.700000000000003</v>
      </c>
      <c r="L15" s="21"/>
      <c r="M15" s="21">
        <v>31.5</v>
      </c>
      <c r="N15" s="20">
        <v>56.5</v>
      </c>
      <c r="O15" s="20">
        <v>42.3</v>
      </c>
      <c r="P15" s="21"/>
      <c r="Q15" s="21">
        <v>43.9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/>
      <c r="G17" s="20">
        <v>115.9</v>
      </c>
      <c r="H17" s="21"/>
      <c r="I17" s="21">
        <v>114.7</v>
      </c>
      <c r="J17" s="20">
        <v>117.2</v>
      </c>
      <c r="K17" s="20">
        <v>115.4</v>
      </c>
      <c r="L17" s="21"/>
      <c r="M17" s="21">
        <v>113.9</v>
      </c>
      <c r="N17" s="20">
        <v>116.3</v>
      </c>
      <c r="O17" s="20">
        <v>118</v>
      </c>
      <c r="P17" s="21"/>
      <c r="Q17" s="21">
        <v>117.4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/>
      <c r="G18" s="20">
        <v>1155</v>
      </c>
      <c r="H18" s="21"/>
      <c r="I18" s="21">
        <v>1175</v>
      </c>
      <c r="J18" s="20">
        <v>1206</v>
      </c>
      <c r="K18" s="20">
        <v>1194</v>
      </c>
      <c r="L18" s="21"/>
      <c r="M18" s="21">
        <v>1172</v>
      </c>
      <c r="N18" s="20">
        <v>1198</v>
      </c>
      <c r="O18" s="20">
        <v>1205</v>
      </c>
      <c r="P18" s="21"/>
      <c r="Q18" s="21">
        <v>1201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50000.800000000003</v>
      </c>
      <c r="H19" s="21"/>
      <c r="I19" s="21">
        <v>51177.9</v>
      </c>
      <c r="J19" s="20">
        <v>48951.8</v>
      </c>
      <c r="K19" s="20">
        <v>48941.1</v>
      </c>
      <c r="L19" s="21"/>
      <c r="M19" s="21">
        <v>51311.9</v>
      </c>
      <c r="N19" s="20">
        <v>50498.2</v>
      </c>
      <c r="O19" s="20">
        <v>50487.5</v>
      </c>
      <c r="P19" s="21"/>
      <c r="Q19" s="21">
        <v>50547.6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/>
      <c r="G22" s="20">
        <v>58.6</v>
      </c>
      <c r="H22" s="21"/>
      <c r="I22" s="21">
        <v>59</v>
      </c>
      <c r="J22" s="20">
        <v>57.8</v>
      </c>
      <c r="K22" s="20">
        <v>58</v>
      </c>
      <c r="L22" s="21"/>
      <c r="M22" s="21">
        <v>57.6</v>
      </c>
      <c r="N22" s="20">
        <v>58.4</v>
      </c>
      <c r="O22" s="20">
        <v>58.7</v>
      </c>
      <c r="P22" s="21"/>
      <c r="Q22" s="21">
        <v>59.7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0.5</v>
      </c>
      <c r="J23" s="20">
        <v>0.59</v>
      </c>
      <c r="K23" s="20">
        <v>0.59</v>
      </c>
      <c r="L23" s="21"/>
      <c r="M23" s="21">
        <v>0.52</v>
      </c>
      <c r="N23" s="20">
        <v>0.47</v>
      </c>
      <c r="O23" s="20">
        <v>0.53</v>
      </c>
      <c r="P23" s="21"/>
      <c r="Q23" s="21">
        <v>0.5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/>
      <c r="G25" s="20">
        <v>44.7</v>
      </c>
      <c r="H25" s="21"/>
      <c r="I25" s="21">
        <v>45.1</v>
      </c>
      <c r="J25" s="20">
        <v>45</v>
      </c>
      <c r="K25" s="20">
        <v>45</v>
      </c>
      <c r="L25" s="21"/>
      <c r="M25" s="21">
        <v>44.8</v>
      </c>
      <c r="N25" s="20">
        <v>45.1</v>
      </c>
      <c r="O25" s="20">
        <v>44.9</v>
      </c>
      <c r="P25" s="21"/>
      <c r="Q25" s="21">
        <v>45.1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0.22</v>
      </c>
      <c r="J26" s="20">
        <v>0.23</v>
      </c>
      <c r="K26" s="20">
        <v>0.23</v>
      </c>
      <c r="L26" s="21"/>
      <c r="M26" s="21">
        <v>0.22</v>
      </c>
      <c r="N26" s="20">
        <v>0.22</v>
      </c>
      <c r="O26" s="20">
        <v>0.23</v>
      </c>
      <c r="P26" s="21"/>
      <c r="Q26" s="21">
        <v>0.23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/>
      <c r="G27" s="20">
        <v>4.4000000000000004</v>
      </c>
      <c r="H27" s="21"/>
      <c r="I27" s="21">
        <v>3.6</v>
      </c>
      <c r="J27" s="20">
        <v>4.5</v>
      </c>
      <c r="K27" s="20">
        <v>4.4000000000000004</v>
      </c>
      <c r="L27" s="21"/>
      <c r="M27" s="21">
        <v>4</v>
      </c>
      <c r="N27" s="20">
        <v>4.3</v>
      </c>
      <c r="O27" s="20">
        <v>4.2</v>
      </c>
      <c r="P27" s="21"/>
      <c r="Q27" s="21">
        <v>4.9000000000000004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/>
      <c r="G28" s="20">
        <v>3.8</v>
      </c>
      <c r="H28" s="21"/>
      <c r="I28" s="21">
        <v>2.5</v>
      </c>
      <c r="J28" s="20">
        <v>3.6</v>
      </c>
      <c r="K28" s="20">
        <v>3.5</v>
      </c>
      <c r="L28" s="21"/>
      <c r="M28" s="21">
        <v>2.8</v>
      </c>
      <c r="N28" s="20">
        <v>3.3</v>
      </c>
      <c r="O28" s="20">
        <v>3.2</v>
      </c>
      <c r="P28" s="21"/>
      <c r="Q28" s="21">
        <v>3.8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0.79999999999999982</v>
      </c>
      <c r="H29" s="27">
        <f t="shared" ref="H29:Q29" si="0">H32-H28</f>
        <v>0</v>
      </c>
      <c r="I29" s="27">
        <f t="shared" si="0"/>
        <v>2.2999999999999998</v>
      </c>
      <c r="J29" s="27">
        <f t="shared" si="0"/>
        <v>0.80000000000000027</v>
      </c>
      <c r="K29" s="27">
        <f t="shared" si="0"/>
        <v>1.0999999999999996</v>
      </c>
      <c r="L29" s="27">
        <f>L32-L28</f>
        <v>0</v>
      </c>
      <c r="M29" s="27">
        <f>M32-M28</f>
        <v>0.70000000000000018</v>
      </c>
      <c r="N29" s="27">
        <f>N32-N28</f>
        <v>1.1000000000000005</v>
      </c>
      <c r="O29" s="27">
        <f>O32-O28</f>
        <v>1.2000000000000002</v>
      </c>
      <c r="P29" s="27">
        <f t="shared" si="0"/>
        <v>0</v>
      </c>
      <c r="Q29" s="27">
        <f t="shared" si="0"/>
        <v>0.90000000000000036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/>
      <c r="G30" s="20">
        <v>667.28</v>
      </c>
      <c r="H30" s="21"/>
      <c r="I30" s="21">
        <v>644.72</v>
      </c>
      <c r="J30" s="20">
        <v>679.4</v>
      </c>
      <c r="K30" s="20">
        <v>638.08000000000004</v>
      </c>
      <c r="L30" s="21"/>
      <c r="M30" s="21">
        <v>630.66</v>
      </c>
      <c r="N30" s="20">
        <v>686.7</v>
      </c>
      <c r="O30" s="20">
        <v>648.79999999999995</v>
      </c>
      <c r="P30" s="21"/>
      <c r="Q30" s="21">
        <v>646.16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/>
      <c r="G31" s="20">
        <v>13.5</v>
      </c>
      <c r="H31" s="21"/>
      <c r="I31" s="21">
        <v>13.5</v>
      </c>
      <c r="J31" s="20">
        <v>13.2</v>
      </c>
      <c r="K31" s="20">
        <v>13.5</v>
      </c>
      <c r="L31" s="21"/>
      <c r="M31" s="21">
        <v>12.8</v>
      </c>
      <c r="N31" s="20">
        <v>13.3</v>
      </c>
      <c r="O31" s="20">
        <v>13.5</v>
      </c>
      <c r="P31" s="21"/>
      <c r="Q31" s="21">
        <v>13.4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/>
      <c r="G32" s="20">
        <v>4.5999999999999996</v>
      </c>
      <c r="H32" s="21"/>
      <c r="I32" s="21">
        <v>4.8</v>
      </c>
      <c r="J32" s="20">
        <v>4.4000000000000004</v>
      </c>
      <c r="K32" s="20">
        <v>4.5999999999999996</v>
      </c>
      <c r="L32" s="21"/>
      <c r="M32" s="21">
        <v>3.5</v>
      </c>
      <c r="N32" s="20">
        <v>4.4000000000000004</v>
      </c>
      <c r="O32" s="20">
        <v>4.4000000000000004</v>
      </c>
      <c r="P32" s="21"/>
      <c r="Q32" s="21">
        <v>4.7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8.9</v>
      </c>
      <c r="H33" s="27">
        <f t="shared" ref="H33:Q33" si="1">H31-H32</f>
        <v>0</v>
      </c>
      <c r="I33" s="27">
        <f t="shared" si="1"/>
        <v>8.6999999999999993</v>
      </c>
      <c r="J33" s="27">
        <f t="shared" si="1"/>
        <v>8.7999999999999989</v>
      </c>
      <c r="K33" s="27">
        <f t="shared" si="1"/>
        <v>8.9</v>
      </c>
      <c r="L33" s="27">
        <f>L31-L32</f>
        <v>0</v>
      </c>
      <c r="M33" s="27">
        <f>M31-M32</f>
        <v>9.3000000000000007</v>
      </c>
      <c r="N33" s="27">
        <f>N31-N32</f>
        <v>8.9</v>
      </c>
      <c r="O33" s="27">
        <f>O31-O32</f>
        <v>9.1</v>
      </c>
      <c r="P33" s="27">
        <f t="shared" si="1"/>
        <v>0</v>
      </c>
      <c r="Q33" s="27">
        <f t="shared" si="1"/>
        <v>8.6999999999999993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6857.7274826789844</v>
      </c>
      <c r="H34" s="28">
        <f t="shared" ref="H34:Q34" si="2">(H33*H30)/0.866</f>
        <v>0</v>
      </c>
      <c r="I34" s="28">
        <f t="shared" si="2"/>
        <v>6476.9792147806002</v>
      </c>
      <c r="J34" s="28">
        <f t="shared" si="2"/>
        <v>6903.8337182448031</v>
      </c>
      <c r="K34" s="28">
        <f t="shared" si="2"/>
        <v>6557.6351039260971</v>
      </c>
      <c r="L34" s="28">
        <f>(L33*L30)/0.866</f>
        <v>0</v>
      </c>
      <c r="M34" s="28">
        <f>(M33*M30)/0.866</f>
        <v>6772.6766743648959</v>
      </c>
      <c r="N34" s="28">
        <f>(N33*N30)/0.866</f>
        <v>7057.3094688221718</v>
      </c>
      <c r="O34" s="28">
        <f>(O33*O30)/0.866</f>
        <v>6817.6443418013851</v>
      </c>
      <c r="P34" s="28">
        <f t="shared" si="2"/>
        <v>0</v>
      </c>
      <c r="Q34" s="28">
        <f t="shared" si="2"/>
        <v>6491.4457274826782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0.82</v>
      </c>
      <c r="H35" s="21"/>
      <c r="I35" s="21">
        <v>0.84</v>
      </c>
      <c r="J35" s="20">
        <v>0.82</v>
      </c>
      <c r="K35" s="20">
        <v>0.83</v>
      </c>
      <c r="L35" s="21"/>
      <c r="M35" s="21">
        <v>0.82</v>
      </c>
      <c r="N35" s="20">
        <v>0.79</v>
      </c>
      <c r="O35" s="20">
        <v>0.8</v>
      </c>
      <c r="P35" s="21"/>
      <c r="Q35" s="21">
        <v>0.83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/>
      <c r="G36" s="20">
        <v>36.299999999999997</v>
      </c>
      <c r="H36" s="21"/>
      <c r="I36" s="21">
        <v>36.6</v>
      </c>
      <c r="J36" s="20">
        <v>35.700000000000003</v>
      </c>
      <c r="K36" s="20">
        <v>36.6</v>
      </c>
      <c r="L36" s="21"/>
      <c r="M36" s="21">
        <v>36.6</v>
      </c>
      <c r="N36" s="20">
        <v>34.799999999999997</v>
      </c>
      <c r="O36" s="20">
        <v>35.9</v>
      </c>
      <c r="P36" s="21"/>
      <c r="Q36" s="21">
        <v>36.700000000000003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/>
      <c r="G37" s="20">
        <v>36.4</v>
      </c>
      <c r="H37" s="21"/>
      <c r="I37" s="21">
        <v>37.1</v>
      </c>
      <c r="J37" s="20">
        <v>36.4</v>
      </c>
      <c r="K37" s="20">
        <v>36.799999999999997</v>
      </c>
      <c r="L37" s="21"/>
      <c r="M37" s="21">
        <v>36.299999999999997</v>
      </c>
      <c r="N37" s="20">
        <v>35.299999999999997</v>
      </c>
      <c r="O37" s="20">
        <v>35.799999999999997</v>
      </c>
      <c r="P37" s="21"/>
      <c r="Q37" s="21">
        <v>36.6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2.3999999999999986</v>
      </c>
      <c r="H38" s="27">
        <f t="shared" ref="H38:Q38" si="3">H37-H41</f>
        <v>0</v>
      </c>
      <c r="I38" s="27">
        <f t="shared" si="3"/>
        <v>3.7000000000000028</v>
      </c>
      <c r="J38" s="27">
        <f t="shared" si="3"/>
        <v>2.1000000000000014</v>
      </c>
      <c r="K38" s="27">
        <f t="shared" si="3"/>
        <v>2.7999999999999972</v>
      </c>
      <c r="L38" s="27">
        <f>L37-L41</f>
        <v>0</v>
      </c>
      <c r="M38" s="27">
        <f>M37-M41</f>
        <v>3</v>
      </c>
      <c r="N38" s="27">
        <f>N37-N41</f>
        <v>1.5999999999999943</v>
      </c>
      <c r="O38" s="27">
        <f>O37-O41</f>
        <v>2.3999999999999986</v>
      </c>
      <c r="P38" s="27">
        <f t="shared" si="3"/>
        <v>0</v>
      </c>
      <c r="Q38" s="27">
        <f t="shared" si="3"/>
        <v>2.6000000000000014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/>
      <c r="G40" s="20">
        <v>28.7</v>
      </c>
      <c r="H40" s="21"/>
      <c r="I40" s="21">
        <v>28.5</v>
      </c>
      <c r="J40" s="20">
        <v>28.7</v>
      </c>
      <c r="K40" s="20">
        <v>28.6</v>
      </c>
      <c r="L40" s="21"/>
      <c r="M40" s="21">
        <v>28.3</v>
      </c>
      <c r="N40" s="20">
        <v>28.3</v>
      </c>
      <c r="O40" s="20">
        <v>28.4</v>
      </c>
      <c r="P40" s="21"/>
      <c r="Q40" s="21">
        <v>28.7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/>
      <c r="G41" s="20">
        <v>34</v>
      </c>
      <c r="H41" s="21"/>
      <c r="I41" s="21">
        <v>33.4</v>
      </c>
      <c r="J41" s="20">
        <v>34.299999999999997</v>
      </c>
      <c r="K41" s="20">
        <v>34</v>
      </c>
      <c r="L41" s="21"/>
      <c r="M41" s="21">
        <v>33.299999999999997</v>
      </c>
      <c r="N41" s="20">
        <v>33.700000000000003</v>
      </c>
      <c r="O41" s="20">
        <v>33.4</v>
      </c>
      <c r="P41" s="21"/>
      <c r="Q41" s="21">
        <v>34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5.3000000000000007</v>
      </c>
      <c r="H42" s="27">
        <f t="shared" ref="H42:Q42" si="4">H41-H40</f>
        <v>0</v>
      </c>
      <c r="I42" s="27">
        <f t="shared" si="4"/>
        <v>4.8999999999999986</v>
      </c>
      <c r="J42" s="27">
        <f t="shared" si="4"/>
        <v>5.5999999999999979</v>
      </c>
      <c r="K42" s="27">
        <f t="shared" si="4"/>
        <v>5.3999999999999986</v>
      </c>
      <c r="L42" s="27">
        <f>L41-L40</f>
        <v>0</v>
      </c>
      <c r="M42" s="27">
        <f>M41-M40</f>
        <v>4.9999999999999964</v>
      </c>
      <c r="N42" s="27">
        <f>N41-N40</f>
        <v>5.4000000000000021</v>
      </c>
      <c r="O42" s="27">
        <f>O41-O40</f>
        <v>5</v>
      </c>
      <c r="P42" s="27">
        <f t="shared" si="4"/>
        <v>0</v>
      </c>
      <c r="Q42" s="27">
        <f t="shared" si="4"/>
        <v>5.3000000000000007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/>
      <c r="G43" s="20">
        <v>1298.78</v>
      </c>
      <c r="H43" s="21"/>
      <c r="I43" s="21">
        <v>1302</v>
      </c>
      <c r="J43" s="20">
        <v>1302.5</v>
      </c>
      <c r="K43" s="20">
        <v>1298.92</v>
      </c>
      <c r="L43" s="21"/>
      <c r="M43" s="20">
        <v>1296.3800000000001</v>
      </c>
      <c r="N43" s="20">
        <v>1288.7</v>
      </c>
      <c r="O43" s="20">
        <v>1294.44</v>
      </c>
      <c r="P43" s="21"/>
      <c r="Q43" s="21">
        <v>1297.94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7948.6535796766748</v>
      </c>
      <c r="H44" s="28">
        <f t="shared" ref="H44:Q44" si="5">H42*H43/0.866</f>
        <v>0</v>
      </c>
      <c r="I44" s="28">
        <f t="shared" si="5"/>
        <v>7366.9745958429539</v>
      </c>
      <c r="J44" s="28">
        <f t="shared" si="5"/>
        <v>8422.6327944572713</v>
      </c>
      <c r="K44" s="28">
        <f t="shared" si="5"/>
        <v>8099.5011547344093</v>
      </c>
      <c r="L44" s="28">
        <f>L42*L43/0.866</f>
        <v>0</v>
      </c>
      <c r="M44" s="28">
        <f>M42*M43/0.866</f>
        <v>7484.872979214776</v>
      </c>
      <c r="N44" s="28">
        <f>N42*N43/0.866</f>
        <v>8035.7736720554312</v>
      </c>
      <c r="O44" s="28">
        <f>O42*O43/0.866</f>
        <v>7473.6720554272524</v>
      </c>
      <c r="P44" s="28">
        <f t="shared" si="5"/>
        <v>0</v>
      </c>
      <c r="Q44" s="28">
        <f t="shared" si="5"/>
        <v>7943.512702078523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>
        <v>0.46</v>
      </c>
      <c r="J45" s="20">
        <v>0.46</v>
      </c>
      <c r="K45" s="20">
        <v>0.47</v>
      </c>
      <c r="L45" s="21"/>
      <c r="M45" s="21">
        <v>0.46</v>
      </c>
      <c r="N45" s="20">
        <v>0.45</v>
      </c>
      <c r="O45" s="20">
        <v>0.46</v>
      </c>
      <c r="P45" s="21"/>
      <c r="Q45" s="21">
        <v>0.47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/>
      <c r="G46" s="20">
        <v>20.3</v>
      </c>
      <c r="H46" s="21"/>
      <c r="I46" s="21">
        <v>19.7</v>
      </c>
      <c r="J46" s="20">
        <v>19.3</v>
      </c>
      <c r="K46" s="20">
        <v>20</v>
      </c>
      <c r="L46" s="21"/>
      <c r="M46" s="21">
        <v>19.7</v>
      </c>
      <c r="N46" s="20">
        <v>18.899999999999999</v>
      </c>
      <c r="O46" s="20">
        <v>19.5</v>
      </c>
      <c r="P46" s="21"/>
      <c r="Q46" s="21">
        <v>20.3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/>
      <c r="G47" s="20">
        <v>191.7</v>
      </c>
      <c r="H47" s="21"/>
      <c r="I47" s="21">
        <v>125.7</v>
      </c>
      <c r="J47" s="20">
        <v>214.5</v>
      </c>
      <c r="K47" s="20">
        <v>210.6</v>
      </c>
      <c r="L47" s="21"/>
      <c r="M47" s="21">
        <v>205.6</v>
      </c>
      <c r="N47" s="20">
        <v>163.30000000000001</v>
      </c>
      <c r="O47" s="20">
        <v>158.1</v>
      </c>
      <c r="P47" s="21"/>
      <c r="Q47" s="21">
        <v>192.1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71">
        <v>5.89</v>
      </c>
      <c r="F49" s="20"/>
      <c r="G49" s="20">
        <v>5.55</v>
      </c>
      <c r="H49" s="21"/>
      <c r="I49" s="21">
        <v>5.48</v>
      </c>
      <c r="J49" s="20">
        <v>5.37</v>
      </c>
      <c r="K49" s="20">
        <v>5.52</v>
      </c>
      <c r="L49" s="21"/>
      <c r="M49" s="21">
        <v>5.69</v>
      </c>
      <c r="N49" s="20">
        <v>5.46</v>
      </c>
      <c r="O49" s="20">
        <v>5.42</v>
      </c>
      <c r="P49" s="21"/>
      <c r="Q49" s="21">
        <v>5.23</v>
      </c>
    </row>
    <row r="50" spans="2:17" ht="20.100000000000001" customHeight="1">
      <c r="B50" s="92" t="s">
        <v>91</v>
      </c>
      <c r="C50" s="92"/>
      <c r="D50" s="92"/>
      <c r="E50" s="71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70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7" zoomScale="85" zoomScaleNormal="60" workbookViewId="0">
      <selection activeCell="N27" sqref="N27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45768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73" t="s">
        <v>18</v>
      </c>
      <c r="E10" s="15"/>
      <c r="F10" s="17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73.599999999999994</v>
      </c>
      <c r="G11" s="20">
        <v>69.3</v>
      </c>
      <c r="H11" s="21"/>
      <c r="I11" s="21">
        <v>78.7</v>
      </c>
      <c r="J11" s="20"/>
      <c r="K11" s="20">
        <v>73.8</v>
      </c>
      <c r="L11" s="21">
        <v>71.099999999999994</v>
      </c>
      <c r="M11" s="21">
        <v>71.3</v>
      </c>
      <c r="N11" s="20"/>
      <c r="O11" s="20">
        <v>74.900000000000006</v>
      </c>
      <c r="P11" s="21"/>
      <c r="Q11" s="21">
        <v>72.5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</v>
      </c>
      <c r="G12" s="20">
        <v>0</v>
      </c>
      <c r="H12" s="21"/>
      <c r="I12" s="21">
        <v>0</v>
      </c>
      <c r="J12" s="20"/>
      <c r="K12" s="20">
        <v>0</v>
      </c>
      <c r="L12" s="21">
        <v>0</v>
      </c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68.900000000000006</v>
      </c>
      <c r="G13" s="20">
        <v>62.8</v>
      </c>
      <c r="H13" s="21"/>
      <c r="I13" s="21">
        <v>74.2</v>
      </c>
      <c r="J13" s="20"/>
      <c r="K13" s="20">
        <v>68</v>
      </c>
      <c r="L13" s="21">
        <v>68.099999999999994</v>
      </c>
      <c r="M13" s="21">
        <v>68.3</v>
      </c>
      <c r="N13" s="20"/>
      <c r="O13" s="20">
        <v>70.7</v>
      </c>
      <c r="P13" s="21"/>
      <c r="Q13" s="21">
        <v>66.3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69.400000000000006</v>
      </c>
      <c r="G14" s="20">
        <v>69.2</v>
      </c>
      <c r="H14" s="21"/>
      <c r="I14" s="21">
        <v>70.7</v>
      </c>
      <c r="J14" s="20"/>
      <c r="K14" s="20">
        <v>64.099999999999994</v>
      </c>
      <c r="L14" s="21">
        <v>66.400000000000006</v>
      </c>
      <c r="M14" s="21">
        <v>65.8</v>
      </c>
      <c r="N14" s="20"/>
      <c r="O14" s="20">
        <v>75.400000000000006</v>
      </c>
      <c r="P14" s="21"/>
      <c r="Q14" s="21">
        <v>72.400000000000006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38.1</v>
      </c>
      <c r="G15" s="20">
        <v>39</v>
      </c>
      <c r="H15" s="21"/>
      <c r="I15" s="21">
        <v>50.8</v>
      </c>
      <c r="J15" s="20"/>
      <c r="K15" s="20">
        <v>40.1</v>
      </c>
      <c r="L15" s="21">
        <v>31.7</v>
      </c>
      <c r="M15" s="21">
        <v>34.200000000000003</v>
      </c>
      <c r="N15" s="20"/>
      <c r="O15" s="20">
        <v>52.8</v>
      </c>
      <c r="P15" s="21"/>
      <c r="Q15" s="21">
        <v>40.200000000000003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>
        <v>117.1</v>
      </c>
      <c r="G17" s="20">
        <v>117</v>
      </c>
      <c r="H17" s="21"/>
      <c r="I17" s="21">
        <v>116.4</v>
      </c>
      <c r="J17" s="20"/>
      <c r="K17" s="20">
        <v>118</v>
      </c>
      <c r="L17" s="21">
        <v>112.2</v>
      </c>
      <c r="M17" s="21">
        <v>115.9</v>
      </c>
      <c r="N17" s="20"/>
      <c r="O17" s="20">
        <v>119.4</v>
      </c>
      <c r="P17" s="21"/>
      <c r="Q17" s="21">
        <v>117.7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>
        <v>1161</v>
      </c>
      <c r="G18" s="20">
        <v>1145</v>
      </c>
      <c r="H18" s="21"/>
      <c r="I18" s="21">
        <v>1177</v>
      </c>
      <c r="J18" s="20"/>
      <c r="K18" s="20">
        <v>1200</v>
      </c>
      <c r="L18" s="21">
        <v>1150</v>
      </c>
      <c r="M18" s="21">
        <v>1173</v>
      </c>
      <c r="N18" s="20"/>
      <c r="O18" s="20">
        <v>1205</v>
      </c>
      <c r="P18" s="21"/>
      <c r="Q18" s="21">
        <v>1187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>
        <v>50019</v>
      </c>
      <c r="G19" s="20">
        <v>50010.3</v>
      </c>
      <c r="H19" s="21"/>
      <c r="I19" s="21">
        <v>51187.6</v>
      </c>
      <c r="J19" s="20"/>
      <c r="K19" s="20">
        <v>48959.9</v>
      </c>
      <c r="L19" s="21">
        <v>51330.400000000001</v>
      </c>
      <c r="M19" s="21">
        <v>51321.8</v>
      </c>
      <c r="N19" s="20"/>
      <c r="O19" s="20">
        <v>50508.1</v>
      </c>
      <c r="P19" s="21"/>
      <c r="Q19" s="21">
        <v>50557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>
        <v>58.2</v>
      </c>
      <c r="G22" s="20">
        <v>58.2</v>
      </c>
      <c r="H22" s="21"/>
      <c r="I22" s="21">
        <v>59.2</v>
      </c>
      <c r="J22" s="20"/>
      <c r="K22" s="20">
        <v>57.7</v>
      </c>
      <c r="L22" s="21">
        <v>57.2</v>
      </c>
      <c r="M22" s="21">
        <v>57.3</v>
      </c>
      <c r="N22" s="20"/>
      <c r="O22" s="20">
        <v>58.7</v>
      </c>
      <c r="P22" s="21"/>
      <c r="Q22" s="21">
        <v>59.1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>
        <v>0.52</v>
      </c>
      <c r="G23" s="20">
        <v>0.53</v>
      </c>
      <c r="H23" s="21"/>
      <c r="I23" s="21">
        <v>0.49</v>
      </c>
      <c r="J23" s="20"/>
      <c r="K23" s="20">
        <v>0.59</v>
      </c>
      <c r="L23" s="21">
        <v>0.52</v>
      </c>
      <c r="M23" s="21">
        <v>0.52</v>
      </c>
      <c r="N23" s="20"/>
      <c r="O23" s="20">
        <v>0.48</v>
      </c>
      <c r="P23" s="21"/>
      <c r="Q23" s="21">
        <v>0.5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>
        <v>45</v>
      </c>
      <c r="G25" s="20">
        <v>44.9</v>
      </c>
      <c r="H25" s="21"/>
      <c r="I25" s="21">
        <v>45</v>
      </c>
      <c r="J25" s="20"/>
      <c r="K25" s="20">
        <v>45</v>
      </c>
      <c r="L25" s="21">
        <v>45</v>
      </c>
      <c r="M25" s="21">
        <v>45.1</v>
      </c>
      <c r="N25" s="20"/>
      <c r="O25" s="20">
        <v>44.9</v>
      </c>
      <c r="P25" s="21"/>
      <c r="Q25" s="21">
        <v>45.1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0.23</v>
      </c>
      <c r="H26" s="21"/>
      <c r="I26" s="21">
        <v>0.21</v>
      </c>
      <c r="J26" s="20"/>
      <c r="K26" s="20">
        <v>0.23</v>
      </c>
      <c r="L26" s="21">
        <v>0.22</v>
      </c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>
        <v>4</v>
      </c>
      <c r="G27" s="20">
        <v>4.4000000000000004</v>
      </c>
      <c r="H27" s="21"/>
      <c r="I27" s="21">
        <v>3.1</v>
      </c>
      <c r="J27" s="20"/>
      <c r="K27" s="20">
        <v>4.4000000000000004</v>
      </c>
      <c r="L27" s="21">
        <v>3.7</v>
      </c>
      <c r="M27" s="21">
        <v>3.9</v>
      </c>
      <c r="N27" s="20"/>
      <c r="O27" s="20">
        <v>4.4000000000000004</v>
      </c>
      <c r="P27" s="21"/>
      <c r="Q27" s="21">
        <v>4.7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>
        <v>3.4</v>
      </c>
      <c r="G28" s="20">
        <v>3.9</v>
      </c>
      <c r="H28" s="21"/>
      <c r="I28" s="21">
        <v>2.2999999999999998</v>
      </c>
      <c r="J28" s="20"/>
      <c r="K28" s="20">
        <v>3.5</v>
      </c>
      <c r="L28" s="21">
        <v>2.9</v>
      </c>
      <c r="M28" s="21">
        <v>2.9</v>
      </c>
      <c r="N28" s="20"/>
      <c r="O28" s="20">
        <v>3.3</v>
      </c>
      <c r="P28" s="21"/>
      <c r="Q28" s="21">
        <v>3.7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0.89999999999999991</v>
      </c>
      <c r="G29" s="27">
        <f>G32-G28</f>
        <v>0.89999999999999991</v>
      </c>
      <c r="H29" s="27">
        <f t="shared" ref="H29:Q29" si="0">H32-H28</f>
        <v>0</v>
      </c>
      <c r="I29" s="27">
        <f t="shared" si="0"/>
        <v>2.5</v>
      </c>
      <c r="J29" s="27">
        <f t="shared" si="0"/>
        <v>0</v>
      </c>
      <c r="K29" s="27">
        <f t="shared" si="0"/>
        <v>0.70000000000000018</v>
      </c>
      <c r="L29" s="27">
        <f>L32-L28</f>
        <v>1.1000000000000001</v>
      </c>
      <c r="M29" s="27">
        <f>M32-M28</f>
        <v>1.1999999999999997</v>
      </c>
      <c r="N29" s="27">
        <f>N32-N28</f>
        <v>0</v>
      </c>
      <c r="O29" s="27">
        <f>O32-O28</f>
        <v>1.2000000000000002</v>
      </c>
      <c r="P29" s="27">
        <f t="shared" si="0"/>
        <v>0</v>
      </c>
      <c r="Q29" s="27">
        <f t="shared" si="0"/>
        <v>1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>
        <v>633.04</v>
      </c>
      <c r="G30" s="20">
        <v>659.4</v>
      </c>
      <c r="H30" s="21"/>
      <c r="I30" s="21">
        <v>640.5</v>
      </c>
      <c r="J30" s="20"/>
      <c r="K30" s="20">
        <v>646.79999999999995</v>
      </c>
      <c r="L30" s="21">
        <v>641.20000000000005</v>
      </c>
      <c r="M30" s="21">
        <v>629.9</v>
      </c>
      <c r="N30" s="20"/>
      <c r="O30" s="20">
        <v>642</v>
      </c>
      <c r="P30" s="21"/>
      <c r="Q30" s="21">
        <v>643.29999999999995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>
        <v>13.6</v>
      </c>
      <c r="G31" s="20">
        <v>13.6</v>
      </c>
      <c r="H31" s="21"/>
      <c r="I31" s="21">
        <v>13.6</v>
      </c>
      <c r="J31" s="20"/>
      <c r="K31" s="20">
        <v>13.2</v>
      </c>
      <c r="L31" s="21">
        <v>13.2</v>
      </c>
      <c r="M31" s="21">
        <v>13.3</v>
      </c>
      <c r="N31" s="20"/>
      <c r="O31" s="20">
        <v>13.7</v>
      </c>
      <c r="P31" s="21"/>
      <c r="Q31" s="21">
        <v>13.4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>
        <v>4.3</v>
      </c>
      <c r="G32" s="20">
        <v>4.8</v>
      </c>
      <c r="H32" s="21"/>
      <c r="I32" s="21">
        <v>4.8</v>
      </c>
      <c r="J32" s="20"/>
      <c r="K32" s="20">
        <v>4.2</v>
      </c>
      <c r="L32" s="21">
        <v>4</v>
      </c>
      <c r="M32" s="21">
        <v>4.0999999999999996</v>
      </c>
      <c r="N32" s="20"/>
      <c r="O32" s="20">
        <v>4.5</v>
      </c>
      <c r="P32" s="21"/>
      <c r="Q32" s="21">
        <v>4.7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9.3000000000000007</v>
      </c>
      <c r="G33" s="27">
        <f>G31-G32</f>
        <v>8.8000000000000007</v>
      </c>
      <c r="H33" s="27">
        <f t="shared" ref="H33:Q33" si="1">H31-H32</f>
        <v>0</v>
      </c>
      <c r="I33" s="27">
        <f t="shared" si="1"/>
        <v>8.8000000000000007</v>
      </c>
      <c r="J33" s="27">
        <f t="shared" si="1"/>
        <v>0</v>
      </c>
      <c r="K33" s="27">
        <f t="shared" si="1"/>
        <v>9</v>
      </c>
      <c r="L33" s="27">
        <f>L31-L32</f>
        <v>9.1999999999999993</v>
      </c>
      <c r="M33" s="27">
        <f>M31-M32</f>
        <v>9.2000000000000011</v>
      </c>
      <c r="N33" s="27">
        <f>N31-N32</f>
        <v>0</v>
      </c>
      <c r="O33" s="27">
        <f>O31-O32</f>
        <v>9.1999999999999993</v>
      </c>
      <c r="P33" s="27">
        <f t="shared" si="1"/>
        <v>0</v>
      </c>
      <c r="Q33" s="27">
        <f t="shared" si="1"/>
        <v>8.6999999999999993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6798.2355658198612</v>
      </c>
      <c r="G34" s="28">
        <f>(G33*G30)/0.866</f>
        <v>6700.600461893765</v>
      </c>
      <c r="H34" s="28">
        <f t="shared" ref="H34:Q34" si="2">(H33*H30)/0.866</f>
        <v>0</v>
      </c>
      <c r="I34" s="28">
        <f t="shared" si="2"/>
        <v>6508.545034642033</v>
      </c>
      <c r="J34" s="28">
        <f t="shared" si="2"/>
        <v>0</v>
      </c>
      <c r="K34" s="28">
        <f t="shared" si="2"/>
        <v>6721.9399538106236</v>
      </c>
      <c r="L34" s="28">
        <f>(L33*L30)/0.866</f>
        <v>6811.8244803695152</v>
      </c>
      <c r="M34" s="28">
        <f>(M33*M30)/0.866</f>
        <v>6691.7782909930729</v>
      </c>
      <c r="N34" s="28">
        <f>(N33*N30)/0.866</f>
        <v>0</v>
      </c>
      <c r="O34" s="28">
        <f>(O33*O30)/0.866</f>
        <v>6820.3233256351032</v>
      </c>
      <c r="P34" s="28">
        <f t="shared" si="2"/>
        <v>0</v>
      </c>
      <c r="Q34" s="28">
        <f t="shared" si="2"/>
        <v>6462.7136258660503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>
        <v>0.81</v>
      </c>
      <c r="G35" s="20">
        <v>0.82</v>
      </c>
      <c r="H35" s="21"/>
      <c r="I35" s="21">
        <v>0.84</v>
      </c>
      <c r="J35" s="20"/>
      <c r="K35" s="20">
        <v>0.83</v>
      </c>
      <c r="L35" s="21">
        <v>0.81</v>
      </c>
      <c r="M35" s="21">
        <v>0.82</v>
      </c>
      <c r="N35" s="20"/>
      <c r="O35" s="20">
        <v>0.82</v>
      </c>
      <c r="P35" s="21"/>
      <c r="Q35" s="21">
        <v>0.83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>
        <v>35.299999999999997</v>
      </c>
      <c r="G36" s="20">
        <v>35.9</v>
      </c>
      <c r="H36" s="21"/>
      <c r="I36" s="21">
        <v>36.299999999999997</v>
      </c>
      <c r="J36" s="20"/>
      <c r="K36" s="20">
        <v>36.299999999999997</v>
      </c>
      <c r="L36" s="21">
        <v>35.5</v>
      </c>
      <c r="M36" s="21">
        <v>36.200000000000003</v>
      </c>
      <c r="N36" s="20"/>
      <c r="O36" s="20">
        <v>35.700000000000003</v>
      </c>
      <c r="P36" s="21"/>
      <c r="Q36" s="21">
        <v>36.1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>
        <v>36</v>
      </c>
      <c r="G37" s="20">
        <v>36.4</v>
      </c>
      <c r="H37" s="21"/>
      <c r="I37" s="21">
        <v>37.299999999999997</v>
      </c>
      <c r="J37" s="20"/>
      <c r="K37" s="20">
        <v>37</v>
      </c>
      <c r="L37" s="21">
        <v>36.1</v>
      </c>
      <c r="M37" s="21">
        <v>36.6</v>
      </c>
      <c r="N37" s="20"/>
      <c r="O37" s="20">
        <v>36</v>
      </c>
      <c r="P37" s="21"/>
      <c r="Q37" s="21">
        <v>36.9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2.5</v>
      </c>
      <c r="G38" s="27">
        <f>G37-G41</f>
        <v>1.6000000000000014</v>
      </c>
      <c r="H38" s="27">
        <f t="shared" ref="H38:Q38" si="3">H37-H41</f>
        <v>0</v>
      </c>
      <c r="I38" s="27">
        <f t="shared" si="3"/>
        <v>3.1999999999999957</v>
      </c>
      <c r="J38" s="27">
        <f t="shared" si="3"/>
        <v>0</v>
      </c>
      <c r="K38" s="27">
        <f t="shared" si="3"/>
        <v>2.1000000000000014</v>
      </c>
      <c r="L38" s="27">
        <f>L37-L41</f>
        <v>3</v>
      </c>
      <c r="M38" s="27">
        <f>M37-M41</f>
        <v>2.2000000000000028</v>
      </c>
      <c r="N38" s="27">
        <f>N37-N41</f>
        <v>0</v>
      </c>
      <c r="O38" s="27">
        <f>O37-O41</f>
        <v>1.5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>
        <v>28.3</v>
      </c>
      <c r="G40" s="20">
        <v>29.4</v>
      </c>
      <c r="H40" s="21"/>
      <c r="I40" s="21">
        <v>29.3</v>
      </c>
      <c r="J40" s="20"/>
      <c r="K40" s="20">
        <v>29.5</v>
      </c>
      <c r="L40" s="21">
        <v>28</v>
      </c>
      <c r="M40" s="21">
        <v>29.4</v>
      </c>
      <c r="N40" s="20"/>
      <c r="O40" s="20">
        <v>29.1</v>
      </c>
      <c r="P40" s="21"/>
      <c r="Q40" s="21">
        <v>29.3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>
        <v>33.5</v>
      </c>
      <c r="G41" s="20">
        <v>34.799999999999997</v>
      </c>
      <c r="H41" s="21"/>
      <c r="I41" s="21">
        <v>34.1</v>
      </c>
      <c r="J41" s="20"/>
      <c r="K41" s="20">
        <v>34.9</v>
      </c>
      <c r="L41" s="21">
        <v>33.1</v>
      </c>
      <c r="M41" s="21">
        <v>34.4</v>
      </c>
      <c r="N41" s="20"/>
      <c r="O41" s="20">
        <v>34.5</v>
      </c>
      <c r="P41" s="21"/>
      <c r="Q41" s="21">
        <v>34.4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5.1999999999999993</v>
      </c>
      <c r="G42" s="27">
        <f>G41-G40</f>
        <v>5.3999999999999986</v>
      </c>
      <c r="H42" s="27">
        <f t="shared" ref="H42:Q42" si="4">H41-H40</f>
        <v>0</v>
      </c>
      <c r="I42" s="27">
        <f t="shared" si="4"/>
        <v>4.8000000000000007</v>
      </c>
      <c r="J42" s="27">
        <f t="shared" si="4"/>
        <v>0</v>
      </c>
      <c r="K42" s="27">
        <f t="shared" si="4"/>
        <v>5.3999999999999986</v>
      </c>
      <c r="L42" s="27">
        <f>L41-L40</f>
        <v>5.1000000000000014</v>
      </c>
      <c r="M42" s="27">
        <f>M41-M40</f>
        <v>5</v>
      </c>
      <c r="N42" s="27">
        <f>N41-N40</f>
        <v>0</v>
      </c>
      <c r="O42" s="27">
        <f>O41-O40</f>
        <v>5.3999999999999986</v>
      </c>
      <c r="P42" s="27">
        <f t="shared" si="4"/>
        <v>0</v>
      </c>
      <c r="Q42" s="27">
        <f t="shared" si="4"/>
        <v>5.0999999999999979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>
        <v>1296.4000000000001</v>
      </c>
      <c r="G43" s="20">
        <v>1304.5</v>
      </c>
      <c r="H43" s="21"/>
      <c r="I43" s="21">
        <v>1295.3</v>
      </c>
      <c r="J43" s="20"/>
      <c r="K43" s="20">
        <v>1292.9000000000001</v>
      </c>
      <c r="L43" s="21">
        <v>1293.74</v>
      </c>
      <c r="M43" s="20">
        <v>1298.5999999999999</v>
      </c>
      <c r="N43" s="20"/>
      <c r="O43" s="20">
        <v>1298.5</v>
      </c>
      <c r="P43" s="21"/>
      <c r="Q43" s="21">
        <v>1297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7784.3879907621249</v>
      </c>
      <c r="G44" s="28">
        <f>G42*G43/0.866</f>
        <v>8134.2956120092358</v>
      </c>
      <c r="H44" s="28">
        <f t="shared" ref="H44:Q44" si="5">H42*H43/0.866</f>
        <v>0</v>
      </c>
      <c r="I44" s="28">
        <f t="shared" si="5"/>
        <v>7179.4919168591232</v>
      </c>
      <c r="J44" s="28">
        <f t="shared" si="5"/>
        <v>0</v>
      </c>
      <c r="K44" s="28">
        <f t="shared" si="5"/>
        <v>8061.9630484988438</v>
      </c>
      <c r="L44" s="28">
        <f>L42*L43/0.866</f>
        <v>7619.0230946882239</v>
      </c>
      <c r="M44" s="28">
        <f>M42*M43/0.866</f>
        <v>7497.6905311778291</v>
      </c>
      <c r="N44" s="28">
        <f>N42*N43/0.866</f>
        <v>0</v>
      </c>
      <c r="O44" s="28">
        <f>O42*O43/0.866</f>
        <v>8096.8822170900667</v>
      </c>
      <c r="P44" s="28">
        <f t="shared" si="5"/>
        <v>0</v>
      </c>
      <c r="Q44" s="28">
        <f t="shared" si="5"/>
        <v>7638.2217090069253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>
        <v>0.45</v>
      </c>
      <c r="G45" s="20">
        <v>0.47</v>
      </c>
      <c r="H45" s="21"/>
      <c r="I45" s="21">
        <v>0.46</v>
      </c>
      <c r="J45" s="20"/>
      <c r="K45" s="20">
        <v>0.46</v>
      </c>
      <c r="L45" s="21">
        <v>0.45</v>
      </c>
      <c r="M45" s="21">
        <v>0.46</v>
      </c>
      <c r="N45" s="20"/>
      <c r="O45" s="20">
        <v>0.46</v>
      </c>
      <c r="P45" s="21"/>
      <c r="Q45" s="21">
        <v>0.47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>
        <v>19.100000000000001</v>
      </c>
      <c r="G46" s="20">
        <v>20.100000000000001</v>
      </c>
      <c r="H46" s="21"/>
      <c r="I46" s="21">
        <v>19.8</v>
      </c>
      <c r="J46" s="20"/>
      <c r="K46" s="20">
        <v>19.8</v>
      </c>
      <c r="L46" s="21">
        <v>19.5</v>
      </c>
      <c r="M46" s="21">
        <v>19.7</v>
      </c>
      <c r="N46" s="20"/>
      <c r="O46" s="20">
        <v>19.2</v>
      </c>
      <c r="P46" s="21"/>
      <c r="Q46" s="21">
        <v>20.2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>
        <v>203.8</v>
      </c>
      <c r="G47" s="20">
        <v>197.2</v>
      </c>
      <c r="H47" s="21"/>
      <c r="I47" s="21">
        <v>128.1</v>
      </c>
      <c r="J47" s="20"/>
      <c r="K47" s="20">
        <v>204.5</v>
      </c>
      <c r="L47" s="21">
        <v>209.6</v>
      </c>
      <c r="M47" s="21">
        <v>203.3</v>
      </c>
      <c r="N47" s="20"/>
      <c r="O47" s="20">
        <v>158.80000000000001</v>
      </c>
      <c r="P47" s="21"/>
      <c r="Q47" s="21">
        <v>196.9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73">
        <v>5.89</v>
      </c>
      <c r="F49" s="20">
        <v>5.9</v>
      </c>
      <c r="G49" s="20">
        <v>5.68</v>
      </c>
      <c r="H49" s="21"/>
      <c r="I49" s="21">
        <v>5.58</v>
      </c>
      <c r="J49" s="20"/>
      <c r="K49" s="20">
        <v>5.57</v>
      </c>
      <c r="L49" s="21">
        <v>5.71</v>
      </c>
      <c r="M49" s="21">
        <v>5.63</v>
      </c>
      <c r="N49" s="20"/>
      <c r="O49" s="20">
        <v>5.59</v>
      </c>
      <c r="P49" s="21"/>
      <c r="Q49" s="21">
        <v>5.24</v>
      </c>
    </row>
    <row r="50" spans="2:17" ht="20.100000000000001" customHeight="1">
      <c r="B50" s="92" t="s">
        <v>91</v>
      </c>
      <c r="C50" s="92"/>
      <c r="D50" s="92"/>
      <c r="E50" s="73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72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F16" sqref="F16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45769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75" t="s">
        <v>18</v>
      </c>
      <c r="E10" s="15"/>
      <c r="F10" s="17"/>
      <c r="G10" s="17" t="s">
        <v>19</v>
      </c>
      <c r="H10" s="18"/>
      <c r="I10" s="18" t="s">
        <v>19</v>
      </c>
      <c r="J10" s="17"/>
      <c r="K10" s="17" t="s">
        <v>19</v>
      </c>
      <c r="L10" s="18"/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68.7</v>
      </c>
      <c r="H11" s="21"/>
      <c r="I11" s="21">
        <v>81.400000000000006</v>
      </c>
      <c r="J11" s="20"/>
      <c r="K11" s="20">
        <v>74</v>
      </c>
      <c r="L11" s="21"/>
      <c r="M11" s="21">
        <v>71.099999999999994</v>
      </c>
      <c r="N11" s="20"/>
      <c r="O11" s="20">
        <v>75.8</v>
      </c>
      <c r="P11" s="21"/>
      <c r="Q11" s="21">
        <v>74.599999999999994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0.6</v>
      </c>
      <c r="H12" s="21"/>
      <c r="I12" s="21">
        <v>0</v>
      </c>
      <c r="J12" s="20"/>
      <c r="K12" s="20">
        <v>0</v>
      </c>
      <c r="L12" s="21"/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63</v>
      </c>
      <c r="H13" s="21"/>
      <c r="I13" s="21">
        <v>77.5</v>
      </c>
      <c r="J13" s="20"/>
      <c r="K13" s="20">
        <v>68.5</v>
      </c>
      <c r="L13" s="21"/>
      <c r="M13" s="21">
        <v>65</v>
      </c>
      <c r="N13" s="20"/>
      <c r="O13" s="20">
        <v>71</v>
      </c>
      <c r="P13" s="21"/>
      <c r="Q13" s="21">
        <v>69.099999999999994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69.400000000000006</v>
      </c>
      <c r="H14" s="21"/>
      <c r="I14" s="21">
        <v>70.400000000000006</v>
      </c>
      <c r="J14" s="20"/>
      <c r="K14" s="20">
        <v>64.3</v>
      </c>
      <c r="L14" s="21"/>
      <c r="M14" s="21">
        <v>65.8</v>
      </c>
      <c r="N14" s="20"/>
      <c r="O14" s="20">
        <v>75.099999999999994</v>
      </c>
      <c r="P14" s="21"/>
      <c r="Q14" s="21">
        <v>73.900000000000006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41.3</v>
      </c>
      <c r="H15" s="21"/>
      <c r="I15" s="21">
        <v>56.4</v>
      </c>
      <c r="J15" s="20"/>
      <c r="K15" s="20">
        <v>41.5</v>
      </c>
      <c r="L15" s="21"/>
      <c r="M15" s="21">
        <v>32.299999999999997</v>
      </c>
      <c r="N15" s="20"/>
      <c r="O15" s="20">
        <v>40</v>
      </c>
      <c r="P15" s="21"/>
      <c r="Q15" s="21">
        <v>46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/>
      <c r="K16" s="20">
        <v>6.6</v>
      </c>
      <c r="L16" s="21"/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/>
      <c r="G17" s="20">
        <v>115.6</v>
      </c>
      <c r="H17" s="21"/>
      <c r="I17" s="21">
        <v>117.9</v>
      </c>
      <c r="J17" s="20"/>
      <c r="K17" s="20">
        <v>116.7</v>
      </c>
      <c r="L17" s="21"/>
      <c r="M17" s="21">
        <v>113.6</v>
      </c>
      <c r="N17" s="20"/>
      <c r="O17" s="20">
        <v>118.9</v>
      </c>
      <c r="P17" s="21"/>
      <c r="Q17" s="21">
        <v>118.8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/>
      <c r="G18" s="20">
        <v>1119</v>
      </c>
      <c r="H18" s="21"/>
      <c r="I18" s="21">
        <v>1186</v>
      </c>
      <c r="J18" s="20"/>
      <c r="K18" s="20">
        <v>1174</v>
      </c>
      <c r="L18" s="21"/>
      <c r="M18" s="21">
        <v>1146</v>
      </c>
      <c r="N18" s="20"/>
      <c r="O18" s="20">
        <v>1195</v>
      </c>
      <c r="P18" s="21"/>
      <c r="Q18" s="21">
        <v>1195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20028</v>
      </c>
      <c r="H19" s="21"/>
      <c r="I19" s="21">
        <v>51197.3</v>
      </c>
      <c r="J19" s="20"/>
      <c r="K19" s="20">
        <v>48969.5</v>
      </c>
      <c r="L19" s="21"/>
      <c r="M19" s="21">
        <v>51345.8</v>
      </c>
      <c r="N19" s="20"/>
      <c r="O19" s="20">
        <v>50517.7</v>
      </c>
      <c r="P19" s="21"/>
      <c r="Q19" s="21">
        <v>50566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/>
      <c r="G22" s="20">
        <v>58.1</v>
      </c>
      <c r="H22" s="21"/>
      <c r="I22" s="21">
        <v>58.9</v>
      </c>
      <c r="J22" s="20"/>
      <c r="K22" s="20">
        <v>57.7</v>
      </c>
      <c r="L22" s="21"/>
      <c r="M22" s="21">
        <v>57.2</v>
      </c>
      <c r="N22" s="20"/>
      <c r="O22" s="20">
        <v>58.5</v>
      </c>
      <c r="P22" s="21"/>
      <c r="Q22" s="21">
        <v>59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/>
      <c r="G23" s="20">
        <v>0.52</v>
      </c>
      <c r="H23" s="21"/>
      <c r="I23" s="21">
        <v>0.49</v>
      </c>
      <c r="J23" s="20"/>
      <c r="K23" s="20">
        <v>0.59</v>
      </c>
      <c r="L23" s="21"/>
      <c r="M23" s="21">
        <v>0.52</v>
      </c>
      <c r="N23" s="20"/>
      <c r="O23" s="20">
        <v>0.48</v>
      </c>
      <c r="P23" s="21"/>
      <c r="Q23" s="21">
        <v>0.49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/>
      <c r="G25" s="20">
        <v>45.1</v>
      </c>
      <c r="H25" s="21"/>
      <c r="I25" s="21">
        <v>45</v>
      </c>
      <c r="J25" s="20"/>
      <c r="K25" s="20">
        <v>45</v>
      </c>
      <c r="L25" s="21"/>
      <c r="M25" s="21">
        <v>45.1</v>
      </c>
      <c r="N25" s="20"/>
      <c r="O25" s="20">
        <v>45.1</v>
      </c>
      <c r="P25" s="21"/>
      <c r="Q25" s="21">
        <v>45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0.21</v>
      </c>
      <c r="J26" s="20"/>
      <c r="K26" s="20">
        <v>0.22</v>
      </c>
      <c r="L26" s="21"/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/>
      <c r="G27" s="20">
        <v>4.3</v>
      </c>
      <c r="H27" s="21"/>
      <c r="I27" s="21">
        <v>3</v>
      </c>
      <c r="J27" s="20"/>
      <c r="K27" s="20">
        <v>4.0999999999999996</v>
      </c>
      <c r="L27" s="21"/>
      <c r="M27" s="21">
        <v>3.8</v>
      </c>
      <c r="N27" s="20"/>
      <c r="O27" s="20">
        <v>4.3</v>
      </c>
      <c r="P27" s="21"/>
      <c r="Q27" s="21">
        <v>4.5999999999999996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/>
      <c r="G28" s="20">
        <v>3.8</v>
      </c>
      <c r="H28" s="21"/>
      <c r="I28" s="21">
        <v>2.1</v>
      </c>
      <c r="J28" s="20"/>
      <c r="K28" s="20">
        <v>3.4</v>
      </c>
      <c r="L28" s="21"/>
      <c r="M28" s="21">
        <v>2.9</v>
      </c>
      <c r="N28" s="20"/>
      <c r="O28" s="20">
        <v>3.1</v>
      </c>
      <c r="P28" s="21"/>
      <c r="Q28" s="21">
        <v>3.6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/>
      <c r="G29" s="27">
        <f>G32-G28</f>
        <v>0.79999999999999982</v>
      </c>
      <c r="H29" s="27">
        <f t="shared" ref="H29:Q29" si="0">H32-H28</f>
        <v>0</v>
      </c>
      <c r="I29" s="27">
        <f t="shared" si="0"/>
        <v>2.6999999999999997</v>
      </c>
      <c r="J29" s="27">
        <f t="shared" si="0"/>
        <v>0</v>
      </c>
      <c r="K29" s="27">
        <f t="shared" si="0"/>
        <v>0.69999999999999973</v>
      </c>
      <c r="L29" s="27">
        <f>L32-L28</f>
        <v>0</v>
      </c>
      <c r="M29" s="27">
        <f>M32-M28</f>
        <v>1.1999999999999997</v>
      </c>
      <c r="N29" s="27">
        <f>N32-N28</f>
        <v>0</v>
      </c>
      <c r="O29" s="27">
        <f>O32-O28</f>
        <v>1.4</v>
      </c>
      <c r="P29" s="27">
        <f t="shared" si="0"/>
        <v>0</v>
      </c>
      <c r="Q29" s="27">
        <f t="shared" si="0"/>
        <v>1.1000000000000001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/>
      <c r="G30" s="20">
        <v>669</v>
      </c>
      <c r="H30" s="21"/>
      <c r="I30" s="21">
        <v>650.6</v>
      </c>
      <c r="J30" s="20"/>
      <c r="K30" s="20">
        <v>644.87</v>
      </c>
      <c r="L30" s="21"/>
      <c r="M30" s="21">
        <v>629.9</v>
      </c>
      <c r="N30" s="20"/>
      <c r="O30" s="20">
        <v>642</v>
      </c>
      <c r="P30" s="21"/>
      <c r="Q30" s="21">
        <v>642.79999999999995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/>
      <c r="G31" s="20">
        <v>13.7</v>
      </c>
      <c r="H31" s="21"/>
      <c r="I31" s="21">
        <v>13.7</v>
      </c>
      <c r="J31" s="20"/>
      <c r="K31" s="20">
        <v>13.3</v>
      </c>
      <c r="L31" s="21"/>
      <c r="M31" s="21">
        <v>13</v>
      </c>
      <c r="N31" s="20"/>
      <c r="O31" s="20">
        <v>13.7</v>
      </c>
      <c r="P31" s="21"/>
      <c r="Q31" s="21">
        <v>13.4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/>
      <c r="G32" s="20">
        <v>4.5999999999999996</v>
      </c>
      <c r="H32" s="21"/>
      <c r="I32" s="21">
        <v>4.8</v>
      </c>
      <c r="J32" s="20"/>
      <c r="K32" s="20">
        <v>4.0999999999999996</v>
      </c>
      <c r="L32" s="21"/>
      <c r="M32" s="21">
        <v>4.0999999999999996</v>
      </c>
      <c r="N32" s="20"/>
      <c r="O32" s="20">
        <v>4.5</v>
      </c>
      <c r="P32" s="21"/>
      <c r="Q32" s="21">
        <v>4.7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9.1</v>
      </c>
      <c r="H33" s="27">
        <f t="shared" ref="H33:Q33" si="1">H31-H32</f>
        <v>0</v>
      </c>
      <c r="I33" s="27">
        <f t="shared" si="1"/>
        <v>8.8999999999999986</v>
      </c>
      <c r="J33" s="27">
        <f t="shared" si="1"/>
        <v>0</v>
      </c>
      <c r="K33" s="27">
        <f t="shared" si="1"/>
        <v>9.2000000000000011</v>
      </c>
      <c r="L33" s="27">
        <f>L31-L32</f>
        <v>0</v>
      </c>
      <c r="M33" s="27">
        <f>M31-M32</f>
        <v>8.9</v>
      </c>
      <c r="N33" s="27">
        <f>N31-N32</f>
        <v>0</v>
      </c>
      <c r="O33" s="27">
        <f>O31-O32</f>
        <v>9.1999999999999993</v>
      </c>
      <c r="P33" s="27">
        <f t="shared" si="1"/>
        <v>0</v>
      </c>
      <c r="Q33" s="27">
        <f t="shared" si="1"/>
        <v>8.6999999999999993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7029.9076212471127</v>
      </c>
      <c r="H34" s="28">
        <f t="shared" ref="H34:Q34" si="2">(H33*H30)/0.866</f>
        <v>0</v>
      </c>
      <c r="I34" s="28">
        <f t="shared" si="2"/>
        <v>6686.3048498845255</v>
      </c>
      <c r="J34" s="28">
        <f t="shared" si="2"/>
        <v>0</v>
      </c>
      <c r="K34" s="28">
        <f t="shared" si="2"/>
        <v>6850.8129330254051</v>
      </c>
      <c r="L34" s="28">
        <f>(L33*L30)/0.866</f>
        <v>0</v>
      </c>
      <c r="M34" s="28">
        <f>(M33*M30)/0.866</f>
        <v>6473.5681293302541</v>
      </c>
      <c r="N34" s="28">
        <f>(N33*N30)/0.866</f>
        <v>0</v>
      </c>
      <c r="O34" s="28">
        <f>(O33*O30)/0.866</f>
        <v>6820.3233256351032</v>
      </c>
      <c r="P34" s="28">
        <f t="shared" si="2"/>
        <v>0</v>
      </c>
      <c r="Q34" s="28">
        <f t="shared" si="2"/>
        <v>6457.6905311778273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0.79</v>
      </c>
      <c r="H35" s="21"/>
      <c r="I35" s="21">
        <v>0.82</v>
      </c>
      <c r="J35" s="20"/>
      <c r="K35" s="20">
        <v>0.81</v>
      </c>
      <c r="L35" s="21"/>
      <c r="M35" s="21">
        <v>0.8</v>
      </c>
      <c r="N35" s="20"/>
      <c r="O35" s="20">
        <v>0.82</v>
      </c>
      <c r="P35" s="21"/>
      <c r="Q35" s="21">
        <v>0.81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/>
      <c r="G36" s="20">
        <v>35</v>
      </c>
      <c r="H36" s="21"/>
      <c r="I36" s="21">
        <v>35.5</v>
      </c>
      <c r="J36" s="20"/>
      <c r="K36" s="20">
        <v>35.4</v>
      </c>
      <c r="L36" s="21"/>
      <c r="M36" s="21">
        <v>35.1</v>
      </c>
      <c r="N36" s="20"/>
      <c r="O36" s="20">
        <v>35.700000000000003</v>
      </c>
      <c r="P36" s="21"/>
      <c r="Q36" s="21">
        <v>35.299999999999997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/>
      <c r="G37" s="20">
        <v>35.5</v>
      </c>
      <c r="H37" s="21"/>
      <c r="I37" s="21">
        <v>36.5</v>
      </c>
      <c r="J37" s="20"/>
      <c r="K37" s="20">
        <v>36.1</v>
      </c>
      <c r="L37" s="21"/>
      <c r="M37" s="21">
        <v>35.6</v>
      </c>
      <c r="N37" s="20"/>
      <c r="O37" s="20">
        <v>36</v>
      </c>
      <c r="P37" s="21"/>
      <c r="Q37" s="21">
        <v>36.1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1.7000000000000028</v>
      </c>
      <c r="H38" s="27">
        <f t="shared" ref="H38:Q38" si="3">H37-H41</f>
        <v>0</v>
      </c>
      <c r="I38" s="27">
        <f t="shared" si="3"/>
        <v>3.2999999999999972</v>
      </c>
      <c r="J38" s="27">
        <f t="shared" si="3"/>
        <v>0</v>
      </c>
      <c r="K38" s="27">
        <f t="shared" si="3"/>
        <v>2.2000000000000028</v>
      </c>
      <c r="L38" s="27">
        <f>L37-L41</f>
        <v>0</v>
      </c>
      <c r="M38" s="27">
        <f>M37-M41</f>
        <v>2.2000000000000028</v>
      </c>
      <c r="N38" s="27">
        <f>N37-N41</f>
        <v>0</v>
      </c>
      <c r="O38" s="27">
        <f>O37-O41</f>
        <v>1.5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/>
      <c r="G40" s="20">
        <v>28.5</v>
      </c>
      <c r="H40" s="21"/>
      <c r="I40" s="21">
        <v>28.3</v>
      </c>
      <c r="J40" s="20"/>
      <c r="K40" s="20">
        <v>28.4</v>
      </c>
      <c r="L40" s="21"/>
      <c r="M40" s="21">
        <v>28.2</v>
      </c>
      <c r="N40" s="20"/>
      <c r="O40" s="20">
        <v>29.1</v>
      </c>
      <c r="P40" s="21"/>
      <c r="Q40" s="21">
        <v>28.1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/>
      <c r="G41" s="20">
        <v>33.799999999999997</v>
      </c>
      <c r="H41" s="21"/>
      <c r="I41" s="21">
        <v>33.200000000000003</v>
      </c>
      <c r="J41" s="20"/>
      <c r="K41" s="20">
        <v>33.9</v>
      </c>
      <c r="L41" s="21"/>
      <c r="M41" s="21">
        <v>33.4</v>
      </c>
      <c r="N41" s="20"/>
      <c r="O41" s="20">
        <v>34.5</v>
      </c>
      <c r="P41" s="21"/>
      <c r="Q41" s="21">
        <v>33.6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5.2999999999999972</v>
      </c>
      <c r="H42" s="27">
        <f t="shared" ref="H42:Q42" si="4">H41-H40</f>
        <v>0</v>
      </c>
      <c r="I42" s="27">
        <f t="shared" si="4"/>
        <v>4.9000000000000021</v>
      </c>
      <c r="J42" s="27">
        <f t="shared" si="4"/>
        <v>0</v>
      </c>
      <c r="K42" s="27">
        <f t="shared" si="4"/>
        <v>5.5</v>
      </c>
      <c r="L42" s="27">
        <f>L41-L40</f>
        <v>0</v>
      </c>
      <c r="M42" s="27">
        <f>M41-M40</f>
        <v>5.1999999999999993</v>
      </c>
      <c r="N42" s="27">
        <f>N41-N40</f>
        <v>0</v>
      </c>
      <c r="O42" s="27">
        <f>O41-O40</f>
        <v>5.3999999999999986</v>
      </c>
      <c r="P42" s="27">
        <f t="shared" si="4"/>
        <v>0</v>
      </c>
      <c r="Q42" s="27">
        <f t="shared" si="4"/>
        <v>5.5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/>
      <c r="G43" s="20">
        <v>1297.5999999999999</v>
      </c>
      <c r="H43" s="21"/>
      <c r="I43" s="21">
        <v>1298.2</v>
      </c>
      <c r="J43" s="20"/>
      <c r="K43" s="20">
        <v>1295.9000000000001</v>
      </c>
      <c r="L43" s="21">
        <v>1293.74</v>
      </c>
      <c r="M43" s="20">
        <v>1298.5999999999999</v>
      </c>
      <c r="N43" s="20"/>
      <c r="O43" s="20">
        <v>1294.4000000000001</v>
      </c>
      <c r="P43" s="21"/>
      <c r="Q43" s="21">
        <v>1298.4000000000001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7941.4318706697413</v>
      </c>
      <c r="H44" s="28">
        <f t="shared" ref="H44:Q44" si="5">H42*H43/0.866</f>
        <v>0</v>
      </c>
      <c r="I44" s="28">
        <f t="shared" si="5"/>
        <v>7345.4734411085483</v>
      </c>
      <c r="J44" s="28">
        <f t="shared" si="5"/>
        <v>0</v>
      </c>
      <c r="K44" s="28">
        <f t="shared" si="5"/>
        <v>8230.311778290994</v>
      </c>
      <c r="L44" s="28">
        <f>L42*L43/0.866</f>
        <v>0</v>
      </c>
      <c r="M44" s="28">
        <f>M42*M43/0.866</f>
        <v>7797.598152424941</v>
      </c>
      <c r="N44" s="28">
        <f>N42*N43/0.866</f>
        <v>0</v>
      </c>
      <c r="O44" s="28">
        <f>O42*O43/0.866</f>
        <v>8071.3163972286357</v>
      </c>
      <c r="P44" s="28">
        <f t="shared" si="5"/>
        <v>0</v>
      </c>
      <c r="Q44" s="28">
        <f t="shared" si="5"/>
        <v>8246.189376443419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0.46</v>
      </c>
      <c r="H45" s="21"/>
      <c r="I45" s="21">
        <v>0.44</v>
      </c>
      <c r="J45" s="20"/>
      <c r="K45" s="20">
        <v>0.46</v>
      </c>
      <c r="L45" s="21"/>
      <c r="M45" s="21">
        <v>0.46</v>
      </c>
      <c r="N45" s="20"/>
      <c r="O45" s="20">
        <v>0.46</v>
      </c>
      <c r="P45" s="21"/>
      <c r="Q45" s="21">
        <v>0.46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/>
      <c r="G46" s="20">
        <v>19.5</v>
      </c>
      <c r="H46" s="21"/>
      <c r="I46" s="21">
        <v>18.600000000000001</v>
      </c>
      <c r="J46" s="20"/>
      <c r="K46" s="20">
        <v>19.3</v>
      </c>
      <c r="L46" s="21"/>
      <c r="M46" s="21">
        <v>19.600000000000001</v>
      </c>
      <c r="N46" s="20"/>
      <c r="O46" s="20">
        <v>19.2</v>
      </c>
      <c r="P46" s="21"/>
      <c r="Q46" s="21">
        <v>19.399999999999999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/>
      <c r="G47" s="20">
        <v>196.2</v>
      </c>
      <c r="H47" s="21"/>
      <c r="I47" s="21">
        <v>122.2</v>
      </c>
      <c r="J47" s="20"/>
      <c r="K47" s="20">
        <v>207.9</v>
      </c>
      <c r="L47" s="21"/>
      <c r="M47" s="21">
        <v>206.5</v>
      </c>
      <c r="N47" s="20"/>
      <c r="O47" s="20">
        <v>160.5</v>
      </c>
      <c r="P47" s="21"/>
      <c r="Q47" s="21">
        <v>204.6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75">
        <v>5.89</v>
      </c>
      <c r="F49" s="20"/>
      <c r="G49" s="20">
        <v>5.9</v>
      </c>
      <c r="H49" s="21"/>
      <c r="I49" s="21">
        <v>5.59</v>
      </c>
      <c r="J49" s="20"/>
      <c r="K49" s="20">
        <v>5.78</v>
      </c>
      <c r="L49" s="21"/>
      <c r="M49" s="21">
        <v>5.7</v>
      </c>
      <c r="N49" s="20"/>
      <c r="O49" s="20">
        <v>5.69</v>
      </c>
      <c r="P49" s="21"/>
      <c r="Q49" s="21">
        <v>5.35</v>
      </c>
    </row>
    <row r="50" spans="2:17" ht="20.100000000000001" customHeight="1">
      <c r="B50" s="92" t="s">
        <v>91</v>
      </c>
      <c r="C50" s="92"/>
      <c r="D50" s="92"/>
      <c r="E50" s="75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74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Q19" sqref="Q1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45770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77" t="s">
        <v>18</v>
      </c>
      <c r="E10" s="15"/>
      <c r="F10" s="17" t="s">
        <v>19</v>
      </c>
      <c r="G10" s="17" t="s">
        <v>19</v>
      </c>
      <c r="H10" s="18"/>
      <c r="I10" s="18" t="s">
        <v>19</v>
      </c>
      <c r="J10" s="17"/>
      <c r="K10" s="17" t="s">
        <v>19</v>
      </c>
      <c r="L10" s="18" t="s">
        <v>19</v>
      </c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77.400000000000006</v>
      </c>
      <c r="G11" s="20">
        <v>66.900000000000006</v>
      </c>
      <c r="H11" s="21"/>
      <c r="I11" s="21">
        <v>77.900000000000006</v>
      </c>
      <c r="J11" s="20"/>
      <c r="K11" s="20">
        <v>72.7</v>
      </c>
      <c r="L11" s="21">
        <v>68.599999999999994</v>
      </c>
      <c r="M11" s="21">
        <v>71.3</v>
      </c>
      <c r="N11" s="20"/>
      <c r="O11" s="20">
        <v>74</v>
      </c>
      <c r="P11" s="21"/>
      <c r="Q11" s="21">
        <v>73.7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0.8</v>
      </c>
      <c r="G12" s="20">
        <v>0.8</v>
      </c>
      <c r="H12" s="21"/>
      <c r="I12" s="21">
        <v>0</v>
      </c>
      <c r="J12" s="20"/>
      <c r="K12" s="20">
        <v>0</v>
      </c>
      <c r="L12" s="21">
        <v>0.1</v>
      </c>
      <c r="M12" s="21">
        <v>0.1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72.2</v>
      </c>
      <c r="G13" s="20">
        <v>59.8</v>
      </c>
      <c r="H13" s="21"/>
      <c r="I13" s="21">
        <v>75.3</v>
      </c>
      <c r="J13" s="20"/>
      <c r="K13" s="20">
        <v>67.599999999999994</v>
      </c>
      <c r="L13" s="21">
        <v>64</v>
      </c>
      <c r="M13" s="21">
        <v>68.099999999999994</v>
      </c>
      <c r="N13" s="20"/>
      <c r="O13" s="20">
        <v>68.099999999999994</v>
      </c>
      <c r="P13" s="21"/>
      <c r="Q13" s="21">
        <v>67.8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67.599999999999994</v>
      </c>
      <c r="G14" s="20">
        <v>70.3</v>
      </c>
      <c r="H14" s="21"/>
      <c r="I14" s="21">
        <v>70.400000000000006</v>
      </c>
      <c r="J14" s="20"/>
      <c r="K14" s="20">
        <v>63.9</v>
      </c>
      <c r="L14" s="21">
        <v>67</v>
      </c>
      <c r="M14" s="21">
        <v>65.2</v>
      </c>
      <c r="N14" s="20"/>
      <c r="O14" s="20">
        <v>74.5</v>
      </c>
      <c r="P14" s="21"/>
      <c r="Q14" s="21">
        <v>73.599999999999994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42</v>
      </c>
      <c r="G15" s="20">
        <v>34.799999999999997</v>
      </c>
      <c r="H15" s="21"/>
      <c r="I15" s="21">
        <v>50.5</v>
      </c>
      <c r="J15" s="20"/>
      <c r="K15" s="20">
        <v>37.1</v>
      </c>
      <c r="L15" s="21">
        <v>33.4</v>
      </c>
      <c r="M15" s="21">
        <v>33.4</v>
      </c>
      <c r="N15" s="20"/>
      <c r="O15" s="20">
        <v>53.5</v>
      </c>
      <c r="P15" s="21"/>
      <c r="Q15" s="21">
        <v>42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66.599999999999994</v>
      </c>
      <c r="H16" s="21"/>
      <c r="I16" s="21">
        <v>6.6</v>
      </c>
      <c r="J16" s="20"/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>
        <v>119.1</v>
      </c>
      <c r="G17" s="20">
        <v>114.4</v>
      </c>
      <c r="H17" s="21"/>
      <c r="I17" s="21">
        <v>116.4</v>
      </c>
      <c r="J17" s="20"/>
      <c r="K17" s="20">
        <v>116.1</v>
      </c>
      <c r="L17" s="21">
        <v>108.8</v>
      </c>
      <c r="M17" s="21">
        <v>114.2</v>
      </c>
      <c r="N17" s="20"/>
      <c r="O17" s="20">
        <v>117</v>
      </c>
      <c r="P17" s="21"/>
      <c r="Q17" s="21">
        <v>117.9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>
        <v>1174</v>
      </c>
      <c r="G18" s="20">
        <v>1130</v>
      </c>
      <c r="H18" s="21"/>
      <c r="I18" s="21">
        <v>1182</v>
      </c>
      <c r="J18" s="20"/>
      <c r="K18" s="20">
        <v>1172</v>
      </c>
      <c r="L18" s="21">
        <v>1115</v>
      </c>
      <c r="M18" s="21">
        <v>1161</v>
      </c>
      <c r="N18" s="20"/>
      <c r="O18" s="20">
        <v>1190</v>
      </c>
      <c r="P18" s="21"/>
      <c r="Q18" s="21">
        <v>1200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>
        <v>50046.3</v>
      </c>
      <c r="G19" s="20">
        <v>50036.6</v>
      </c>
      <c r="H19" s="21"/>
      <c r="I19" s="21">
        <v>51206</v>
      </c>
      <c r="J19" s="20"/>
      <c r="K19" s="20">
        <v>48984.5</v>
      </c>
      <c r="L19" s="21">
        <v>51364.4</v>
      </c>
      <c r="M19" s="21">
        <v>51354.7</v>
      </c>
      <c r="N19" s="20"/>
      <c r="O19" s="20">
        <v>50535.6</v>
      </c>
      <c r="P19" s="21"/>
      <c r="Q19" s="21">
        <v>50575.7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>
        <v>58.2</v>
      </c>
      <c r="G22" s="20">
        <v>59.6</v>
      </c>
      <c r="H22" s="21"/>
      <c r="I22" s="21">
        <v>59.3</v>
      </c>
      <c r="J22" s="20"/>
      <c r="K22" s="20">
        <v>57.7</v>
      </c>
      <c r="L22" s="21">
        <v>57.2</v>
      </c>
      <c r="M22" s="21">
        <v>57.4</v>
      </c>
      <c r="N22" s="20"/>
      <c r="O22" s="20">
        <v>58.6</v>
      </c>
      <c r="P22" s="21"/>
      <c r="Q22" s="21">
        <v>59.1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>
        <v>0.52</v>
      </c>
      <c r="G23" s="20">
        <v>0.53</v>
      </c>
      <c r="H23" s="21"/>
      <c r="I23" s="21">
        <v>0.49</v>
      </c>
      <c r="J23" s="20"/>
      <c r="K23" s="20">
        <v>0.59</v>
      </c>
      <c r="L23" s="21">
        <v>0.52</v>
      </c>
      <c r="M23" s="21">
        <v>0.52</v>
      </c>
      <c r="N23" s="20"/>
      <c r="O23" s="20">
        <v>0.48</v>
      </c>
      <c r="P23" s="21"/>
      <c r="Q23" s="21">
        <v>0.49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>
        <v>45</v>
      </c>
      <c r="G25" s="20">
        <v>45.8</v>
      </c>
      <c r="H25" s="21"/>
      <c r="I25" s="21">
        <v>45.1</v>
      </c>
      <c r="J25" s="20"/>
      <c r="K25" s="20">
        <v>45</v>
      </c>
      <c r="L25" s="21">
        <v>45.1</v>
      </c>
      <c r="M25" s="21">
        <v>45.1</v>
      </c>
      <c r="N25" s="20"/>
      <c r="O25" s="20">
        <v>45</v>
      </c>
      <c r="P25" s="21"/>
      <c r="Q25" s="21">
        <v>44.9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>
        <v>0.22</v>
      </c>
      <c r="G26" s="20">
        <v>0.23</v>
      </c>
      <c r="H26" s="21"/>
      <c r="I26" s="21">
        <v>0.22</v>
      </c>
      <c r="J26" s="20"/>
      <c r="K26" s="20">
        <v>0.23</v>
      </c>
      <c r="L26" s="21">
        <v>0.22</v>
      </c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>
        <v>3.9</v>
      </c>
      <c r="G27" s="20">
        <v>4.5999999999999996</v>
      </c>
      <c r="H27" s="21"/>
      <c r="I27" s="21">
        <v>3.3</v>
      </c>
      <c r="J27" s="20"/>
      <c r="K27" s="20">
        <v>4.0999999999999996</v>
      </c>
      <c r="L27" s="21">
        <v>3.7</v>
      </c>
      <c r="M27" s="21">
        <v>3.6</v>
      </c>
      <c r="N27" s="20"/>
      <c r="O27" s="20">
        <v>4.3</v>
      </c>
      <c r="P27" s="21"/>
      <c r="Q27" s="21">
        <v>4.7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>
        <v>3.3</v>
      </c>
      <c r="G28" s="20">
        <v>4</v>
      </c>
      <c r="H28" s="21"/>
      <c r="I28" s="21">
        <v>2.5</v>
      </c>
      <c r="J28" s="20"/>
      <c r="K28" s="20">
        <v>3.3</v>
      </c>
      <c r="L28" s="21">
        <v>2.6</v>
      </c>
      <c r="M28" s="21">
        <v>2.7</v>
      </c>
      <c r="N28" s="20"/>
      <c r="O28" s="20">
        <v>3.2</v>
      </c>
      <c r="P28" s="21"/>
      <c r="Q28" s="21">
        <v>3.7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/>
      <c r="G29" s="27">
        <f>G32-G28</f>
        <v>1</v>
      </c>
      <c r="H29" s="27">
        <f t="shared" ref="H29:Q29" si="0">H32-H28</f>
        <v>0</v>
      </c>
      <c r="I29" s="27">
        <f t="shared" si="0"/>
        <v>2.2000000000000002</v>
      </c>
      <c r="J29" s="27">
        <f t="shared" si="0"/>
        <v>0</v>
      </c>
      <c r="K29" s="27">
        <f t="shared" si="0"/>
        <v>0.79999999999999982</v>
      </c>
      <c r="L29" s="27">
        <f>L32-L28</f>
        <v>1.1999999999999997</v>
      </c>
      <c r="M29" s="27">
        <f>M32-M28</f>
        <v>1.1999999999999997</v>
      </c>
      <c r="N29" s="27">
        <f>N32-N28</f>
        <v>0</v>
      </c>
      <c r="O29" s="27">
        <f>O32-O28</f>
        <v>1.2999999999999998</v>
      </c>
      <c r="P29" s="27">
        <f t="shared" si="0"/>
        <v>0</v>
      </c>
      <c r="Q29" s="27">
        <f t="shared" si="0"/>
        <v>1.0999999999999996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>
        <v>697.6</v>
      </c>
      <c r="G30" s="20">
        <v>639.29999999999995</v>
      </c>
      <c r="H30" s="21"/>
      <c r="I30" s="21">
        <v>645.79999999999995</v>
      </c>
      <c r="J30" s="20"/>
      <c r="K30" s="20">
        <v>640.9</v>
      </c>
      <c r="L30" s="21">
        <v>624.9</v>
      </c>
      <c r="M30" s="21">
        <v>630.79999999999995</v>
      </c>
      <c r="N30" s="20"/>
      <c r="O30" s="20">
        <v>653.29999999999995</v>
      </c>
      <c r="P30" s="21"/>
      <c r="Q30" s="21">
        <v>638.9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>
        <v>13</v>
      </c>
      <c r="G31" s="20">
        <v>13.9</v>
      </c>
      <c r="H31" s="21"/>
      <c r="I31" s="21">
        <v>13.6</v>
      </c>
      <c r="J31" s="20"/>
      <c r="K31" s="20">
        <v>13</v>
      </c>
      <c r="L31" s="21">
        <v>13.2</v>
      </c>
      <c r="M31" s="21">
        <v>12.9</v>
      </c>
      <c r="N31" s="20"/>
      <c r="O31" s="20">
        <v>13.7</v>
      </c>
      <c r="P31" s="21"/>
      <c r="Q31" s="21">
        <v>13.4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>
        <v>4.4000000000000004</v>
      </c>
      <c r="G32" s="20">
        <v>5</v>
      </c>
      <c r="H32" s="21"/>
      <c r="I32" s="21">
        <v>4.7</v>
      </c>
      <c r="J32" s="20"/>
      <c r="K32" s="20">
        <v>4.0999999999999996</v>
      </c>
      <c r="L32" s="21">
        <v>3.8</v>
      </c>
      <c r="M32" s="21">
        <v>3.9</v>
      </c>
      <c r="N32" s="20"/>
      <c r="O32" s="20">
        <v>4.5</v>
      </c>
      <c r="P32" s="21"/>
      <c r="Q32" s="21">
        <v>4.8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8.6</v>
      </c>
      <c r="G33" s="27">
        <f>G31-G32</f>
        <v>8.9</v>
      </c>
      <c r="H33" s="27">
        <f t="shared" ref="H33:Q33" si="1">H31-H32</f>
        <v>0</v>
      </c>
      <c r="I33" s="27">
        <f t="shared" si="1"/>
        <v>8.8999999999999986</v>
      </c>
      <c r="J33" s="27">
        <f t="shared" si="1"/>
        <v>0</v>
      </c>
      <c r="K33" s="27">
        <f t="shared" si="1"/>
        <v>8.9</v>
      </c>
      <c r="L33" s="27">
        <f>L31-L32</f>
        <v>9.3999999999999986</v>
      </c>
      <c r="M33" s="27">
        <f>M31-M32</f>
        <v>9</v>
      </c>
      <c r="N33" s="27">
        <f>N31-N32</f>
        <v>0</v>
      </c>
      <c r="O33" s="27">
        <f>O31-O32</f>
        <v>9.1999999999999993</v>
      </c>
      <c r="P33" s="27">
        <f t="shared" si="1"/>
        <v>0</v>
      </c>
      <c r="Q33" s="27">
        <f t="shared" si="1"/>
        <v>8.6000000000000014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6927.6674364896071</v>
      </c>
      <c r="G34" s="28">
        <f>(G33*G30)/0.866</f>
        <v>6570.1732101616626</v>
      </c>
      <c r="H34" s="28">
        <f t="shared" ref="H34:Q34" si="2">(H33*H30)/0.866</f>
        <v>0</v>
      </c>
      <c r="I34" s="28">
        <f t="shared" si="2"/>
        <v>6636.9745958429548</v>
      </c>
      <c r="J34" s="28">
        <f t="shared" si="2"/>
        <v>0</v>
      </c>
      <c r="K34" s="28">
        <f t="shared" si="2"/>
        <v>6586.6166281755195</v>
      </c>
      <c r="L34" s="28">
        <f>(L33*L30)/0.866</f>
        <v>6782.9792147805992</v>
      </c>
      <c r="M34" s="28">
        <f>(M33*M30)/0.866</f>
        <v>6555.6581986143183</v>
      </c>
      <c r="N34" s="28">
        <f>(N33*N30)/0.866</f>
        <v>0</v>
      </c>
      <c r="O34" s="28">
        <f>(O33*O30)/0.866</f>
        <v>6940.3695150115464</v>
      </c>
      <c r="P34" s="28">
        <f t="shared" si="2"/>
        <v>0</v>
      </c>
      <c r="Q34" s="28">
        <f t="shared" si="2"/>
        <v>6344.734411085451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>
        <v>0.73</v>
      </c>
      <c r="G35" s="20">
        <v>0.82</v>
      </c>
      <c r="H35" s="21"/>
      <c r="I35" s="21">
        <v>0.84</v>
      </c>
      <c r="J35" s="20"/>
      <c r="K35" s="20">
        <v>0.83</v>
      </c>
      <c r="L35" s="21">
        <v>0.82</v>
      </c>
      <c r="M35" s="21">
        <v>0.82</v>
      </c>
      <c r="N35" s="20"/>
      <c r="O35" s="20">
        <v>0.81</v>
      </c>
      <c r="P35" s="21"/>
      <c r="Q35" s="21">
        <v>0.83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>
        <v>34.5</v>
      </c>
      <c r="G36" s="20">
        <v>36</v>
      </c>
      <c r="H36" s="21"/>
      <c r="I36" s="21">
        <v>36.4</v>
      </c>
      <c r="J36" s="20"/>
      <c r="K36" s="20">
        <v>36.299999999999997</v>
      </c>
      <c r="L36" s="21">
        <v>34.6</v>
      </c>
      <c r="M36" s="21">
        <v>36.1</v>
      </c>
      <c r="N36" s="20"/>
      <c r="O36" s="20">
        <v>35.6</v>
      </c>
      <c r="P36" s="21"/>
      <c r="Q36" s="21">
        <v>36.299999999999997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>
        <v>35.1</v>
      </c>
      <c r="G37" s="20">
        <v>36.4</v>
      </c>
      <c r="H37" s="21"/>
      <c r="I37" s="21">
        <v>37.4</v>
      </c>
      <c r="J37" s="20"/>
      <c r="K37" s="20">
        <v>37</v>
      </c>
      <c r="L37" s="21">
        <v>35</v>
      </c>
      <c r="M37" s="21">
        <v>36.6</v>
      </c>
      <c r="N37" s="20"/>
      <c r="O37" s="20">
        <v>36</v>
      </c>
      <c r="P37" s="21"/>
      <c r="Q37" s="21">
        <v>37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1.7000000000000028</v>
      </c>
      <c r="G38" s="27">
        <f>G37-G41</f>
        <v>1.6000000000000014</v>
      </c>
      <c r="H38" s="27">
        <f t="shared" ref="H38:Q38" si="3">H37-H41</f>
        <v>0</v>
      </c>
      <c r="I38" s="27">
        <f t="shared" si="3"/>
        <v>3.2999999999999972</v>
      </c>
      <c r="J38" s="27">
        <f t="shared" si="3"/>
        <v>0</v>
      </c>
      <c r="K38" s="27">
        <f t="shared" si="3"/>
        <v>2.1000000000000014</v>
      </c>
      <c r="L38" s="27">
        <f>L37-L41</f>
        <v>2.2000000000000028</v>
      </c>
      <c r="M38" s="27">
        <f>M37-M41</f>
        <v>2.2000000000000028</v>
      </c>
      <c r="N38" s="27">
        <f>N37-N41</f>
        <v>0</v>
      </c>
      <c r="O38" s="27">
        <f>O37-O41</f>
        <v>1.5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>
        <v>27.7</v>
      </c>
      <c r="G40" s="20">
        <v>29.5</v>
      </c>
      <c r="H40" s="21"/>
      <c r="I40" s="21">
        <v>29.4</v>
      </c>
      <c r="J40" s="20"/>
      <c r="K40" s="20">
        <v>29.5</v>
      </c>
      <c r="L40" s="21">
        <v>27.7</v>
      </c>
      <c r="M40" s="21">
        <v>29.4</v>
      </c>
      <c r="N40" s="20"/>
      <c r="O40" s="20">
        <v>29.3</v>
      </c>
      <c r="P40" s="21"/>
      <c r="Q40" s="21">
        <v>29.2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>
        <v>33.4</v>
      </c>
      <c r="G41" s="20">
        <v>34.799999999999997</v>
      </c>
      <c r="H41" s="21"/>
      <c r="I41" s="21">
        <v>34.1</v>
      </c>
      <c r="J41" s="20"/>
      <c r="K41" s="20">
        <v>34.9</v>
      </c>
      <c r="L41" s="21">
        <v>32.799999999999997</v>
      </c>
      <c r="M41" s="21">
        <v>34.4</v>
      </c>
      <c r="N41" s="20"/>
      <c r="O41" s="20">
        <v>34.5</v>
      </c>
      <c r="P41" s="21"/>
      <c r="Q41" s="21">
        <v>34.5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/>
      <c r="G42" s="27">
        <f>G41-G40</f>
        <v>5.2999999999999972</v>
      </c>
      <c r="H42" s="27">
        <f t="shared" ref="H42:Q42" si="4">H41-H40</f>
        <v>0</v>
      </c>
      <c r="I42" s="27">
        <f t="shared" si="4"/>
        <v>4.7000000000000028</v>
      </c>
      <c r="J42" s="27">
        <f t="shared" si="4"/>
        <v>0</v>
      </c>
      <c r="K42" s="27">
        <f t="shared" si="4"/>
        <v>5.3999999999999986</v>
      </c>
      <c r="L42" s="27">
        <f>L41-L40</f>
        <v>5.0999999999999979</v>
      </c>
      <c r="M42" s="27">
        <f>M41-M40</f>
        <v>5</v>
      </c>
      <c r="N42" s="27">
        <f>N41-N40</f>
        <v>0</v>
      </c>
      <c r="O42" s="27">
        <f>O41-O40</f>
        <v>5.1999999999999993</v>
      </c>
      <c r="P42" s="27">
        <f t="shared" si="4"/>
        <v>0</v>
      </c>
      <c r="Q42" s="27">
        <f t="shared" si="4"/>
        <v>5.3000000000000007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>
        <v>1290.3</v>
      </c>
      <c r="G43" s="20">
        <v>1302.0999999999999</v>
      </c>
      <c r="H43" s="21"/>
      <c r="I43" s="21">
        <v>1304.3</v>
      </c>
      <c r="J43" s="20"/>
      <c r="K43" s="20">
        <v>1299.4000000000001</v>
      </c>
      <c r="L43" s="21">
        <v>1291.5999999999999</v>
      </c>
      <c r="M43" s="20">
        <v>1298.2</v>
      </c>
      <c r="N43" s="20"/>
      <c r="O43" s="20">
        <v>1294.0999999999999</v>
      </c>
      <c r="P43" s="21"/>
      <c r="Q43" s="21">
        <v>1296.3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7968.972286374129</v>
      </c>
      <c r="H44" s="28">
        <f t="shared" ref="H44:Q44" si="5">H42*H43/0.866</f>
        <v>0</v>
      </c>
      <c r="I44" s="28">
        <f t="shared" si="5"/>
        <v>7078.7644341801433</v>
      </c>
      <c r="J44" s="28">
        <f t="shared" si="5"/>
        <v>0</v>
      </c>
      <c r="K44" s="28">
        <f t="shared" si="5"/>
        <v>8102.4942263279427</v>
      </c>
      <c r="L44" s="28">
        <f>L42*L43/0.866</f>
        <v>7606.4203233256321</v>
      </c>
      <c r="M44" s="28">
        <f>M42*M43/0.866</f>
        <v>7495.3810623556583</v>
      </c>
      <c r="N44" s="28">
        <f>N42*N43/0.866</f>
        <v>0</v>
      </c>
      <c r="O44" s="28">
        <f>O42*O43/0.866</f>
        <v>7770.5773672055411</v>
      </c>
      <c r="P44" s="28">
        <f t="shared" si="5"/>
        <v>0</v>
      </c>
      <c r="Q44" s="28">
        <f t="shared" si="5"/>
        <v>7933.4757505773678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>
        <v>0.45</v>
      </c>
      <c r="G45" s="20">
        <v>0.47</v>
      </c>
      <c r="H45" s="21"/>
      <c r="I45" s="21">
        <v>0.46</v>
      </c>
      <c r="J45" s="20"/>
      <c r="K45" s="20">
        <v>0.47</v>
      </c>
      <c r="L45" s="21">
        <v>0.45</v>
      </c>
      <c r="M45" s="21">
        <v>0.46</v>
      </c>
      <c r="N45" s="20"/>
      <c r="O45" s="20">
        <v>0.46</v>
      </c>
      <c r="P45" s="21"/>
      <c r="Q45" s="21">
        <v>0.47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>
        <v>18.899999999999999</v>
      </c>
      <c r="G46" s="20">
        <v>20.399999999999999</v>
      </c>
      <c r="H46" s="21"/>
      <c r="I46" s="21">
        <v>19.399999999999999</v>
      </c>
      <c r="J46" s="20"/>
      <c r="K46" s="20">
        <v>19.8</v>
      </c>
      <c r="L46" s="21">
        <v>18.8</v>
      </c>
      <c r="M46" s="21">
        <v>19.600000000000001</v>
      </c>
      <c r="N46" s="20"/>
      <c r="O46" s="20">
        <v>19.399999999999999</v>
      </c>
      <c r="P46" s="21"/>
      <c r="Q46" s="21">
        <v>20.100000000000001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>
        <v>191.1</v>
      </c>
      <c r="G47" s="20">
        <v>200.9</v>
      </c>
      <c r="H47" s="21"/>
      <c r="I47" s="21">
        <v>109.2</v>
      </c>
      <c r="J47" s="20"/>
      <c r="K47" s="20">
        <v>200.8</v>
      </c>
      <c r="L47" s="21">
        <v>213.9</v>
      </c>
      <c r="M47" s="21">
        <v>196.5</v>
      </c>
      <c r="N47" s="20"/>
      <c r="O47" s="20">
        <v>160.4</v>
      </c>
      <c r="P47" s="21"/>
      <c r="Q47" s="21">
        <v>192.2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77">
        <v>5.89</v>
      </c>
      <c r="F49" s="20">
        <v>5.67</v>
      </c>
      <c r="G49" s="20">
        <v>5.82</v>
      </c>
      <c r="H49" s="21"/>
      <c r="I49" s="21">
        <v>5.52</v>
      </c>
      <c r="J49" s="20"/>
      <c r="K49" s="20">
        <v>5.63</v>
      </c>
      <c r="L49" s="21">
        <v>5.87</v>
      </c>
      <c r="M49" s="21">
        <v>5.66</v>
      </c>
      <c r="N49" s="20"/>
      <c r="O49" s="20">
        <v>5.66</v>
      </c>
      <c r="P49" s="21"/>
      <c r="Q49" s="21">
        <v>5.22</v>
      </c>
    </row>
    <row r="50" spans="2:17" ht="20.100000000000001" customHeight="1">
      <c r="B50" s="92" t="s">
        <v>91</v>
      </c>
      <c r="C50" s="92"/>
      <c r="D50" s="92"/>
      <c r="E50" s="77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76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C1" zoomScale="85" zoomScaleNormal="60" workbookViewId="0">
      <selection activeCell="F19" sqref="F19:Q1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45771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79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71</v>
      </c>
      <c r="G11" s="20">
        <v>71.400000000000006</v>
      </c>
      <c r="H11" s="21"/>
      <c r="I11" s="21">
        <v>81.3</v>
      </c>
      <c r="J11" s="20"/>
      <c r="K11" s="20">
        <v>72</v>
      </c>
      <c r="L11" s="21">
        <v>75.599999999999994</v>
      </c>
      <c r="M11" s="21">
        <v>70.400000000000006</v>
      </c>
      <c r="N11" s="20"/>
      <c r="O11" s="20">
        <v>78.5</v>
      </c>
      <c r="P11" s="21"/>
      <c r="Q11" s="21">
        <v>74.900000000000006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0.1</v>
      </c>
      <c r="G12" s="20">
        <v>0.4</v>
      </c>
      <c r="H12" s="21"/>
      <c r="I12" s="21">
        <v>0</v>
      </c>
      <c r="J12" s="20"/>
      <c r="K12" s="20">
        <v>0</v>
      </c>
      <c r="L12" s="21">
        <v>0</v>
      </c>
      <c r="M12" s="21">
        <v>0.1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67.8</v>
      </c>
      <c r="G13" s="20">
        <v>66.3</v>
      </c>
      <c r="H13" s="21"/>
      <c r="I13" s="21">
        <v>77.099999999999994</v>
      </c>
      <c r="J13" s="20"/>
      <c r="K13" s="20">
        <v>68.2</v>
      </c>
      <c r="L13" s="21">
        <v>71.900000000000006</v>
      </c>
      <c r="M13" s="21">
        <v>65</v>
      </c>
      <c r="N13" s="20"/>
      <c r="O13" s="20">
        <v>74.099999999999994</v>
      </c>
      <c r="P13" s="21"/>
      <c r="Q13" s="21">
        <v>69.7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67.599999999999994</v>
      </c>
      <c r="G14" s="20">
        <v>69.5</v>
      </c>
      <c r="H14" s="21"/>
      <c r="I14" s="21">
        <v>70.400000000000006</v>
      </c>
      <c r="J14" s="20"/>
      <c r="K14" s="20">
        <v>64.7</v>
      </c>
      <c r="L14" s="21">
        <v>72.7</v>
      </c>
      <c r="M14" s="21">
        <v>66.5</v>
      </c>
      <c r="N14" s="20"/>
      <c r="O14" s="20">
        <v>74.8</v>
      </c>
      <c r="P14" s="21"/>
      <c r="Q14" s="21">
        <v>72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40</v>
      </c>
      <c r="G15" s="20">
        <v>42</v>
      </c>
      <c r="H15" s="21"/>
      <c r="I15" s="21">
        <v>56</v>
      </c>
      <c r="J15" s="20"/>
      <c r="K15" s="20">
        <v>42.1</v>
      </c>
      <c r="L15" s="21">
        <v>56.5</v>
      </c>
      <c r="M15" s="21">
        <v>34.9</v>
      </c>
      <c r="N15" s="20"/>
      <c r="O15" s="20">
        <v>58.2</v>
      </c>
      <c r="P15" s="21"/>
      <c r="Q15" s="21">
        <v>42.6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>
        <v>118.8</v>
      </c>
      <c r="G17" s="20">
        <v>115.9</v>
      </c>
      <c r="H17" s="21"/>
      <c r="I17" s="21">
        <v>116.7</v>
      </c>
      <c r="J17" s="20"/>
      <c r="K17" s="20">
        <v>114.6</v>
      </c>
      <c r="L17" s="21">
        <v>119.36</v>
      </c>
      <c r="M17" s="21">
        <v>111.9</v>
      </c>
      <c r="N17" s="20"/>
      <c r="O17" s="20">
        <v>118.9</v>
      </c>
      <c r="P17" s="21"/>
      <c r="Q17" s="21">
        <v>116.8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>
        <v>1164</v>
      </c>
      <c r="G18" s="20">
        <v>1125</v>
      </c>
      <c r="H18" s="21"/>
      <c r="I18" s="21">
        <v>1175</v>
      </c>
      <c r="J18" s="20"/>
      <c r="K18" s="20">
        <v>1153</v>
      </c>
      <c r="L18" s="21">
        <v>1207</v>
      </c>
      <c r="M18" s="21">
        <v>1133</v>
      </c>
      <c r="N18" s="20"/>
      <c r="O18" s="20">
        <v>1200</v>
      </c>
      <c r="P18" s="21"/>
      <c r="Q18" s="21">
        <v>1179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>
        <v>50068.3</v>
      </c>
      <c r="G19" s="20">
        <v>50056</v>
      </c>
      <c r="H19" s="21"/>
      <c r="I19" s="21">
        <v>51216</v>
      </c>
      <c r="J19" s="20"/>
      <c r="K19" s="20">
        <v>48995</v>
      </c>
      <c r="L19" s="21">
        <v>50556.3</v>
      </c>
      <c r="M19" s="21">
        <v>51379</v>
      </c>
      <c r="N19" s="20"/>
      <c r="O19" s="20">
        <v>50545.599999999999</v>
      </c>
      <c r="P19" s="21"/>
      <c r="Q19" s="21">
        <v>50585.7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>
        <v>58.4</v>
      </c>
      <c r="G22" s="20">
        <v>58</v>
      </c>
      <c r="H22" s="21"/>
      <c r="I22" s="21">
        <v>58.9</v>
      </c>
      <c r="J22" s="20"/>
      <c r="K22" s="20">
        <v>57.7</v>
      </c>
      <c r="L22" s="21">
        <v>58.5</v>
      </c>
      <c r="M22" s="21">
        <v>57.2</v>
      </c>
      <c r="N22" s="20"/>
      <c r="O22" s="20">
        <v>58.6</v>
      </c>
      <c r="P22" s="21"/>
      <c r="Q22" s="21">
        <v>59.1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>
        <v>0.53</v>
      </c>
      <c r="G23" s="20">
        <v>0.52</v>
      </c>
      <c r="H23" s="21"/>
      <c r="I23" s="21">
        <v>0.48</v>
      </c>
      <c r="J23" s="20"/>
      <c r="K23" s="20">
        <v>0.57999999999999996</v>
      </c>
      <c r="L23" s="21">
        <v>0.48</v>
      </c>
      <c r="M23" s="21">
        <v>0.52</v>
      </c>
      <c r="N23" s="20"/>
      <c r="O23" s="20">
        <v>0.56999999999999995</v>
      </c>
      <c r="P23" s="21"/>
      <c r="Q23" s="21">
        <v>0.49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>
        <v>44.8</v>
      </c>
      <c r="G25" s="20">
        <v>45</v>
      </c>
      <c r="H25" s="21"/>
      <c r="I25" s="21">
        <v>45</v>
      </c>
      <c r="J25" s="20"/>
      <c r="K25" s="20">
        <v>45.1</v>
      </c>
      <c r="L25" s="21">
        <v>45.6</v>
      </c>
      <c r="M25" s="21">
        <v>45</v>
      </c>
      <c r="N25" s="20"/>
      <c r="O25" s="20">
        <v>45</v>
      </c>
      <c r="P25" s="21"/>
      <c r="Q25" s="21">
        <v>44.9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0.21</v>
      </c>
      <c r="H26" s="21"/>
      <c r="I26" s="21">
        <v>0.21</v>
      </c>
      <c r="J26" s="20"/>
      <c r="K26" s="20">
        <v>0.23</v>
      </c>
      <c r="L26" s="21">
        <v>0.22</v>
      </c>
      <c r="M26" s="21">
        <v>0.22</v>
      </c>
      <c r="N26" s="20"/>
      <c r="O26" s="20">
        <v>0.22</v>
      </c>
      <c r="P26" s="21"/>
      <c r="Q26" s="21">
        <v>0.22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>
        <v>4.4000000000000004</v>
      </c>
      <c r="G27" s="20">
        <v>3.9</v>
      </c>
      <c r="H27" s="21"/>
      <c r="I27" s="21">
        <v>2.8</v>
      </c>
      <c r="J27" s="20"/>
      <c r="K27" s="20">
        <v>4</v>
      </c>
      <c r="L27" s="21">
        <v>4.5</v>
      </c>
      <c r="M27" s="21">
        <v>3.9</v>
      </c>
      <c r="N27" s="20"/>
      <c r="O27" s="20">
        <v>4</v>
      </c>
      <c r="P27" s="21"/>
      <c r="Q27" s="21">
        <v>4.2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>
        <v>3.8</v>
      </c>
      <c r="G28" s="20">
        <v>3.3</v>
      </c>
      <c r="H28" s="21"/>
      <c r="I28" s="21">
        <v>2</v>
      </c>
      <c r="J28" s="20"/>
      <c r="K28" s="20">
        <v>3.2</v>
      </c>
      <c r="L28" s="21">
        <v>3.7</v>
      </c>
      <c r="M28" s="21">
        <v>2.4</v>
      </c>
      <c r="N28" s="20"/>
      <c r="O28" s="20">
        <v>2.8</v>
      </c>
      <c r="P28" s="21"/>
      <c r="Q28" s="21">
        <v>3.1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1.2000000000000002</v>
      </c>
      <c r="G29" s="27">
        <f>G32-G28</f>
        <v>1</v>
      </c>
      <c r="H29" s="27">
        <f t="shared" ref="H29:Q29" si="0">H32-H28</f>
        <v>0</v>
      </c>
      <c r="I29" s="27">
        <f t="shared" si="0"/>
        <v>2.5999999999999996</v>
      </c>
      <c r="J29" s="27">
        <f t="shared" si="0"/>
        <v>0</v>
      </c>
      <c r="K29" s="27">
        <f t="shared" si="0"/>
        <v>1.3999999999999995</v>
      </c>
      <c r="L29" s="27">
        <f>L32-L28</f>
        <v>1.0999999999999996</v>
      </c>
      <c r="M29" s="27">
        <f>M32-M28</f>
        <v>1.3000000000000003</v>
      </c>
      <c r="N29" s="27">
        <f>N32-N28</f>
        <v>0</v>
      </c>
      <c r="O29" s="27">
        <f>O32-O28</f>
        <v>1.2999999999999998</v>
      </c>
      <c r="P29" s="27">
        <f t="shared" si="0"/>
        <v>0</v>
      </c>
      <c r="Q29" s="27">
        <f t="shared" si="0"/>
        <v>1.1999999999999997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>
        <v>697.1</v>
      </c>
      <c r="G30" s="20">
        <v>656.4</v>
      </c>
      <c r="H30" s="21"/>
      <c r="I30" s="21">
        <v>635.6</v>
      </c>
      <c r="J30" s="20"/>
      <c r="K30" s="20">
        <v>637.4</v>
      </c>
      <c r="L30" s="21">
        <v>685.6</v>
      </c>
      <c r="M30" s="21">
        <v>624.79999999999995</v>
      </c>
      <c r="N30" s="20"/>
      <c r="O30" s="20">
        <v>642.29999999999995</v>
      </c>
      <c r="P30" s="21"/>
      <c r="Q30" s="21">
        <v>638.9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>
        <v>13.5</v>
      </c>
      <c r="G31" s="20">
        <v>13.3</v>
      </c>
      <c r="H31" s="21"/>
      <c r="I31" s="21">
        <v>13.4</v>
      </c>
      <c r="J31" s="20"/>
      <c r="K31" s="20">
        <v>13.5</v>
      </c>
      <c r="L31" s="21">
        <v>13.6</v>
      </c>
      <c r="M31" s="21">
        <v>13</v>
      </c>
      <c r="N31" s="20"/>
      <c r="O31" s="20">
        <v>13.4</v>
      </c>
      <c r="P31" s="21"/>
      <c r="Q31" s="21">
        <v>13.2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>
        <v>5</v>
      </c>
      <c r="G32" s="20">
        <v>4.3</v>
      </c>
      <c r="H32" s="21"/>
      <c r="I32" s="21">
        <v>4.5999999999999996</v>
      </c>
      <c r="J32" s="20"/>
      <c r="K32" s="20">
        <v>4.5999999999999996</v>
      </c>
      <c r="L32" s="21">
        <v>4.8</v>
      </c>
      <c r="M32" s="21">
        <v>3.7</v>
      </c>
      <c r="N32" s="20"/>
      <c r="O32" s="20">
        <v>4.0999999999999996</v>
      </c>
      <c r="P32" s="21"/>
      <c r="Q32" s="21">
        <v>4.3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8.5</v>
      </c>
      <c r="G33" s="27">
        <f>G31-G32</f>
        <v>9</v>
      </c>
      <c r="H33" s="27">
        <f t="shared" ref="H33:Q33" si="1">H31-H32</f>
        <v>0</v>
      </c>
      <c r="I33" s="27">
        <f t="shared" si="1"/>
        <v>8.8000000000000007</v>
      </c>
      <c r="J33" s="27">
        <f t="shared" si="1"/>
        <v>0</v>
      </c>
      <c r="K33" s="27">
        <f t="shared" si="1"/>
        <v>8.9</v>
      </c>
      <c r="L33" s="27">
        <f>L31-L32</f>
        <v>8.8000000000000007</v>
      </c>
      <c r="M33" s="27">
        <f>M31-M32</f>
        <v>9.3000000000000007</v>
      </c>
      <c r="N33" s="27">
        <f>N31-N32</f>
        <v>0</v>
      </c>
      <c r="O33" s="27">
        <f>O31-O32</f>
        <v>9.3000000000000007</v>
      </c>
      <c r="P33" s="27">
        <f t="shared" si="1"/>
        <v>0</v>
      </c>
      <c r="Q33" s="27">
        <f t="shared" si="1"/>
        <v>8.8999999999999986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6842.2055427251735</v>
      </c>
      <c r="G34" s="28">
        <f>(G33*G30)/0.866</f>
        <v>6821.7090069284059</v>
      </c>
      <c r="H34" s="28">
        <f t="shared" ref="H34:Q34" si="2">(H33*H30)/0.866</f>
        <v>0</v>
      </c>
      <c r="I34" s="28">
        <f t="shared" si="2"/>
        <v>6458.7528868360287</v>
      </c>
      <c r="J34" s="28">
        <f t="shared" si="2"/>
        <v>0</v>
      </c>
      <c r="K34" s="28">
        <f t="shared" si="2"/>
        <v>6550.6466512702073</v>
      </c>
      <c r="L34" s="28">
        <f>(L33*L30)/0.866</f>
        <v>6966.8360277136271</v>
      </c>
      <c r="M34" s="28">
        <f>(M33*M30)/0.866</f>
        <v>6709.7459584295621</v>
      </c>
      <c r="N34" s="28">
        <f>(N33*N30)/0.866</f>
        <v>0</v>
      </c>
      <c r="O34" s="28">
        <f>(O33*O30)/0.866</f>
        <v>6897.678983833719</v>
      </c>
      <c r="P34" s="28">
        <f t="shared" si="2"/>
        <v>0</v>
      </c>
      <c r="Q34" s="28">
        <f t="shared" si="2"/>
        <v>6566.0623556581977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>
        <v>0.8</v>
      </c>
      <c r="G35" s="20">
        <v>0.78</v>
      </c>
      <c r="H35" s="21"/>
      <c r="I35" s="21">
        <v>0.8</v>
      </c>
      <c r="J35" s="20"/>
      <c r="K35" s="20">
        <v>0.8</v>
      </c>
      <c r="L35" s="21">
        <v>0.79</v>
      </c>
      <c r="M35" s="21">
        <v>0.78</v>
      </c>
      <c r="N35" s="20"/>
      <c r="O35" s="20">
        <v>0.77</v>
      </c>
      <c r="P35" s="21"/>
      <c r="Q35" s="21">
        <v>0.79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>
        <v>35.4</v>
      </c>
      <c r="G36" s="20">
        <v>34.5</v>
      </c>
      <c r="H36" s="21"/>
      <c r="I36" s="21">
        <v>35</v>
      </c>
      <c r="J36" s="20"/>
      <c r="K36" s="20">
        <v>34.799999999999997</v>
      </c>
      <c r="L36" s="21">
        <v>34.9</v>
      </c>
      <c r="M36" s="21">
        <v>34.700000000000003</v>
      </c>
      <c r="N36" s="20"/>
      <c r="O36" s="20">
        <v>34.1</v>
      </c>
      <c r="P36" s="21"/>
      <c r="Q36" s="21">
        <v>34.700000000000003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>
        <v>35.9</v>
      </c>
      <c r="G37" s="20">
        <v>35.1</v>
      </c>
      <c r="H37" s="21"/>
      <c r="I37" s="21">
        <v>36</v>
      </c>
      <c r="J37" s="20"/>
      <c r="K37" s="20">
        <v>35.6</v>
      </c>
      <c r="L37" s="21">
        <v>35.5</v>
      </c>
      <c r="M37" s="21">
        <v>35.1</v>
      </c>
      <c r="N37" s="20"/>
      <c r="O37" s="20">
        <v>34.700000000000003</v>
      </c>
      <c r="P37" s="21"/>
      <c r="Q37" s="21">
        <v>35.5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1.6000000000000014</v>
      </c>
      <c r="G38" s="27">
        <f>G37-G41</f>
        <v>1.7000000000000028</v>
      </c>
      <c r="H38" s="27">
        <v>1</v>
      </c>
      <c r="I38" s="27">
        <f t="shared" ref="I38:Q38" si="3">I37-I41</f>
        <v>3.2999999999999972</v>
      </c>
      <c r="J38" s="27">
        <f t="shared" si="3"/>
        <v>0</v>
      </c>
      <c r="K38" s="27">
        <f t="shared" si="3"/>
        <v>2.2000000000000028</v>
      </c>
      <c r="L38" s="27">
        <f>L37-L41</f>
        <v>1.6000000000000014</v>
      </c>
      <c r="M38" s="27">
        <f>M37-M41</f>
        <v>2.3000000000000043</v>
      </c>
      <c r="N38" s="27">
        <f>N37-N41</f>
        <v>0</v>
      </c>
      <c r="O38" s="27">
        <f>O37-O41</f>
        <v>1.6000000000000014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>
        <v>28.6</v>
      </c>
      <c r="G40" s="20">
        <v>27.9</v>
      </c>
      <c r="H40" s="21"/>
      <c r="I40" s="21">
        <v>27.8</v>
      </c>
      <c r="J40" s="20"/>
      <c r="K40" s="20">
        <v>27.2</v>
      </c>
      <c r="L40" s="21">
        <v>28.5</v>
      </c>
      <c r="M40" s="21">
        <v>27.8</v>
      </c>
      <c r="N40" s="20"/>
      <c r="O40" s="20">
        <v>27.5</v>
      </c>
      <c r="P40" s="21"/>
      <c r="Q40" s="21">
        <v>27.6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>
        <v>34.299999999999997</v>
      </c>
      <c r="G41" s="20">
        <v>33.4</v>
      </c>
      <c r="H41" s="21"/>
      <c r="I41" s="21">
        <v>32.700000000000003</v>
      </c>
      <c r="J41" s="20"/>
      <c r="K41" s="20">
        <v>33.4</v>
      </c>
      <c r="L41" s="21">
        <v>33.9</v>
      </c>
      <c r="M41" s="21">
        <v>32.799999999999997</v>
      </c>
      <c r="N41" s="20"/>
      <c r="O41" s="20">
        <v>33.1</v>
      </c>
      <c r="P41" s="21"/>
      <c r="Q41" s="21">
        <v>33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5.6999999999999957</v>
      </c>
      <c r="G42" s="27">
        <f>G41-G40</f>
        <v>5.5</v>
      </c>
      <c r="H42" s="27">
        <f t="shared" ref="H42:Q42" si="4">H41-H40</f>
        <v>0</v>
      </c>
      <c r="I42" s="27">
        <f t="shared" si="4"/>
        <v>4.9000000000000021</v>
      </c>
      <c r="J42" s="27">
        <f t="shared" si="4"/>
        <v>0</v>
      </c>
      <c r="K42" s="27">
        <f t="shared" si="4"/>
        <v>6.1999999999999993</v>
      </c>
      <c r="L42" s="27">
        <f>L41-L40</f>
        <v>5.3999999999999986</v>
      </c>
      <c r="M42" s="27">
        <f>M41-M40</f>
        <v>4.9999999999999964</v>
      </c>
      <c r="N42" s="27">
        <f>N41-N40</f>
        <v>0</v>
      </c>
      <c r="O42" s="27">
        <f>O41-O40</f>
        <v>5.6000000000000014</v>
      </c>
      <c r="P42" s="27">
        <f t="shared" si="4"/>
        <v>0</v>
      </c>
      <c r="Q42" s="27">
        <f t="shared" si="4"/>
        <v>5.3999999999999986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>
        <v>1297.5999999999999</v>
      </c>
      <c r="G43" s="20">
        <v>1295.8</v>
      </c>
      <c r="H43" s="21"/>
      <c r="I43" s="21">
        <v>1300.5999999999999</v>
      </c>
      <c r="J43" s="20"/>
      <c r="K43" s="20">
        <v>1295.8</v>
      </c>
      <c r="L43" s="21">
        <v>1296.5</v>
      </c>
      <c r="M43" s="20">
        <v>1293.0999999999999</v>
      </c>
      <c r="N43" s="20"/>
      <c r="O43" s="20">
        <v>1285.4000000000001</v>
      </c>
      <c r="P43" s="21"/>
      <c r="Q43" s="21">
        <v>1296.4000000000001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8540.7852193995313</v>
      </c>
      <c r="G44" s="28">
        <f>G42*G43/0.866</f>
        <v>8229.676674364895</v>
      </c>
      <c r="H44" s="28">
        <f t="shared" ref="H44:Q44" si="5">H42*H43/0.866</f>
        <v>0</v>
      </c>
      <c r="I44" s="28">
        <f t="shared" si="5"/>
        <v>7359.0531177829125</v>
      </c>
      <c r="J44" s="28">
        <f t="shared" si="5"/>
        <v>0</v>
      </c>
      <c r="K44" s="28">
        <f t="shared" si="5"/>
        <v>9277.0900692840642</v>
      </c>
      <c r="L44" s="28">
        <f>L42*L43/0.866</f>
        <v>8084.4110854503451</v>
      </c>
      <c r="M44" s="28">
        <f>M42*M43/0.866</f>
        <v>7465.9353348729728</v>
      </c>
      <c r="N44" s="28">
        <f>N42*N43/0.866</f>
        <v>0</v>
      </c>
      <c r="O44" s="28">
        <f>O42*O43/0.866</f>
        <v>8312.0554272517347</v>
      </c>
      <c r="P44" s="28">
        <f t="shared" si="5"/>
        <v>0</v>
      </c>
      <c r="Q44" s="28">
        <f t="shared" si="5"/>
        <v>8083.787528868359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>
        <v>0.46</v>
      </c>
      <c r="G45" s="20">
        <v>0.45</v>
      </c>
      <c r="H45" s="21"/>
      <c r="I45" s="21">
        <v>0.44</v>
      </c>
      <c r="J45" s="20"/>
      <c r="K45" s="20">
        <v>0.45</v>
      </c>
      <c r="L45" s="21">
        <v>0.45</v>
      </c>
      <c r="M45" s="21">
        <v>0.45</v>
      </c>
      <c r="N45" s="20"/>
      <c r="O45" s="20">
        <v>0.44</v>
      </c>
      <c r="P45" s="21"/>
      <c r="Q45" s="21">
        <v>0.45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>
        <v>19.5</v>
      </c>
      <c r="G46" s="20">
        <v>18.899999999999999</v>
      </c>
      <c r="H46" s="21"/>
      <c r="I46" s="21">
        <v>18.2</v>
      </c>
      <c r="J46" s="20"/>
      <c r="K46" s="20">
        <v>19</v>
      </c>
      <c r="L46" s="21">
        <v>18.899999999999999</v>
      </c>
      <c r="M46" s="21">
        <v>19.100000000000001</v>
      </c>
      <c r="N46" s="20"/>
      <c r="O46" s="20">
        <v>18.100000000000001</v>
      </c>
      <c r="P46" s="21"/>
      <c r="Q46" s="21">
        <v>18.899999999999999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>
        <v>206.7</v>
      </c>
      <c r="G47" s="20">
        <v>201.7</v>
      </c>
      <c r="H47" s="21"/>
      <c r="I47" s="21">
        <v>117.8</v>
      </c>
      <c r="J47" s="20"/>
      <c r="K47" s="20">
        <v>200.8</v>
      </c>
      <c r="L47" s="21">
        <v>157.1</v>
      </c>
      <c r="M47" s="21">
        <v>206.4</v>
      </c>
      <c r="N47" s="20"/>
      <c r="O47" s="20">
        <v>160</v>
      </c>
      <c r="P47" s="21"/>
      <c r="Q47" s="21">
        <v>199.8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79">
        <v>5.89</v>
      </c>
      <c r="F49" s="20">
        <v>5.46</v>
      </c>
      <c r="G49" s="20">
        <v>6.04</v>
      </c>
      <c r="H49" s="21"/>
      <c r="I49" s="21">
        <v>5.72</v>
      </c>
      <c r="J49" s="20"/>
      <c r="K49" s="20">
        <v>5.9</v>
      </c>
      <c r="L49" s="21">
        <v>5.41</v>
      </c>
      <c r="M49" s="21">
        <v>6</v>
      </c>
      <c r="N49" s="20"/>
      <c r="O49" s="20">
        <v>5.68</v>
      </c>
      <c r="P49" s="21"/>
      <c r="Q49" s="21">
        <v>5.33</v>
      </c>
    </row>
    <row r="50" spans="2:17" ht="20.100000000000001" customHeight="1">
      <c r="B50" s="92" t="s">
        <v>91</v>
      </c>
      <c r="C50" s="92"/>
      <c r="D50" s="92"/>
      <c r="E50" s="79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78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B1" zoomScale="85" zoomScaleNormal="60" workbookViewId="0">
      <selection activeCell="L18" sqref="L18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45772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81" t="s">
        <v>18</v>
      </c>
      <c r="E10" s="15"/>
      <c r="F10" s="16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/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70.099999999999994</v>
      </c>
      <c r="H11" s="21"/>
      <c r="I11" s="21">
        <v>81.900000000000006</v>
      </c>
      <c r="J11" s="20">
        <v>75.5</v>
      </c>
      <c r="K11" s="20">
        <v>73.8</v>
      </c>
      <c r="L11" s="21"/>
      <c r="M11" s="21">
        <v>71.3</v>
      </c>
      <c r="N11" s="20">
        <v>71.3</v>
      </c>
      <c r="O11" s="20">
        <v>76.400000000000006</v>
      </c>
      <c r="P11" s="21"/>
      <c r="Q11" s="21">
        <v>75.2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0.6</v>
      </c>
      <c r="H12" s="21"/>
      <c r="I12" s="21">
        <v>0</v>
      </c>
      <c r="J12" s="20">
        <v>0</v>
      </c>
      <c r="K12" s="20">
        <v>0</v>
      </c>
      <c r="L12" s="21"/>
      <c r="M12" s="21">
        <v>0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64.400000000000006</v>
      </c>
      <c r="H13" s="21"/>
      <c r="I13" s="21">
        <v>77.5</v>
      </c>
      <c r="J13" s="20">
        <v>71.2</v>
      </c>
      <c r="K13" s="20">
        <v>67.8</v>
      </c>
      <c r="L13" s="21"/>
      <c r="M13" s="21">
        <v>65.8</v>
      </c>
      <c r="N13" s="20">
        <v>65.599999999999994</v>
      </c>
      <c r="O13" s="20">
        <v>71.099999999999994</v>
      </c>
      <c r="P13" s="21"/>
      <c r="Q13" s="21">
        <v>69.7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69.2</v>
      </c>
      <c r="H14" s="21"/>
      <c r="I14" s="21">
        <v>69.3</v>
      </c>
      <c r="J14" s="20">
        <v>63.5</v>
      </c>
      <c r="K14" s="20">
        <v>63.9</v>
      </c>
      <c r="L14" s="21"/>
      <c r="M14" s="21">
        <v>66.400000000000006</v>
      </c>
      <c r="N14" s="20">
        <v>75</v>
      </c>
      <c r="O14" s="20">
        <v>74.2</v>
      </c>
      <c r="P14" s="21"/>
      <c r="Q14" s="21">
        <v>72.5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40.1</v>
      </c>
      <c r="H15" s="21"/>
      <c r="I15" s="21">
        <v>55.9</v>
      </c>
      <c r="J15" s="20">
        <v>37.9</v>
      </c>
      <c r="K15" s="20">
        <v>40.6</v>
      </c>
      <c r="L15" s="21"/>
      <c r="M15" s="21">
        <v>31.5</v>
      </c>
      <c r="N15" s="20">
        <v>52.8</v>
      </c>
      <c r="O15" s="20">
        <v>58.2</v>
      </c>
      <c r="P15" s="21"/>
      <c r="Q15" s="21">
        <v>43.9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/>
      <c r="G17" s="20">
        <v>116.6</v>
      </c>
      <c r="H17" s="21"/>
      <c r="I17" s="21">
        <v>118.1</v>
      </c>
      <c r="J17" s="20">
        <v>118</v>
      </c>
      <c r="K17" s="20">
        <v>115.5</v>
      </c>
      <c r="L17" s="21"/>
      <c r="M17" s="21">
        <v>113.3</v>
      </c>
      <c r="N17" s="20">
        <v>115.2</v>
      </c>
      <c r="O17" s="20">
        <v>118.8</v>
      </c>
      <c r="P17" s="21"/>
      <c r="Q17" s="21">
        <v>118.6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/>
      <c r="G18" s="20">
        <v>1145</v>
      </c>
      <c r="H18" s="21"/>
      <c r="I18" s="21">
        <v>1194</v>
      </c>
      <c r="J18" s="20">
        <v>1212</v>
      </c>
      <c r="K18" s="20">
        <v>1180</v>
      </c>
      <c r="L18" s="21"/>
      <c r="M18" s="21">
        <v>1144</v>
      </c>
      <c r="N18" s="20">
        <v>1174</v>
      </c>
      <c r="O18" s="20">
        <v>1202</v>
      </c>
      <c r="P18" s="21"/>
      <c r="Q18" s="21">
        <v>1197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50061</v>
      </c>
      <c r="H19" s="21"/>
      <c r="I19" s="21">
        <v>51223</v>
      </c>
      <c r="J19" s="20">
        <v>49015.199999999997</v>
      </c>
      <c r="K19" s="20">
        <v>49008</v>
      </c>
      <c r="L19" s="21"/>
      <c r="M19" s="21">
        <v>51387</v>
      </c>
      <c r="N19" s="20">
        <v>50576.9</v>
      </c>
      <c r="O19" s="20">
        <v>50568.7</v>
      </c>
      <c r="P19" s="21"/>
      <c r="Q19" s="21">
        <v>50594.5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/>
      <c r="G22" s="20">
        <v>58.8</v>
      </c>
      <c r="H22" s="21"/>
      <c r="I22" s="21">
        <v>59.2</v>
      </c>
      <c r="J22" s="20">
        <v>57.9</v>
      </c>
      <c r="K22" s="20">
        <v>57.9</v>
      </c>
      <c r="L22" s="21"/>
      <c r="M22" s="21">
        <v>57.2</v>
      </c>
      <c r="N22" s="20">
        <v>58.7</v>
      </c>
      <c r="O22" s="20">
        <v>58.6</v>
      </c>
      <c r="P22" s="21"/>
      <c r="Q22" s="21">
        <v>58.9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0.48</v>
      </c>
      <c r="J23" s="20">
        <v>0.59</v>
      </c>
      <c r="K23" s="20">
        <v>0.59</v>
      </c>
      <c r="L23" s="21"/>
      <c r="M23" s="21">
        <v>0.52</v>
      </c>
      <c r="N23" s="20">
        <v>0.48</v>
      </c>
      <c r="O23" s="20">
        <v>0.47</v>
      </c>
      <c r="P23" s="21"/>
      <c r="Q23" s="21">
        <v>0.49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/>
      <c r="G25" s="20">
        <v>44.8</v>
      </c>
      <c r="H25" s="21"/>
      <c r="I25" s="21">
        <v>44.9</v>
      </c>
      <c r="J25" s="20">
        <v>45</v>
      </c>
      <c r="K25" s="20">
        <v>44.9</v>
      </c>
      <c r="L25" s="21"/>
      <c r="M25" s="21">
        <v>45.1</v>
      </c>
      <c r="N25" s="20">
        <v>45.1</v>
      </c>
      <c r="O25" s="20">
        <v>44.8</v>
      </c>
      <c r="P25" s="21"/>
      <c r="Q25" s="21">
        <v>45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0.21</v>
      </c>
      <c r="J26" s="20">
        <v>0.23</v>
      </c>
      <c r="K26" s="20">
        <v>0.22</v>
      </c>
      <c r="L26" s="21"/>
      <c r="M26" s="21">
        <v>0.22</v>
      </c>
      <c r="N26" s="20">
        <v>0.23</v>
      </c>
      <c r="O26" s="20">
        <v>0.22</v>
      </c>
      <c r="P26" s="21"/>
      <c r="Q26" s="21">
        <v>0.23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/>
      <c r="G27" s="20">
        <v>4.3</v>
      </c>
      <c r="H27" s="21"/>
      <c r="I27" s="21">
        <v>3.1</v>
      </c>
      <c r="J27" s="20">
        <v>4.4000000000000004</v>
      </c>
      <c r="K27" s="20">
        <v>4.4000000000000004</v>
      </c>
      <c r="L27" s="21"/>
      <c r="M27" s="21">
        <v>3.7</v>
      </c>
      <c r="N27" s="20">
        <v>4.5</v>
      </c>
      <c r="O27" s="20">
        <v>4.4000000000000004</v>
      </c>
      <c r="P27" s="21"/>
      <c r="Q27" s="21">
        <v>4.5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/>
      <c r="G28" s="20">
        <v>3.7</v>
      </c>
      <c r="H28" s="21"/>
      <c r="I28" s="21">
        <v>2.2000000000000002</v>
      </c>
      <c r="J28" s="20">
        <v>3.4</v>
      </c>
      <c r="K28" s="20">
        <v>3.4</v>
      </c>
      <c r="L28" s="21"/>
      <c r="M28" s="21">
        <v>2.6</v>
      </c>
      <c r="N28" s="20">
        <v>3.6</v>
      </c>
      <c r="O28" s="20">
        <v>3.2</v>
      </c>
      <c r="P28" s="21"/>
      <c r="Q28" s="21">
        <v>3.6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/>
      <c r="G29" s="27">
        <f>G32-G28</f>
        <v>1.0999999999999996</v>
      </c>
      <c r="H29" s="27">
        <f t="shared" ref="H29:Q29" si="0">H32-H28</f>
        <v>0</v>
      </c>
      <c r="I29" s="27">
        <f t="shared" si="0"/>
        <v>2.5999999999999996</v>
      </c>
      <c r="J29" s="27">
        <f t="shared" si="0"/>
        <v>0.69999999999999973</v>
      </c>
      <c r="K29" s="27">
        <f t="shared" si="0"/>
        <v>0.69999999999999973</v>
      </c>
      <c r="L29" s="27">
        <f>L32-L28</f>
        <v>0</v>
      </c>
      <c r="M29" s="27">
        <f>M32-M28</f>
        <v>1.2999999999999998</v>
      </c>
      <c r="N29" s="27">
        <f>N32-N28</f>
        <v>1.1000000000000001</v>
      </c>
      <c r="O29" s="27">
        <f>O32-O28</f>
        <v>1.3999999999999995</v>
      </c>
      <c r="P29" s="27">
        <f t="shared" si="0"/>
        <v>0</v>
      </c>
      <c r="Q29" s="27">
        <f t="shared" si="0"/>
        <v>0.99999999999999956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/>
      <c r="G30" s="20">
        <v>662.4</v>
      </c>
      <c r="H30" s="21"/>
      <c r="I30" s="21">
        <v>640.6</v>
      </c>
      <c r="J30" s="20">
        <v>639.9</v>
      </c>
      <c r="K30" s="20">
        <v>639.6</v>
      </c>
      <c r="L30" s="21"/>
      <c r="M30" s="21">
        <v>637.79999999999995</v>
      </c>
      <c r="N30" s="20">
        <v>619.4</v>
      </c>
      <c r="O30" s="20">
        <v>647.5</v>
      </c>
      <c r="P30" s="21"/>
      <c r="Q30" s="21">
        <v>640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/>
      <c r="G31" s="20">
        <v>13.7</v>
      </c>
      <c r="H31" s="21"/>
      <c r="I31" s="21">
        <v>13.8</v>
      </c>
      <c r="J31" s="20">
        <v>13.2</v>
      </c>
      <c r="K31" s="20">
        <v>13.2</v>
      </c>
      <c r="L31" s="21"/>
      <c r="M31" s="21">
        <v>13.1</v>
      </c>
      <c r="N31" s="20">
        <v>14</v>
      </c>
      <c r="O31" s="20">
        <v>13.8</v>
      </c>
      <c r="P31" s="21"/>
      <c r="Q31" s="21">
        <v>13.5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/>
      <c r="G32" s="20">
        <v>4.8</v>
      </c>
      <c r="H32" s="21"/>
      <c r="I32" s="21">
        <v>4.8</v>
      </c>
      <c r="J32" s="20">
        <v>4.0999999999999996</v>
      </c>
      <c r="K32" s="20">
        <v>4.0999999999999996</v>
      </c>
      <c r="L32" s="21"/>
      <c r="M32" s="21">
        <v>3.9</v>
      </c>
      <c r="N32" s="20">
        <v>4.7</v>
      </c>
      <c r="O32" s="20">
        <v>4.5999999999999996</v>
      </c>
      <c r="P32" s="21"/>
      <c r="Q32" s="21">
        <v>4.5999999999999996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8.8999999999999986</v>
      </c>
      <c r="H33" s="27">
        <f t="shared" ref="H33:Q33" si="1">H31-H32</f>
        <v>0</v>
      </c>
      <c r="I33" s="27">
        <f t="shared" si="1"/>
        <v>9</v>
      </c>
      <c r="J33" s="27">
        <f t="shared" si="1"/>
        <v>9.1</v>
      </c>
      <c r="K33" s="27">
        <f t="shared" si="1"/>
        <v>9.1</v>
      </c>
      <c r="L33" s="27">
        <f>L31-L32</f>
        <v>0</v>
      </c>
      <c r="M33" s="27">
        <f>M31-M32</f>
        <v>9.1999999999999993</v>
      </c>
      <c r="N33" s="27">
        <f>N31-N32</f>
        <v>9.3000000000000007</v>
      </c>
      <c r="O33" s="27">
        <f>O31-O32</f>
        <v>9.2000000000000011</v>
      </c>
      <c r="P33" s="27">
        <f t="shared" si="1"/>
        <v>0</v>
      </c>
      <c r="Q33" s="27">
        <f t="shared" si="1"/>
        <v>8.9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6807.5750577367189</v>
      </c>
      <c r="H34" s="28">
        <f t="shared" ref="H34:Q34" si="2">(H33*H30)/0.866</f>
        <v>0</v>
      </c>
      <c r="I34" s="28">
        <f t="shared" si="2"/>
        <v>6657.5057736720564</v>
      </c>
      <c r="J34" s="28">
        <f t="shared" si="2"/>
        <v>6724.1224018475741</v>
      </c>
      <c r="K34" s="28">
        <f t="shared" si="2"/>
        <v>6720.9699769053113</v>
      </c>
      <c r="L34" s="28">
        <f>(L33*L30)/0.866</f>
        <v>0</v>
      </c>
      <c r="M34" s="28">
        <f>(M33*M30)/0.866</f>
        <v>6775.7043879907615</v>
      </c>
      <c r="N34" s="28">
        <f>(N33*N30)/0.866</f>
        <v>6651.75519630485</v>
      </c>
      <c r="O34" s="28">
        <f>(O33*O30)/0.866</f>
        <v>6878.7528868360287</v>
      </c>
      <c r="P34" s="28">
        <f t="shared" si="2"/>
        <v>0</v>
      </c>
      <c r="Q34" s="28">
        <f t="shared" si="2"/>
        <v>6577.3672055427251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</v>
      </c>
      <c r="H35" s="21"/>
      <c r="I35" s="21">
        <v>0.82</v>
      </c>
      <c r="J35" s="20">
        <v>0.84</v>
      </c>
      <c r="K35" s="20">
        <v>0.81</v>
      </c>
      <c r="L35" s="21"/>
      <c r="M35" s="21">
        <v>0.8</v>
      </c>
      <c r="N35" s="20">
        <v>0.82</v>
      </c>
      <c r="O35" s="20">
        <v>0.8</v>
      </c>
      <c r="P35" s="21"/>
      <c r="Q35" s="21">
        <v>0.81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/>
      <c r="G36" s="20">
        <v>35.299999999999997</v>
      </c>
      <c r="H36" s="21"/>
      <c r="I36" s="21">
        <v>35.9</v>
      </c>
      <c r="J36" s="20">
        <v>36.6</v>
      </c>
      <c r="K36" s="20">
        <v>35.6</v>
      </c>
      <c r="L36" s="21"/>
      <c r="M36" s="21">
        <v>35.4</v>
      </c>
      <c r="N36" s="20">
        <v>35.9</v>
      </c>
      <c r="O36" s="20">
        <v>34.9</v>
      </c>
      <c r="P36" s="21"/>
      <c r="Q36" s="21">
        <v>35.4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/>
      <c r="G37" s="20">
        <v>35.700000000000003</v>
      </c>
      <c r="H37" s="21"/>
      <c r="I37" s="21">
        <v>36.700000000000003</v>
      </c>
      <c r="J37" s="20">
        <v>37.4</v>
      </c>
      <c r="K37" s="20">
        <v>36.299999999999997</v>
      </c>
      <c r="L37" s="21"/>
      <c r="M37" s="21">
        <v>35.799999999999997</v>
      </c>
      <c r="N37" s="20">
        <v>36.4</v>
      </c>
      <c r="O37" s="20">
        <v>35.4</v>
      </c>
      <c r="P37" s="21"/>
      <c r="Q37" s="21">
        <v>36.299999999999997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1.6000000000000014</v>
      </c>
      <c r="H38" s="27">
        <f>H37-H41</f>
        <v>0</v>
      </c>
      <c r="I38" s="27">
        <f>I37-I41</f>
        <v>3.2000000000000028</v>
      </c>
      <c r="J38" s="27">
        <f t="shared" ref="J38:Q38" si="3">J37-J41</f>
        <v>2.1999999999999957</v>
      </c>
      <c r="K38" s="27">
        <f t="shared" si="3"/>
        <v>2.1999999999999957</v>
      </c>
      <c r="L38" s="27">
        <f>L37-L41</f>
        <v>0</v>
      </c>
      <c r="M38" s="27">
        <f>M37-M41</f>
        <v>2.2999999999999972</v>
      </c>
      <c r="N38" s="27">
        <f>N37-N41</f>
        <v>1.5</v>
      </c>
      <c r="O38" s="27">
        <f>O37-O41</f>
        <v>1.5</v>
      </c>
      <c r="P38" s="27">
        <f t="shared" si="3"/>
        <v>0</v>
      </c>
      <c r="Q38" s="27">
        <f t="shared" si="3"/>
        <v>2.5999999999999943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/>
      <c r="G40" s="20">
        <v>28.6</v>
      </c>
      <c r="H40" s="21"/>
      <c r="I40" s="21">
        <v>28.5</v>
      </c>
      <c r="J40" s="20">
        <v>29.8</v>
      </c>
      <c r="K40" s="20">
        <v>28.7</v>
      </c>
      <c r="L40" s="21"/>
      <c r="M40" s="21">
        <v>28.6</v>
      </c>
      <c r="N40" s="20">
        <v>29.6</v>
      </c>
      <c r="O40" s="20">
        <v>28.3</v>
      </c>
      <c r="P40" s="21"/>
      <c r="Q40" s="21">
        <v>28.4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/>
      <c r="G41" s="20">
        <v>34.1</v>
      </c>
      <c r="H41" s="21"/>
      <c r="I41" s="21">
        <v>33.5</v>
      </c>
      <c r="J41" s="20">
        <v>35.200000000000003</v>
      </c>
      <c r="K41" s="20">
        <v>34.1</v>
      </c>
      <c r="L41" s="21"/>
      <c r="M41" s="21">
        <v>33.5</v>
      </c>
      <c r="N41" s="20">
        <v>34.9</v>
      </c>
      <c r="O41" s="20">
        <v>33.9</v>
      </c>
      <c r="P41" s="21"/>
      <c r="Q41" s="21">
        <v>33.700000000000003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5.5</v>
      </c>
      <c r="H42" s="27">
        <f t="shared" ref="H42:Q42" si="4">H41-H40</f>
        <v>0</v>
      </c>
      <c r="I42" s="27">
        <f t="shared" si="4"/>
        <v>5</v>
      </c>
      <c r="J42" s="27">
        <f t="shared" si="4"/>
        <v>5.4000000000000021</v>
      </c>
      <c r="K42" s="27">
        <f t="shared" si="4"/>
        <v>5.4000000000000021</v>
      </c>
      <c r="L42" s="27">
        <f>L41-L40</f>
        <v>0</v>
      </c>
      <c r="M42" s="27">
        <f>M41-M40</f>
        <v>4.8999999999999986</v>
      </c>
      <c r="N42" s="27">
        <f>N41-N40</f>
        <v>5.2999999999999972</v>
      </c>
      <c r="O42" s="27">
        <f>O41-O40</f>
        <v>5.5999999999999979</v>
      </c>
      <c r="P42" s="27">
        <f t="shared" si="4"/>
        <v>0</v>
      </c>
      <c r="Q42" s="27">
        <f t="shared" si="4"/>
        <v>5.3000000000000043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/>
      <c r="G43" s="20">
        <v>1293.5999999999999</v>
      </c>
      <c r="H43" s="21"/>
      <c r="I43" s="21">
        <v>1302.5999999999999</v>
      </c>
      <c r="J43" s="20">
        <v>1279</v>
      </c>
      <c r="K43" s="20">
        <v>1289.9000000000001</v>
      </c>
      <c r="L43" s="21"/>
      <c r="M43" s="20">
        <v>1296.9000000000001</v>
      </c>
      <c r="N43" s="20">
        <v>1295.5999999999999</v>
      </c>
      <c r="O43" s="20">
        <v>1290.8</v>
      </c>
      <c r="P43" s="21"/>
      <c r="Q43" s="21">
        <v>1296.4000000000001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8215.7043879907615</v>
      </c>
      <c r="H44" s="28">
        <f t="shared" ref="H44:Q44" si="5">H42*H43/0.866</f>
        <v>0</v>
      </c>
      <c r="I44" s="28">
        <f t="shared" si="5"/>
        <v>7520.7852193995386</v>
      </c>
      <c r="J44" s="28">
        <f t="shared" si="5"/>
        <v>7975.2886836027747</v>
      </c>
      <c r="K44" s="28">
        <f t="shared" si="5"/>
        <v>8043.2563510392656</v>
      </c>
      <c r="L44" s="28">
        <f>L42*L43/0.866</f>
        <v>0</v>
      </c>
      <c r="M44" s="28">
        <f>M42*M43/0.866</f>
        <v>7338.1177829099288</v>
      </c>
      <c r="N44" s="28">
        <f>N42*N43/0.866</f>
        <v>7929.1916859122357</v>
      </c>
      <c r="O44" s="28">
        <f>O42*O43/0.866</f>
        <v>8346.9745958429521</v>
      </c>
      <c r="P44" s="28">
        <f t="shared" si="5"/>
        <v>0</v>
      </c>
      <c r="Q44" s="28">
        <f t="shared" si="5"/>
        <v>7934.0877598152501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0.46</v>
      </c>
      <c r="H45" s="21"/>
      <c r="I45" s="21">
        <v>0.45</v>
      </c>
      <c r="J45" s="20">
        <v>0.46</v>
      </c>
      <c r="K45" s="20">
        <v>0.46</v>
      </c>
      <c r="L45" s="21"/>
      <c r="M45" s="21">
        <v>0.46</v>
      </c>
      <c r="N45" s="20">
        <v>0.46</v>
      </c>
      <c r="O45" s="20">
        <v>0.45</v>
      </c>
      <c r="P45" s="21"/>
      <c r="Q45" s="21">
        <v>0.46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/>
      <c r="G46" s="20">
        <v>19.600000000000001</v>
      </c>
      <c r="H46" s="21"/>
      <c r="I46" s="21">
        <v>18.7</v>
      </c>
      <c r="J46" s="20">
        <v>19.8</v>
      </c>
      <c r="K46" s="20">
        <v>19.5</v>
      </c>
      <c r="L46" s="21"/>
      <c r="M46" s="21">
        <v>19.399999999999999</v>
      </c>
      <c r="N46" s="20">
        <v>19.8</v>
      </c>
      <c r="O46" s="20">
        <v>18.899999999999999</v>
      </c>
      <c r="P46" s="21"/>
      <c r="Q46" s="21">
        <v>19.600000000000001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/>
      <c r="G47" s="20">
        <v>193.4</v>
      </c>
      <c r="H47" s="21"/>
      <c r="I47" s="21">
        <v>123.2</v>
      </c>
      <c r="J47" s="20">
        <v>200.1</v>
      </c>
      <c r="K47" s="20">
        <v>206.6</v>
      </c>
      <c r="L47" s="21"/>
      <c r="M47" s="21">
        <v>202.5</v>
      </c>
      <c r="N47" s="20">
        <v>162.6</v>
      </c>
      <c r="O47" s="20">
        <v>158.5</v>
      </c>
      <c r="P47" s="21"/>
      <c r="Q47" s="21">
        <v>198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81">
        <v>5.89</v>
      </c>
      <c r="F49" s="20"/>
      <c r="G49" s="20">
        <v>5.73</v>
      </c>
      <c r="H49" s="21"/>
      <c r="I49" s="21">
        <v>5.55</v>
      </c>
      <c r="J49" s="20">
        <v>5.56</v>
      </c>
      <c r="K49" s="20">
        <v>5.71</v>
      </c>
      <c r="L49" s="21"/>
      <c r="M49" s="21">
        <v>5.93</v>
      </c>
      <c r="N49" s="20">
        <v>5.81</v>
      </c>
      <c r="O49" s="20">
        <v>5.62</v>
      </c>
      <c r="P49" s="21"/>
      <c r="Q49" s="21">
        <v>5.43</v>
      </c>
    </row>
    <row r="50" spans="2:17" ht="20.100000000000001" customHeight="1">
      <c r="B50" s="92" t="s">
        <v>91</v>
      </c>
      <c r="C50" s="92"/>
      <c r="D50" s="92"/>
      <c r="E50" s="81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80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L23" sqref="L23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45773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83" t="s">
        <v>18</v>
      </c>
      <c r="E10" s="15"/>
      <c r="F10" s="16"/>
      <c r="G10" s="17" t="s">
        <v>19</v>
      </c>
      <c r="H10" s="18"/>
      <c r="I10" s="18" t="s">
        <v>19</v>
      </c>
      <c r="J10" s="17"/>
      <c r="K10" s="17" t="s">
        <v>19</v>
      </c>
      <c r="L10" s="18"/>
      <c r="M10" s="18" t="s">
        <v>19</v>
      </c>
      <c r="N10" s="16" t="s">
        <v>19</v>
      </c>
      <c r="O10" s="17" t="s">
        <v>19</v>
      </c>
      <c r="P10" s="18" t="s">
        <v>19</v>
      </c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67.900000000000006</v>
      </c>
      <c r="H11" s="21"/>
      <c r="I11" s="21">
        <v>78.8</v>
      </c>
      <c r="J11" s="20"/>
      <c r="K11" s="20">
        <v>75.5</v>
      </c>
      <c r="L11" s="21"/>
      <c r="M11" s="21">
        <v>75.3</v>
      </c>
      <c r="N11" s="20">
        <v>71.099999999999994</v>
      </c>
      <c r="O11" s="20">
        <v>74</v>
      </c>
      <c r="P11" s="21">
        <v>72.099999999999994</v>
      </c>
      <c r="Q11" s="21">
        <v>71.7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0.8</v>
      </c>
      <c r="H12" s="21"/>
      <c r="I12" s="21">
        <v>0</v>
      </c>
      <c r="J12" s="20"/>
      <c r="K12" s="20">
        <v>0</v>
      </c>
      <c r="L12" s="21"/>
      <c r="M12" s="21">
        <v>0.1</v>
      </c>
      <c r="N12" s="20">
        <v>0</v>
      </c>
      <c r="O12" s="20">
        <v>0</v>
      </c>
      <c r="P12" s="21">
        <v>0</v>
      </c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61.9</v>
      </c>
      <c r="H13" s="21"/>
      <c r="I13" s="21">
        <v>73.599999999999994</v>
      </c>
      <c r="J13" s="20"/>
      <c r="K13" s="20">
        <v>71.2</v>
      </c>
      <c r="L13" s="21"/>
      <c r="M13" s="21">
        <v>69.900000000000006</v>
      </c>
      <c r="N13" s="20">
        <v>67.900000000000006</v>
      </c>
      <c r="O13" s="20">
        <v>68.599999999999994</v>
      </c>
      <c r="P13" s="21">
        <v>66.3</v>
      </c>
      <c r="Q13" s="21">
        <v>66.3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68.7</v>
      </c>
      <c r="H14" s="21"/>
      <c r="I14" s="21">
        <v>70.599999999999994</v>
      </c>
      <c r="J14" s="20"/>
      <c r="K14" s="20">
        <v>63.5</v>
      </c>
      <c r="L14" s="21"/>
      <c r="M14" s="21">
        <v>65.599999999999994</v>
      </c>
      <c r="N14" s="20">
        <v>75.099999999999994</v>
      </c>
      <c r="O14" s="20">
        <v>75.3</v>
      </c>
      <c r="P14" s="21">
        <v>73.3</v>
      </c>
      <c r="Q14" s="21">
        <v>73.599999999999994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35.799999999999997</v>
      </c>
      <c r="H15" s="21"/>
      <c r="I15" s="21">
        <v>52.8</v>
      </c>
      <c r="J15" s="20"/>
      <c r="K15" s="20">
        <v>40.200000000000003</v>
      </c>
      <c r="L15" s="21"/>
      <c r="M15" s="21">
        <v>35.1</v>
      </c>
      <c r="N15" s="20">
        <v>67.900000000000006</v>
      </c>
      <c r="O15" s="20">
        <v>53.7</v>
      </c>
      <c r="P15" s="21">
        <v>39</v>
      </c>
      <c r="Q15" s="21">
        <v>44.5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0"/>
      <c r="I16" s="20">
        <v>6.6</v>
      </c>
      <c r="J16" s="20"/>
      <c r="K16" s="20">
        <v>6.6</v>
      </c>
      <c r="L16" s="20"/>
      <c r="M16" s="20">
        <v>6.6</v>
      </c>
      <c r="N16" s="20">
        <v>6.6</v>
      </c>
      <c r="O16" s="20">
        <v>6.6</v>
      </c>
      <c r="P16" s="20">
        <v>6.6</v>
      </c>
      <c r="Q16" s="20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/>
      <c r="G17" s="20">
        <v>116.4</v>
      </c>
      <c r="H17" s="21"/>
      <c r="I17" s="21">
        <v>118.5</v>
      </c>
      <c r="J17" s="20"/>
      <c r="K17" s="20">
        <v>118.8</v>
      </c>
      <c r="L17" s="21"/>
      <c r="M17" s="21">
        <v>117.3</v>
      </c>
      <c r="N17" s="20">
        <v>117.1</v>
      </c>
      <c r="O17" s="20">
        <v>118.8</v>
      </c>
      <c r="P17" s="21">
        <v>116.8</v>
      </c>
      <c r="Q17" s="21">
        <v>117.4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/>
      <c r="G18" s="20">
        <v>1142</v>
      </c>
      <c r="H18" s="21"/>
      <c r="I18" s="21">
        <v>1190</v>
      </c>
      <c r="J18" s="20"/>
      <c r="K18" s="20">
        <v>1209</v>
      </c>
      <c r="L18" s="21"/>
      <c r="M18" s="21">
        <v>1186</v>
      </c>
      <c r="N18" s="20">
        <v>1184</v>
      </c>
      <c r="O18" s="20">
        <v>1196</v>
      </c>
      <c r="P18" s="21">
        <v>1182</v>
      </c>
      <c r="Q18" s="21">
        <v>1186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50084</v>
      </c>
      <c r="H19" s="21"/>
      <c r="I19" s="21">
        <v>51235.3</v>
      </c>
      <c r="J19" s="20"/>
      <c r="K19" s="20">
        <v>49027.9</v>
      </c>
      <c r="L19" s="21"/>
      <c r="M19" s="21">
        <v>51398.2</v>
      </c>
      <c r="N19" s="20">
        <v>50595.5</v>
      </c>
      <c r="O19" s="20">
        <v>50585.2</v>
      </c>
      <c r="P19" s="21">
        <v>50614.400000000001</v>
      </c>
      <c r="Q19" s="21">
        <v>50604.2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/>
      <c r="G22" s="20">
        <v>59.9</v>
      </c>
      <c r="H22" s="21"/>
      <c r="I22" s="21">
        <v>59.2</v>
      </c>
      <c r="J22" s="20"/>
      <c r="K22" s="20">
        <v>57.9</v>
      </c>
      <c r="L22" s="21"/>
      <c r="M22" s="21">
        <v>57.5</v>
      </c>
      <c r="N22" s="20">
        <v>58.9</v>
      </c>
      <c r="O22" s="20">
        <v>58.7</v>
      </c>
      <c r="P22" s="21">
        <v>59.2</v>
      </c>
      <c r="Q22" s="21">
        <v>59.2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0.5</v>
      </c>
      <c r="J23" s="20"/>
      <c r="K23" s="20">
        <v>0.59</v>
      </c>
      <c r="L23" s="21"/>
      <c r="M23" s="21">
        <v>0.52</v>
      </c>
      <c r="N23" s="20">
        <v>0.48</v>
      </c>
      <c r="O23" s="20">
        <v>0.48</v>
      </c>
      <c r="P23" s="21">
        <v>0.5</v>
      </c>
      <c r="Q23" s="21">
        <v>0.5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/>
      <c r="G25" s="20">
        <v>45.9</v>
      </c>
      <c r="H25" s="21"/>
      <c r="I25" s="21">
        <v>45.1</v>
      </c>
      <c r="J25" s="20"/>
      <c r="K25" s="20">
        <v>45</v>
      </c>
      <c r="L25" s="21"/>
      <c r="M25" s="21">
        <v>44.8</v>
      </c>
      <c r="N25" s="20">
        <v>44.9</v>
      </c>
      <c r="O25" s="20">
        <v>44.9</v>
      </c>
      <c r="P25" s="21">
        <v>44.9</v>
      </c>
      <c r="Q25" s="21">
        <v>44.9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0.22</v>
      </c>
      <c r="J26" s="20"/>
      <c r="K26" s="20">
        <v>0.22</v>
      </c>
      <c r="L26" s="21"/>
      <c r="M26" s="21">
        <v>0.22</v>
      </c>
      <c r="N26" s="20">
        <v>0.23</v>
      </c>
      <c r="O26" s="20">
        <v>0.23</v>
      </c>
      <c r="P26" s="21">
        <v>0.23</v>
      </c>
      <c r="Q26" s="21">
        <v>0.23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/>
      <c r="G27" s="20">
        <v>4.7</v>
      </c>
      <c r="H27" s="21"/>
      <c r="I27" s="21">
        <v>3.5</v>
      </c>
      <c r="J27" s="20"/>
      <c r="K27" s="20">
        <v>4.0999999999999996</v>
      </c>
      <c r="L27" s="21"/>
      <c r="M27" s="21">
        <v>3.8</v>
      </c>
      <c r="N27" s="20">
        <v>4.5999999999999996</v>
      </c>
      <c r="O27" s="20">
        <v>4.5999999999999996</v>
      </c>
      <c r="P27" s="21">
        <v>4.8</v>
      </c>
      <c r="Q27" s="21">
        <v>4.8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/>
      <c r="G28" s="20">
        <v>4</v>
      </c>
      <c r="H28" s="21"/>
      <c r="I28" s="21">
        <v>2.6</v>
      </c>
      <c r="J28" s="20"/>
      <c r="K28" s="20">
        <v>3.2</v>
      </c>
      <c r="L28" s="21"/>
      <c r="M28" s="21">
        <v>2.4</v>
      </c>
      <c r="N28" s="20">
        <v>3.6</v>
      </c>
      <c r="O28" s="20">
        <v>3.5</v>
      </c>
      <c r="P28" s="21">
        <v>3.7</v>
      </c>
      <c r="Q28" s="21">
        <v>3.8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1</v>
      </c>
      <c r="H29" s="27">
        <f t="shared" ref="H29:Q29" si="0">H32-H28</f>
        <v>0</v>
      </c>
      <c r="I29" s="27">
        <f t="shared" si="0"/>
        <v>2.3000000000000003</v>
      </c>
      <c r="J29" s="27">
        <f t="shared" si="0"/>
        <v>0</v>
      </c>
      <c r="K29" s="27">
        <f t="shared" si="0"/>
        <v>0.69999999999999973</v>
      </c>
      <c r="L29" s="27">
        <f>L32-L28</f>
        <v>0</v>
      </c>
      <c r="M29" s="27">
        <f>M32-M28</f>
        <v>1.6</v>
      </c>
      <c r="N29" s="27">
        <f>N32-N28</f>
        <v>1.3000000000000003</v>
      </c>
      <c r="O29" s="27">
        <f>O32-O28</f>
        <v>1.2999999999999998</v>
      </c>
      <c r="P29" s="27">
        <f t="shared" si="0"/>
        <v>1.2000000000000002</v>
      </c>
      <c r="Q29" s="27">
        <f t="shared" si="0"/>
        <v>1.1000000000000005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/>
      <c r="G30" s="20">
        <v>666.2</v>
      </c>
      <c r="H30" s="21"/>
      <c r="I30" s="21">
        <v>647.6</v>
      </c>
      <c r="J30" s="20"/>
      <c r="K30" s="20">
        <v>641</v>
      </c>
      <c r="L30" s="21"/>
      <c r="M30" s="21">
        <v>622.6</v>
      </c>
      <c r="N30" s="20">
        <v>641</v>
      </c>
      <c r="O30" s="20">
        <v>654.1</v>
      </c>
      <c r="P30" s="21">
        <v>641.79999999999995</v>
      </c>
      <c r="Q30" s="21">
        <v>638.6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/>
      <c r="G31" s="20">
        <v>13.7</v>
      </c>
      <c r="H31" s="21"/>
      <c r="I31" s="21">
        <v>13.8</v>
      </c>
      <c r="J31" s="20"/>
      <c r="K31" s="20">
        <v>13</v>
      </c>
      <c r="L31" s="21"/>
      <c r="M31" s="21">
        <v>13.2</v>
      </c>
      <c r="N31" s="20">
        <v>13.9</v>
      </c>
      <c r="O31" s="20">
        <v>13.7</v>
      </c>
      <c r="P31" s="21">
        <v>13.3</v>
      </c>
      <c r="Q31" s="21">
        <v>13.4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/>
      <c r="G32" s="20">
        <v>5</v>
      </c>
      <c r="H32" s="21"/>
      <c r="I32" s="21">
        <v>4.9000000000000004</v>
      </c>
      <c r="J32" s="20"/>
      <c r="K32" s="20">
        <v>3.9</v>
      </c>
      <c r="L32" s="21"/>
      <c r="M32" s="21">
        <v>4</v>
      </c>
      <c r="N32" s="20">
        <v>4.9000000000000004</v>
      </c>
      <c r="O32" s="20">
        <v>4.8</v>
      </c>
      <c r="P32" s="21">
        <v>4.9000000000000004</v>
      </c>
      <c r="Q32" s="21">
        <v>4.9000000000000004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8.6999999999999993</v>
      </c>
      <c r="H33" s="27">
        <f t="shared" ref="H33:Q33" si="1">H31-H32</f>
        <v>0</v>
      </c>
      <c r="I33" s="27">
        <f t="shared" si="1"/>
        <v>8.9</v>
      </c>
      <c r="J33" s="27">
        <f t="shared" si="1"/>
        <v>0</v>
      </c>
      <c r="K33" s="27">
        <f t="shared" si="1"/>
        <v>9.1</v>
      </c>
      <c r="L33" s="27">
        <f>L31-L32</f>
        <v>0</v>
      </c>
      <c r="M33" s="27">
        <f>M31-M32</f>
        <v>9.1999999999999993</v>
      </c>
      <c r="N33" s="27">
        <f>N31-N32</f>
        <v>9</v>
      </c>
      <c r="O33" s="27">
        <f>O31-O32</f>
        <v>8.8999999999999986</v>
      </c>
      <c r="P33" s="27">
        <f t="shared" si="1"/>
        <v>8.4</v>
      </c>
      <c r="Q33" s="27">
        <f t="shared" si="1"/>
        <v>8.5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6692.7713625866045</v>
      </c>
      <c r="H34" s="28">
        <f t="shared" ref="H34:Q34" si="2">(H33*H30)/0.866</f>
        <v>0</v>
      </c>
      <c r="I34" s="28">
        <f t="shared" si="2"/>
        <v>6655.4734411085456</v>
      </c>
      <c r="J34" s="28">
        <f t="shared" si="2"/>
        <v>0</v>
      </c>
      <c r="K34" s="28">
        <f t="shared" si="2"/>
        <v>6735.6812933025394</v>
      </c>
      <c r="L34" s="28">
        <f>(L33*L30)/0.866</f>
        <v>0</v>
      </c>
      <c r="M34" s="28">
        <f>(M33*M30)/0.866</f>
        <v>6614.2263279445733</v>
      </c>
      <c r="N34" s="28">
        <f>(N33*N30)/0.866</f>
        <v>6661.6628175519627</v>
      </c>
      <c r="O34" s="28">
        <f>(O33*O30)/0.866</f>
        <v>6722.2748267898369</v>
      </c>
      <c r="P34" s="28">
        <f t="shared" si="2"/>
        <v>6225.3117782909931</v>
      </c>
      <c r="Q34" s="28">
        <f t="shared" si="2"/>
        <v>6268.0138568129332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0.82</v>
      </c>
      <c r="H35" s="21"/>
      <c r="I35" s="21">
        <v>0.84</v>
      </c>
      <c r="J35" s="20"/>
      <c r="K35" s="20">
        <v>0.83</v>
      </c>
      <c r="L35" s="21"/>
      <c r="M35" s="21">
        <v>0.81</v>
      </c>
      <c r="N35" s="20">
        <v>0.82</v>
      </c>
      <c r="O35" s="20">
        <v>0.8</v>
      </c>
      <c r="P35" s="21">
        <v>0.84</v>
      </c>
      <c r="Q35" s="21">
        <v>0.83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/>
      <c r="G36" s="20">
        <v>36</v>
      </c>
      <c r="H36" s="21"/>
      <c r="I36" s="21">
        <v>36.4</v>
      </c>
      <c r="J36" s="20"/>
      <c r="K36" s="20">
        <v>36.299999999999997</v>
      </c>
      <c r="L36" s="21"/>
      <c r="M36" s="21">
        <v>36.200000000000003</v>
      </c>
      <c r="N36" s="20">
        <v>36.1</v>
      </c>
      <c r="O36" s="20">
        <v>35.6</v>
      </c>
      <c r="P36" s="21">
        <v>36.700000000000003</v>
      </c>
      <c r="Q36" s="21">
        <v>36.1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/>
      <c r="G37" s="20">
        <v>36.4</v>
      </c>
      <c r="H37" s="21"/>
      <c r="I37" s="21">
        <v>37.299999999999997</v>
      </c>
      <c r="J37" s="20"/>
      <c r="K37" s="20">
        <v>37</v>
      </c>
      <c r="L37" s="21"/>
      <c r="M37" s="21">
        <v>36.6</v>
      </c>
      <c r="N37" s="20">
        <v>36.5</v>
      </c>
      <c r="O37" s="20">
        <v>36</v>
      </c>
      <c r="P37" s="21">
        <v>37.299999999999997</v>
      </c>
      <c r="Q37" s="21">
        <v>36.799999999999997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1.5</v>
      </c>
      <c r="H38" s="27">
        <v>1</v>
      </c>
      <c r="I38" s="27">
        <f t="shared" ref="I38:Q38" si="3">I37-I41</f>
        <v>3.1999999999999957</v>
      </c>
      <c r="J38" s="27">
        <f t="shared" si="3"/>
        <v>0</v>
      </c>
      <c r="K38" s="27">
        <f t="shared" si="3"/>
        <v>2.1000000000000014</v>
      </c>
      <c r="L38" s="27">
        <f>L37-L41</f>
        <v>0</v>
      </c>
      <c r="M38" s="27">
        <f>M37-M41</f>
        <v>2.1000000000000014</v>
      </c>
      <c r="N38" s="27">
        <f>N37-N41</f>
        <v>1.3999999999999986</v>
      </c>
      <c r="O38" s="27">
        <f>O37-O41</f>
        <v>1.5</v>
      </c>
      <c r="P38" s="27">
        <f t="shared" si="3"/>
        <v>2.3999999999999986</v>
      </c>
      <c r="Q38" s="27">
        <f t="shared" si="3"/>
        <v>2.3999999999999986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/>
      <c r="G40" s="20">
        <v>29.3</v>
      </c>
      <c r="H40" s="21"/>
      <c r="I40" s="21">
        <v>29.4</v>
      </c>
      <c r="J40" s="20"/>
      <c r="K40" s="20">
        <v>29.4</v>
      </c>
      <c r="L40" s="21"/>
      <c r="M40" s="21">
        <v>29.2</v>
      </c>
      <c r="N40" s="20">
        <v>29.6</v>
      </c>
      <c r="O40" s="20">
        <v>29.1</v>
      </c>
      <c r="P40" s="21">
        <v>29.6</v>
      </c>
      <c r="Q40" s="21">
        <v>29.1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/>
      <c r="G41" s="20">
        <v>34.9</v>
      </c>
      <c r="H41" s="21"/>
      <c r="I41" s="21">
        <v>34.1</v>
      </c>
      <c r="J41" s="20"/>
      <c r="K41" s="20">
        <v>34.9</v>
      </c>
      <c r="L41" s="21"/>
      <c r="M41" s="21">
        <v>34.5</v>
      </c>
      <c r="N41" s="20">
        <v>35.1</v>
      </c>
      <c r="O41" s="20">
        <v>34.5</v>
      </c>
      <c r="P41" s="21">
        <v>34.9</v>
      </c>
      <c r="Q41" s="21">
        <v>34.4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5.5999999999999979</v>
      </c>
      <c r="H42" s="27">
        <f t="shared" ref="H42:Q42" si="4">H41-H40</f>
        <v>0</v>
      </c>
      <c r="I42" s="27">
        <f t="shared" si="4"/>
        <v>4.7000000000000028</v>
      </c>
      <c r="J42" s="27">
        <f t="shared" si="4"/>
        <v>0</v>
      </c>
      <c r="K42" s="27">
        <f t="shared" si="4"/>
        <v>5.5</v>
      </c>
      <c r="L42" s="27">
        <f>L41-L40</f>
        <v>0</v>
      </c>
      <c r="M42" s="27">
        <f>M41-M40</f>
        <v>5.3000000000000007</v>
      </c>
      <c r="N42" s="27">
        <f>N41-N40</f>
        <v>5.5</v>
      </c>
      <c r="O42" s="27">
        <f>O41-O40</f>
        <v>5.3999999999999986</v>
      </c>
      <c r="P42" s="27">
        <f t="shared" si="4"/>
        <v>5.2999999999999972</v>
      </c>
      <c r="Q42" s="27">
        <f t="shared" si="4"/>
        <v>5.2999999999999972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/>
      <c r="G43" s="20">
        <v>1300.7</v>
      </c>
      <c r="H43" s="21"/>
      <c r="I43" s="21">
        <v>1301.7</v>
      </c>
      <c r="J43" s="20"/>
      <c r="K43" s="20">
        <v>1293.5</v>
      </c>
      <c r="L43" s="21"/>
      <c r="M43" s="20">
        <v>1297.5</v>
      </c>
      <c r="N43" s="20">
        <v>1279.8</v>
      </c>
      <c r="O43" s="20">
        <v>1293.4000000000001</v>
      </c>
      <c r="P43" s="21">
        <v>1297.4000000000001</v>
      </c>
      <c r="Q43" s="21">
        <v>1298.9000000000001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8410.9930715935297</v>
      </c>
      <c r="H44" s="28">
        <f t="shared" ref="H44:Q44" si="5">H42*H43/0.866</f>
        <v>0</v>
      </c>
      <c r="I44" s="28">
        <f t="shared" si="5"/>
        <v>7064.6535796766793</v>
      </c>
      <c r="J44" s="28">
        <f t="shared" si="5"/>
        <v>0</v>
      </c>
      <c r="K44" s="28">
        <f t="shared" si="5"/>
        <v>8215.0692840646643</v>
      </c>
      <c r="L44" s="28">
        <f>L42*L43/0.866</f>
        <v>0</v>
      </c>
      <c r="M44" s="28">
        <f>M42*M43/0.866</f>
        <v>7940.8198614318717</v>
      </c>
      <c r="N44" s="28">
        <f>N42*N43/0.866</f>
        <v>8128.0600461893764</v>
      </c>
      <c r="O44" s="28">
        <f>O42*O43/0.866</f>
        <v>8065.0808314087744</v>
      </c>
      <c r="P44" s="28">
        <f t="shared" si="5"/>
        <v>7940.2078521939911</v>
      </c>
      <c r="Q44" s="28">
        <f t="shared" si="5"/>
        <v>7949.3879907621204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>
        <v>0.46</v>
      </c>
      <c r="J45" s="20"/>
      <c r="K45" s="20">
        <v>0.46</v>
      </c>
      <c r="L45" s="21"/>
      <c r="M45" s="21">
        <v>0.46</v>
      </c>
      <c r="N45" s="20">
        <v>0.46</v>
      </c>
      <c r="O45" s="20">
        <v>0.46</v>
      </c>
      <c r="P45" s="21">
        <v>0.48</v>
      </c>
      <c r="Q45" s="21">
        <v>0.47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/>
      <c r="G46" s="20">
        <v>20.2</v>
      </c>
      <c r="H46" s="21"/>
      <c r="I46" s="21">
        <v>19.5</v>
      </c>
      <c r="J46" s="20"/>
      <c r="K46" s="20">
        <v>19.399999999999999</v>
      </c>
      <c r="L46" s="21"/>
      <c r="M46" s="21">
        <v>19.5</v>
      </c>
      <c r="N46" s="20">
        <v>19.8</v>
      </c>
      <c r="O46" s="20">
        <v>19.3</v>
      </c>
      <c r="P46" s="21">
        <v>20.399999999999999</v>
      </c>
      <c r="Q46" s="21">
        <v>20.2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/>
      <c r="G47" s="20">
        <v>200.8</v>
      </c>
      <c r="H47" s="21"/>
      <c r="I47" s="21">
        <v>125.7</v>
      </c>
      <c r="J47" s="20"/>
      <c r="K47" s="20">
        <v>206</v>
      </c>
      <c r="L47" s="21"/>
      <c r="M47" s="21">
        <v>207.3</v>
      </c>
      <c r="N47" s="20">
        <v>160.9</v>
      </c>
      <c r="O47" s="20">
        <v>159.4</v>
      </c>
      <c r="P47" s="21">
        <v>206</v>
      </c>
      <c r="Q47" s="21">
        <v>193.1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83">
        <v>5.89</v>
      </c>
      <c r="F49" s="20"/>
      <c r="G49" s="20">
        <v>5.64</v>
      </c>
      <c r="H49" s="21"/>
      <c r="I49" s="21">
        <v>5.38</v>
      </c>
      <c r="J49" s="20"/>
      <c r="K49" s="20">
        <v>5.55</v>
      </c>
      <c r="L49" s="21"/>
      <c r="M49" s="21">
        <v>5.68</v>
      </c>
      <c r="N49" s="20">
        <v>5.65</v>
      </c>
      <c r="O49" s="20">
        <v>5.54</v>
      </c>
      <c r="P49" s="21">
        <v>5.23</v>
      </c>
      <c r="Q49" s="21">
        <v>5.27</v>
      </c>
    </row>
    <row r="50" spans="2:17" ht="20.100000000000001" customHeight="1">
      <c r="B50" s="92" t="s">
        <v>91</v>
      </c>
      <c r="C50" s="92"/>
      <c r="D50" s="92"/>
      <c r="E50" s="83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82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22" zoomScale="85" zoomScaleNormal="60" workbookViewId="0">
      <selection activeCell="L23" sqref="L23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45774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85" t="s">
        <v>18</v>
      </c>
      <c r="E10" s="15"/>
      <c r="F10" s="16"/>
      <c r="G10" s="17" t="s">
        <v>19</v>
      </c>
      <c r="H10" s="18"/>
      <c r="I10" s="18" t="s">
        <v>19</v>
      </c>
      <c r="J10" s="17"/>
      <c r="K10" s="17" t="s">
        <v>19</v>
      </c>
      <c r="L10" s="18"/>
      <c r="M10" s="18" t="s">
        <v>19</v>
      </c>
      <c r="N10" s="16" t="s">
        <v>19</v>
      </c>
      <c r="O10" s="17" t="s">
        <v>19</v>
      </c>
      <c r="P10" s="18" t="s">
        <v>19</v>
      </c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68.900000000000006</v>
      </c>
      <c r="H11" s="21"/>
      <c r="I11" s="21">
        <v>75.099999999999994</v>
      </c>
      <c r="J11" s="20"/>
      <c r="K11" s="20">
        <v>73.2</v>
      </c>
      <c r="L11" s="21"/>
      <c r="M11" s="21">
        <v>73.8</v>
      </c>
      <c r="N11" s="20"/>
      <c r="O11" s="20">
        <v>74</v>
      </c>
      <c r="P11" s="21"/>
      <c r="Q11" s="21">
        <v>71.7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0.1</v>
      </c>
      <c r="H12" s="21"/>
      <c r="I12" s="21">
        <v>0</v>
      </c>
      <c r="J12" s="20"/>
      <c r="K12" s="20">
        <v>0</v>
      </c>
      <c r="L12" s="21"/>
      <c r="M12" s="21">
        <v>0.2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63.1</v>
      </c>
      <c r="H13" s="21"/>
      <c r="I13" s="21">
        <v>70.3</v>
      </c>
      <c r="J13" s="20"/>
      <c r="K13" s="20">
        <v>67.099999999999994</v>
      </c>
      <c r="L13" s="21"/>
      <c r="M13" s="21">
        <v>71.400000000000006</v>
      </c>
      <c r="N13" s="20"/>
      <c r="O13" s="20">
        <v>69.099999999999994</v>
      </c>
      <c r="P13" s="21"/>
      <c r="Q13" s="21">
        <v>66.3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69.400000000000006</v>
      </c>
      <c r="H14" s="21"/>
      <c r="I14" s="21">
        <v>70.099999999999994</v>
      </c>
      <c r="J14" s="20"/>
      <c r="K14" s="20">
        <v>64.400000000000006</v>
      </c>
      <c r="L14" s="21"/>
      <c r="M14" s="21">
        <v>64.900000000000006</v>
      </c>
      <c r="N14" s="20"/>
      <c r="O14" s="20">
        <v>75.099999999999994</v>
      </c>
      <c r="P14" s="21"/>
      <c r="Q14" s="21">
        <v>70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36.299999999999997</v>
      </c>
      <c r="H15" s="21"/>
      <c r="I15" s="21">
        <v>51.8</v>
      </c>
      <c r="J15" s="20"/>
      <c r="K15" s="20">
        <v>39.4</v>
      </c>
      <c r="L15" s="21"/>
      <c r="M15" s="21">
        <v>34.9</v>
      </c>
      <c r="N15" s="20"/>
      <c r="O15" s="20">
        <v>58.5</v>
      </c>
      <c r="P15" s="21"/>
      <c r="Q15" s="21">
        <v>43.5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/>
      <c r="K16" s="20">
        <v>6.6</v>
      </c>
      <c r="L16" s="21"/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/>
      <c r="G17" s="20">
        <v>117.1</v>
      </c>
      <c r="H17" s="21"/>
      <c r="I17" s="21">
        <v>116.1</v>
      </c>
      <c r="J17" s="20"/>
      <c r="K17" s="20">
        <v>116.1</v>
      </c>
      <c r="L17" s="21"/>
      <c r="M17" s="21">
        <v>115.7</v>
      </c>
      <c r="N17" s="20"/>
      <c r="O17" s="20">
        <v>117</v>
      </c>
      <c r="P17" s="21"/>
      <c r="Q17" s="21">
        <v>116.9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/>
      <c r="G18" s="20">
        <v>1149</v>
      </c>
      <c r="H18" s="21"/>
      <c r="I18" s="21">
        <v>1167</v>
      </c>
      <c r="J18" s="20"/>
      <c r="K18" s="20">
        <v>1168</v>
      </c>
      <c r="L18" s="21"/>
      <c r="M18" s="21">
        <v>1180</v>
      </c>
      <c r="N18" s="20"/>
      <c r="O18" s="20">
        <v>1197</v>
      </c>
      <c r="P18" s="21"/>
      <c r="Q18" s="21">
        <v>1188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50093.4</v>
      </c>
      <c r="H19" s="21"/>
      <c r="I19" s="21">
        <v>51244.5</v>
      </c>
      <c r="J19" s="20"/>
      <c r="K19" s="20">
        <v>49036.800000000003</v>
      </c>
      <c r="L19" s="21"/>
      <c r="M19" s="21">
        <v>51407.3</v>
      </c>
      <c r="N19" s="20"/>
      <c r="O19" s="20">
        <v>50605.9</v>
      </c>
      <c r="P19" s="21"/>
      <c r="Q19" s="21">
        <v>50625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/>
      <c r="G22" s="20">
        <v>58.6</v>
      </c>
      <c r="H22" s="21"/>
      <c r="I22" s="21">
        <v>59.2</v>
      </c>
      <c r="J22" s="20"/>
      <c r="K22" s="20">
        <v>60.7</v>
      </c>
      <c r="L22" s="21"/>
      <c r="M22" s="21">
        <v>57.5</v>
      </c>
      <c r="N22" s="20"/>
      <c r="O22" s="20">
        <v>58.6</v>
      </c>
      <c r="P22" s="21"/>
      <c r="Q22" s="21">
        <v>59.3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0.49</v>
      </c>
      <c r="J23" s="20"/>
      <c r="K23" s="20">
        <v>0.59</v>
      </c>
      <c r="L23" s="21"/>
      <c r="M23" s="21">
        <v>0.46</v>
      </c>
      <c r="N23" s="20"/>
      <c r="O23" s="20">
        <v>0.48</v>
      </c>
      <c r="P23" s="21"/>
      <c r="Q23" s="21">
        <v>0.5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/>
      <c r="G25" s="20">
        <v>44.8</v>
      </c>
      <c r="H25" s="21"/>
      <c r="I25" s="21">
        <v>45.2</v>
      </c>
      <c r="J25" s="20"/>
      <c r="K25" s="20">
        <v>47.2</v>
      </c>
      <c r="L25" s="21"/>
      <c r="M25" s="21">
        <v>45.1</v>
      </c>
      <c r="N25" s="20"/>
      <c r="O25" s="20">
        <v>44.6</v>
      </c>
      <c r="P25" s="21"/>
      <c r="Q25" s="21">
        <v>45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0.28999999999999998</v>
      </c>
      <c r="H26" s="21"/>
      <c r="I26" s="21">
        <v>0.28999999999999998</v>
      </c>
      <c r="J26" s="20"/>
      <c r="K26" s="20">
        <v>0.27</v>
      </c>
      <c r="L26" s="21"/>
      <c r="M26" s="21">
        <v>0.27</v>
      </c>
      <c r="N26" s="20"/>
      <c r="O26" s="20">
        <v>0.23</v>
      </c>
      <c r="P26" s="21"/>
      <c r="Q26" s="21">
        <v>0.23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/>
      <c r="G27" s="20">
        <v>4</v>
      </c>
      <c r="H27" s="21"/>
      <c r="I27" s="21">
        <v>3.7</v>
      </c>
      <c r="J27" s="20"/>
      <c r="K27" s="20">
        <v>4.2</v>
      </c>
      <c r="L27" s="21"/>
      <c r="M27" s="21">
        <v>3.5</v>
      </c>
      <c r="N27" s="20"/>
      <c r="O27" s="20">
        <v>4.5</v>
      </c>
      <c r="P27" s="21"/>
      <c r="Q27" s="21">
        <v>5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/>
      <c r="G28" s="20">
        <v>8.5</v>
      </c>
      <c r="H28" s="21"/>
      <c r="I28" s="21">
        <v>8.6</v>
      </c>
      <c r="J28" s="20"/>
      <c r="K28" s="20">
        <v>6.8</v>
      </c>
      <c r="L28" s="21"/>
      <c r="M28" s="21">
        <v>7</v>
      </c>
      <c r="N28" s="20"/>
      <c r="O28" s="20">
        <v>3.4</v>
      </c>
      <c r="P28" s="21"/>
      <c r="Q28" s="21">
        <v>3.9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-3.8</v>
      </c>
      <c r="H29" s="27">
        <f t="shared" ref="H29:Q29" si="0">H32-H28</f>
        <v>0</v>
      </c>
      <c r="I29" s="27">
        <f t="shared" si="0"/>
        <v>-3.8999999999999995</v>
      </c>
      <c r="J29" s="27">
        <f t="shared" si="0"/>
        <v>0</v>
      </c>
      <c r="K29" s="27">
        <f t="shared" si="0"/>
        <v>-2.2000000000000002</v>
      </c>
      <c r="L29" s="27">
        <f>L32-L28</f>
        <v>0</v>
      </c>
      <c r="M29" s="27">
        <f>M32-M28</f>
        <v>-3.2</v>
      </c>
      <c r="N29" s="27">
        <f>N32-N28</f>
        <v>0</v>
      </c>
      <c r="O29" s="27">
        <f>O32-O28</f>
        <v>0.89999999999999991</v>
      </c>
      <c r="P29" s="27">
        <f t="shared" si="0"/>
        <v>0</v>
      </c>
      <c r="Q29" s="27">
        <f t="shared" si="0"/>
        <v>0.89999999999999991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/>
      <c r="G30" s="20">
        <v>646.96</v>
      </c>
      <c r="H30" s="21"/>
      <c r="I30" s="21">
        <v>645.84</v>
      </c>
      <c r="J30" s="20"/>
      <c r="K30" s="20">
        <v>643.36</v>
      </c>
      <c r="L30" s="21"/>
      <c r="M30" s="21">
        <v>634.48</v>
      </c>
      <c r="N30" s="20"/>
      <c r="O30" s="20">
        <v>635.76</v>
      </c>
      <c r="P30" s="21"/>
      <c r="Q30" s="21">
        <v>635.76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/>
      <c r="G31" s="20">
        <v>13.5</v>
      </c>
      <c r="H31" s="21"/>
      <c r="I31" s="21">
        <v>13.5</v>
      </c>
      <c r="J31" s="20"/>
      <c r="K31" s="20">
        <v>13.5</v>
      </c>
      <c r="L31" s="21"/>
      <c r="M31" s="21">
        <v>13.2</v>
      </c>
      <c r="N31" s="20"/>
      <c r="O31" s="20">
        <v>13.3</v>
      </c>
      <c r="P31" s="21"/>
      <c r="Q31" s="21">
        <v>13.5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/>
      <c r="G32" s="20">
        <v>4.7</v>
      </c>
      <c r="H32" s="21"/>
      <c r="I32" s="21">
        <v>4.7</v>
      </c>
      <c r="J32" s="20"/>
      <c r="K32" s="20">
        <v>4.5999999999999996</v>
      </c>
      <c r="L32" s="21"/>
      <c r="M32" s="21">
        <v>3.8</v>
      </c>
      <c r="N32" s="20"/>
      <c r="O32" s="20">
        <v>4.3</v>
      </c>
      <c r="P32" s="21"/>
      <c r="Q32" s="21">
        <v>4.8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8.8000000000000007</v>
      </c>
      <c r="H33" s="27">
        <f t="shared" ref="H33:Q33" si="1">H31-H32</f>
        <v>0</v>
      </c>
      <c r="I33" s="27">
        <f t="shared" si="1"/>
        <v>8.8000000000000007</v>
      </c>
      <c r="J33" s="27">
        <f t="shared" si="1"/>
        <v>0</v>
      </c>
      <c r="K33" s="27">
        <f t="shared" si="1"/>
        <v>8.9</v>
      </c>
      <c r="L33" s="27">
        <f>L31-L32</f>
        <v>0</v>
      </c>
      <c r="M33" s="27">
        <f>M31-M32</f>
        <v>9.3999999999999986</v>
      </c>
      <c r="N33" s="27">
        <f>N31-N32</f>
        <v>0</v>
      </c>
      <c r="O33" s="27">
        <f>O31-O32</f>
        <v>9</v>
      </c>
      <c r="P33" s="27">
        <f t="shared" si="1"/>
        <v>0</v>
      </c>
      <c r="Q33" s="27">
        <f t="shared" si="1"/>
        <v>8.6999999999999993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6574.189376443419</v>
      </c>
      <c r="H34" s="28">
        <f t="shared" ref="H34:Q34" si="2">(H33*H30)/0.866</f>
        <v>0</v>
      </c>
      <c r="I34" s="28">
        <f t="shared" si="2"/>
        <v>6562.8083140877607</v>
      </c>
      <c r="J34" s="28">
        <f t="shared" si="2"/>
        <v>0</v>
      </c>
      <c r="K34" s="28">
        <f t="shared" si="2"/>
        <v>6611.8983833718248</v>
      </c>
      <c r="L34" s="28">
        <f>(L33*L30)/0.866</f>
        <v>0</v>
      </c>
      <c r="M34" s="28">
        <f>(M33*M30)/0.866</f>
        <v>6886.9653579676669</v>
      </c>
      <c r="N34" s="28">
        <f>(N33*N30)/0.866</f>
        <v>0</v>
      </c>
      <c r="O34" s="28">
        <f>(O33*O30)/0.866</f>
        <v>6607.2055427251735</v>
      </c>
      <c r="P34" s="28">
        <f t="shared" si="2"/>
        <v>0</v>
      </c>
      <c r="Q34" s="28">
        <f t="shared" si="2"/>
        <v>6386.9653579676669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0.3</v>
      </c>
      <c r="H35" s="21"/>
      <c r="I35" s="21">
        <v>0.3</v>
      </c>
      <c r="J35" s="20"/>
      <c r="K35" s="20">
        <v>0.28000000000000003</v>
      </c>
      <c r="L35" s="21"/>
      <c r="M35" s="21">
        <v>0.28000000000000003</v>
      </c>
      <c r="N35" s="20"/>
      <c r="O35" s="20">
        <v>0.81</v>
      </c>
      <c r="P35" s="21"/>
      <c r="Q35" s="21">
        <v>0.84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/>
      <c r="G36" s="20">
        <v>36</v>
      </c>
      <c r="H36" s="21"/>
      <c r="I36" s="21">
        <v>36.299999999999997</v>
      </c>
      <c r="J36" s="20"/>
      <c r="K36" s="20">
        <v>36.299999999999997</v>
      </c>
      <c r="L36" s="21"/>
      <c r="M36" s="21">
        <v>36.1</v>
      </c>
      <c r="N36" s="20"/>
      <c r="O36" s="20">
        <v>35.700000000000003</v>
      </c>
      <c r="P36" s="21"/>
      <c r="Q36" s="21">
        <v>36.299999999999997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/>
      <c r="G37" s="20">
        <v>8.8000000000000007</v>
      </c>
      <c r="H37" s="21"/>
      <c r="I37" s="21">
        <v>8.9</v>
      </c>
      <c r="J37" s="20"/>
      <c r="K37" s="20">
        <v>7.6</v>
      </c>
      <c r="L37" s="21"/>
      <c r="M37" s="21">
        <v>7.5</v>
      </c>
      <c r="N37" s="20"/>
      <c r="O37" s="20">
        <v>36.200000000000003</v>
      </c>
      <c r="P37" s="21"/>
      <c r="Q37" s="21">
        <v>37.200000000000003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-24.8</v>
      </c>
      <c r="H38" s="27">
        <v>1</v>
      </c>
      <c r="I38" s="27">
        <f t="shared" ref="I38:Q38" si="3">I37-I41</f>
        <v>-24.4</v>
      </c>
      <c r="J38" s="27">
        <f t="shared" si="3"/>
        <v>0</v>
      </c>
      <c r="K38" s="27">
        <f t="shared" si="3"/>
        <v>-26.1</v>
      </c>
      <c r="L38" s="27">
        <f>L37-L41</f>
        <v>0</v>
      </c>
      <c r="M38" s="27">
        <f>M37-M41</f>
        <v>-25.799999999999997</v>
      </c>
      <c r="N38" s="27">
        <f>N37-N41</f>
        <v>0</v>
      </c>
      <c r="O38" s="27">
        <f>O37-O41</f>
        <v>2.9000000000000057</v>
      </c>
      <c r="P38" s="27">
        <f t="shared" si="3"/>
        <v>0</v>
      </c>
      <c r="Q38" s="27">
        <f t="shared" si="3"/>
        <v>3.3000000000000043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/>
      <c r="G40" s="20">
        <v>28.5</v>
      </c>
      <c r="H40" s="21"/>
      <c r="I40" s="21">
        <v>28.3</v>
      </c>
      <c r="J40" s="20"/>
      <c r="K40" s="20">
        <v>28.4</v>
      </c>
      <c r="L40" s="21"/>
      <c r="M40" s="21">
        <v>28.2</v>
      </c>
      <c r="N40" s="20"/>
      <c r="O40" s="20">
        <v>28.3</v>
      </c>
      <c r="P40" s="21"/>
      <c r="Q40" s="21">
        <v>28.5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/>
      <c r="G41" s="20">
        <v>33.6</v>
      </c>
      <c r="H41" s="21"/>
      <c r="I41" s="21">
        <v>33.299999999999997</v>
      </c>
      <c r="J41" s="20"/>
      <c r="K41" s="20">
        <v>33.700000000000003</v>
      </c>
      <c r="L41" s="21"/>
      <c r="M41" s="21">
        <v>33.299999999999997</v>
      </c>
      <c r="N41" s="20"/>
      <c r="O41" s="20">
        <v>33.299999999999997</v>
      </c>
      <c r="P41" s="21"/>
      <c r="Q41" s="21">
        <v>33.9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5.1000000000000014</v>
      </c>
      <c r="H42" s="27">
        <f t="shared" ref="H42:Q42" si="4">H41-H40</f>
        <v>0</v>
      </c>
      <c r="I42" s="27">
        <f t="shared" si="4"/>
        <v>4.9999999999999964</v>
      </c>
      <c r="J42" s="27">
        <f t="shared" si="4"/>
        <v>0</v>
      </c>
      <c r="K42" s="27">
        <f t="shared" si="4"/>
        <v>5.3000000000000043</v>
      </c>
      <c r="L42" s="27">
        <f>L41-L40</f>
        <v>0</v>
      </c>
      <c r="M42" s="27">
        <f>M41-M40</f>
        <v>5.0999999999999979</v>
      </c>
      <c r="N42" s="27">
        <f>N41-N40</f>
        <v>0</v>
      </c>
      <c r="O42" s="27">
        <f>O41-O40</f>
        <v>4.9999999999999964</v>
      </c>
      <c r="P42" s="27">
        <f t="shared" si="4"/>
        <v>0</v>
      </c>
      <c r="Q42" s="27">
        <f t="shared" si="4"/>
        <v>5.3999999999999986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/>
      <c r="G43" s="20">
        <v>1302.98</v>
      </c>
      <c r="H43" s="21"/>
      <c r="I43" s="21">
        <v>1300.74</v>
      </c>
      <c r="J43" s="20"/>
      <c r="K43" s="20">
        <v>1297.0999999999999</v>
      </c>
      <c r="L43" s="21"/>
      <c r="M43" s="20">
        <v>1295.1400000000001</v>
      </c>
      <c r="N43" s="20"/>
      <c r="O43" s="20">
        <v>1291.08</v>
      </c>
      <c r="P43" s="21"/>
      <c r="Q43" s="21">
        <v>1299.9000000000001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7673.4387990762152</v>
      </c>
      <c r="H44" s="28">
        <f t="shared" ref="H44:Q44" si="5">H42*H43/0.866</f>
        <v>0</v>
      </c>
      <c r="I44" s="28">
        <f t="shared" si="5"/>
        <v>7510.0461893764377</v>
      </c>
      <c r="J44" s="28">
        <f t="shared" si="5"/>
        <v>0</v>
      </c>
      <c r="K44" s="28">
        <f t="shared" si="5"/>
        <v>7938.3718244803749</v>
      </c>
      <c r="L44" s="28">
        <f>L42*L43/0.866</f>
        <v>0</v>
      </c>
      <c r="M44" s="28">
        <f>M42*M43/0.866</f>
        <v>7627.2678983833694</v>
      </c>
      <c r="N44" s="28">
        <f>N42*N43/0.866</f>
        <v>0</v>
      </c>
      <c r="O44" s="28">
        <f>O42*O43/0.866</f>
        <v>7454.2725173210101</v>
      </c>
      <c r="P44" s="28">
        <f t="shared" si="5"/>
        <v>0</v>
      </c>
      <c r="Q44" s="28">
        <f t="shared" si="5"/>
        <v>8105.6120092378733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>
        <v>0.46</v>
      </c>
      <c r="J45" s="20"/>
      <c r="K45" s="20">
        <v>0.47</v>
      </c>
      <c r="L45" s="21"/>
      <c r="M45" s="21">
        <v>0.46</v>
      </c>
      <c r="N45" s="20"/>
      <c r="O45" s="20">
        <v>0.46</v>
      </c>
      <c r="P45" s="21"/>
      <c r="Q45" s="21">
        <v>0.47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/>
      <c r="G46" s="20">
        <v>20.2</v>
      </c>
      <c r="H46" s="21"/>
      <c r="I46" s="21">
        <v>19.8</v>
      </c>
      <c r="J46" s="20"/>
      <c r="K46" s="20">
        <v>20</v>
      </c>
      <c r="L46" s="21"/>
      <c r="M46" s="21">
        <v>19.399999999999999</v>
      </c>
      <c r="N46" s="20"/>
      <c r="O46" s="20">
        <v>19.5</v>
      </c>
      <c r="P46" s="21"/>
      <c r="Q46" s="21">
        <v>20.399999999999999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/>
      <c r="G47" s="20">
        <v>202.7</v>
      </c>
      <c r="H47" s="21"/>
      <c r="I47" s="21">
        <v>133.30000000000001</v>
      </c>
      <c r="J47" s="20"/>
      <c r="K47" s="20">
        <v>206.3</v>
      </c>
      <c r="L47" s="21"/>
      <c r="M47" s="21">
        <v>208.9</v>
      </c>
      <c r="N47" s="20"/>
      <c r="O47" s="20">
        <v>154.4</v>
      </c>
      <c r="P47" s="21"/>
      <c r="Q47" s="21">
        <v>196.9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85">
        <v>5.89</v>
      </c>
      <c r="F49" s="20"/>
      <c r="G49" s="20">
        <v>5.69</v>
      </c>
      <c r="H49" s="21"/>
      <c r="I49" s="21">
        <v>5.61</v>
      </c>
      <c r="J49" s="20"/>
      <c r="K49" s="20">
        <v>5.7</v>
      </c>
      <c r="L49" s="21"/>
      <c r="M49" s="21">
        <v>5.62</v>
      </c>
      <c r="N49" s="20"/>
      <c r="O49" s="20">
        <v>5.79</v>
      </c>
      <c r="P49" s="21"/>
      <c r="Q49" s="21">
        <v>5.43</v>
      </c>
    </row>
    <row r="50" spans="2:17" ht="20.100000000000001" customHeight="1">
      <c r="B50" s="92" t="s">
        <v>91</v>
      </c>
      <c r="C50" s="92"/>
      <c r="D50" s="92"/>
      <c r="E50" s="85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84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25" zoomScale="85" zoomScaleNormal="60" workbookViewId="0">
      <selection activeCell="N50" sqref="N50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45775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87" t="s">
        <v>18</v>
      </c>
      <c r="E10" s="15"/>
      <c r="F10" s="16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/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68.900000000000006</v>
      </c>
      <c r="H11" s="21"/>
      <c r="I11" s="21">
        <v>77.3</v>
      </c>
      <c r="J11" s="20">
        <v>75.5</v>
      </c>
      <c r="K11" s="20">
        <v>74</v>
      </c>
      <c r="L11" s="21"/>
      <c r="M11" s="21">
        <v>75.8</v>
      </c>
      <c r="N11" s="20">
        <v>78.099999999999994</v>
      </c>
      <c r="O11" s="20">
        <v>76.099999999999994</v>
      </c>
      <c r="P11" s="21"/>
      <c r="Q11" s="21">
        <v>72.099999999999994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0.1</v>
      </c>
      <c r="H12" s="21"/>
      <c r="I12" s="21">
        <v>0</v>
      </c>
      <c r="J12" s="20">
        <v>0</v>
      </c>
      <c r="K12" s="20">
        <v>0</v>
      </c>
      <c r="L12" s="21"/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63.1</v>
      </c>
      <c r="H13" s="21"/>
      <c r="I13" s="21">
        <v>72.099999999999994</v>
      </c>
      <c r="J13" s="20">
        <v>70.099999999999994</v>
      </c>
      <c r="K13" s="20">
        <v>68.8</v>
      </c>
      <c r="L13" s="21"/>
      <c r="M13" s="21">
        <v>70.599999999999994</v>
      </c>
      <c r="N13" s="20">
        <v>71.099999999999994</v>
      </c>
      <c r="O13" s="20">
        <v>70.900000000000006</v>
      </c>
      <c r="P13" s="21"/>
      <c r="Q13" s="21">
        <v>66.3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69.400000000000006</v>
      </c>
      <c r="H14" s="21"/>
      <c r="I14" s="21">
        <v>68.8</v>
      </c>
      <c r="J14" s="20">
        <v>65.3</v>
      </c>
      <c r="K14" s="20">
        <v>63.1</v>
      </c>
      <c r="L14" s="21"/>
      <c r="M14" s="21">
        <v>65.599999999999994</v>
      </c>
      <c r="N14" s="20">
        <v>76.400000000000006</v>
      </c>
      <c r="O14" s="20">
        <v>73.8</v>
      </c>
      <c r="P14" s="21"/>
      <c r="Q14" s="21">
        <v>71.2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36.299999999999997</v>
      </c>
      <c r="H15" s="21"/>
      <c r="I15" s="21">
        <v>54.7</v>
      </c>
      <c r="J15" s="20">
        <v>42.4</v>
      </c>
      <c r="K15" s="20">
        <v>40</v>
      </c>
      <c r="L15" s="21"/>
      <c r="M15" s="21">
        <v>35.9</v>
      </c>
      <c r="N15" s="20">
        <v>57.2</v>
      </c>
      <c r="O15" s="20">
        <v>58.5</v>
      </c>
      <c r="P15" s="21"/>
      <c r="Q15" s="21">
        <v>39.299999999999997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/>
      <c r="G17" s="20">
        <v>117.1</v>
      </c>
      <c r="H17" s="21"/>
      <c r="I17" s="21">
        <v>114.7</v>
      </c>
      <c r="J17" s="20">
        <v>116.2</v>
      </c>
      <c r="K17" s="20">
        <v>116</v>
      </c>
      <c r="L17" s="21"/>
      <c r="M17" s="21">
        <v>115.2</v>
      </c>
      <c r="N17" s="20">
        <v>115.9</v>
      </c>
      <c r="O17" s="20">
        <v>117.2</v>
      </c>
      <c r="P17" s="21"/>
      <c r="Q17" s="21">
        <v>114.8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/>
      <c r="G18" s="20">
        <v>1149</v>
      </c>
      <c r="H18" s="21"/>
      <c r="I18" s="21">
        <v>1166</v>
      </c>
      <c r="J18" s="20">
        <v>1185</v>
      </c>
      <c r="K18" s="20">
        <v>1183</v>
      </c>
      <c r="L18" s="21"/>
      <c r="M18" s="21">
        <v>1180</v>
      </c>
      <c r="N18" s="20">
        <v>1188</v>
      </c>
      <c r="O18" s="20">
        <v>1196</v>
      </c>
      <c r="P18" s="21"/>
      <c r="Q18" s="21">
        <v>1170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50118.3</v>
      </c>
      <c r="H19" s="21"/>
      <c r="I19" s="21">
        <v>51254.9</v>
      </c>
      <c r="J19" s="20">
        <v>49056.5</v>
      </c>
      <c r="K19" s="20">
        <v>49047.5</v>
      </c>
      <c r="L19" s="21"/>
      <c r="M19" s="21">
        <v>51427.7</v>
      </c>
      <c r="N19" s="20">
        <v>50625.4</v>
      </c>
      <c r="O19" s="20">
        <v>50616.4</v>
      </c>
      <c r="P19" s="21"/>
      <c r="Q19" s="21">
        <v>50635.3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/>
      <c r="G22" s="20">
        <v>58.6</v>
      </c>
      <c r="H22" s="21"/>
      <c r="I22" s="21">
        <v>59.1</v>
      </c>
      <c r="J22" s="20">
        <v>57</v>
      </c>
      <c r="K22" s="20">
        <v>57.6</v>
      </c>
      <c r="L22" s="21"/>
      <c r="M22" s="21">
        <v>44.5</v>
      </c>
      <c r="N22" s="20">
        <v>58.6</v>
      </c>
      <c r="O22" s="20">
        <v>45.1</v>
      </c>
      <c r="P22" s="21"/>
      <c r="Q22" s="21">
        <v>59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0.49</v>
      </c>
      <c r="J23" s="20">
        <v>0.59</v>
      </c>
      <c r="K23" s="20">
        <v>0.59</v>
      </c>
      <c r="L23" s="21"/>
      <c r="M23" s="21">
        <v>0.52</v>
      </c>
      <c r="N23" s="20">
        <v>0.45</v>
      </c>
      <c r="O23" s="20">
        <v>0.48</v>
      </c>
      <c r="P23" s="21"/>
      <c r="Q23" s="21">
        <v>0.49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/>
      <c r="G25" s="20">
        <v>44.8</v>
      </c>
      <c r="H25" s="21"/>
      <c r="I25" s="21">
        <v>44.9</v>
      </c>
      <c r="J25" s="20">
        <v>44</v>
      </c>
      <c r="K25" s="20">
        <v>45</v>
      </c>
      <c r="L25" s="21"/>
      <c r="M25" s="21">
        <v>45.1</v>
      </c>
      <c r="N25" s="20">
        <v>44.9</v>
      </c>
      <c r="O25" s="20">
        <v>45.1</v>
      </c>
      <c r="P25" s="21"/>
      <c r="Q25" s="21">
        <v>45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0.28999999999999998</v>
      </c>
      <c r="H26" s="21"/>
      <c r="I26" s="21">
        <v>0.21</v>
      </c>
      <c r="J26" s="20">
        <v>0.22</v>
      </c>
      <c r="K26" s="20">
        <v>0.27</v>
      </c>
      <c r="L26" s="21"/>
      <c r="M26" s="21">
        <v>0.23</v>
      </c>
      <c r="N26" s="20">
        <v>0.22</v>
      </c>
      <c r="O26" s="20">
        <v>0.22</v>
      </c>
      <c r="P26" s="21"/>
      <c r="Q26" s="21">
        <v>0.22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/>
      <c r="G27" s="20">
        <v>4</v>
      </c>
      <c r="H27" s="21"/>
      <c r="I27" s="21">
        <v>3.2</v>
      </c>
      <c r="J27" s="20">
        <v>4</v>
      </c>
      <c r="K27" s="20">
        <v>4</v>
      </c>
      <c r="L27" s="21"/>
      <c r="M27" s="21">
        <v>3.5</v>
      </c>
      <c r="N27" s="20">
        <v>4.0999999999999996</v>
      </c>
      <c r="O27" s="20">
        <v>4</v>
      </c>
      <c r="P27" s="21"/>
      <c r="Q27" s="21">
        <v>4.3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/>
      <c r="G28" s="20">
        <v>2.6</v>
      </c>
      <c r="H28" s="21"/>
      <c r="I28" s="21">
        <v>2.4</v>
      </c>
      <c r="J28" s="20">
        <v>3.2</v>
      </c>
      <c r="K28" s="20">
        <v>3.2</v>
      </c>
      <c r="L28" s="21"/>
      <c r="M28" s="21">
        <v>2.6</v>
      </c>
      <c r="N28" s="20">
        <v>2.4</v>
      </c>
      <c r="O28" s="20">
        <v>2.4</v>
      </c>
      <c r="P28" s="21"/>
      <c r="Q28" s="21">
        <v>3.3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2.1</v>
      </c>
      <c r="H29" s="27">
        <f t="shared" ref="H29:Q29" si="0">H32-H28</f>
        <v>0</v>
      </c>
      <c r="I29" s="27">
        <f t="shared" si="0"/>
        <v>1.9</v>
      </c>
      <c r="J29" s="27">
        <f t="shared" si="0"/>
        <v>0.89999999999999947</v>
      </c>
      <c r="K29" s="27">
        <f t="shared" si="0"/>
        <v>1</v>
      </c>
      <c r="L29" s="27">
        <f>L32-L28</f>
        <v>0</v>
      </c>
      <c r="M29" s="27">
        <f>M32-M28</f>
        <v>1.2999999999999998</v>
      </c>
      <c r="N29" s="27">
        <f>N32-N28</f>
        <v>1.9</v>
      </c>
      <c r="O29" s="27">
        <f>O32-O28</f>
        <v>1.6</v>
      </c>
      <c r="P29" s="27">
        <f t="shared" si="0"/>
        <v>0</v>
      </c>
      <c r="Q29" s="27">
        <f t="shared" si="0"/>
        <v>0.90000000000000036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/>
      <c r="G30" s="20">
        <v>646.96</v>
      </c>
      <c r="H30" s="21"/>
      <c r="I30" s="21">
        <v>645.67999999999995</v>
      </c>
      <c r="J30" s="20">
        <v>643.1</v>
      </c>
      <c r="K30" s="20">
        <v>639.76</v>
      </c>
      <c r="L30" s="21"/>
      <c r="M30" s="21">
        <v>637.91999999999996</v>
      </c>
      <c r="N30" s="20">
        <v>619.79999999999995</v>
      </c>
      <c r="O30" s="20">
        <v>634.24</v>
      </c>
      <c r="P30" s="21"/>
      <c r="Q30" s="21">
        <v>641.91999999999996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/>
      <c r="G31" s="20">
        <v>13.5</v>
      </c>
      <c r="H31" s="21"/>
      <c r="I31" s="21">
        <v>13.2</v>
      </c>
      <c r="J31" s="20">
        <v>13.2</v>
      </c>
      <c r="K31" s="20">
        <v>12.7</v>
      </c>
      <c r="L31" s="21"/>
      <c r="M31" s="21">
        <v>13</v>
      </c>
      <c r="N31" s="20">
        <v>13.7</v>
      </c>
      <c r="O31" s="20">
        <v>13</v>
      </c>
      <c r="P31" s="21"/>
      <c r="Q31" s="21">
        <v>12.6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/>
      <c r="G32" s="20">
        <v>4.7</v>
      </c>
      <c r="H32" s="21"/>
      <c r="I32" s="21">
        <v>4.3</v>
      </c>
      <c r="J32" s="20">
        <v>4.0999999999999996</v>
      </c>
      <c r="K32" s="20">
        <v>4.2</v>
      </c>
      <c r="L32" s="21"/>
      <c r="M32" s="21">
        <v>3.9</v>
      </c>
      <c r="N32" s="20">
        <v>4.3</v>
      </c>
      <c r="O32" s="20">
        <v>4</v>
      </c>
      <c r="P32" s="21"/>
      <c r="Q32" s="21">
        <v>4.2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8.8000000000000007</v>
      </c>
      <c r="H33" s="27">
        <f t="shared" ref="H33:Q33" si="1">H31-H32</f>
        <v>0</v>
      </c>
      <c r="I33" s="27">
        <f t="shared" si="1"/>
        <v>8.8999999999999986</v>
      </c>
      <c r="J33" s="27">
        <f t="shared" si="1"/>
        <v>9.1</v>
      </c>
      <c r="K33" s="27">
        <f t="shared" si="1"/>
        <v>8.5</v>
      </c>
      <c r="L33" s="27">
        <f>L31-L32</f>
        <v>0</v>
      </c>
      <c r="M33" s="27">
        <f>M31-M32</f>
        <v>9.1</v>
      </c>
      <c r="N33" s="27">
        <f>N31-N32</f>
        <v>9.3999999999999986</v>
      </c>
      <c r="O33" s="27">
        <f>O31-O32</f>
        <v>9</v>
      </c>
      <c r="P33" s="27">
        <f t="shared" si="1"/>
        <v>0</v>
      </c>
      <c r="Q33" s="27">
        <f t="shared" si="1"/>
        <v>8.3999999999999986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6574.189376443419</v>
      </c>
      <c r="H34" s="28">
        <f t="shared" ref="H34:Q34" si="2">(H33*H30)/0.866</f>
        <v>0</v>
      </c>
      <c r="I34" s="28">
        <f t="shared" si="2"/>
        <v>6635.7413394919158</v>
      </c>
      <c r="J34" s="28">
        <f t="shared" si="2"/>
        <v>6757.7482678983833</v>
      </c>
      <c r="K34" s="28">
        <f t="shared" si="2"/>
        <v>6279.3995381062359</v>
      </c>
      <c r="L34" s="28">
        <f>(L33*L30)/0.866</f>
        <v>0</v>
      </c>
      <c r="M34" s="28">
        <f>(M33*M30)/0.866</f>
        <v>6703.3163972286366</v>
      </c>
      <c r="N34" s="28">
        <f>(N33*N30)/0.866</f>
        <v>6727.621247113163</v>
      </c>
      <c r="O34" s="28">
        <f>(O33*O30)/0.866</f>
        <v>6591.4087759815238</v>
      </c>
      <c r="P34" s="28">
        <f t="shared" si="2"/>
        <v>0</v>
      </c>
      <c r="Q34" s="28">
        <f t="shared" si="2"/>
        <v>6226.4757505773659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0.3</v>
      </c>
      <c r="H35" s="21"/>
      <c r="I35" s="21">
        <v>0.81</v>
      </c>
      <c r="J35" s="20">
        <v>0.81</v>
      </c>
      <c r="K35" s="20">
        <v>0.83</v>
      </c>
      <c r="L35" s="21"/>
      <c r="M35" s="21">
        <v>0.82</v>
      </c>
      <c r="N35" s="20">
        <v>0.79</v>
      </c>
      <c r="O35" s="20">
        <v>0.8</v>
      </c>
      <c r="P35" s="21"/>
      <c r="Q35" s="21">
        <v>0.82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/>
      <c r="G36" s="20">
        <v>36</v>
      </c>
      <c r="H36" s="21"/>
      <c r="I36" s="21">
        <v>36.299999999999997</v>
      </c>
      <c r="J36" s="20">
        <v>35.200000000000003</v>
      </c>
      <c r="K36" s="20">
        <v>36</v>
      </c>
      <c r="L36" s="21"/>
      <c r="M36" s="21">
        <v>36.1</v>
      </c>
      <c r="N36" s="20">
        <v>34.799999999999997</v>
      </c>
      <c r="O36" s="20">
        <v>35.299999999999997</v>
      </c>
      <c r="P36" s="21"/>
      <c r="Q36" s="21">
        <v>35.799999999999997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/>
      <c r="G37" s="20">
        <v>35.6</v>
      </c>
      <c r="H37" s="21"/>
      <c r="I37" s="21">
        <v>36.200000000000003</v>
      </c>
      <c r="J37" s="20">
        <v>36.200000000000003</v>
      </c>
      <c r="K37" s="20">
        <v>37</v>
      </c>
      <c r="L37" s="21"/>
      <c r="M37" s="21">
        <v>36.299999999999997</v>
      </c>
      <c r="N37" s="20">
        <v>35.4</v>
      </c>
      <c r="O37" s="20">
        <v>35.799999999999997</v>
      </c>
      <c r="P37" s="21"/>
      <c r="Q37" s="21">
        <v>36.6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2</v>
      </c>
      <c r="H38" s="27">
        <v>1</v>
      </c>
      <c r="I38" s="27">
        <f t="shared" ref="I38:Q38" si="3">I37-I41</f>
        <v>2.3000000000000043</v>
      </c>
      <c r="J38" s="27">
        <f t="shared" si="3"/>
        <v>2.5</v>
      </c>
      <c r="K38" s="27">
        <f t="shared" si="3"/>
        <v>3.7000000000000028</v>
      </c>
      <c r="L38" s="27">
        <f>L37-L41</f>
        <v>0</v>
      </c>
      <c r="M38" s="27">
        <f>M37-M41</f>
        <v>2.8999999999999986</v>
      </c>
      <c r="N38" s="27">
        <f>N37-N41</f>
        <v>1.5</v>
      </c>
      <c r="O38" s="27">
        <f>O37-O41</f>
        <v>2.2999999999999972</v>
      </c>
      <c r="P38" s="27">
        <f t="shared" si="3"/>
        <v>0</v>
      </c>
      <c r="Q38" s="27">
        <f t="shared" si="3"/>
        <v>2.8000000000000043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/>
      <c r="G40" s="20">
        <v>28.5</v>
      </c>
      <c r="H40" s="21"/>
      <c r="I40" s="21">
        <v>28.7</v>
      </c>
      <c r="J40" s="20">
        <v>28.5</v>
      </c>
      <c r="K40" s="20">
        <v>28.5</v>
      </c>
      <c r="L40" s="21"/>
      <c r="M40" s="21">
        <v>28.4</v>
      </c>
      <c r="N40" s="20">
        <v>28.3</v>
      </c>
      <c r="O40" s="20">
        <v>28.5</v>
      </c>
      <c r="P40" s="21"/>
      <c r="Q40" s="21">
        <v>28.8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/>
      <c r="G41" s="20">
        <v>33.6</v>
      </c>
      <c r="H41" s="21"/>
      <c r="I41" s="21">
        <v>33.9</v>
      </c>
      <c r="J41" s="20">
        <v>33.700000000000003</v>
      </c>
      <c r="K41" s="20">
        <v>33.299999999999997</v>
      </c>
      <c r="L41" s="21"/>
      <c r="M41" s="21">
        <v>33.4</v>
      </c>
      <c r="N41" s="20">
        <v>33.9</v>
      </c>
      <c r="O41" s="20">
        <v>33.5</v>
      </c>
      <c r="P41" s="21"/>
      <c r="Q41" s="21">
        <v>33.799999999999997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5.1000000000000014</v>
      </c>
      <c r="H42" s="27">
        <f t="shared" ref="H42:Q42" si="4">H41-H40</f>
        <v>0</v>
      </c>
      <c r="I42" s="27">
        <f t="shared" si="4"/>
        <v>5.1999999999999993</v>
      </c>
      <c r="J42" s="27">
        <f t="shared" si="4"/>
        <v>5.2000000000000028</v>
      </c>
      <c r="K42" s="27">
        <f t="shared" si="4"/>
        <v>4.7999999999999972</v>
      </c>
      <c r="L42" s="27">
        <f>L41-L40</f>
        <v>0</v>
      </c>
      <c r="M42" s="27">
        <f>M41-M40</f>
        <v>5</v>
      </c>
      <c r="N42" s="27">
        <f>N41-N40</f>
        <v>5.5999999999999979</v>
      </c>
      <c r="O42" s="27">
        <f>O41-O40</f>
        <v>5</v>
      </c>
      <c r="P42" s="27">
        <f t="shared" si="4"/>
        <v>0</v>
      </c>
      <c r="Q42" s="27">
        <f t="shared" si="4"/>
        <v>4.9999999999999964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/>
      <c r="G43" s="20">
        <v>1302.98</v>
      </c>
      <c r="H43" s="21"/>
      <c r="I43" s="21">
        <v>1297.24</v>
      </c>
      <c r="J43" s="20">
        <v>1269.0999999999999</v>
      </c>
      <c r="K43" s="20">
        <v>1298.3599999999999</v>
      </c>
      <c r="L43" s="21"/>
      <c r="M43" s="20">
        <v>1297.3800000000001</v>
      </c>
      <c r="N43" s="20">
        <v>1246</v>
      </c>
      <c r="O43" s="20">
        <v>1293.18</v>
      </c>
      <c r="P43" s="21"/>
      <c r="Q43" s="21">
        <v>1293.32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7673.4387990762152</v>
      </c>
      <c r="H44" s="28">
        <f t="shared" ref="H44:Q44" si="5">H42*H43/0.866</f>
        <v>0</v>
      </c>
      <c r="I44" s="28">
        <f t="shared" si="5"/>
        <v>7789.431870669745</v>
      </c>
      <c r="J44" s="28">
        <f t="shared" si="5"/>
        <v>7620.4618937644382</v>
      </c>
      <c r="K44" s="28">
        <f t="shared" si="5"/>
        <v>7196.4526558891412</v>
      </c>
      <c r="L44" s="28">
        <f>L42*L43/0.866</f>
        <v>0</v>
      </c>
      <c r="M44" s="28">
        <f>M42*M43/0.866</f>
        <v>7490.6466512702082</v>
      </c>
      <c r="N44" s="28">
        <f>N42*N43/0.866</f>
        <v>8057.274826789836</v>
      </c>
      <c r="O44" s="28">
        <f>O42*O43/0.866</f>
        <v>7466.3972286374137</v>
      </c>
      <c r="P44" s="28">
        <f t="shared" si="5"/>
        <v>0</v>
      </c>
      <c r="Q44" s="28">
        <f t="shared" si="5"/>
        <v>7467.2055427251671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>
        <v>0.45</v>
      </c>
      <c r="J45" s="20">
        <v>0.45</v>
      </c>
      <c r="K45" s="20">
        <v>0.46</v>
      </c>
      <c r="L45" s="21"/>
      <c r="M45" s="21">
        <v>0.46</v>
      </c>
      <c r="N45" s="20">
        <v>0.45</v>
      </c>
      <c r="O45" s="20">
        <v>0.45</v>
      </c>
      <c r="P45" s="21"/>
      <c r="Q45" s="21">
        <v>0.47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/>
      <c r="G46" s="20">
        <v>20.2</v>
      </c>
      <c r="H46" s="21"/>
      <c r="I46" s="21">
        <v>19.100000000000001</v>
      </c>
      <c r="J46" s="20">
        <v>19.100000000000001</v>
      </c>
      <c r="K46" s="20">
        <v>19.399999999999999</v>
      </c>
      <c r="L46" s="21"/>
      <c r="M46" s="21">
        <v>19.399999999999999</v>
      </c>
      <c r="N46" s="20">
        <v>18.8</v>
      </c>
      <c r="O46" s="20">
        <v>18.899999999999999</v>
      </c>
      <c r="P46" s="21"/>
      <c r="Q46" s="21">
        <v>19.8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/>
      <c r="G47" s="20">
        <v>202.7</v>
      </c>
      <c r="H47" s="21"/>
      <c r="I47" s="21">
        <v>122.5</v>
      </c>
      <c r="J47" s="20">
        <v>201.2</v>
      </c>
      <c r="K47" s="20">
        <v>200.5</v>
      </c>
      <c r="L47" s="21"/>
      <c r="M47" s="21">
        <v>205.9</v>
      </c>
      <c r="N47" s="20">
        <v>153.6</v>
      </c>
      <c r="O47" s="20">
        <v>154.19999999999999</v>
      </c>
      <c r="P47" s="21"/>
      <c r="Q47" s="21">
        <v>200.4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87">
        <v>5.89</v>
      </c>
      <c r="F49" s="20"/>
      <c r="G49" s="20">
        <v>5.69</v>
      </c>
      <c r="H49" s="21"/>
      <c r="I49" s="21">
        <v>5.4</v>
      </c>
      <c r="J49" s="20">
        <v>5.75</v>
      </c>
      <c r="K49" s="20">
        <v>5.56</v>
      </c>
      <c r="L49" s="21"/>
      <c r="M49" s="21">
        <v>5.87</v>
      </c>
      <c r="N49" s="20">
        <v>5.84</v>
      </c>
      <c r="O49" s="20">
        <v>5.63</v>
      </c>
      <c r="P49" s="21"/>
      <c r="Q49" s="21">
        <v>5.22</v>
      </c>
    </row>
    <row r="50" spans="2:17" ht="20.100000000000001" customHeight="1">
      <c r="B50" s="92" t="s">
        <v>91</v>
      </c>
      <c r="C50" s="92"/>
      <c r="D50" s="92"/>
      <c r="E50" s="87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86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7" zoomScale="85" zoomScaleNormal="60" workbookViewId="0">
      <selection activeCell="N27" sqref="N27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45776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89" t="s">
        <v>18</v>
      </c>
      <c r="E10" s="15"/>
      <c r="F10" s="17" t="s">
        <v>19</v>
      </c>
      <c r="G10" s="17" t="s">
        <v>19</v>
      </c>
      <c r="H10" s="18"/>
      <c r="I10" s="18" t="s">
        <v>19</v>
      </c>
      <c r="J10" s="17"/>
      <c r="K10" s="17" t="s">
        <v>19</v>
      </c>
      <c r="L10" s="18" t="s">
        <v>19</v>
      </c>
      <c r="M10" s="18" t="s">
        <v>19</v>
      </c>
      <c r="N10" s="16"/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>
        <v>73.400000000000006</v>
      </c>
      <c r="G11" s="20">
        <v>69.099999999999994</v>
      </c>
      <c r="H11" s="21"/>
      <c r="I11" s="21">
        <v>82.1</v>
      </c>
      <c r="J11" s="20"/>
      <c r="K11" s="20">
        <v>73.3</v>
      </c>
      <c r="L11" s="21">
        <v>73.7</v>
      </c>
      <c r="M11" s="21">
        <v>71.7</v>
      </c>
      <c r="N11" s="20"/>
      <c r="O11" s="20">
        <v>74.099999999999994</v>
      </c>
      <c r="P11" s="21"/>
      <c r="Q11" s="21">
        <v>74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>
        <v>0.6</v>
      </c>
      <c r="G12" s="20">
        <v>0.6</v>
      </c>
      <c r="H12" s="21"/>
      <c r="I12" s="21">
        <v>0</v>
      </c>
      <c r="J12" s="20"/>
      <c r="K12" s="20">
        <v>0</v>
      </c>
      <c r="L12" s="21">
        <v>0.1</v>
      </c>
      <c r="M12" s="21">
        <v>0.1</v>
      </c>
      <c r="N12" s="20"/>
      <c r="O12" s="20">
        <v>0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>
        <v>68.5</v>
      </c>
      <c r="G13" s="20">
        <v>63.4</v>
      </c>
      <c r="H13" s="21"/>
      <c r="I13" s="21">
        <v>77.8</v>
      </c>
      <c r="J13" s="20"/>
      <c r="K13" s="20">
        <v>68.7</v>
      </c>
      <c r="L13" s="21">
        <v>68.8</v>
      </c>
      <c r="M13" s="21">
        <v>66.599999999999994</v>
      </c>
      <c r="N13" s="20"/>
      <c r="O13" s="20">
        <v>69</v>
      </c>
      <c r="P13" s="21"/>
      <c r="Q13" s="21">
        <v>68.400000000000006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>
        <v>66.099999999999994</v>
      </c>
      <c r="G14" s="20">
        <v>68.7</v>
      </c>
      <c r="H14" s="21"/>
      <c r="I14" s="21">
        <v>70.3</v>
      </c>
      <c r="J14" s="20"/>
      <c r="K14" s="20">
        <v>64.900000000000006</v>
      </c>
      <c r="L14" s="21">
        <v>65.900000000000006</v>
      </c>
      <c r="M14" s="21">
        <v>66.099999999999994</v>
      </c>
      <c r="N14" s="20"/>
      <c r="O14" s="20">
        <v>75</v>
      </c>
      <c r="P14" s="21"/>
      <c r="Q14" s="21">
        <v>73.599999999999994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>
        <v>42.6</v>
      </c>
      <c r="G15" s="20">
        <v>38.5</v>
      </c>
      <c r="H15" s="21"/>
      <c r="I15" s="21">
        <v>77.8</v>
      </c>
      <c r="J15" s="20"/>
      <c r="K15" s="20">
        <v>41</v>
      </c>
      <c r="L15" s="21">
        <v>36.200000000000003</v>
      </c>
      <c r="M15" s="21">
        <v>32.200000000000003</v>
      </c>
      <c r="N15" s="20"/>
      <c r="O15" s="20">
        <v>56.3</v>
      </c>
      <c r="P15" s="21"/>
      <c r="Q15" s="21">
        <v>42.4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>
        <v>116.5</v>
      </c>
      <c r="G17" s="20">
        <v>114.6</v>
      </c>
      <c r="H17" s="21"/>
      <c r="I17" s="21">
        <v>117.4</v>
      </c>
      <c r="J17" s="20"/>
      <c r="K17" s="20">
        <v>116.1</v>
      </c>
      <c r="L17" s="21">
        <v>113.3</v>
      </c>
      <c r="M17" s="21">
        <v>112.7</v>
      </c>
      <c r="N17" s="20"/>
      <c r="O17" s="20">
        <v>116.1</v>
      </c>
      <c r="P17" s="21"/>
      <c r="Q17" s="21">
        <v>116.8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>
        <v>1150</v>
      </c>
      <c r="G18" s="20">
        <v>1136</v>
      </c>
      <c r="H18" s="21"/>
      <c r="I18" s="21">
        <v>1191</v>
      </c>
      <c r="J18" s="20"/>
      <c r="K18" s="20">
        <v>1180</v>
      </c>
      <c r="L18" s="21">
        <v>1161</v>
      </c>
      <c r="M18" s="21">
        <v>1145</v>
      </c>
      <c r="N18" s="20"/>
      <c r="O18" s="20">
        <v>1183</v>
      </c>
      <c r="P18" s="21"/>
      <c r="Q18" s="21">
        <v>1184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>
        <v>50136.5</v>
      </c>
      <c r="G19" s="20">
        <v>50127.3</v>
      </c>
      <c r="H19" s="21"/>
      <c r="I19" s="21">
        <v>51264.4</v>
      </c>
      <c r="J19" s="20"/>
      <c r="K19" s="20">
        <v>49069.7</v>
      </c>
      <c r="L19" s="21">
        <v>51446.5</v>
      </c>
      <c r="M19" s="21">
        <v>51437.3</v>
      </c>
      <c r="N19" s="20"/>
      <c r="O19" s="20">
        <v>50636</v>
      </c>
      <c r="P19" s="21"/>
      <c r="Q19" s="21">
        <v>50644.5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>
        <v>58.1</v>
      </c>
      <c r="G22" s="20">
        <v>58.2</v>
      </c>
      <c r="H22" s="21"/>
      <c r="I22" s="21">
        <v>59.2</v>
      </c>
      <c r="J22" s="20"/>
      <c r="K22" s="20">
        <v>57.8</v>
      </c>
      <c r="L22" s="21">
        <v>57.2</v>
      </c>
      <c r="M22" s="21">
        <v>57.3</v>
      </c>
      <c r="N22" s="20"/>
      <c r="O22" s="20">
        <v>58.7</v>
      </c>
      <c r="P22" s="21"/>
      <c r="Q22" s="21">
        <v>58.9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>
        <v>0.52</v>
      </c>
      <c r="G23" s="20">
        <v>0.53</v>
      </c>
      <c r="H23" s="21"/>
      <c r="I23" s="21">
        <v>0.48</v>
      </c>
      <c r="J23" s="20"/>
      <c r="K23" s="20">
        <v>0.59</v>
      </c>
      <c r="L23" s="21">
        <v>0.52</v>
      </c>
      <c r="M23" s="21">
        <v>0.52</v>
      </c>
      <c r="N23" s="20"/>
      <c r="O23" s="20">
        <v>0.47</v>
      </c>
      <c r="P23" s="21"/>
      <c r="Q23" s="21">
        <v>0.5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>
        <v>46</v>
      </c>
      <c r="G25" s="20">
        <v>45</v>
      </c>
      <c r="H25" s="21"/>
      <c r="I25" s="21">
        <v>44.8</v>
      </c>
      <c r="J25" s="20"/>
      <c r="K25" s="20">
        <v>44.8</v>
      </c>
      <c r="L25" s="21">
        <v>45.6</v>
      </c>
      <c r="M25" s="21">
        <v>45</v>
      </c>
      <c r="N25" s="20"/>
      <c r="O25" s="20">
        <v>4.5</v>
      </c>
      <c r="P25" s="21"/>
      <c r="Q25" s="21">
        <v>45.1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0.26</v>
      </c>
      <c r="H26" s="21"/>
      <c r="I26" s="21">
        <v>0.41</v>
      </c>
      <c r="J26" s="20"/>
      <c r="K26" s="20">
        <v>0.23</v>
      </c>
      <c r="L26" s="21">
        <v>0.22</v>
      </c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>
        <v>3.8</v>
      </c>
      <c r="G27" s="20">
        <v>4.4000000000000004</v>
      </c>
      <c r="H27" s="21"/>
      <c r="I27" s="21">
        <v>3.1</v>
      </c>
      <c r="J27" s="20"/>
      <c r="K27" s="20">
        <v>4.2</v>
      </c>
      <c r="L27" s="21">
        <v>3.6</v>
      </c>
      <c r="M27" s="21">
        <v>3.6</v>
      </c>
      <c r="N27" s="20"/>
      <c r="O27" s="20">
        <v>4.5</v>
      </c>
      <c r="P27" s="21"/>
      <c r="Q27" s="21">
        <v>4.5999999999999996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>
        <v>3.3</v>
      </c>
      <c r="G28" s="20">
        <v>3.6</v>
      </c>
      <c r="H28" s="21"/>
      <c r="I28" s="21">
        <v>2.1</v>
      </c>
      <c r="J28" s="20"/>
      <c r="K28" s="20">
        <v>3.3</v>
      </c>
      <c r="L28" s="21">
        <v>2.9</v>
      </c>
      <c r="M28" s="21">
        <v>2.7</v>
      </c>
      <c r="N28" s="20"/>
      <c r="O28" s="20">
        <v>3.5</v>
      </c>
      <c r="P28" s="21"/>
      <c r="Q28" s="21">
        <v>3.6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0.90000000000000036</v>
      </c>
      <c r="G29" s="27">
        <f>G32-G28</f>
        <v>0.60000000000000009</v>
      </c>
      <c r="H29" s="27">
        <f t="shared" ref="H29:Q29" si="0">H32-H28</f>
        <v>0</v>
      </c>
      <c r="I29" s="27">
        <f t="shared" si="0"/>
        <v>2.3000000000000003</v>
      </c>
      <c r="J29" s="27">
        <f t="shared" si="0"/>
        <v>0</v>
      </c>
      <c r="K29" s="27">
        <f t="shared" si="0"/>
        <v>1.2000000000000002</v>
      </c>
      <c r="L29" s="27">
        <f>L32-L28</f>
        <v>1.1999999999999997</v>
      </c>
      <c r="M29" s="27">
        <f>M32-M28</f>
        <v>1.1999999999999997</v>
      </c>
      <c r="N29" s="27">
        <f>N32-N28</f>
        <v>0</v>
      </c>
      <c r="O29" s="27">
        <f>O32-O28</f>
        <v>0.39999999999999991</v>
      </c>
      <c r="P29" s="27">
        <f t="shared" si="0"/>
        <v>0</v>
      </c>
      <c r="Q29" s="27">
        <f t="shared" si="0"/>
        <v>0.49999999999999956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>
        <v>695.28</v>
      </c>
      <c r="G30" s="20">
        <v>638.4</v>
      </c>
      <c r="H30" s="21"/>
      <c r="I30" s="21">
        <v>613.9</v>
      </c>
      <c r="J30" s="20"/>
      <c r="K30" s="20">
        <v>625.1</v>
      </c>
      <c r="L30" s="21">
        <v>710.88</v>
      </c>
      <c r="M30" s="21">
        <v>628.70000000000005</v>
      </c>
      <c r="N30" s="20"/>
      <c r="O30" s="20">
        <v>618.79999999999995</v>
      </c>
      <c r="P30" s="21"/>
      <c r="Q30" s="21">
        <v>605.29999999999995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>
        <v>12.5</v>
      </c>
      <c r="G31" s="20">
        <v>13.1</v>
      </c>
      <c r="H31" s="21"/>
      <c r="I31" s="21">
        <v>13.2</v>
      </c>
      <c r="J31" s="20"/>
      <c r="K31" s="20">
        <v>13.2</v>
      </c>
      <c r="L31" s="21">
        <v>12.8</v>
      </c>
      <c r="M31" s="21">
        <v>13.3</v>
      </c>
      <c r="N31" s="20"/>
      <c r="O31" s="20">
        <v>12.9</v>
      </c>
      <c r="P31" s="21"/>
      <c r="Q31" s="21">
        <v>13.4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>
        <v>4.2</v>
      </c>
      <c r="G32" s="20">
        <v>4.2</v>
      </c>
      <c r="H32" s="21"/>
      <c r="I32" s="21">
        <v>4.4000000000000004</v>
      </c>
      <c r="J32" s="20"/>
      <c r="K32" s="20">
        <v>4.5</v>
      </c>
      <c r="L32" s="21">
        <v>4.0999999999999996</v>
      </c>
      <c r="M32" s="21">
        <v>3.9</v>
      </c>
      <c r="N32" s="20"/>
      <c r="O32" s="20">
        <v>3.9</v>
      </c>
      <c r="P32" s="21"/>
      <c r="Q32" s="21">
        <v>4.0999999999999996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8.3000000000000007</v>
      </c>
      <c r="G33" s="27">
        <f>G31-G32</f>
        <v>8.8999999999999986</v>
      </c>
      <c r="H33" s="27">
        <f t="shared" ref="H33:Q33" si="1">H31-H32</f>
        <v>0</v>
      </c>
      <c r="I33" s="27">
        <f t="shared" si="1"/>
        <v>8.7999999999999989</v>
      </c>
      <c r="J33" s="27">
        <f t="shared" si="1"/>
        <v>0</v>
      </c>
      <c r="K33" s="27">
        <f t="shared" si="1"/>
        <v>8.6999999999999993</v>
      </c>
      <c r="L33" s="27">
        <f>L31-L32</f>
        <v>8.7000000000000011</v>
      </c>
      <c r="M33" s="27">
        <f>M31-M32</f>
        <v>9.4</v>
      </c>
      <c r="N33" s="27">
        <f>N31-N32</f>
        <v>0</v>
      </c>
      <c r="O33" s="27">
        <f>O31-O32</f>
        <v>9</v>
      </c>
      <c r="P33" s="27">
        <f t="shared" si="1"/>
        <v>0</v>
      </c>
      <c r="Q33" s="27">
        <f t="shared" si="1"/>
        <v>9.3000000000000007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6663.7690531177832</v>
      </c>
      <c r="G34" s="28">
        <f>(G33*G30)/0.866</f>
        <v>6560.9237875288673</v>
      </c>
      <c r="H34" s="28">
        <f t="shared" ref="H34:Q34" si="2">(H33*H30)/0.866</f>
        <v>0</v>
      </c>
      <c r="I34" s="28">
        <f t="shared" si="2"/>
        <v>6238.2448036951491</v>
      </c>
      <c r="J34" s="28">
        <f t="shared" si="2"/>
        <v>0</v>
      </c>
      <c r="K34" s="28">
        <f t="shared" si="2"/>
        <v>6279.8729792147806</v>
      </c>
      <c r="L34" s="28">
        <f>(L33*L30)/0.866</f>
        <v>7141.6351039260981</v>
      </c>
      <c r="M34" s="28">
        <f>(M33*M30)/0.866</f>
        <v>6824.2263279445733</v>
      </c>
      <c r="N34" s="28">
        <f>(N33*N30)/0.866</f>
        <v>0</v>
      </c>
      <c r="O34" s="28">
        <f>(O33*O30)/0.866</f>
        <v>6430.9468822170902</v>
      </c>
      <c r="P34" s="28">
        <f t="shared" si="2"/>
        <v>0</v>
      </c>
      <c r="Q34" s="28">
        <f t="shared" si="2"/>
        <v>6500.3348729792151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>
        <v>0.8</v>
      </c>
      <c r="G35" s="20">
        <v>0.8</v>
      </c>
      <c r="H35" s="21"/>
      <c r="I35" s="21">
        <v>0.82</v>
      </c>
      <c r="J35" s="20"/>
      <c r="K35" s="20">
        <v>0.81</v>
      </c>
      <c r="L35" s="21">
        <v>0.82</v>
      </c>
      <c r="M35" s="21">
        <v>0.8</v>
      </c>
      <c r="N35" s="20"/>
      <c r="O35" s="20">
        <v>0.73</v>
      </c>
      <c r="P35" s="21"/>
      <c r="Q35" s="21">
        <v>0.81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>
        <v>34.700000000000003</v>
      </c>
      <c r="G36" s="20">
        <v>35.299999999999997</v>
      </c>
      <c r="H36" s="21"/>
      <c r="I36" s="21">
        <v>35.799999999999997</v>
      </c>
      <c r="J36" s="20"/>
      <c r="K36" s="20">
        <v>35.6</v>
      </c>
      <c r="L36" s="21">
        <v>35</v>
      </c>
      <c r="M36" s="21">
        <v>35.299999999999997</v>
      </c>
      <c r="N36" s="20"/>
      <c r="O36" s="20">
        <v>35</v>
      </c>
      <c r="P36" s="21"/>
      <c r="Q36" s="21">
        <v>35.5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>
        <v>35.700000000000003</v>
      </c>
      <c r="G37" s="20">
        <v>35.700000000000003</v>
      </c>
      <c r="H37" s="21"/>
      <c r="I37" s="21">
        <v>36.6</v>
      </c>
      <c r="J37" s="20"/>
      <c r="K37" s="20">
        <v>36.299999999999997</v>
      </c>
      <c r="L37" s="21">
        <v>36.299999999999997</v>
      </c>
      <c r="M37" s="21">
        <v>35.799999999999997</v>
      </c>
      <c r="N37" s="20"/>
      <c r="O37" s="20">
        <v>35.299999999999997</v>
      </c>
      <c r="P37" s="21"/>
      <c r="Q37" s="21">
        <v>36.299999999999997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2.4000000000000057</v>
      </c>
      <c r="G38" s="27">
        <f>G37-G41</f>
        <v>1.6000000000000014</v>
      </c>
      <c r="H38" s="27">
        <v>1</v>
      </c>
      <c r="I38" s="27">
        <f t="shared" ref="I38:Q38" si="3">I37-I41</f>
        <v>3.1000000000000014</v>
      </c>
      <c r="J38" s="27">
        <f t="shared" si="3"/>
        <v>0</v>
      </c>
      <c r="K38" s="27">
        <f t="shared" si="3"/>
        <v>2.1999999999999957</v>
      </c>
      <c r="L38" s="27">
        <f>L37-L41</f>
        <v>3</v>
      </c>
      <c r="M38" s="27">
        <f>M37-M41</f>
        <v>2.1999999999999957</v>
      </c>
      <c r="N38" s="27">
        <f>N37-N41</f>
        <v>0</v>
      </c>
      <c r="O38" s="27">
        <f>O37-O41</f>
        <v>1.5</v>
      </c>
      <c r="P38" s="27">
        <f t="shared" si="3"/>
        <v>0</v>
      </c>
      <c r="Q38" s="27">
        <f t="shared" si="3"/>
        <v>2.5999999999999943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>
        <v>28.1</v>
      </c>
      <c r="G40" s="20">
        <v>26.6</v>
      </c>
      <c r="H40" s="21"/>
      <c r="I40" s="21">
        <v>28.4</v>
      </c>
      <c r="J40" s="20"/>
      <c r="K40" s="20">
        <v>28.7</v>
      </c>
      <c r="L40" s="21">
        <v>27.9</v>
      </c>
      <c r="M40" s="21">
        <v>28.5</v>
      </c>
      <c r="N40" s="20"/>
      <c r="O40" s="20">
        <v>28.3</v>
      </c>
      <c r="P40" s="21"/>
      <c r="Q40" s="21">
        <v>28.5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>
        <v>33.299999999999997</v>
      </c>
      <c r="G41" s="20">
        <v>34.1</v>
      </c>
      <c r="H41" s="21"/>
      <c r="I41" s="21">
        <v>33.5</v>
      </c>
      <c r="J41" s="20"/>
      <c r="K41" s="20">
        <v>34.1</v>
      </c>
      <c r="L41" s="21">
        <v>33.299999999999997</v>
      </c>
      <c r="M41" s="21">
        <v>33.6</v>
      </c>
      <c r="N41" s="20"/>
      <c r="O41" s="20">
        <v>33.799999999999997</v>
      </c>
      <c r="P41" s="21"/>
      <c r="Q41" s="21">
        <v>33.700000000000003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5.1999999999999957</v>
      </c>
      <c r="G42" s="27">
        <f>G41-G40</f>
        <v>7.5</v>
      </c>
      <c r="H42" s="27">
        <f t="shared" ref="H42:Q42" si="4">H41-H40</f>
        <v>0</v>
      </c>
      <c r="I42" s="27">
        <f t="shared" si="4"/>
        <v>5.1000000000000014</v>
      </c>
      <c r="J42" s="27">
        <f t="shared" si="4"/>
        <v>0</v>
      </c>
      <c r="K42" s="27">
        <f t="shared" si="4"/>
        <v>5.4000000000000021</v>
      </c>
      <c r="L42" s="27">
        <f>L41-L40</f>
        <v>5.3999999999999986</v>
      </c>
      <c r="M42" s="27">
        <f>M41-M40</f>
        <v>5.1000000000000014</v>
      </c>
      <c r="N42" s="27">
        <f>N41-N40</f>
        <v>0</v>
      </c>
      <c r="O42" s="27">
        <f>O41-O40</f>
        <v>5.4999999999999964</v>
      </c>
      <c r="P42" s="27">
        <f t="shared" si="4"/>
        <v>0</v>
      </c>
      <c r="Q42" s="27">
        <f t="shared" si="4"/>
        <v>5.2000000000000028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>
        <v>1297.24</v>
      </c>
      <c r="G43" s="20">
        <v>1293.3</v>
      </c>
      <c r="H43" s="21"/>
      <c r="I43" s="21">
        <v>1303.2</v>
      </c>
      <c r="J43" s="20"/>
      <c r="K43" s="20">
        <v>1293</v>
      </c>
      <c r="L43" s="21">
        <v>1298.6400000000001</v>
      </c>
      <c r="M43" s="20">
        <v>1293.4000000000001</v>
      </c>
      <c r="N43" s="20">
        <v>1246</v>
      </c>
      <c r="O43" s="20">
        <v>1269.5999999999999</v>
      </c>
      <c r="P43" s="21"/>
      <c r="Q43" s="21">
        <v>1292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7789.4318706697395</v>
      </c>
      <c r="G44" s="28">
        <f>G42*G43/0.866</f>
        <v>11200.635103926097</v>
      </c>
      <c r="H44" s="28">
        <f t="shared" ref="H44:Q44" si="5">H42*H43/0.866</f>
        <v>0</v>
      </c>
      <c r="I44" s="28">
        <f t="shared" si="5"/>
        <v>7674.7344110854528</v>
      </c>
      <c r="J44" s="28">
        <f t="shared" si="5"/>
        <v>0</v>
      </c>
      <c r="K44" s="28">
        <f t="shared" si="5"/>
        <v>8062.5866050808345</v>
      </c>
      <c r="L44" s="28">
        <f>L42*L43/0.866</f>
        <v>8097.7551963048491</v>
      </c>
      <c r="M44" s="28">
        <f>M42*M43/0.866</f>
        <v>7617.0207852194017</v>
      </c>
      <c r="N44" s="28">
        <f>N42*N43/0.866</f>
        <v>0</v>
      </c>
      <c r="O44" s="28">
        <f>O42*O43/0.866</f>
        <v>8063.2794457274767</v>
      </c>
      <c r="P44" s="28">
        <f t="shared" si="5"/>
        <v>0</v>
      </c>
      <c r="Q44" s="28">
        <f t="shared" si="5"/>
        <v>7757.9676674364937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>
        <v>0.46</v>
      </c>
      <c r="G45" s="20">
        <v>0.46</v>
      </c>
      <c r="H45" s="21"/>
      <c r="I45" s="21">
        <v>0.45</v>
      </c>
      <c r="J45" s="20"/>
      <c r="K45" s="20">
        <v>0.45</v>
      </c>
      <c r="L45" s="21">
        <v>0.46</v>
      </c>
      <c r="M45" s="21">
        <v>0.46</v>
      </c>
      <c r="N45" s="20"/>
      <c r="O45" s="20">
        <v>0.45</v>
      </c>
      <c r="P45" s="21"/>
      <c r="Q45" s="21">
        <v>0.46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>
        <v>19.3</v>
      </c>
      <c r="G46" s="20">
        <v>19.5</v>
      </c>
      <c r="H46" s="21"/>
      <c r="I46" s="21">
        <v>18.850000000000001</v>
      </c>
      <c r="J46" s="20"/>
      <c r="K46" s="20">
        <v>19.2</v>
      </c>
      <c r="L46" s="21">
        <v>19.899999999999999</v>
      </c>
      <c r="M46" s="21">
        <v>19.399999999999999</v>
      </c>
      <c r="N46" s="20"/>
      <c r="O46" s="20">
        <v>18.899999999999999</v>
      </c>
      <c r="P46" s="21"/>
      <c r="Q46" s="21">
        <v>19.600000000000001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>
        <v>188.4</v>
      </c>
      <c r="G47" s="20">
        <v>198.5</v>
      </c>
      <c r="H47" s="21"/>
      <c r="I47" s="21">
        <v>127.5</v>
      </c>
      <c r="J47" s="20"/>
      <c r="K47" s="20">
        <v>204.1</v>
      </c>
      <c r="L47" s="21">
        <v>202.2</v>
      </c>
      <c r="M47" s="21">
        <v>205.1</v>
      </c>
      <c r="N47" s="20"/>
      <c r="O47" s="20">
        <v>157</v>
      </c>
      <c r="P47" s="21"/>
      <c r="Q47" s="21">
        <v>192.2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89">
        <v>5.89</v>
      </c>
      <c r="F49" s="20">
        <v>5.53</v>
      </c>
      <c r="G49" s="20">
        <v>5.71</v>
      </c>
      <c r="H49" s="21"/>
      <c r="I49" s="21">
        <v>5.42</v>
      </c>
      <c r="J49" s="20"/>
      <c r="K49" s="20">
        <v>5.68</v>
      </c>
      <c r="L49" s="21">
        <v>5.78</v>
      </c>
      <c r="M49" s="21">
        <v>5.76</v>
      </c>
      <c r="N49" s="20"/>
      <c r="O49" s="20">
        <v>5.67</v>
      </c>
      <c r="P49" s="21"/>
      <c r="Q49" s="21">
        <v>5.57</v>
      </c>
    </row>
    <row r="50" spans="2:17" ht="20.100000000000001" customHeight="1">
      <c r="B50" s="92" t="s">
        <v>91</v>
      </c>
      <c r="C50" s="92"/>
      <c r="D50" s="92"/>
      <c r="E50" s="89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88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tabSelected="1" view="pageBreakPreview" zoomScale="85" zoomScaleNormal="60" workbookViewId="0">
      <selection activeCell="Q45" sqref="Q45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4"/>
      <c r="C2" s="97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9"/>
      <c r="N2" s="1" t="s">
        <v>1</v>
      </c>
      <c r="O2" s="2"/>
      <c r="P2" s="2"/>
      <c r="Q2" s="3"/>
    </row>
    <row r="3" spans="2:17" ht="15.75" thickBot="1">
      <c r="B3" s="95"/>
      <c r="C3" s="100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4" t="s">
        <v>2</v>
      </c>
      <c r="O3" s="5" t="s">
        <v>3</v>
      </c>
      <c r="P3" s="5"/>
      <c r="Q3" s="6"/>
    </row>
    <row r="4" spans="2:17" ht="15.75" thickBot="1">
      <c r="B4" s="95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2"/>
      <c r="N4" s="4" t="s">
        <v>4</v>
      </c>
      <c r="O4" s="5"/>
      <c r="P4" s="5"/>
      <c r="Q4" s="6"/>
    </row>
    <row r="5" spans="2:17" ht="15.75" thickBot="1">
      <c r="B5" s="96"/>
      <c r="C5" s="103"/>
      <c r="D5" s="104"/>
      <c r="E5" s="104"/>
      <c r="F5" s="104"/>
      <c r="G5" s="104"/>
      <c r="H5" s="104"/>
      <c r="I5" s="104"/>
      <c r="J5" s="104"/>
      <c r="K5" s="104"/>
      <c r="L5" s="104"/>
      <c r="M5" s="105"/>
      <c r="N5" s="7" t="s">
        <v>5</v>
      </c>
      <c r="O5" s="8"/>
      <c r="P5" s="8"/>
      <c r="Q5" s="9"/>
    </row>
    <row r="7" spans="2:17">
      <c r="B7" s="106" t="s">
        <v>6</v>
      </c>
      <c r="C7" s="107"/>
      <c r="D7" s="108">
        <v>45777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10"/>
    </row>
    <row r="8" spans="2:17">
      <c r="B8" s="92" t="s">
        <v>7</v>
      </c>
      <c r="C8" s="92"/>
      <c r="D8" s="92"/>
      <c r="E8" s="111" t="s">
        <v>8</v>
      </c>
      <c r="F8" s="93" t="s">
        <v>9</v>
      </c>
      <c r="G8" s="93"/>
      <c r="H8" s="113" t="s">
        <v>10</v>
      </c>
      <c r="I8" s="113"/>
      <c r="J8" s="93" t="s">
        <v>11</v>
      </c>
      <c r="K8" s="93"/>
      <c r="L8" s="113" t="s">
        <v>12</v>
      </c>
      <c r="M8" s="113"/>
      <c r="N8" s="93" t="s">
        <v>13</v>
      </c>
      <c r="O8" s="93"/>
      <c r="P8" s="113" t="s">
        <v>14</v>
      </c>
      <c r="Q8" s="113"/>
    </row>
    <row r="9" spans="2:17">
      <c r="B9" s="106" t="s">
        <v>15</v>
      </c>
      <c r="C9" s="114"/>
      <c r="D9" s="107"/>
      <c r="E9" s="112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5" t="s">
        <v>17</v>
      </c>
      <c r="C10" s="116"/>
      <c r="D10" s="91" t="s">
        <v>18</v>
      </c>
      <c r="E10" s="15"/>
      <c r="F10" s="17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/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2" t="s">
        <v>20</v>
      </c>
      <c r="C11" s="92"/>
      <c r="D11" s="19" t="s">
        <v>21</v>
      </c>
      <c r="E11" s="19" t="s">
        <v>22</v>
      </c>
      <c r="F11" s="20"/>
      <c r="G11" s="20">
        <v>70.599999999999994</v>
      </c>
      <c r="H11" s="21"/>
      <c r="I11" s="21">
        <v>81.7</v>
      </c>
      <c r="J11" s="20">
        <v>76.3</v>
      </c>
      <c r="K11" s="20">
        <v>74.7</v>
      </c>
      <c r="L11" s="21"/>
      <c r="M11" s="21">
        <v>74.5</v>
      </c>
      <c r="N11" s="20">
        <v>77</v>
      </c>
      <c r="O11" s="20">
        <v>77.7</v>
      </c>
      <c r="P11" s="21"/>
      <c r="Q11" s="21">
        <v>77.599999999999994</v>
      </c>
    </row>
    <row r="12" spans="2:17" ht="20.100000000000001" customHeight="1">
      <c r="B12" s="92" t="s">
        <v>23</v>
      </c>
      <c r="C12" s="92"/>
      <c r="D12" s="19" t="s">
        <v>21</v>
      </c>
      <c r="E12" s="19" t="s">
        <v>22</v>
      </c>
      <c r="F12" s="20"/>
      <c r="G12" s="20">
        <v>0.1</v>
      </c>
      <c r="H12" s="21"/>
      <c r="I12" s="21">
        <v>0</v>
      </c>
      <c r="J12" s="20">
        <v>0</v>
      </c>
      <c r="K12" s="20">
        <v>0</v>
      </c>
      <c r="L12" s="21"/>
      <c r="M12" s="21">
        <v>0.1</v>
      </c>
      <c r="N12" s="20">
        <v>0.2</v>
      </c>
      <c r="O12" s="20">
        <v>0.3</v>
      </c>
      <c r="P12" s="21"/>
      <c r="Q12" s="21">
        <v>0</v>
      </c>
    </row>
    <row r="13" spans="2:17" ht="20.100000000000001" customHeight="1">
      <c r="B13" s="92" t="s">
        <v>24</v>
      </c>
      <c r="C13" s="92"/>
      <c r="D13" s="19" t="s">
        <v>21</v>
      </c>
      <c r="E13" s="19" t="s">
        <v>22</v>
      </c>
      <c r="F13" s="20"/>
      <c r="G13" s="20">
        <v>65.2</v>
      </c>
      <c r="H13" s="21"/>
      <c r="I13" s="21">
        <v>78.099999999999994</v>
      </c>
      <c r="J13" s="20">
        <v>71.7</v>
      </c>
      <c r="K13" s="20">
        <v>69.599999999999994</v>
      </c>
      <c r="L13" s="21"/>
      <c r="M13" s="21">
        <v>69.900000000000006</v>
      </c>
      <c r="N13" s="20">
        <v>71.900000000000006</v>
      </c>
      <c r="O13" s="20">
        <v>73.400000000000006</v>
      </c>
      <c r="P13" s="21"/>
      <c r="Q13" s="21">
        <v>73.5</v>
      </c>
    </row>
    <row r="14" spans="2:17" ht="20.100000000000001" customHeight="1">
      <c r="B14" s="92" t="s">
        <v>25</v>
      </c>
      <c r="C14" s="92"/>
      <c r="D14" s="19" t="s">
        <v>21</v>
      </c>
      <c r="E14" s="19" t="s">
        <v>22</v>
      </c>
      <c r="F14" s="20"/>
      <c r="G14" s="20">
        <v>68.8</v>
      </c>
      <c r="H14" s="21"/>
      <c r="I14" s="21">
        <v>69.3</v>
      </c>
      <c r="J14" s="20">
        <v>63.8</v>
      </c>
      <c r="K14" s="20">
        <v>63.8</v>
      </c>
      <c r="L14" s="21"/>
      <c r="M14" s="21">
        <v>66.599999999999994</v>
      </c>
      <c r="N14" s="20">
        <v>73</v>
      </c>
      <c r="O14" s="20">
        <v>75.099999999999994</v>
      </c>
      <c r="P14" s="21"/>
      <c r="Q14" s="21">
        <v>72.900000000000006</v>
      </c>
    </row>
    <row r="15" spans="2:17" ht="20.100000000000001" customHeight="1">
      <c r="B15" s="92" t="s">
        <v>26</v>
      </c>
      <c r="C15" s="92"/>
      <c r="D15" s="19" t="s">
        <v>21</v>
      </c>
      <c r="E15" s="19" t="s">
        <v>22</v>
      </c>
      <c r="F15" s="20"/>
      <c r="G15" s="20">
        <v>39</v>
      </c>
      <c r="H15" s="21"/>
      <c r="I15" s="21">
        <v>54.8</v>
      </c>
      <c r="J15" s="20">
        <v>39.4</v>
      </c>
      <c r="K15" s="20">
        <v>41.4</v>
      </c>
      <c r="L15" s="21"/>
      <c r="M15" s="21">
        <v>36.6</v>
      </c>
      <c r="N15" s="20">
        <v>56.4</v>
      </c>
      <c r="O15" s="20">
        <v>56.3</v>
      </c>
      <c r="P15" s="21"/>
      <c r="Q15" s="21">
        <v>42.4</v>
      </c>
    </row>
    <row r="16" spans="2:17" ht="20.100000000000001" customHeight="1">
      <c r="B16" s="93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93"/>
      <c r="C17" s="22" t="s">
        <v>31</v>
      </c>
      <c r="D17" s="19" t="s">
        <v>32</v>
      </c>
      <c r="E17" s="19" t="s">
        <v>33</v>
      </c>
      <c r="F17" s="20"/>
      <c r="G17" s="20">
        <v>116</v>
      </c>
      <c r="H17" s="21"/>
      <c r="I17" s="21">
        <v>117</v>
      </c>
      <c r="J17" s="20">
        <v>116.8</v>
      </c>
      <c r="K17" s="20">
        <v>116</v>
      </c>
      <c r="L17" s="21"/>
      <c r="M17" s="21">
        <v>114.9</v>
      </c>
      <c r="N17" s="20">
        <v>117.3</v>
      </c>
      <c r="O17" s="20">
        <v>118.8</v>
      </c>
      <c r="P17" s="21"/>
      <c r="Q17" s="21">
        <v>120.1</v>
      </c>
    </row>
    <row r="18" spans="2:17" ht="20.100000000000001" customHeight="1">
      <c r="B18" s="93"/>
      <c r="C18" s="22" t="s">
        <v>34</v>
      </c>
      <c r="D18" s="19" t="s">
        <v>35</v>
      </c>
      <c r="E18" s="19" t="s">
        <v>36</v>
      </c>
      <c r="F18" s="20"/>
      <c r="G18" s="20">
        <v>1125</v>
      </c>
      <c r="H18" s="21"/>
      <c r="I18" s="21">
        <v>1187</v>
      </c>
      <c r="J18" s="20">
        <v>1207</v>
      </c>
      <c r="K18" s="20">
        <v>1185</v>
      </c>
      <c r="L18" s="21"/>
      <c r="M18" s="21">
        <v>1164</v>
      </c>
      <c r="N18" s="20">
        <v>1201</v>
      </c>
      <c r="O18" s="20">
        <v>1208</v>
      </c>
      <c r="P18" s="21"/>
      <c r="Q18" s="21">
        <v>1217</v>
      </c>
    </row>
    <row r="19" spans="2:17" ht="20.100000000000001" customHeight="1">
      <c r="B19" s="93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50145.3</v>
      </c>
      <c r="H19" s="21"/>
      <c r="I19" s="21">
        <v>51273.7</v>
      </c>
      <c r="J19" s="20">
        <v>49087.4</v>
      </c>
      <c r="K19" s="20">
        <v>49078.400000000001</v>
      </c>
      <c r="L19" s="21"/>
      <c r="M19" s="21">
        <v>51458.9</v>
      </c>
      <c r="N19" s="20">
        <v>50654.2</v>
      </c>
      <c r="O19" s="20">
        <v>50645.3</v>
      </c>
      <c r="P19" s="21"/>
      <c r="Q19" s="21">
        <v>50654.1</v>
      </c>
    </row>
    <row r="20" spans="2:17" ht="20.100000000000001" customHeight="1">
      <c r="B20" s="93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93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93"/>
      <c r="C22" s="22" t="s">
        <v>46</v>
      </c>
      <c r="D22" s="19" t="s">
        <v>42</v>
      </c>
      <c r="E22" s="19" t="s">
        <v>47</v>
      </c>
      <c r="F22" s="20"/>
      <c r="G22" s="20">
        <v>58.1</v>
      </c>
      <c r="H22" s="21"/>
      <c r="I22" s="21">
        <v>59.4</v>
      </c>
      <c r="J22" s="20">
        <v>57.8</v>
      </c>
      <c r="K22" s="20">
        <v>58.7</v>
      </c>
      <c r="L22" s="21"/>
      <c r="M22" s="21">
        <v>57.2</v>
      </c>
      <c r="N22" s="20">
        <v>44.8</v>
      </c>
      <c r="O22" s="20">
        <v>58.6</v>
      </c>
      <c r="P22" s="21"/>
      <c r="Q22" s="21">
        <v>58.9</v>
      </c>
    </row>
    <row r="23" spans="2:17" ht="60">
      <c r="B23" s="93"/>
      <c r="C23" s="24" t="s">
        <v>48</v>
      </c>
      <c r="D23" s="20" t="s">
        <v>49</v>
      </c>
      <c r="E23" s="25" t="s">
        <v>50</v>
      </c>
      <c r="F23" s="20"/>
      <c r="G23" s="20">
        <v>0.52</v>
      </c>
      <c r="H23" s="21"/>
      <c r="I23" s="21">
        <v>0.48</v>
      </c>
      <c r="J23" s="20">
        <v>0.59</v>
      </c>
      <c r="K23" s="20">
        <v>0.57999999999999996</v>
      </c>
      <c r="L23" s="21"/>
      <c r="M23" s="21">
        <v>0.52</v>
      </c>
      <c r="N23" s="20">
        <v>0.48</v>
      </c>
      <c r="O23" s="20">
        <v>0.47</v>
      </c>
      <c r="P23" s="21"/>
      <c r="Q23" s="21">
        <v>0.49</v>
      </c>
    </row>
    <row r="24" spans="2:17" ht="39.75" customHeight="1">
      <c r="B24" s="93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93"/>
      <c r="C25" s="22" t="s">
        <v>52</v>
      </c>
      <c r="D25" s="19" t="s">
        <v>42</v>
      </c>
      <c r="E25" s="19" t="s">
        <v>53</v>
      </c>
      <c r="F25" s="20"/>
      <c r="G25" s="20">
        <v>44.7</v>
      </c>
      <c r="H25" s="21"/>
      <c r="I25" s="21">
        <v>44.9</v>
      </c>
      <c r="J25" s="20">
        <v>44.9</v>
      </c>
      <c r="K25" s="20">
        <v>44.6</v>
      </c>
      <c r="L25" s="21"/>
      <c r="M25" s="21">
        <v>44.7</v>
      </c>
      <c r="N25" s="20">
        <v>44.9</v>
      </c>
      <c r="O25" s="20">
        <v>44.9</v>
      </c>
      <c r="P25" s="21"/>
      <c r="Q25" s="21">
        <v>44.8</v>
      </c>
    </row>
    <row r="26" spans="2:17" ht="20.100000000000001" customHeight="1">
      <c r="B26" s="93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0.26</v>
      </c>
      <c r="H26" s="21"/>
      <c r="I26" s="21">
        <v>0.41</v>
      </c>
      <c r="J26" s="20">
        <v>0.23</v>
      </c>
      <c r="K26" s="20">
        <v>0.22</v>
      </c>
      <c r="L26" s="21"/>
      <c r="M26" s="21">
        <v>0.21</v>
      </c>
      <c r="N26" s="20">
        <v>0.23</v>
      </c>
      <c r="O26" s="20">
        <v>0.22</v>
      </c>
      <c r="P26" s="21"/>
      <c r="Q26" s="21">
        <v>0.23</v>
      </c>
    </row>
    <row r="27" spans="2:17" ht="20.100000000000001" customHeight="1">
      <c r="B27" s="93"/>
      <c r="C27" s="22" t="s">
        <v>57</v>
      </c>
      <c r="D27" s="19" t="s">
        <v>42</v>
      </c>
      <c r="E27" s="19" t="s">
        <v>43</v>
      </c>
      <c r="F27" s="20"/>
      <c r="G27" s="20">
        <v>4.2</v>
      </c>
      <c r="H27" s="21"/>
      <c r="I27" s="21">
        <v>3.1</v>
      </c>
      <c r="J27" s="20">
        <v>4.4000000000000004</v>
      </c>
      <c r="K27" s="20">
        <v>4.2</v>
      </c>
      <c r="L27" s="21"/>
      <c r="M27" s="21">
        <v>3.5</v>
      </c>
      <c r="N27" s="20">
        <v>4.4000000000000004</v>
      </c>
      <c r="O27" s="20">
        <v>4.4000000000000004</v>
      </c>
      <c r="P27" s="21"/>
      <c r="Q27" s="21">
        <v>4.5999999999999996</v>
      </c>
    </row>
    <row r="28" spans="2:17" ht="20.100000000000001" customHeight="1">
      <c r="B28" s="93"/>
      <c r="C28" s="22" t="s">
        <v>58</v>
      </c>
      <c r="D28" s="19" t="s">
        <v>42</v>
      </c>
      <c r="E28" s="19" t="s">
        <v>43</v>
      </c>
      <c r="F28" s="20"/>
      <c r="G28" s="20">
        <v>3.8</v>
      </c>
      <c r="H28" s="21"/>
      <c r="I28" s="21">
        <v>18.5</v>
      </c>
      <c r="J28" s="20">
        <v>3.4</v>
      </c>
      <c r="K28" s="20">
        <v>3.1</v>
      </c>
      <c r="L28" s="21"/>
      <c r="M28" s="21">
        <v>3.1</v>
      </c>
      <c r="N28" s="20">
        <v>0.23</v>
      </c>
      <c r="O28" s="20">
        <v>3.5</v>
      </c>
      <c r="P28" s="21"/>
      <c r="Q28" s="21">
        <v>3.6</v>
      </c>
    </row>
    <row r="29" spans="2:17" ht="20.100000000000001" customHeight="1">
      <c r="B29" s="93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1</v>
      </c>
      <c r="H29" s="27">
        <f t="shared" ref="H29:Q29" si="0">H32-H28</f>
        <v>0</v>
      </c>
      <c r="I29" s="27">
        <f t="shared" si="0"/>
        <v>-13.8</v>
      </c>
      <c r="J29" s="27">
        <f t="shared" si="0"/>
        <v>1.1000000000000001</v>
      </c>
      <c r="K29" s="27">
        <f t="shared" si="0"/>
        <v>0.79999999999999982</v>
      </c>
      <c r="L29" s="27">
        <f>L32-L28</f>
        <v>0</v>
      </c>
      <c r="M29" s="27">
        <f>M32-M28</f>
        <v>0.79999999999999982</v>
      </c>
      <c r="N29" s="27">
        <f>N32-N28</f>
        <v>4.3699999999999992</v>
      </c>
      <c r="O29" s="27">
        <f>O32-O28</f>
        <v>1</v>
      </c>
      <c r="P29" s="27">
        <f t="shared" si="0"/>
        <v>0</v>
      </c>
      <c r="Q29" s="27">
        <f t="shared" si="0"/>
        <v>0.49999999999999956</v>
      </c>
    </row>
    <row r="30" spans="2:17" ht="20.100000000000001" customHeight="1">
      <c r="B30" s="93"/>
      <c r="C30" s="22" t="s">
        <v>60</v>
      </c>
      <c r="D30" s="19" t="s">
        <v>61</v>
      </c>
      <c r="E30" s="19" t="s">
        <v>62</v>
      </c>
      <c r="F30" s="20"/>
      <c r="G30" s="20">
        <v>658.1</v>
      </c>
      <c r="H30" s="21"/>
      <c r="I30" s="21">
        <v>646.70000000000005</v>
      </c>
      <c r="J30" s="20">
        <v>634.16</v>
      </c>
      <c r="K30" s="20">
        <v>645.78</v>
      </c>
      <c r="L30" s="21"/>
      <c r="M30" s="21">
        <v>620.4</v>
      </c>
      <c r="N30" s="20">
        <v>686.16</v>
      </c>
      <c r="O30" s="20">
        <v>645.4</v>
      </c>
      <c r="P30" s="21"/>
      <c r="Q30" s="21">
        <v>641.6</v>
      </c>
    </row>
    <row r="31" spans="2:17" ht="20.100000000000001" customHeight="1">
      <c r="B31" s="93"/>
      <c r="C31" s="22" t="s">
        <v>63</v>
      </c>
      <c r="D31" s="19" t="s">
        <v>42</v>
      </c>
      <c r="E31" s="19">
        <v>13.5</v>
      </c>
      <c r="F31" s="20"/>
      <c r="G31" s="20">
        <v>13.9</v>
      </c>
      <c r="H31" s="21"/>
      <c r="I31" s="21">
        <v>13.8</v>
      </c>
      <c r="J31" s="20">
        <v>13.5</v>
      </c>
      <c r="K31" s="20">
        <v>13</v>
      </c>
      <c r="L31" s="21"/>
      <c r="M31" s="21">
        <v>13.1</v>
      </c>
      <c r="N31" s="20">
        <v>13.2</v>
      </c>
      <c r="O31" s="20">
        <v>14</v>
      </c>
      <c r="P31" s="21"/>
      <c r="Q31" s="21">
        <v>13.4</v>
      </c>
    </row>
    <row r="32" spans="2:17" ht="20.100000000000001" customHeight="1">
      <c r="B32" s="93"/>
      <c r="C32" s="22" t="s">
        <v>64</v>
      </c>
      <c r="D32" s="19" t="s">
        <v>42</v>
      </c>
      <c r="E32" s="19">
        <v>4</v>
      </c>
      <c r="F32" s="20"/>
      <c r="G32" s="20">
        <v>4.8</v>
      </c>
      <c r="H32" s="21"/>
      <c r="I32" s="21">
        <v>4.7</v>
      </c>
      <c r="J32" s="20">
        <v>4.5</v>
      </c>
      <c r="K32" s="20">
        <v>3.9</v>
      </c>
      <c r="L32" s="21"/>
      <c r="M32" s="21">
        <v>3.9</v>
      </c>
      <c r="N32" s="20">
        <v>4.5999999999999996</v>
      </c>
      <c r="O32" s="20">
        <v>4.5</v>
      </c>
      <c r="P32" s="21"/>
      <c r="Q32" s="21">
        <v>4.0999999999999996</v>
      </c>
    </row>
    <row r="33" spans="2:17" ht="20.100000000000001" customHeight="1">
      <c r="B33" s="93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9.1000000000000014</v>
      </c>
      <c r="H33" s="27">
        <f t="shared" ref="H33:Q33" si="1">H31-H32</f>
        <v>0</v>
      </c>
      <c r="I33" s="27">
        <f t="shared" si="1"/>
        <v>9.1000000000000014</v>
      </c>
      <c r="J33" s="27">
        <f t="shared" si="1"/>
        <v>9</v>
      </c>
      <c r="K33" s="27">
        <f t="shared" si="1"/>
        <v>9.1</v>
      </c>
      <c r="L33" s="27">
        <f>L31-L32</f>
        <v>0</v>
      </c>
      <c r="M33" s="27">
        <f>M31-M32</f>
        <v>9.1999999999999993</v>
      </c>
      <c r="N33" s="27">
        <f>N31-N32</f>
        <v>8.6</v>
      </c>
      <c r="O33" s="27">
        <f>O31-O32</f>
        <v>9.5</v>
      </c>
      <c r="P33" s="27">
        <f t="shared" si="1"/>
        <v>0</v>
      </c>
      <c r="Q33" s="27">
        <f t="shared" si="1"/>
        <v>9.3000000000000007</v>
      </c>
    </row>
    <row r="34" spans="2:17" ht="20.100000000000001" customHeight="1">
      <c r="B34" s="93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6915.3695150115482</v>
      </c>
      <c r="H34" s="28">
        <f t="shared" ref="H34:Q34" si="2">(H33*H30)/0.866</f>
        <v>0</v>
      </c>
      <c r="I34" s="28">
        <f t="shared" si="2"/>
        <v>6795.5773672055439</v>
      </c>
      <c r="J34" s="28">
        <f t="shared" si="2"/>
        <v>6590.577367205542</v>
      </c>
      <c r="K34" s="28">
        <f t="shared" si="2"/>
        <v>6785.9099307159349</v>
      </c>
      <c r="L34" s="28">
        <f>(L33*L30)/0.866</f>
        <v>0</v>
      </c>
      <c r="M34" s="28">
        <f>(M33*M30)/0.866</f>
        <v>6590.8545034642029</v>
      </c>
      <c r="N34" s="28">
        <f>(N33*N30)/0.866</f>
        <v>6814.0600461893764</v>
      </c>
      <c r="O34" s="28">
        <f>(O33*O30)/0.866</f>
        <v>7080.023094688222</v>
      </c>
      <c r="P34" s="28">
        <f t="shared" si="2"/>
        <v>0</v>
      </c>
      <c r="Q34" s="28">
        <f t="shared" si="2"/>
        <v>6890.1616628175534</v>
      </c>
    </row>
    <row r="35" spans="2:17" ht="20.100000000000001" customHeight="1">
      <c r="B35" s="93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0.7</v>
      </c>
      <c r="H35" s="21"/>
      <c r="I35" s="21">
        <v>0.81</v>
      </c>
      <c r="J35" s="20">
        <v>0.83</v>
      </c>
      <c r="K35" s="20">
        <v>0.8</v>
      </c>
      <c r="L35" s="21"/>
      <c r="M35" s="21">
        <v>0.8</v>
      </c>
      <c r="N35" s="20">
        <v>0.81</v>
      </c>
      <c r="O35" s="20">
        <v>0.76</v>
      </c>
      <c r="P35" s="21"/>
      <c r="Q35" s="21">
        <v>0.81</v>
      </c>
    </row>
    <row r="36" spans="2:17" ht="20.100000000000001" customHeight="1">
      <c r="B36" s="93"/>
      <c r="C36" s="22" t="s">
        <v>72</v>
      </c>
      <c r="D36" s="19" t="s">
        <v>42</v>
      </c>
      <c r="E36" s="19" t="s">
        <v>43</v>
      </c>
      <c r="F36" s="20"/>
      <c r="G36" s="20">
        <v>34.799999999999997</v>
      </c>
      <c r="H36" s="21"/>
      <c r="I36" s="21">
        <v>35.5</v>
      </c>
      <c r="J36" s="20">
        <v>35.5</v>
      </c>
      <c r="K36" s="20">
        <v>35.200000000000003</v>
      </c>
      <c r="L36" s="21"/>
      <c r="M36" s="21">
        <v>35</v>
      </c>
      <c r="N36" s="20">
        <v>34.5</v>
      </c>
      <c r="O36" s="20">
        <v>35</v>
      </c>
      <c r="P36" s="21"/>
      <c r="Q36" s="21">
        <v>35.5</v>
      </c>
    </row>
    <row r="37" spans="2:17" ht="20.100000000000001" customHeight="1">
      <c r="B37" s="93"/>
      <c r="C37" s="22" t="s">
        <v>73</v>
      </c>
      <c r="D37" s="19" t="s">
        <v>42</v>
      </c>
      <c r="E37" s="19" t="s">
        <v>43</v>
      </c>
      <c r="F37" s="20"/>
      <c r="G37" s="20">
        <v>35.4</v>
      </c>
      <c r="H37" s="21"/>
      <c r="I37" s="21">
        <v>36.799999999999997</v>
      </c>
      <c r="J37" s="20">
        <v>36.9</v>
      </c>
      <c r="K37" s="20">
        <v>35.9</v>
      </c>
      <c r="L37" s="21"/>
      <c r="M37" s="21">
        <v>35.6</v>
      </c>
      <c r="N37" s="20">
        <v>35.9</v>
      </c>
      <c r="O37" s="20">
        <v>35.299999999999997</v>
      </c>
      <c r="P37" s="21"/>
      <c r="Q37" s="21">
        <v>36.299999999999997</v>
      </c>
    </row>
    <row r="38" spans="2:17" ht="20.100000000000001" customHeight="1">
      <c r="B38" s="93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1.7999999999999972</v>
      </c>
      <c r="H38" s="27">
        <v>1</v>
      </c>
      <c r="I38" s="27">
        <f t="shared" ref="I38:Q38" si="3">I37-I41</f>
        <v>3.7999999999999972</v>
      </c>
      <c r="J38" s="27">
        <f t="shared" si="3"/>
        <v>2.7999999999999972</v>
      </c>
      <c r="K38" s="27">
        <f t="shared" si="3"/>
        <v>2.1999999999999957</v>
      </c>
      <c r="L38" s="27">
        <f>L37-L41</f>
        <v>0</v>
      </c>
      <c r="M38" s="27">
        <f>M37-M41</f>
        <v>2.3000000000000043</v>
      </c>
      <c r="N38" s="27">
        <f>N37-N41</f>
        <v>2.2999999999999972</v>
      </c>
      <c r="O38" s="27">
        <f>O37-O41</f>
        <v>1.5</v>
      </c>
      <c r="P38" s="27">
        <f t="shared" si="3"/>
        <v>0</v>
      </c>
      <c r="Q38" s="27">
        <f t="shared" si="3"/>
        <v>2.5999999999999943</v>
      </c>
    </row>
    <row r="39" spans="2:17" ht="20.100000000000001" customHeight="1">
      <c r="B39" s="93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93"/>
      <c r="C40" s="22" t="s">
        <v>78</v>
      </c>
      <c r="D40" s="19" t="s">
        <v>42</v>
      </c>
      <c r="E40" s="19">
        <v>30.8</v>
      </c>
      <c r="F40" s="20"/>
      <c r="G40" s="20">
        <v>28.2</v>
      </c>
      <c r="H40" s="21"/>
      <c r="I40" s="21">
        <v>28.1</v>
      </c>
      <c r="J40" s="20">
        <v>28.7</v>
      </c>
      <c r="K40" s="20">
        <v>28.3</v>
      </c>
      <c r="L40" s="21"/>
      <c r="M40" s="21">
        <v>28.1</v>
      </c>
      <c r="N40" s="20">
        <v>28.4</v>
      </c>
      <c r="O40" s="20">
        <v>28.3</v>
      </c>
      <c r="P40" s="21"/>
      <c r="Q40" s="21">
        <v>28.5</v>
      </c>
    </row>
    <row r="41" spans="2:17" ht="20.100000000000001" customHeight="1">
      <c r="B41" s="93"/>
      <c r="C41" s="22" t="s">
        <v>79</v>
      </c>
      <c r="D41" s="19" t="s">
        <v>42</v>
      </c>
      <c r="E41" s="19">
        <v>36.4</v>
      </c>
      <c r="F41" s="20"/>
      <c r="G41" s="20">
        <v>33.6</v>
      </c>
      <c r="H41" s="21"/>
      <c r="I41" s="21">
        <v>33</v>
      </c>
      <c r="J41" s="20">
        <v>34.1</v>
      </c>
      <c r="K41" s="20">
        <v>33.700000000000003</v>
      </c>
      <c r="L41" s="21"/>
      <c r="M41" s="21">
        <v>33.299999999999997</v>
      </c>
      <c r="N41" s="20">
        <v>33.6</v>
      </c>
      <c r="O41" s="20">
        <v>33.799999999999997</v>
      </c>
      <c r="P41" s="21"/>
      <c r="Q41" s="21">
        <v>33.700000000000003</v>
      </c>
    </row>
    <row r="42" spans="2:17" ht="20.100000000000001" customHeight="1">
      <c r="B42" s="93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5.4000000000000021</v>
      </c>
      <c r="H42" s="27">
        <f t="shared" ref="H42:Q42" si="4">H41-H40</f>
        <v>0</v>
      </c>
      <c r="I42" s="27">
        <f t="shared" si="4"/>
        <v>4.8999999999999986</v>
      </c>
      <c r="J42" s="27">
        <f t="shared" si="4"/>
        <v>5.4000000000000021</v>
      </c>
      <c r="K42" s="27">
        <f t="shared" si="4"/>
        <v>5.4000000000000021</v>
      </c>
      <c r="L42" s="27">
        <f>L41-L40</f>
        <v>0</v>
      </c>
      <c r="M42" s="27">
        <f>M41-M40</f>
        <v>5.1999999999999957</v>
      </c>
      <c r="N42" s="27">
        <f>N41-N40</f>
        <v>5.2000000000000028</v>
      </c>
      <c r="O42" s="27">
        <f>O41-O40</f>
        <v>5.4999999999999964</v>
      </c>
      <c r="P42" s="27">
        <f t="shared" si="4"/>
        <v>0</v>
      </c>
      <c r="Q42" s="27">
        <f t="shared" si="4"/>
        <v>5.2000000000000028</v>
      </c>
    </row>
    <row r="43" spans="2:17" ht="20.100000000000001" customHeight="1">
      <c r="B43" s="93"/>
      <c r="C43" s="22" t="s">
        <v>81</v>
      </c>
      <c r="D43" s="19" t="s">
        <v>61</v>
      </c>
      <c r="E43" s="19">
        <v>1273.0999999999999</v>
      </c>
      <c r="F43" s="20"/>
      <c r="G43" s="20">
        <v>1295.5999999999999</v>
      </c>
      <c r="H43" s="21"/>
      <c r="I43" s="21">
        <v>1304</v>
      </c>
      <c r="J43" s="20">
        <v>1298.92</v>
      </c>
      <c r="K43" s="20">
        <v>1296.7</v>
      </c>
      <c r="L43" s="21"/>
      <c r="M43" s="20">
        <v>1293.9000000000001</v>
      </c>
      <c r="N43" s="20">
        <v>1294.02</v>
      </c>
      <c r="O43" s="20">
        <v>1287.0999999999999</v>
      </c>
      <c r="P43" s="21"/>
      <c r="Q43" s="21">
        <v>1291.9000000000001</v>
      </c>
    </row>
    <row r="44" spans="2:17" ht="20.100000000000001" customHeight="1">
      <c r="B44" s="93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8078.7990762124737</v>
      </c>
      <c r="H44" s="28">
        <f t="shared" ref="H44:Q44" si="5">H42*H43/0.866</f>
        <v>0</v>
      </c>
      <c r="I44" s="28">
        <f t="shared" si="5"/>
        <v>7378.2909930715923</v>
      </c>
      <c r="J44" s="28">
        <f t="shared" si="5"/>
        <v>8099.5011547344147</v>
      </c>
      <c r="K44" s="28">
        <f t="shared" si="5"/>
        <v>8085.6581986143219</v>
      </c>
      <c r="L44" s="28">
        <f>L42*L43/0.866</f>
        <v>0</v>
      </c>
      <c r="M44" s="28">
        <f>M42*M43/0.866</f>
        <v>7769.3764434180084</v>
      </c>
      <c r="N44" s="28">
        <f>N42*N43/0.866</f>
        <v>7770.0969976905353</v>
      </c>
      <c r="O44" s="28">
        <f>O42*O43/0.866</f>
        <v>8174.4226327944516</v>
      </c>
      <c r="P44" s="28">
        <f t="shared" si="5"/>
        <v>0</v>
      </c>
      <c r="Q44" s="28">
        <f t="shared" si="5"/>
        <v>7757.3672055427296</v>
      </c>
    </row>
    <row r="45" spans="2:17" ht="20.100000000000001" customHeight="1">
      <c r="B45" s="93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0.46</v>
      </c>
      <c r="H45" s="21"/>
      <c r="I45" s="21">
        <v>0.44</v>
      </c>
      <c r="J45" s="20">
        <v>0.45</v>
      </c>
      <c r="K45" s="20">
        <v>0.45</v>
      </c>
      <c r="L45" s="21"/>
      <c r="M45" s="21">
        <v>0.45</v>
      </c>
      <c r="N45" s="20">
        <v>0.45</v>
      </c>
      <c r="O45" s="20">
        <v>0.45</v>
      </c>
      <c r="P45" s="21"/>
      <c r="Q45" s="21">
        <v>0.46</v>
      </c>
    </row>
    <row r="46" spans="2:17" ht="20.100000000000001" customHeight="1">
      <c r="B46" s="93"/>
      <c r="C46" s="22" t="s">
        <v>86</v>
      </c>
      <c r="D46" s="19" t="s">
        <v>42</v>
      </c>
      <c r="E46" s="19" t="s">
        <v>43</v>
      </c>
      <c r="F46" s="20"/>
      <c r="G46" s="20">
        <v>19.3</v>
      </c>
      <c r="H46" s="21"/>
      <c r="I46" s="21">
        <v>18.5</v>
      </c>
      <c r="J46" s="20">
        <v>19.2</v>
      </c>
      <c r="K46" s="20">
        <v>19</v>
      </c>
      <c r="L46" s="21"/>
      <c r="M46" s="21">
        <v>19</v>
      </c>
      <c r="N46" s="20">
        <v>18.7</v>
      </c>
      <c r="O46" s="20">
        <v>18.899999999999999</v>
      </c>
      <c r="P46" s="21"/>
      <c r="Q46" s="21">
        <v>19.600000000000001</v>
      </c>
    </row>
    <row r="47" spans="2:17" ht="20.100000000000001" customHeight="1">
      <c r="B47" s="93"/>
      <c r="C47" s="22" t="s">
        <v>87</v>
      </c>
      <c r="D47" s="19" t="s">
        <v>77</v>
      </c>
      <c r="E47" s="19" t="s">
        <v>77</v>
      </c>
      <c r="F47" s="20"/>
      <c r="G47" s="20">
        <v>193.8</v>
      </c>
      <c r="H47" s="21"/>
      <c r="I47" s="21">
        <v>120.1</v>
      </c>
      <c r="J47" s="20">
        <v>203.1</v>
      </c>
      <c r="K47" s="20">
        <v>203.8</v>
      </c>
      <c r="L47" s="21"/>
      <c r="M47" s="21">
        <v>207.1</v>
      </c>
      <c r="N47" s="20">
        <v>153.19999999999999</v>
      </c>
      <c r="O47" s="20">
        <v>157</v>
      </c>
      <c r="P47" s="21"/>
      <c r="Q47" s="21">
        <v>192.2</v>
      </c>
    </row>
    <row r="48" spans="2:17" ht="20.100000000000001" customHeight="1">
      <c r="B48" s="92" t="s">
        <v>88</v>
      </c>
      <c r="C48" s="92"/>
      <c r="D48" s="92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2" t="s">
        <v>90</v>
      </c>
      <c r="C49" s="92"/>
      <c r="D49" s="92"/>
      <c r="E49" s="91">
        <v>5.89</v>
      </c>
      <c r="F49" s="20"/>
      <c r="G49" s="20">
        <v>6.03</v>
      </c>
      <c r="H49" s="21"/>
      <c r="I49" s="21">
        <v>5.62</v>
      </c>
      <c r="J49" s="20">
        <v>5.64</v>
      </c>
      <c r="K49" s="20">
        <v>5.67</v>
      </c>
      <c r="L49" s="21"/>
      <c r="M49" s="21">
        <v>5.82</v>
      </c>
      <c r="N49" s="20">
        <v>5.41</v>
      </c>
      <c r="O49" s="20">
        <v>5.67</v>
      </c>
      <c r="P49" s="21"/>
      <c r="Q49" s="21">
        <v>5.57</v>
      </c>
    </row>
    <row r="50" spans="2:17" ht="20.100000000000001" customHeight="1">
      <c r="B50" s="92" t="s">
        <v>91</v>
      </c>
      <c r="C50" s="92"/>
      <c r="D50" s="92"/>
      <c r="E50" s="91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2" t="s">
        <v>92</v>
      </c>
      <c r="C51" s="92"/>
      <c r="D51" s="92"/>
      <c r="E51" s="90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1</vt:lpstr>
      <vt:lpstr>2</vt:lpstr>
      <vt:lpstr>3</vt:lpstr>
      <vt:lpstr>4</vt:lpstr>
      <vt:lpstr>5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Haidir Mustafa</dc:creator>
  <cp:lastModifiedBy>TNEC-92090184</cp:lastModifiedBy>
  <dcterms:created xsi:type="dcterms:W3CDTF">2025-03-31T16:35:29Z</dcterms:created>
  <dcterms:modified xsi:type="dcterms:W3CDTF">2025-04-30T02:49:32Z</dcterms:modified>
</cp:coreProperties>
</file>