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P OFFICIAL\Load profile\CHILLER LOG\8\"/>
    </mc:Choice>
  </mc:AlternateContent>
  <xr:revisionPtr revIDLastSave="0" documentId="13_ncr:1_{DF623AC1-0A7C-403D-BECF-3B5728CFCC1C}" xr6:coauthVersionLast="47" xr6:coauthVersionMax="47" xr10:uidLastSave="{00000000-0000-0000-0000-000000000000}"/>
  <bookViews>
    <workbookView xWindow="-120" yWindow="-120" windowWidth="29040" windowHeight="15720" firstSheet="5" activeTab="22" xr2:uid="{0978F290-4A20-45EF-ADB2-894FF6AACDBF}"/>
  </bookViews>
  <sheets>
    <sheet name="1" sheetId="1" r:id="rId1"/>
    <sheet name="2" sheetId="2" r:id="rId2"/>
    <sheet name="3" sheetId="3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29" r:id="rId28"/>
    <sheet name="29" sheetId="30" r:id="rId29"/>
    <sheet name="30" sheetId="31" r:id="rId30"/>
    <sheet name="31" sheetId="32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" i="32" l="1"/>
  <c r="N44" i="32"/>
  <c r="L44" i="32"/>
  <c r="J44" i="32"/>
  <c r="F44" i="32"/>
  <c r="Q42" i="32"/>
  <c r="Q44" i="32" s="1"/>
  <c r="P42" i="32"/>
  <c r="O42" i="32"/>
  <c r="O44" i="32" s="1"/>
  <c r="N42" i="32"/>
  <c r="M42" i="32"/>
  <c r="M44" i="32" s="1"/>
  <c r="L42" i="32"/>
  <c r="K42" i="32"/>
  <c r="K44" i="32" s="1"/>
  <c r="J42" i="32"/>
  <c r="I42" i="32"/>
  <c r="I44" i="32" s="1"/>
  <c r="H42" i="32"/>
  <c r="H44" i="32" s="1"/>
  <c r="G42" i="32"/>
  <c r="G44" i="32" s="1"/>
  <c r="F42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Q33" i="32"/>
  <c r="Q34" i="32" s="1"/>
  <c r="P33" i="32"/>
  <c r="P34" i="32" s="1"/>
  <c r="O33" i="32"/>
  <c r="O34" i="32" s="1"/>
  <c r="N33" i="32"/>
  <c r="N34" i="32" s="1"/>
  <c r="M33" i="32"/>
  <c r="M34" i="32" s="1"/>
  <c r="L33" i="32"/>
  <c r="L34" i="32" s="1"/>
  <c r="K33" i="32"/>
  <c r="K34" i="32" s="1"/>
  <c r="J33" i="32"/>
  <c r="J34" i="32" s="1"/>
  <c r="I33" i="32"/>
  <c r="I34" i="32" s="1"/>
  <c r="H33" i="32"/>
  <c r="H34" i="32" s="1"/>
  <c r="G33" i="32"/>
  <c r="G34" i="32" s="1"/>
  <c r="F33" i="32"/>
  <c r="F34" i="32" s="1"/>
  <c r="Q29" i="32"/>
  <c r="P29" i="32"/>
  <c r="O29" i="32"/>
  <c r="N29" i="32"/>
  <c r="M29" i="32"/>
  <c r="L29" i="32"/>
  <c r="K29" i="32"/>
  <c r="J29" i="32"/>
  <c r="I29" i="32"/>
  <c r="H29" i="32"/>
  <c r="G29" i="32"/>
  <c r="F29" i="32"/>
  <c r="Q44" i="31"/>
  <c r="N44" i="31"/>
  <c r="F44" i="31"/>
  <c r="Q42" i="31"/>
  <c r="P42" i="31"/>
  <c r="P44" i="31" s="1"/>
  <c r="O42" i="31"/>
  <c r="O44" i="31" s="1"/>
  <c r="N42" i="31"/>
  <c r="M42" i="31"/>
  <c r="M44" i="31" s="1"/>
  <c r="L42" i="31"/>
  <c r="L44" i="31" s="1"/>
  <c r="K42" i="31"/>
  <c r="K44" i="31" s="1"/>
  <c r="J42" i="31"/>
  <c r="J44" i="31" s="1"/>
  <c r="I42" i="31"/>
  <c r="I44" i="31" s="1"/>
  <c r="H42" i="31"/>
  <c r="H44" i="31" s="1"/>
  <c r="G42" i="31"/>
  <c r="G44" i="31" s="1"/>
  <c r="F42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Q33" i="31"/>
  <c r="Q34" i="31" s="1"/>
  <c r="P33" i="31"/>
  <c r="P34" i="31" s="1"/>
  <c r="O33" i="31"/>
  <c r="O34" i="31" s="1"/>
  <c r="N33" i="31"/>
  <c r="N34" i="31" s="1"/>
  <c r="M33" i="31"/>
  <c r="M34" i="31" s="1"/>
  <c r="L33" i="31"/>
  <c r="L34" i="31" s="1"/>
  <c r="K33" i="31"/>
  <c r="K34" i="31" s="1"/>
  <c r="J33" i="31"/>
  <c r="J34" i="31" s="1"/>
  <c r="I33" i="31"/>
  <c r="I34" i="31" s="1"/>
  <c r="H33" i="31"/>
  <c r="H34" i="31" s="1"/>
  <c r="G33" i="31"/>
  <c r="G34" i="31" s="1"/>
  <c r="F33" i="31"/>
  <c r="F34" i="31" s="1"/>
  <c r="Q29" i="31"/>
  <c r="P29" i="31"/>
  <c r="O29" i="31"/>
  <c r="N29" i="31"/>
  <c r="M29" i="31"/>
  <c r="L29" i="31"/>
  <c r="K29" i="31"/>
  <c r="J29" i="31"/>
  <c r="I29" i="31"/>
  <c r="H29" i="31"/>
  <c r="G29" i="31"/>
  <c r="F29" i="31"/>
  <c r="O44" i="30"/>
  <c r="K44" i="30"/>
  <c r="J44" i="30"/>
  <c r="I44" i="30"/>
  <c r="G44" i="30"/>
  <c r="Q42" i="30"/>
  <c r="Q44" i="30" s="1"/>
  <c r="P42" i="30"/>
  <c r="P44" i="30" s="1"/>
  <c r="O42" i="30"/>
  <c r="N42" i="30"/>
  <c r="N44" i="30" s="1"/>
  <c r="M42" i="30"/>
  <c r="M44" i="30" s="1"/>
  <c r="L42" i="30"/>
  <c r="L44" i="30" s="1"/>
  <c r="K42" i="30"/>
  <c r="J42" i="30"/>
  <c r="I42" i="30"/>
  <c r="H42" i="30"/>
  <c r="H44" i="30" s="1"/>
  <c r="G42" i="30"/>
  <c r="F42" i="30"/>
  <c r="F44" i="30" s="1"/>
  <c r="Q38" i="30"/>
  <c r="P38" i="30"/>
  <c r="O38" i="30"/>
  <c r="N38" i="30"/>
  <c r="M38" i="30"/>
  <c r="L38" i="30"/>
  <c r="K38" i="30"/>
  <c r="J38" i="30"/>
  <c r="I38" i="30"/>
  <c r="H38" i="30"/>
  <c r="G38" i="30"/>
  <c r="F38" i="30"/>
  <c r="I34" i="30"/>
  <c r="G34" i="30"/>
  <c r="Q33" i="30"/>
  <c r="Q34" i="30" s="1"/>
  <c r="P33" i="30"/>
  <c r="P34" i="30" s="1"/>
  <c r="O33" i="30"/>
  <c r="O34" i="30" s="1"/>
  <c r="N33" i="30"/>
  <c r="N34" i="30" s="1"/>
  <c r="M33" i="30"/>
  <c r="M34" i="30" s="1"/>
  <c r="L33" i="30"/>
  <c r="L34" i="30" s="1"/>
  <c r="K33" i="30"/>
  <c r="K34" i="30" s="1"/>
  <c r="J33" i="30"/>
  <c r="J34" i="30" s="1"/>
  <c r="I33" i="30"/>
  <c r="H33" i="30"/>
  <c r="H34" i="30" s="1"/>
  <c r="G33" i="30"/>
  <c r="F33" i="30"/>
  <c r="F34" i="30" s="1"/>
  <c r="Q29" i="30"/>
  <c r="P29" i="30"/>
  <c r="O29" i="30"/>
  <c r="N29" i="30"/>
  <c r="M29" i="30"/>
  <c r="L29" i="30"/>
  <c r="K29" i="30"/>
  <c r="J29" i="30"/>
  <c r="I29" i="30"/>
  <c r="H29" i="30"/>
  <c r="G29" i="30"/>
  <c r="F29" i="30"/>
  <c r="Q42" i="29"/>
  <c r="Q44" i="29" s="1"/>
  <c r="P42" i="29"/>
  <c r="P44" i="29" s="1"/>
  <c r="O42" i="29"/>
  <c r="O44" i="29" s="1"/>
  <c r="N42" i="29"/>
  <c r="N44" i="29" s="1"/>
  <c r="M42" i="29"/>
  <c r="M44" i="29" s="1"/>
  <c r="L42" i="29"/>
  <c r="L44" i="29" s="1"/>
  <c r="K42" i="29"/>
  <c r="K44" i="29" s="1"/>
  <c r="J42" i="29"/>
  <c r="J44" i="29" s="1"/>
  <c r="I42" i="29"/>
  <c r="I44" i="29" s="1"/>
  <c r="H42" i="29"/>
  <c r="H44" i="29" s="1"/>
  <c r="G42" i="29"/>
  <c r="G44" i="29" s="1"/>
  <c r="F42" i="29"/>
  <c r="F44" i="29" s="1"/>
  <c r="Q38" i="29"/>
  <c r="P38" i="29"/>
  <c r="O38" i="29"/>
  <c r="N38" i="29"/>
  <c r="M38" i="29"/>
  <c r="L38" i="29"/>
  <c r="K38" i="29"/>
  <c r="J38" i="29"/>
  <c r="I38" i="29"/>
  <c r="H38" i="29"/>
  <c r="G38" i="29"/>
  <c r="F38" i="29"/>
  <c r="I34" i="29"/>
  <c r="Q33" i="29"/>
  <c r="Q34" i="29" s="1"/>
  <c r="P33" i="29"/>
  <c r="P34" i="29" s="1"/>
  <c r="O33" i="29"/>
  <c r="O34" i="29" s="1"/>
  <c r="N33" i="29"/>
  <c r="N34" i="29" s="1"/>
  <c r="M33" i="29"/>
  <c r="M34" i="29" s="1"/>
  <c r="L33" i="29"/>
  <c r="L34" i="29" s="1"/>
  <c r="K33" i="29"/>
  <c r="K34" i="29" s="1"/>
  <c r="J33" i="29"/>
  <c r="J34" i="29" s="1"/>
  <c r="I33" i="29"/>
  <c r="H33" i="29"/>
  <c r="H34" i="29" s="1"/>
  <c r="G33" i="29"/>
  <c r="G34" i="29" s="1"/>
  <c r="F33" i="29"/>
  <c r="F34" i="29" s="1"/>
  <c r="Q29" i="29"/>
  <c r="P29" i="29"/>
  <c r="O29" i="29"/>
  <c r="N29" i="29"/>
  <c r="M29" i="29"/>
  <c r="L29" i="29"/>
  <c r="K29" i="29"/>
  <c r="J29" i="29"/>
  <c r="I29" i="29"/>
  <c r="H29" i="29"/>
  <c r="G29" i="29"/>
  <c r="F29" i="29"/>
  <c r="Q42" i="28"/>
  <c r="Q44" i="28" s="1"/>
  <c r="P42" i="28"/>
  <c r="P44" i="28" s="1"/>
  <c r="O42" i="28"/>
  <c r="O44" i="28" s="1"/>
  <c r="N42" i="28"/>
  <c r="N44" i="28" s="1"/>
  <c r="M42" i="28"/>
  <c r="M44" i="28" s="1"/>
  <c r="L42" i="28"/>
  <c r="L44" i="28" s="1"/>
  <c r="K42" i="28"/>
  <c r="K44" i="28" s="1"/>
  <c r="J42" i="28"/>
  <c r="J44" i="28" s="1"/>
  <c r="I42" i="28"/>
  <c r="I44" i="28" s="1"/>
  <c r="H42" i="28"/>
  <c r="H44" i="28" s="1"/>
  <c r="G42" i="28"/>
  <c r="G44" i="28" s="1"/>
  <c r="F42" i="28"/>
  <c r="F44" i="28" s="1"/>
  <c r="Q38" i="28"/>
  <c r="P38" i="28"/>
  <c r="O38" i="28"/>
  <c r="N38" i="28"/>
  <c r="M38" i="28"/>
  <c r="L38" i="28"/>
  <c r="K38" i="28"/>
  <c r="J38" i="28"/>
  <c r="I38" i="28"/>
  <c r="H38" i="28"/>
  <c r="G38" i="28"/>
  <c r="F38" i="28"/>
  <c r="Q33" i="28"/>
  <c r="Q34" i="28" s="1"/>
  <c r="P33" i="28"/>
  <c r="P34" i="28" s="1"/>
  <c r="O33" i="28"/>
  <c r="O34" i="28" s="1"/>
  <c r="N33" i="28"/>
  <c r="N34" i="28" s="1"/>
  <c r="M33" i="28"/>
  <c r="M34" i="28" s="1"/>
  <c r="L33" i="28"/>
  <c r="L34" i="28" s="1"/>
  <c r="K33" i="28"/>
  <c r="K34" i="28" s="1"/>
  <c r="J33" i="28"/>
  <c r="J34" i="28" s="1"/>
  <c r="I33" i="28"/>
  <c r="I34" i="28" s="1"/>
  <c r="H33" i="28"/>
  <c r="H34" i="28" s="1"/>
  <c r="G33" i="28"/>
  <c r="G34" i="28" s="1"/>
  <c r="F33" i="28"/>
  <c r="F34" i="28" s="1"/>
  <c r="Q29" i="28"/>
  <c r="P29" i="28"/>
  <c r="O29" i="28"/>
  <c r="N29" i="28"/>
  <c r="M29" i="28"/>
  <c r="L29" i="28"/>
  <c r="K29" i="28"/>
  <c r="J29" i="28"/>
  <c r="I29" i="28"/>
  <c r="H29" i="28"/>
  <c r="G29" i="28"/>
  <c r="F29" i="28"/>
  <c r="Q44" i="27"/>
  <c r="P44" i="27"/>
  <c r="N44" i="27"/>
  <c r="H44" i="27"/>
  <c r="Q42" i="27"/>
  <c r="P42" i="27"/>
  <c r="O42" i="27"/>
  <c r="O44" i="27" s="1"/>
  <c r="N42" i="27"/>
  <c r="M42" i="27"/>
  <c r="M44" i="27" s="1"/>
  <c r="L42" i="27"/>
  <c r="L44" i="27" s="1"/>
  <c r="K42" i="27"/>
  <c r="K44" i="27" s="1"/>
  <c r="J42" i="27"/>
  <c r="J44" i="27" s="1"/>
  <c r="I42" i="27"/>
  <c r="I44" i="27" s="1"/>
  <c r="H42" i="27"/>
  <c r="G42" i="27"/>
  <c r="G44" i="27" s="1"/>
  <c r="F42" i="27"/>
  <c r="F44" i="27" s="1"/>
  <c r="Q38" i="27"/>
  <c r="P38" i="27"/>
  <c r="O38" i="27"/>
  <c r="N38" i="27"/>
  <c r="M38" i="27"/>
  <c r="L38" i="27"/>
  <c r="K38" i="27"/>
  <c r="J38" i="27"/>
  <c r="I38" i="27"/>
  <c r="H37" i="27"/>
  <c r="G38" i="27"/>
  <c r="F38" i="27"/>
  <c r="Q33" i="27"/>
  <c r="Q34" i="27" s="1"/>
  <c r="P33" i="27"/>
  <c r="P34" i="27" s="1"/>
  <c r="O33" i="27"/>
  <c r="O34" i="27" s="1"/>
  <c r="N33" i="27"/>
  <c r="N34" i="27" s="1"/>
  <c r="M33" i="27"/>
  <c r="M34" i="27" s="1"/>
  <c r="L33" i="27"/>
  <c r="L34" i="27" s="1"/>
  <c r="K33" i="27"/>
  <c r="K34" i="27" s="1"/>
  <c r="J33" i="27"/>
  <c r="J34" i="27" s="1"/>
  <c r="I33" i="27"/>
  <c r="I34" i="27" s="1"/>
  <c r="H33" i="27"/>
  <c r="H34" i="27" s="1"/>
  <c r="G33" i="27"/>
  <c r="G34" i="27" s="1"/>
  <c r="F33" i="27"/>
  <c r="F34" i="27" s="1"/>
  <c r="Q29" i="27"/>
  <c r="P29" i="27"/>
  <c r="O29" i="27"/>
  <c r="N29" i="27"/>
  <c r="M29" i="27"/>
  <c r="L29" i="27"/>
  <c r="K29" i="27"/>
  <c r="J29" i="27"/>
  <c r="I29" i="27"/>
  <c r="H29" i="27"/>
  <c r="G29" i="27"/>
  <c r="F29" i="27"/>
  <c r="G44" i="26"/>
  <c r="H44" i="26"/>
  <c r="I44" i="26"/>
  <c r="J44" i="26"/>
  <c r="K44" i="26"/>
  <c r="M44" i="26"/>
  <c r="N44" i="26"/>
  <c r="O44" i="26"/>
  <c r="P44" i="26"/>
  <c r="Q44" i="26"/>
  <c r="G42" i="26"/>
  <c r="H42" i="26"/>
  <c r="I42" i="26"/>
  <c r="J42" i="26"/>
  <c r="K42" i="26"/>
  <c r="L42" i="26"/>
  <c r="L44" i="26" s="1"/>
  <c r="M42" i="26"/>
  <c r="N42" i="26"/>
  <c r="O42" i="26"/>
  <c r="P42" i="26"/>
  <c r="Q42" i="26"/>
  <c r="F42" i="26"/>
  <c r="F44" i="26" s="1"/>
  <c r="H38" i="26"/>
  <c r="I38" i="26"/>
  <c r="J38" i="26"/>
  <c r="K38" i="26"/>
  <c r="L38" i="26"/>
  <c r="M38" i="26"/>
  <c r="N38" i="26"/>
  <c r="O38" i="26"/>
  <c r="P38" i="26"/>
  <c r="Q38" i="26"/>
  <c r="F38" i="26"/>
  <c r="H34" i="26"/>
  <c r="I34" i="26"/>
  <c r="J34" i="26"/>
  <c r="K34" i="26"/>
  <c r="L34" i="26"/>
  <c r="M34" i="26"/>
  <c r="N34" i="26"/>
  <c r="O34" i="26"/>
  <c r="P34" i="26"/>
  <c r="Q34" i="26"/>
  <c r="H33" i="26"/>
  <c r="I33" i="26"/>
  <c r="J33" i="26"/>
  <c r="K33" i="26"/>
  <c r="L33" i="26"/>
  <c r="M33" i="26"/>
  <c r="N33" i="26"/>
  <c r="O33" i="26"/>
  <c r="P33" i="26"/>
  <c r="Q33" i="26"/>
  <c r="F33" i="26"/>
  <c r="F34" i="26" s="1"/>
  <c r="H29" i="26"/>
  <c r="I29" i="26"/>
  <c r="J29" i="26"/>
  <c r="K29" i="26"/>
  <c r="L29" i="26"/>
  <c r="M29" i="26"/>
  <c r="N29" i="26"/>
  <c r="O29" i="26"/>
  <c r="P29" i="26"/>
  <c r="Q29" i="26"/>
  <c r="F29" i="26"/>
  <c r="G38" i="26"/>
  <c r="G33" i="26"/>
  <c r="G34" i="26" s="1"/>
  <c r="G29" i="26"/>
  <c r="Q42" i="25"/>
  <c r="Q44" i="25" s="1"/>
  <c r="P42" i="25"/>
  <c r="P44" i="25" s="1"/>
  <c r="O42" i="25"/>
  <c r="O44" i="25" s="1"/>
  <c r="N42" i="25"/>
  <c r="N44" i="25" s="1"/>
  <c r="M42" i="25"/>
  <c r="M44" i="25" s="1"/>
  <c r="L42" i="25"/>
  <c r="L44" i="25" s="1"/>
  <c r="K42" i="25"/>
  <c r="K44" i="25" s="1"/>
  <c r="J42" i="25"/>
  <c r="J44" i="25" s="1"/>
  <c r="I42" i="25"/>
  <c r="I44" i="25" s="1"/>
  <c r="H42" i="25"/>
  <c r="H44" i="25" s="1"/>
  <c r="G42" i="25"/>
  <c r="G44" i="25" s="1"/>
  <c r="F42" i="25"/>
  <c r="F44" i="25" s="1"/>
  <c r="Q38" i="25"/>
  <c r="P38" i="25"/>
  <c r="O38" i="25"/>
  <c r="N38" i="25"/>
  <c r="M38" i="25"/>
  <c r="L38" i="25"/>
  <c r="K38" i="25"/>
  <c r="J38" i="25"/>
  <c r="I38" i="25"/>
  <c r="H38" i="25"/>
  <c r="G38" i="25"/>
  <c r="F38" i="25"/>
  <c r="Q33" i="25"/>
  <c r="Q34" i="25" s="1"/>
  <c r="P33" i="25"/>
  <c r="P34" i="25" s="1"/>
  <c r="O33" i="25"/>
  <c r="O34" i="25" s="1"/>
  <c r="N33" i="25"/>
  <c r="N34" i="25" s="1"/>
  <c r="M33" i="25"/>
  <c r="M34" i="25" s="1"/>
  <c r="L33" i="25"/>
  <c r="L34" i="25" s="1"/>
  <c r="K33" i="25"/>
  <c r="K34" i="25" s="1"/>
  <c r="J33" i="25"/>
  <c r="J34" i="25" s="1"/>
  <c r="I33" i="25"/>
  <c r="I34" i="25" s="1"/>
  <c r="H33" i="25"/>
  <c r="H34" i="25" s="1"/>
  <c r="G33" i="25"/>
  <c r="G34" i="25" s="1"/>
  <c r="F33" i="25"/>
  <c r="F34" i="25" s="1"/>
  <c r="Q29" i="25"/>
  <c r="P29" i="25"/>
  <c r="O29" i="25"/>
  <c r="N29" i="25"/>
  <c r="M29" i="25"/>
  <c r="L29" i="25"/>
  <c r="K29" i="25"/>
  <c r="J29" i="25"/>
  <c r="I29" i="25"/>
  <c r="H29" i="25"/>
  <c r="G29" i="25"/>
  <c r="F29" i="25"/>
  <c r="Q42" i="24"/>
  <c r="Q44" i="24" s="1"/>
  <c r="P42" i="24"/>
  <c r="P44" i="24" s="1"/>
  <c r="O42" i="24"/>
  <c r="O44" i="24" s="1"/>
  <c r="N42" i="24"/>
  <c r="N44" i="24" s="1"/>
  <c r="M42" i="24"/>
  <c r="M44" i="24" s="1"/>
  <c r="L42" i="24"/>
  <c r="L44" i="24" s="1"/>
  <c r="K42" i="24"/>
  <c r="K44" i="24" s="1"/>
  <c r="J42" i="24"/>
  <c r="J44" i="24" s="1"/>
  <c r="I42" i="24"/>
  <c r="I44" i="24" s="1"/>
  <c r="H42" i="24"/>
  <c r="H44" i="24" s="1"/>
  <c r="G42" i="24"/>
  <c r="G44" i="24" s="1"/>
  <c r="F42" i="24"/>
  <c r="F44" i="24" s="1"/>
  <c r="Q38" i="24"/>
  <c r="P38" i="24"/>
  <c r="O38" i="24"/>
  <c r="N38" i="24"/>
  <c r="M38" i="24"/>
  <c r="L38" i="24"/>
  <c r="K38" i="24"/>
  <c r="J38" i="24"/>
  <c r="I38" i="24"/>
  <c r="H38" i="24"/>
  <c r="G38" i="24"/>
  <c r="F38" i="24"/>
  <c r="Q33" i="24"/>
  <c r="Q34" i="24" s="1"/>
  <c r="P33" i="24"/>
  <c r="P34" i="24" s="1"/>
  <c r="O33" i="24"/>
  <c r="O34" i="24" s="1"/>
  <c r="N33" i="24"/>
  <c r="N34" i="24" s="1"/>
  <c r="M33" i="24"/>
  <c r="M34" i="24" s="1"/>
  <c r="L33" i="24"/>
  <c r="L34" i="24" s="1"/>
  <c r="K33" i="24"/>
  <c r="K34" i="24" s="1"/>
  <c r="J33" i="24"/>
  <c r="J34" i="24" s="1"/>
  <c r="I33" i="24"/>
  <c r="I34" i="24" s="1"/>
  <c r="H33" i="24"/>
  <c r="H34" i="24" s="1"/>
  <c r="G33" i="24"/>
  <c r="G34" i="24" s="1"/>
  <c r="F33" i="24"/>
  <c r="F34" i="24" s="1"/>
  <c r="Q29" i="24"/>
  <c r="P29" i="24"/>
  <c r="O29" i="24"/>
  <c r="N29" i="24"/>
  <c r="M29" i="24"/>
  <c r="L29" i="24"/>
  <c r="K29" i="24"/>
  <c r="J29" i="24"/>
  <c r="I29" i="24"/>
  <c r="H29" i="24"/>
  <c r="G29" i="24"/>
  <c r="F29" i="24"/>
  <c r="F44" i="23"/>
  <c r="Q42" i="23"/>
  <c r="Q44" i="23" s="1"/>
  <c r="P42" i="23"/>
  <c r="P44" i="23" s="1"/>
  <c r="O42" i="23"/>
  <c r="O44" i="23" s="1"/>
  <c r="N42" i="23"/>
  <c r="N44" i="23" s="1"/>
  <c r="M42" i="23"/>
  <c r="M44" i="23" s="1"/>
  <c r="L42" i="23"/>
  <c r="L44" i="23" s="1"/>
  <c r="K42" i="23"/>
  <c r="K44" i="23" s="1"/>
  <c r="J42" i="23"/>
  <c r="J44" i="23" s="1"/>
  <c r="I42" i="23"/>
  <c r="I44" i="23" s="1"/>
  <c r="H42" i="23"/>
  <c r="H44" i="23" s="1"/>
  <c r="G42" i="23"/>
  <c r="G44" i="23" s="1"/>
  <c r="F42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G34" i="23"/>
  <c r="Q33" i="23"/>
  <c r="Q34" i="23" s="1"/>
  <c r="P33" i="23"/>
  <c r="P34" i="23" s="1"/>
  <c r="O33" i="23"/>
  <c r="O34" i="23" s="1"/>
  <c r="N33" i="23"/>
  <c r="N34" i="23" s="1"/>
  <c r="M33" i="23"/>
  <c r="M34" i="23" s="1"/>
  <c r="L33" i="23"/>
  <c r="L34" i="23" s="1"/>
  <c r="K33" i="23"/>
  <c r="K34" i="23" s="1"/>
  <c r="J33" i="23"/>
  <c r="J34" i="23" s="1"/>
  <c r="I33" i="23"/>
  <c r="I34" i="23" s="1"/>
  <c r="H33" i="23"/>
  <c r="H34" i="23" s="1"/>
  <c r="G33" i="23"/>
  <c r="F33" i="23"/>
  <c r="F34" i="23" s="1"/>
  <c r="Q29" i="23"/>
  <c r="P29" i="23"/>
  <c r="O29" i="23"/>
  <c r="N29" i="23"/>
  <c r="M29" i="23"/>
  <c r="L29" i="23"/>
  <c r="K29" i="23"/>
  <c r="J29" i="23"/>
  <c r="I29" i="23"/>
  <c r="H29" i="23"/>
  <c r="G29" i="23"/>
  <c r="F29" i="23"/>
  <c r="F42" i="21"/>
  <c r="I44" i="22"/>
  <c r="Q42" i="22"/>
  <c r="Q44" i="22" s="1"/>
  <c r="P42" i="22"/>
  <c r="P44" i="22" s="1"/>
  <c r="O42" i="22"/>
  <c r="O44" i="22" s="1"/>
  <c r="N42" i="22"/>
  <c r="N44" i="22" s="1"/>
  <c r="M42" i="22"/>
  <c r="M44" i="22" s="1"/>
  <c r="K42" i="22"/>
  <c r="K44" i="22" s="1"/>
  <c r="I42" i="22"/>
  <c r="G42" i="22"/>
  <c r="G44" i="22" s="1"/>
  <c r="F42" i="22"/>
  <c r="F44" i="22" s="1"/>
  <c r="Q38" i="22"/>
  <c r="P38" i="22"/>
  <c r="O38" i="22"/>
  <c r="N38" i="22"/>
  <c r="M38" i="22"/>
  <c r="K38" i="22"/>
  <c r="I38" i="22"/>
  <c r="G38" i="22"/>
  <c r="F38" i="22"/>
  <c r="Q33" i="22"/>
  <c r="Q34" i="22" s="1"/>
  <c r="P33" i="22"/>
  <c r="P34" i="22" s="1"/>
  <c r="O33" i="22"/>
  <c r="O34" i="22" s="1"/>
  <c r="N33" i="22"/>
  <c r="N34" i="22" s="1"/>
  <c r="M33" i="22"/>
  <c r="M34" i="22" s="1"/>
  <c r="K33" i="22"/>
  <c r="K34" i="22" s="1"/>
  <c r="I33" i="22"/>
  <c r="I34" i="22" s="1"/>
  <c r="G33" i="22"/>
  <c r="G34" i="22" s="1"/>
  <c r="F33" i="22"/>
  <c r="F34" i="22" s="1"/>
  <c r="Q29" i="22"/>
  <c r="P29" i="22"/>
  <c r="O29" i="22"/>
  <c r="N29" i="22"/>
  <c r="M29" i="22"/>
  <c r="K29" i="22"/>
  <c r="I29" i="22"/>
  <c r="G29" i="22"/>
  <c r="F29" i="22"/>
  <c r="K29" i="21"/>
  <c r="I29" i="21"/>
  <c r="G29" i="21"/>
  <c r="Q42" i="21"/>
  <c r="Q44" i="21" s="1"/>
  <c r="P42" i="21"/>
  <c r="P44" i="21" s="1"/>
  <c r="O42" i="21"/>
  <c r="O44" i="21" s="1"/>
  <c r="N42" i="21"/>
  <c r="N44" i="21" s="1"/>
  <c r="M42" i="21"/>
  <c r="M44" i="21" s="1"/>
  <c r="L42" i="21"/>
  <c r="L44" i="21" s="1"/>
  <c r="K42" i="21"/>
  <c r="K44" i="21" s="1"/>
  <c r="J42" i="21"/>
  <c r="J44" i="21" s="1"/>
  <c r="I42" i="21"/>
  <c r="I44" i="21" s="1"/>
  <c r="H42" i="21"/>
  <c r="H44" i="21" s="1"/>
  <c r="G42" i="21"/>
  <c r="G44" i="21" s="1"/>
  <c r="F44" i="21"/>
  <c r="Q38" i="21"/>
  <c r="P38" i="21"/>
  <c r="O38" i="21"/>
  <c r="N38" i="21"/>
  <c r="M38" i="21"/>
  <c r="L38" i="21"/>
  <c r="K38" i="21"/>
  <c r="J38" i="21"/>
  <c r="I38" i="21"/>
  <c r="H38" i="21"/>
  <c r="G38" i="21"/>
  <c r="Q33" i="21"/>
  <c r="Q34" i="21" s="1"/>
  <c r="P33" i="21"/>
  <c r="P34" i="21" s="1"/>
  <c r="O33" i="21"/>
  <c r="O34" i="21" s="1"/>
  <c r="N33" i="21"/>
  <c r="N34" i="21" s="1"/>
  <c r="M33" i="21"/>
  <c r="M34" i="21" s="1"/>
  <c r="L33" i="21"/>
  <c r="L34" i="21" s="1"/>
  <c r="K33" i="21"/>
  <c r="K34" i="21" s="1"/>
  <c r="J33" i="21"/>
  <c r="J34" i="21" s="1"/>
  <c r="I33" i="21"/>
  <c r="I34" i="21" s="1"/>
  <c r="H33" i="21"/>
  <c r="H34" i="21" s="1"/>
  <c r="G33" i="21"/>
  <c r="G34" i="21" s="1"/>
  <c r="F33" i="21"/>
  <c r="F34" i="21" s="1"/>
  <c r="Q29" i="21"/>
  <c r="P29" i="21"/>
  <c r="O29" i="21"/>
  <c r="N29" i="21"/>
  <c r="M29" i="21"/>
  <c r="L29" i="21"/>
  <c r="J29" i="21"/>
  <c r="H29" i="21"/>
  <c r="F29" i="21"/>
  <c r="Q42" i="20"/>
  <c r="Q44" i="20" s="1"/>
  <c r="P42" i="20"/>
  <c r="P44" i="20" s="1"/>
  <c r="O42" i="20"/>
  <c r="O44" i="20" s="1"/>
  <c r="N42" i="20"/>
  <c r="N44" i="20" s="1"/>
  <c r="M42" i="20"/>
  <c r="M44" i="20" s="1"/>
  <c r="L42" i="20"/>
  <c r="L44" i="20" s="1"/>
  <c r="K42" i="20"/>
  <c r="K44" i="20" s="1"/>
  <c r="J42" i="20"/>
  <c r="J44" i="20" s="1"/>
  <c r="I42" i="20"/>
  <c r="I44" i="20" s="1"/>
  <c r="H42" i="20"/>
  <c r="H44" i="20" s="1"/>
  <c r="G42" i="20"/>
  <c r="G44" i="20" s="1"/>
  <c r="F42" i="20"/>
  <c r="F44" i="20" s="1"/>
  <c r="Q38" i="20"/>
  <c r="P38" i="20"/>
  <c r="O38" i="20"/>
  <c r="N38" i="20"/>
  <c r="M38" i="20"/>
  <c r="L38" i="20"/>
  <c r="K38" i="20"/>
  <c r="J38" i="20"/>
  <c r="I38" i="20"/>
  <c r="H38" i="20"/>
  <c r="G38" i="20"/>
  <c r="F38" i="20"/>
  <c r="Q33" i="20"/>
  <c r="Q34" i="20" s="1"/>
  <c r="P33" i="20"/>
  <c r="P34" i="20" s="1"/>
  <c r="O33" i="20"/>
  <c r="O34" i="20" s="1"/>
  <c r="N33" i="20"/>
  <c r="N34" i="20" s="1"/>
  <c r="M33" i="20"/>
  <c r="M34" i="20" s="1"/>
  <c r="L33" i="20"/>
  <c r="L34" i="20" s="1"/>
  <c r="K33" i="20"/>
  <c r="K34" i="20" s="1"/>
  <c r="J33" i="20"/>
  <c r="J34" i="20" s="1"/>
  <c r="I33" i="20"/>
  <c r="I34" i="20" s="1"/>
  <c r="H33" i="20"/>
  <c r="H34" i="20" s="1"/>
  <c r="G33" i="20"/>
  <c r="G34" i="20" s="1"/>
  <c r="F33" i="20"/>
  <c r="F34" i="20" s="1"/>
  <c r="Q29" i="20"/>
  <c r="P29" i="20"/>
  <c r="O29" i="20"/>
  <c r="N29" i="20"/>
  <c r="M29" i="20"/>
  <c r="L29" i="20"/>
  <c r="K29" i="20"/>
  <c r="J29" i="20"/>
  <c r="I29" i="20"/>
  <c r="H29" i="20"/>
  <c r="G29" i="20"/>
  <c r="F29" i="20"/>
  <c r="Q42" i="19"/>
  <c r="Q44" i="19" s="1"/>
  <c r="P42" i="19"/>
  <c r="P44" i="19" s="1"/>
  <c r="O42" i="19"/>
  <c r="O44" i="19" s="1"/>
  <c r="N42" i="19"/>
  <c r="N44" i="19" s="1"/>
  <c r="M42" i="19"/>
  <c r="M44" i="19" s="1"/>
  <c r="L42" i="19"/>
  <c r="L44" i="19" s="1"/>
  <c r="K42" i="19"/>
  <c r="K44" i="19" s="1"/>
  <c r="J42" i="19"/>
  <c r="J44" i="19" s="1"/>
  <c r="I42" i="19"/>
  <c r="I44" i="19" s="1"/>
  <c r="H42" i="19"/>
  <c r="H44" i="19" s="1"/>
  <c r="G42" i="19"/>
  <c r="G44" i="19" s="1"/>
  <c r="F42" i="19"/>
  <c r="F44" i="19" s="1"/>
  <c r="Q38" i="19"/>
  <c r="P38" i="19"/>
  <c r="O38" i="19"/>
  <c r="N38" i="19"/>
  <c r="M38" i="19"/>
  <c r="L38" i="19"/>
  <c r="K38" i="19"/>
  <c r="J38" i="19"/>
  <c r="I38" i="19"/>
  <c r="H38" i="19"/>
  <c r="G38" i="19"/>
  <c r="F38" i="19"/>
  <c r="Q33" i="19"/>
  <c r="Q34" i="19" s="1"/>
  <c r="P33" i="19"/>
  <c r="P34" i="19" s="1"/>
  <c r="O33" i="19"/>
  <c r="O34" i="19" s="1"/>
  <c r="N33" i="19"/>
  <c r="N34" i="19" s="1"/>
  <c r="M33" i="19"/>
  <c r="M34" i="19" s="1"/>
  <c r="L33" i="19"/>
  <c r="L34" i="19" s="1"/>
  <c r="K33" i="19"/>
  <c r="K34" i="19" s="1"/>
  <c r="J33" i="19"/>
  <c r="J34" i="19" s="1"/>
  <c r="I33" i="19"/>
  <c r="I34" i="19" s="1"/>
  <c r="H33" i="19"/>
  <c r="H34" i="19" s="1"/>
  <c r="G33" i="19"/>
  <c r="G34" i="19" s="1"/>
  <c r="F33" i="19"/>
  <c r="F34" i="19" s="1"/>
  <c r="Q29" i="19"/>
  <c r="P29" i="19"/>
  <c r="O29" i="19"/>
  <c r="N29" i="19"/>
  <c r="M29" i="19"/>
  <c r="L29" i="19"/>
  <c r="K29" i="19"/>
  <c r="J29" i="19"/>
  <c r="I29" i="19"/>
  <c r="H29" i="19"/>
  <c r="G29" i="19"/>
  <c r="F29" i="19"/>
  <c r="K44" i="18"/>
  <c r="I44" i="18"/>
  <c r="Q42" i="18"/>
  <c r="Q44" i="18" s="1"/>
  <c r="P42" i="18"/>
  <c r="P44" i="18" s="1"/>
  <c r="O42" i="18"/>
  <c r="O44" i="18" s="1"/>
  <c r="N42" i="18"/>
  <c r="N44" i="18" s="1"/>
  <c r="M42" i="18"/>
  <c r="M44" i="18" s="1"/>
  <c r="L42" i="18"/>
  <c r="L44" i="18" s="1"/>
  <c r="K42" i="18"/>
  <c r="J42" i="18"/>
  <c r="J44" i="18" s="1"/>
  <c r="I42" i="18"/>
  <c r="H42" i="18"/>
  <c r="H44" i="18" s="1"/>
  <c r="G42" i="18"/>
  <c r="G44" i="18" s="1"/>
  <c r="F42" i="18"/>
  <c r="F44" i="18" s="1"/>
  <c r="Q38" i="18"/>
  <c r="P38" i="18"/>
  <c r="O38" i="18"/>
  <c r="N38" i="18"/>
  <c r="M38" i="18"/>
  <c r="L38" i="18"/>
  <c r="K38" i="18"/>
  <c r="J38" i="18"/>
  <c r="I38" i="18"/>
  <c r="H38" i="18"/>
  <c r="G38" i="18"/>
  <c r="F38" i="18"/>
  <c r="Q33" i="18"/>
  <c r="Q34" i="18" s="1"/>
  <c r="P33" i="18"/>
  <c r="P34" i="18" s="1"/>
  <c r="O33" i="18"/>
  <c r="O34" i="18" s="1"/>
  <c r="N33" i="18"/>
  <c r="N34" i="18" s="1"/>
  <c r="M33" i="18"/>
  <c r="M34" i="18" s="1"/>
  <c r="L33" i="18"/>
  <c r="L34" i="18" s="1"/>
  <c r="K33" i="18"/>
  <c r="K34" i="18" s="1"/>
  <c r="J33" i="18"/>
  <c r="J34" i="18" s="1"/>
  <c r="I33" i="18"/>
  <c r="I34" i="18" s="1"/>
  <c r="H33" i="18"/>
  <c r="H34" i="18" s="1"/>
  <c r="G33" i="18"/>
  <c r="G34" i="18" s="1"/>
  <c r="F33" i="18"/>
  <c r="F34" i="18" s="1"/>
  <c r="Q29" i="18"/>
  <c r="P29" i="18"/>
  <c r="O29" i="18"/>
  <c r="N29" i="18"/>
  <c r="M29" i="18"/>
  <c r="L29" i="18"/>
  <c r="K29" i="18"/>
  <c r="J29" i="18"/>
  <c r="I29" i="18"/>
  <c r="H29" i="18"/>
  <c r="G29" i="18"/>
  <c r="F29" i="18"/>
  <c r="Q44" i="17"/>
  <c r="O44" i="17"/>
  <c r="H44" i="17"/>
  <c r="Q42" i="17"/>
  <c r="P42" i="17"/>
  <c r="P44" i="17" s="1"/>
  <c r="O42" i="17"/>
  <c r="N42" i="17"/>
  <c r="N44" i="17" s="1"/>
  <c r="M42" i="17"/>
  <c r="M44" i="17" s="1"/>
  <c r="L42" i="17"/>
  <c r="L44" i="17" s="1"/>
  <c r="K42" i="17"/>
  <c r="K44" i="17" s="1"/>
  <c r="J42" i="17"/>
  <c r="J44" i="17" s="1"/>
  <c r="I42" i="17"/>
  <c r="I44" i="17" s="1"/>
  <c r="H42" i="17"/>
  <c r="G42" i="17"/>
  <c r="G44" i="17" s="1"/>
  <c r="F42" i="17"/>
  <c r="F44" i="17" s="1"/>
  <c r="Q38" i="17"/>
  <c r="P38" i="17"/>
  <c r="O38" i="17"/>
  <c r="N38" i="17"/>
  <c r="M38" i="17"/>
  <c r="L38" i="17"/>
  <c r="K38" i="17"/>
  <c r="J38" i="17"/>
  <c r="I38" i="17"/>
  <c r="H38" i="17"/>
  <c r="G38" i="17"/>
  <c r="F38" i="17"/>
  <c r="Q33" i="17"/>
  <c r="Q34" i="17" s="1"/>
  <c r="P33" i="17"/>
  <c r="P34" i="17" s="1"/>
  <c r="O33" i="17"/>
  <c r="O34" i="17" s="1"/>
  <c r="N33" i="17"/>
  <c r="N34" i="17" s="1"/>
  <c r="M33" i="17"/>
  <c r="M34" i="17" s="1"/>
  <c r="L33" i="17"/>
  <c r="L34" i="17" s="1"/>
  <c r="K33" i="17"/>
  <c r="K34" i="17" s="1"/>
  <c r="J33" i="17"/>
  <c r="J34" i="17" s="1"/>
  <c r="I33" i="17"/>
  <c r="I34" i="17" s="1"/>
  <c r="H33" i="17"/>
  <c r="H34" i="17" s="1"/>
  <c r="G33" i="17"/>
  <c r="G34" i="17" s="1"/>
  <c r="F33" i="17"/>
  <c r="F34" i="17" s="1"/>
  <c r="Q29" i="17"/>
  <c r="P29" i="17"/>
  <c r="O29" i="17"/>
  <c r="N29" i="17"/>
  <c r="M29" i="17"/>
  <c r="L29" i="17"/>
  <c r="K29" i="17"/>
  <c r="J29" i="17"/>
  <c r="I29" i="17"/>
  <c r="H29" i="17"/>
  <c r="G29" i="17"/>
  <c r="F29" i="17"/>
  <c r="Q44" i="16"/>
  <c r="P44" i="16"/>
  <c r="N44" i="16"/>
  <c r="J44" i="16"/>
  <c r="F44" i="16"/>
  <c r="Q42" i="16"/>
  <c r="P42" i="16"/>
  <c r="O42" i="16"/>
  <c r="O44" i="16" s="1"/>
  <c r="N42" i="16"/>
  <c r="M42" i="16"/>
  <c r="M44" i="16" s="1"/>
  <c r="L42" i="16"/>
  <c r="L44" i="16" s="1"/>
  <c r="K42" i="16"/>
  <c r="K44" i="16" s="1"/>
  <c r="J42" i="16"/>
  <c r="I42" i="16"/>
  <c r="I44" i="16" s="1"/>
  <c r="H42" i="16"/>
  <c r="H44" i="16" s="1"/>
  <c r="G42" i="16"/>
  <c r="G44" i="16" s="1"/>
  <c r="F42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P34" i="16"/>
  <c r="Q33" i="16"/>
  <c r="Q34" i="16" s="1"/>
  <c r="P33" i="16"/>
  <c r="O33" i="16"/>
  <c r="O34" i="16" s="1"/>
  <c r="N33" i="16"/>
  <c r="N34" i="16" s="1"/>
  <c r="M33" i="16"/>
  <c r="M34" i="16" s="1"/>
  <c r="L33" i="16"/>
  <c r="L34" i="16" s="1"/>
  <c r="K33" i="16"/>
  <c r="K34" i="16" s="1"/>
  <c r="J33" i="16"/>
  <c r="J34" i="16" s="1"/>
  <c r="I33" i="16"/>
  <c r="I34" i="16" s="1"/>
  <c r="H33" i="16"/>
  <c r="H34" i="16" s="1"/>
  <c r="G33" i="16"/>
  <c r="G34" i="16" s="1"/>
  <c r="F33" i="16"/>
  <c r="F34" i="16" s="1"/>
  <c r="Q29" i="16"/>
  <c r="P29" i="16"/>
  <c r="O29" i="16"/>
  <c r="N29" i="16"/>
  <c r="M29" i="16"/>
  <c r="L29" i="16"/>
  <c r="K29" i="16"/>
  <c r="J29" i="16"/>
  <c r="I29" i="16"/>
  <c r="H29" i="16"/>
  <c r="G29" i="16"/>
  <c r="F29" i="16"/>
  <c r="F42" i="15"/>
  <c r="F44" i="15" s="1"/>
  <c r="G42" i="15"/>
  <c r="G44" i="15" s="1"/>
  <c r="H42" i="15"/>
  <c r="I42" i="15"/>
  <c r="J42" i="15"/>
  <c r="K42" i="15"/>
  <c r="K44" i="15" s="1"/>
  <c r="L42" i="15"/>
  <c r="L44" i="15" s="1"/>
  <c r="M42" i="15"/>
  <c r="M44" i="15" s="1"/>
  <c r="N42" i="15"/>
  <c r="N44" i="15" s="1"/>
  <c r="O42" i="15"/>
  <c r="O44" i="15" s="1"/>
  <c r="Q44" i="15"/>
  <c r="P44" i="15"/>
  <c r="H44" i="15"/>
  <c r="Q42" i="15"/>
  <c r="P42" i="15"/>
  <c r="J44" i="15"/>
  <c r="I44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Q34" i="15"/>
  <c r="P34" i="15"/>
  <c r="Q33" i="15"/>
  <c r="P33" i="15"/>
  <c r="O33" i="15"/>
  <c r="O34" i="15" s="1"/>
  <c r="N33" i="15"/>
  <c r="N34" i="15" s="1"/>
  <c r="M33" i="15"/>
  <c r="M34" i="15" s="1"/>
  <c r="L33" i="15"/>
  <c r="L34" i="15" s="1"/>
  <c r="K33" i="15"/>
  <c r="K34" i="15" s="1"/>
  <c r="J33" i="15"/>
  <c r="J34" i="15" s="1"/>
  <c r="I33" i="15"/>
  <c r="I34" i="15" s="1"/>
  <c r="H33" i="15"/>
  <c r="H34" i="15" s="1"/>
  <c r="G33" i="15"/>
  <c r="G34" i="15" s="1"/>
  <c r="F33" i="15"/>
  <c r="F34" i="15" s="1"/>
  <c r="Q29" i="15"/>
  <c r="P29" i="15"/>
  <c r="O29" i="15"/>
  <c r="N29" i="15"/>
  <c r="M29" i="15"/>
  <c r="L29" i="15"/>
  <c r="K29" i="15"/>
  <c r="J29" i="15"/>
  <c r="I29" i="15"/>
  <c r="H29" i="15"/>
  <c r="G29" i="15"/>
  <c r="F29" i="15"/>
  <c r="Q44" i="14"/>
  <c r="O44" i="14"/>
  <c r="N44" i="14"/>
  <c r="Q42" i="14"/>
  <c r="P42" i="14"/>
  <c r="P44" i="14" s="1"/>
  <c r="O42" i="14"/>
  <c r="N42" i="14"/>
  <c r="M42" i="14"/>
  <c r="M44" i="14" s="1"/>
  <c r="L42" i="14"/>
  <c r="L44" i="14" s="1"/>
  <c r="K42" i="14"/>
  <c r="K44" i="14" s="1"/>
  <c r="J42" i="14"/>
  <c r="J44" i="14" s="1"/>
  <c r="I42" i="14"/>
  <c r="I44" i="14" s="1"/>
  <c r="H42" i="14"/>
  <c r="H44" i="14" s="1"/>
  <c r="G42" i="14"/>
  <c r="G44" i="14" s="1"/>
  <c r="F42" i="14"/>
  <c r="F44" i="14" s="1"/>
  <c r="Q38" i="14"/>
  <c r="P38" i="14"/>
  <c r="O38" i="14"/>
  <c r="N38" i="14"/>
  <c r="M38" i="14"/>
  <c r="L38" i="14"/>
  <c r="K38" i="14"/>
  <c r="J38" i="14"/>
  <c r="I38" i="14"/>
  <c r="H38" i="14"/>
  <c r="G38" i="14"/>
  <c r="F38" i="14"/>
  <c r="I34" i="14"/>
  <c r="Q33" i="14"/>
  <c r="Q34" i="14" s="1"/>
  <c r="P33" i="14"/>
  <c r="P34" i="14" s="1"/>
  <c r="O33" i="14"/>
  <c r="O34" i="14" s="1"/>
  <c r="N33" i="14"/>
  <c r="N34" i="14" s="1"/>
  <c r="M33" i="14"/>
  <c r="M34" i="14" s="1"/>
  <c r="L33" i="14"/>
  <c r="L34" i="14" s="1"/>
  <c r="K33" i="14"/>
  <c r="K34" i="14" s="1"/>
  <c r="J33" i="14"/>
  <c r="J34" i="14" s="1"/>
  <c r="I33" i="14"/>
  <c r="H33" i="14"/>
  <c r="H34" i="14" s="1"/>
  <c r="G33" i="14"/>
  <c r="G34" i="14" s="1"/>
  <c r="F33" i="14"/>
  <c r="F34" i="14" s="1"/>
  <c r="Q29" i="14"/>
  <c r="P29" i="14"/>
  <c r="O29" i="14"/>
  <c r="N29" i="14"/>
  <c r="M29" i="14"/>
  <c r="L29" i="14"/>
  <c r="K29" i="14"/>
  <c r="J29" i="14"/>
  <c r="I29" i="14"/>
  <c r="H29" i="14"/>
  <c r="G29" i="14"/>
  <c r="F29" i="14"/>
  <c r="Q44" i="13"/>
  <c r="P44" i="13"/>
  <c r="K44" i="13"/>
  <c r="I44" i="13"/>
  <c r="F44" i="13"/>
  <c r="Q42" i="13"/>
  <c r="P42" i="13"/>
  <c r="O42" i="13"/>
  <c r="O44" i="13" s="1"/>
  <c r="N42" i="13"/>
  <c r="N44" i="13" s="1"/>
  <c r="M42" i="13"/>
  <c r="M44" i="13" s="1"/>
  <c r="L42" i="13"/>
  <c r="L44" i="13" s="1"/>
  <c r="K42" i="13"/>
  <c r="J42" i="13"/>
  <c r="J44" i="13" s="1"/>
  <c r="I42" i="13"/>
  <c r="H42" i="13"/>
  <c r="H44" i="13" s="1"/>
  <c r="G42" i="13"/>
  <c r="G44" i="13" s="1"/>
  <c r="F42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K34" i="13"/>
  <c r="Q33" i="13"/>
  <c r="Q34" i="13" s="1"/>
  <c r="P33" i="13"/>
  <c r="P34" i="13" s="1"/>
  <c r="O33" i="13"/>
  <c r="O34" i="13" s="1"/>
  <c r="N33" i="13"/>
  <c r="N34" i="13" s="1"/>
  <c r="M33" i="13"/>
  <c r="M34" i="13" s="1"/>
  <c r="L33" i="13"/>
  <c r="L34" i="13" s="1"/>
  <c r="K33" i="13"/>
  <c r="J33" i="13"/>
  <c r="J34" i="13" s="1"/>
  <c r="I33" i="13"/>
  <c r="I34" i="13" s="1"/>
  <c r="H33" i="13"/>
  <c r="H34" i="13" s="1"/>
  <c r="G33" i="13"/>
  <c r="G34" i="13" s="1"/>
  <c r="F33" i="13"/>
  <c r="F34" i="13" s="1"/>
  <c r="Q29" i="13"/>
  <c r="P29" i="13"/>
  <c r="O29" i="13"/>
  <c r="N29" i="13"/>
  <c r="M29" i="13"/>
  <c r="L29" i="13"/>
  <c r="K29" i="13"/>
  <c r="J29" i="13"/>
  <c r="I29" i="13"/>
  <c r="H29" i="13"/>
  <c r="G29" i="13"/>
  <c r="F29" i="13"/>
  <c r="Q44" i="12"/>
  <c r="H44" i="12"/>
  <c r="Q42" i="12"/>
  <c r="P42" i="12"/>
  <c r="P44" i="12" s="1"/>
  <c r="O42" i="12"/>
  <c r="O44" i="12" s="1"/>
  <c r="N42" i="12"/>
  <c r="N44" i="12" s="1"/>
  <c r="M42" i="12"/>
  <c r="M44" i="12" s="1"/>
  <c r="L42" i="12"/>
  <c r="L44" i="12" s="1"/>
  <c r="K42" i="12"/>
  <c r="K44" i="12" s="1"/>
  <c r="J42" i="12"/>
  <c r="J44" i="12" s="1"/>
  <c r="I42" i="12"/>
  <c r="I44" i="12" s="1"/>
  <c r="H42" i="12"/>
  <c r="G42" i="12"/>
  <c r="G44" i="12" s="1"/>
  <c r="F42" i="12"/>
  <c r="F44" i="12" s="1"/>
  <c r="Q38" i="12"/>
  <c r="P38" i="12"/>
  <c r="O38" i="12"/>
  <c r="N38" i="12"/>
  <c r="M38" i="12"/>
  <c r="L38" i="12"/>
  <c r="K38" i="12"/>
  <c r="J38" i="12"/>
  <c r="I38" i="12"/>
  <c r="H38" i="12"/>
  <c r="G38" i="12"/>
  <c r="F38" i="12"/>
  <c r="I34" i="12"/>
  <c r="Q33" i="12"/>
  <c r="Q34" i="12" s="1"/>
  <c r="P33" i="12"/>
  <c r="P34" i="12" s="1"/>
  <c r="O33" i="12"/>
  <c r="O34" i="12" s="1"/>
  <c r="N33" i="12"/>
  <c r="N34" i="12" s="1"/>
  <c r="M33" i="12"/>
  <c r="M34" i="12" s="1"/>
  <c r="L33" i="12"/>
  <c r="L34" i="12" s="1"/>
  <c r="K33" i="12"/>
  <c r="K34" i="12" s="1"/>
  <c r="J33" i="12"/>
  <c r="J34" i="12" s="1"/>
  <c r="I33" i="12"/>
  <c r="H33" i="12"/>
  <c r="H34" i="12" s="1"/>
  <c r="G33" i="12"/>
  <c r="G34" i="12" s="1"/>
  <c r="F33" i="12"/>
  <c r="F34" i="12" s="1"/>
  <c r="Q29" i="12"/>
  <c r="P29" i="12"/>
  <c r="O29" i="12"/>
  <c r="N29" i="12"/>
  <c r="M29" i="12"/>
  <c r="L29" i="12"/>
  <c r="K29" i="12"/>
  <c r="J29" i="12"/>
  <c r="I29" i="12"/>
  <c r="H29" i="12"/>
  <c r="G29" i="12"/>
  <c r="F29" i="12"/>
  <c r="Q42" i="11"/>
  <c r="Q44" i="11" s="1"/>
  <c r="P42" i="11"/>
  <c r="P44" i="11" s="1"/>
  <c r="O42" i="11"/>
  <c r="O44" i="11" s="1"/>
  <c r="N42" i="11"/>
  <c r="N44" i="11" s="1"/>
  <c r="M42" i="11"/>
  <c r="M44" i="11" s="1"/>
  <c r="L42" i="11"/>
  <c r="L44" i="11" s="1"/>
  <c r="K42" i="11"/>
  <c r="K44" i="11" s="1"/>
  <c r="J42" i="11"/>
  <c r="J44" i="11" s="1"/>
  <c r="I42" i="11"/>
  <c r="I44" i="11" s="1"/>
  <c r="H42" i="11"/>
  <c r="H44" i="11" s="1"/>
  <c r="G42" i="11"/>
  <c r="G44" i="11" s="1"/>
  <c r="F42" i="11"/>
  <c r="F44" i="11" s="1"/>
  <c r="Q38" i="11"/>
  <c r="P38" i="11"/>
  <c r="O38" i="11"/>
  <c r="N38" i="11"/>
  <c r="M38" i="11"/>
  <c r="L38" i="11"/>
  <c r="K38" i="11"/>
  <c r="J38" i="11"/>
  <c r="I38" i="11"/>
  <c r="H38" i="11"/>
  <c r="G38" i="11"/>
  <c r="F38" i="11"/>
  <c r="Q33" i="11"/>
  <c r="Q34" i="11" s="1"/>
  <c r="P33" i="11"/>
  <c r="P34" i="11" s="1"/>
  <c r="O33" i="11"/>
  <c r="O34" i="11" s="1"/>
  <c r="N33" i="11"/>
  <c r="N34" i="11" s="1"/>
  <c r="M33" i="11"/>
  <c r="M34" i="11" s="1"/>
  <c r="L33" i="11"/>
  <c r="L34" i="11" s="1"/>
  <c r="K33" i="11"/>
  <c r="K34" i="11" s="1"/>
  <c r="J33" i="11"/>
  <c r="J34" i="11" s="1"/>
  <c r="I33" i="11"/>
  <c r="I34" i="11" s="1"/>
  <c r="H33" i="11"/>
  <c r="H34" i="11" s="1"/>
  <c r="G33" i="11"/>
  <c r="G34" i="11" s="1"/>
  <c r="F33" i="11"/>
  <c r="F34" i="11" s="1"/>
  <c r="Q29" i="11"/>
  <c r="P29" i="11"/>
  <c r="O29" i="11"/>
  <c r="N29" i="11"/>
  <c r="M29" i="11"/>
  <c r="L29" i="11"/>
  <c r="K29" i="11"/>
  <c r="J29" i="11"/>
  <c r="I29" i="11"/>
  <c r="H29" i="11"/>
  <c r="G29" i="11"/>
  <c r="F29" i="11"/>
  <c r="H44" i="10"/>
  <c r="I44" i="10"/>
  <c r="J44" i="10"/>
  <c r="K44" i="10"/>
  <c r="L44" i="10"/>
  <c r="M44" i="10"/>
  <c r="N44" i="10"/>
  <c r="O44" i="10"/>
  <c r="P44" i="10"/>
  <c r="H42" i="10"/>
  <c r="I42" i="10"/>
  <c r="J42" i="10"/>
  <c r="K42" i="10"/>
  <c r="L42" i="10"/>
  <c r="M42" i="10"/>
  <c r="N42" i="10"/>
  <c r="O42" i="10"/>
  <c r="P42" i="10"/>
  <c r="Q42" i="10"/>
  <c r="Q44" i="10" s="1"/>
  <c r="H38" i="10"/>
  <c r="I38" i="10"/>
  <c r="J38" i="10"/>
  <c r="K38" i="10"/>
  <c r="L38" i="10"/>
  <c r="M38" i="10"/>
  <c r="N38" i="10"/>
  <c r="O38" i="10"/>
  <c r="P38" i="10"/>
  <c r="Q38" i="10"/>
  <c r="H34" i="10"/>
  <c r="I34" i="10"/>
  <c r="J34" i="10"/>
  <c r="K34" i="10"/>
  <c r="L34" i="10"/>
  <c r="M34" i="10"/>
  <c r="O34" i="10"/>
  <c r="P34" i="10"/>
  <c r="Q34" i="10"/>
  <c r="H33" i="10"/>
  <c r="I33" i="10"/>
  <c r="J33" i="10"/>
  <c r="K33" i="10"/>
  <c r="L33" i="10"/>
  <c r="M33" i="10"/>
  <c r="N33" i="10"/>
  <c r="N34" i="10" s="1"/>
  <c r="O33" i="10"/>
  <c r="P33" i="10"/>
  <c r="Q33" i="10"/>
  <c r="H29" i="10"/>
  <c r="I29" i="10"/>
  <c r="J29" i="10"/>
  <c r="K29" i="10"/>
  <c r="L29" i="10"/>
  <c r="M29" i="10"/>
  <c r="N29" i="10"/>
  <c r="O29" i="10"/>
  <c r="P29" i="10"/>
  <c r="Q29" i="10"/>
  <c r="G42" i="10"/>
  <c r="G44" i="10" s="1"/>
  <c r="F42" i="10"/>
  <c r="F44" i="10" s="1"/>
  <c r="G38" i="10"/>
  <c r="F38" i="10"/>
  <c r="G33" i="10"/>
  <c r="G34" i="10" s="1"/>
  <c r="F33" i="10"/>
  <c r="F34" i="10" s="1"/>
  <c r="G29" i="10"/>
  <c r="F29" i="10"/>
  <c r="Q44" i="9"/>
  <c r="P44" i="9"/>
  <c r="L44" i="9"/>
  <c r="Q42" i="9"/>
  <c r="P42" i="9"/>
  <c r="O42" i="9"/>
  <c r="O44" i="9" s="1"/>
  <c r="N42" i="9"/>
  <c r="N44" i="9" s="1"/>
  <c r="M42" i="9"/>
  <c r="M44" i="9" s="1"/>
  <c r="L42" i="9"/>
  <c r="K42" i="9"/>
  <c r="K44" i="9" s="1"/>
  <c r="J42" i="9"/>
  <c r="J44" i="9" s="1"/>
  <c r="I42" i="9"/>
  <c r="I44" i="9" s="1"/>
  <c r="H42" i="9"/>
  <c r="H44" i="9" s="1"/>
  <c r="G42" i="9"/>
  <c r="G44" i="9" s="1"/>
  <c r="F42" i="9"/>
  <c r="F44" i="9" s="1"/>
  <c r="Q38" i="9"/>
  <c r="P38" i="9"/>
  <c r="O38" i="9"/>
  <c r="N38" i="9"/>
  <c r="M38" i="9"/>
  <c r="L38" i="9"/>
  <c r="K38" i="9"/>
  <c r="J38" i="9"/>
  <c r="I38" i="9"/>
  <c r="H38" i="9"/>
  <c r="G38" i="9"/>
  <c r="F38" i="9"/>
  <c r="Q33" i="9"/>
  <c r="Q34" i="9" s="1"/>
  <c r="P33" i="9"/>
  <c r="P34" i="9" s="1"/>
  <c r="O33" i="9"/>
  <c r="O34" i="9" s="1"/>
  <c r="N33" i="9"/>
  <c r="N34" i="9" s="1"/>
  <c r="M33" i="9"/>
  <c r="M34" i="9" s="1"/>
  <c r="L33" i="9"/>
  <c r="L34" i="9" s="1"/>
  <c r="K33" i="9"/>
  <c r="K34" i="9" s="1"/>
  <c r="J33" i="9"/>
  <c r="J34" i="9" s="1"/>
  <c r="I33" i="9"/>
  <c r="I34" i="9" s="1"/>
  <c r="H33" i="9"/>
  <c r="H34" i="9" s="1"/>
  <c r="G33" i="9"/>
  <c r="G34" i="9" s="1"/>
  <c r="F33" i="9"/>
  <c r="F34" i="9" s="1"/>
  <c r="Q29" i="9"/>
  <c r="P29" i="9"/>
  <c r="O29" i="9"/>
  <c r="N29" i="9"/>
  <c r="M29" i="9"/>
  <c r="L29" i="9"/>
  <c r="K29" i="9"/>
  <c r="J29" i="9"/>
  <c r="I29" i="9"/>
  <c r="H29" i="9"/>
  <c r="G29" i="9"/>
  <c r="F29" i="9"/>
  <c r="Q44" i="8"/>
  <c r="O44" i="8"/>
  <c r="I44" i="8"/>
  <c r="G44" i="8"/>
  <c r="Q42" i="8"/>
  <c r="P42" i="8"/>
  <c r="P44" i="8" s="1"/>
  <c r="O42" i="8"/>
  <c r="N42" i="8"/>
  <c r="N44" i="8" s="1"/>
  <c r="M42" i="8"/>
  <c r="M44" i="8" s="1"/>
  <c r="L42" i="8"/>
  <c r="L44" i="8" s="1"/>
  <c r="K42" i="8"/>
  <c r="K44" i="8" s="1"/>
  <c r="J42" i="8"/>
  <c r="J44" i="8" s="1"/>
  <c r="I42" i="8"/>
  <c r="H42" i="8"/>
  <c r="H44" i="8" s="1"/>
  <c r="G42" i="8"/>
  <c r="F42" i="8"/>
  <c r="F44" i="8" s="1"/>
  <c r="Q38" i="8"/>
  <c r="P38" i="8"/>
  <c r="O38" i="8"/>
  <c r="N38" i="8"/>
  <c r="M38" i="8"/>
  <c r="L38" i="8"/>
  <c r="K38" i="8"/>
  <c r="J38" i="8"/>
  <c r="I38" i="8"/>
  <c r="H38" i="8"/>
  <c r="G38" i="8"/>
  <c r="F38" i="8"/>
  <c r="I34" i="8"/>
  <c r="Q33" i="8"/>
  <c r="Q34" i="8" s="1"/>
  <c r="P33" i="8"/>
  <c r="P34" i="8" s="1"/>
  <c r="O33" i="8"/>
  <c r="O34" i="8" s="1"/>
  <c r="N33" i="8"/>
  <c r="N34" i="8" s="1"/>
  <c r="M33" i="8"/>
  <c r="M34" i="8" s="1"/>
  <c r="L33" i="8"/>
  <c r="L34" i="8" s="1"/>
  <c r="K33" i="8"/>
  <c r="K34" i="8" s="1"/>
  <c r="J33" i="8"/>
  <c r="J34" i="8" s="1"/>
  <c r="I33" i="8"/>
  <c r="H33" i="8"/>
  <c r="H34" i="8" s="1"/>
  <c r="G33" i="8"/>
  <c r="G34" i="8" s="1"/>
  <c r="F33" i="8"/>
  <c r="F34" i="8" s="1"/>
  <c r="Q29" i="8"/>
  <c r="P29" i="8"/>
  <c r="O29" i="8"/>
  <c r="N29" i="8"/>
  <c r="M29" i="8"/>
  <c r="L29" i="8"/>
  <c r="K29" i="8"/>
  <c r="J29" i="8"/>
  <c r="I29" i="8"/>
  <c r="H29" i="8"/>
  <c r="G29" i="8"/>
  <c r="F29" i="8"/>
  <c r="Q42" i="7"/>
  <c r="Q44" i="7" s="1"/>
  <c r="P42" i="7"/>
  <c r="P44" i="7" s="1"/>
  <c r="O42" i="7"/>
  <c r="O44" i="7" s="1"/>
  <c r="N42" i="7"/>
  <c r="N44" i="7" s="1"/>
  <c r="M42" i="7"/>
  <c r="M44" i="7" s="1"/>
  <c r="L42" i="7"/>
  <c r="L44" i="7" s="1"/>
  <c r="K42" i="7"/>
  <c r="K44" i="7" s="1"/>
  <c r="J42" i="7"/>
  <c r="J44" i="7" s="1"/>
  <c r="I42" i="7"/>
  <c r="I44" i="7" s="1"/>
  <c r="H42" i="7"/>
  <c r="H44" i="7" s="1"/>
  <c r="G42" i="7"/>
  <c r="G44" i="7" s="1"/>
  <c r="F42" i="7"/>
  <c r="F44" i="7" s="1"/>
  <c r="Q38" i="7"/>
  <c r="P38" i="7"/>
  <c r="O38" i="7"/>
  <c r="N38" i="7"/>
  <c r="M38" i="7"/>
  <c r="L38" i="7"/>
  <c r="K38" i="7"/>
  <c r="J38" i="7"/>
  <c r="I38" i="7"/>
  <c r="H38" i="7"/>
  <c r="G38" i="7"/>
  <c r="F38" i="7"/>
  <c r="Q33" i="7"/>
  <c r="Q34" i="7" s="1"/>
  <c r="P33" i="7"/>
  <c r="P34" i="7" s="1"/>
  <c r="O33" i="7"/>
  <c r="O34" i="7" s="1"/>
  <c r="N33" i="7"/>
  <c r="N34" i="7" s="1"/>
  <c r="M33" i="7"/>
  <c r="M34" i="7" s="1"/>
  <c r="L33" i="7"/>
  <c r="L34" i="7" s="1"/>
  <c r="K33" i="7"/>
  <c r="K34" i="7" s="1"/>
  <c r="J33" i="7"/>
  <c r="J34" i="7" s="1"/>
  <c r="I33" i="7"/>
  <c r="I34" i="7" s="1"/>
  <c r="H33" i="7"/>
  <c r="H34" i="7" s="1"/>
  <c r="G33" i="7"/>
  <c r="G34" i="7" s="1"/>
  <c r="F33" i="7"/>
  <c r="F34" i="7" s="1"/>
  <c r="Q29" i="7"/>
  <c r="P29" i="7"/>
  <c r="O29" i="7"/>
  <c r="N29" i="7"/>
  <c r="M29" i="7"/>
  <c r="L29" i="7"/>
  <c r="K29" i="7"/>
  <c r="J29" i="7"/>
  <c r="I29" i="7"/>
  <c r="H29" i="7"/>
  <c r="G29" i="7"/>
  <c r="F29" i="7"/>
  <c r="H42" i="6"/>
  <c r="H44" i="6" s="1"/>
  <c r="H38" i="6"/>
  <c r="H33" i="6"/>
  <c r="H34" i="6" s="1"/>
  <c r="H29" i="6"/>
  <c r="F42" i="6"/>
  <c r="F44" i="6" s="1"/>
  <c r="F38" i="6"/>
  <c r="F33" i="6"/>
  <c r="F34" i="6" s="1"/>
  <c r="F29" i="6"/>
  <c r="Q42" i="6"/>
  <c r="Q44" i="6" s="1"/>
  <c r="P42" i="6"/>
  <c r="P44" i="6" s="1"/>
  <c r="O42" i="6"/>
  <c r="O44" i="6" s="1"/>
  <c r="N42" i="6"/>
  <c r="N44" i="6" s="1"/>
  <c r="M42" i="6"/>
  <c r="M44" i="6" s="1"/>
  <c r="L42" i="6"/>
  <c r="L44" i="6" s="1"/>
  <c r="K42" i="6"/>
  <c r="K44" i="6" s="1"/>
  <c r="J42" i="6"/>
  <c r="J44" i="6" s="1"/>
  <c r="I42" i="6"/>
  <c r="I44" i="6" s="1"/>
  <c r="G42" i="6"/>
  <c r="G44" i="6" s="1"/>
  <c r="Q38" i="6"/>
  <c r="P38" i="6"/>
  <c r="O38" i="6"/>
  <c r="N38" i="6"/>
  <c r="M38" i="6"/>
  <c r="L38" i="6"/>
  <c r="K38" i="6"/>
  <c r="J38" i="6"/>
  <c r="I38" i="6"/>
  <c r="G38" i="6"/>
  <c r="Q33" i="6"/>
  <c r="Q34" i="6" s="1"/>
  <c r="P33" i="6"/>
  <c r="P34" i="6" s="1"/>
  <c r="O33" i="6"/>
  <c r="O34" i="6" s="1"/>
  <c r="N33" i="6"/>
  <c r="N34" i="6" s="1"/>
  <c r="M33" i="6"/>
  <c r="M34" i="6" s="1"/>
  <c r="L33" i="6"/>
  <c r="L34" i="6" s="1"/>
  <c r="K33" i="6"/>
  <c r="K34" i="6" s="1"/>
  <c r="J33" i="6"/>
  <c r="J34" i="6" s="1"/>
  <c r="I33" i="6"/>
  <c r="I34" i="6" s="1"/>
  <c r="G33" i="6"/>
  <c r="G34" i="6" s="1"/>
  <c r="Q29" i="6"/>
  <c r="P29" i="6"/>
  <c r="O29" i="6"/>
  <c r="N29" i="6"/>
  <c r="M29" i="6"/>
  <c r="L29" i="6"/>
  <c r="K29" i="6"/>
  <c r="J29" i="6"/>
  <c r="I29" i="6"/>
  <c r="G29" i="6"/>
  <c r="Q42" i="5"/>
  <c r="Q44" i="5" s="1"/>
  <c r="P42" i="5"/>
  <c r="P44" i="5" s="1"/>
  <c r="O42" i="5"/>
  <c r="O44" i="5" s="1"/>
  <c r="N42" i="5"/>
  <c r="N44" i="5" s="1"/>
  <c r="M42" i="5"/>
  <c r="M44" i="5" s="1"/>
  <c r="L42" i="5"/>
  <c r="L44" i="5" s="1"/>
  <c r="K42" i="5"/>
  <c r="K44" i="5" s="1"/>
  <c r="J42" i="5"/>
  <c r="J44" i="5" s="1"/>
  <c r="I42" i="5"/>
  <c r="I44" i="5" s="1"/>
  <c r="H42" i="5"/>
  <c r="H44" i="5" s="1"/>
  <c r="G42" i="5"/>
  <c r="G44" i="5" s="1"/>
  <c r="F42" i="5"/>
  <c r="F44" i="5" s="1"/>
  <c r="Q38" i="5"/>
  <c r="P38" i="5"/>
  <c r="O38" i="5"/>
  <c r="N38" i="5"/>
  <c r="M38" i="5"/>
  <c r="L38" i="5"/>
  <c r="K38" i="5"/>
  <c r="J38" i="5"/>
  <c r="I38" i="5"/>
  <c r="H38" i="5"/>
  <c r="G38" i="5"/>
  <c r="F38" i="5"/>
  <c r="Q33" i="5"/>
  <c r="Q34" i="5" s="1"/>
  <c r="P33" i="5"/>
  <c r="P34" i="5" s="1"/>
  <c r="O33" i="5"/>
  <c r="O34" i="5" s="1"/>
  <c r="N33" i="5"/>
  <c r="N34" i="5" s="1"/>
  <c r="M33" i="5"/>
  <c r="M34" i="5" s="1"/>
  <c r="L33" i="5"/>
  <c r="L34" i="5" s="1"/>
  <c r="K33" i="5"/>
  <c r="K34" i="5" s="1"/>
  <c r="J33" i="5"/>
  <c r="J34" i="5" s="1"/>
  <c r="I33" i="5"/>
  <c r="I34" i="5" s="1"/>
  <c r="H33" i="5"/>
  <c r="H34" i="5" s="1"/>
  <c r="G33" i="5"/>
  <c r="G34" i="5" s="1"/>
  <c r="F33" i="5"/>
  <c r="F34" i="5" s="1"/>
  <c r="Q29" i="5"/>
  <c r="P29" i="5"/>
  <c r="O29" i="5"/>
  <c r="N29" i="5"/>
  <c r="M29" i="5"/>
  <c r="L29" i="5"/>
  <c r="K29" i="5"/>
  <c r="J29" i="5"/>
  <c r="I29" i="5"/>
  <c r="H29" i="5"/>
  <c r="G29" i="5"/>
  <c r="F29" i="5"/>
  <c r="F44" i="3"/>
  <c r="Q42" i="3"/>
  <c r="Q44" i="3" s="1"/>
  <c r="P42" i="3"/>
  <c r="P44" i="3" s="1"/>
  <c r="O42" i="3"/>
  <c r="O44" i="3" s="1"/>
  <c r="N42" i="3"/>
  <c r="N44" i="3" s="1"/>
  <c r="M42" i="3"/>
  <c r="M44" i="3" s="1"/>
  <c r="L42" i="3"/>
  <c r="L44" i="3" s="1"/>
  <c r="K42" i="3"/>
  <c r="K44" i="3" s="1"/>
  <c r="J42" i="3"/>
  <c r="J44" i="3" s="1"/>
  <c r="I42" i="3"/>
  <c r="I44" i="3" s="1"/>
  <c r="H42" i="3"/>
  <c r="H44" i="3" s="1"/>
  <c r="G42" i="3"/>
  <c r="G44" i="3" s="1"/>
  <c r="F42" i="3"/>
  <c r="Q38" i="3"/>
  <c r="P38" i="3"/>
  <c r="O38" i="3"/>
  <c r="N38" i="3"/>
  <c r="M38" i="3"/>
  <c r="L38" i="3"/>
  <c r="K38" i="3"/>
  <c r="J38" i="3"/>
  <c r="I38" i="3"/>
  <c r="H38" i="3"/>
  <c r="G38" i="3"/>
  <c r="F38" i="3"/>
  <c r="Q33" i="3"/>
  <c r="Q34" i="3" s="1"/>
  <c r="P33" i="3"/>
  <c r="P34" i="3" s="1"/>
  <c r="O33" i="3"/>
  <c r="O34" i="3" s="1"/>
  <c r="N33" i="3"/>
  <c r="N34" i="3" s="1"/>
  <c r="M33" i="3"/>
  <c r="M34" i="3" s="1"/>
  <c r="L33" i="3"/>
  <c r="L34" i="3" s="1"/>
  <c r="K33" i="3"/>
  <c r="K34" i="3" s="1"/>
  <c r="J33" i="3"/>
  <c r="J34" i="3" s="1"/>
  <c r="I33" i="3"/>
  <c r="I34" i="3" s="1"/>
  <c r="H33" i="3"/>
  <c r="H34" i="3" s="1"/>
  <c r="G33" i="3"/>
  <c r="G34" i="3" s="1"/>
  <c r="F33" i="3"/>
  <c r="F34" i="3" s="1"/>
  <c r="Q29" i="3"/>
  <c r="P29" i="3"/>
  <c r="O29" i="3"/>
  <c r="N29" i="3"/>
  <c r="M29" i="3"/>
  <c r="L29" i="3"/>
  <c r="K29" i="3"/>
  <c r="J29" i="3"/>
  <c r="I29" i="3"/>
  <c r="H29" i="3"/>
  <c r="G29" i="3"/>
  <c r="F29" i="3"/>
  <c r="O44" i="2"/>
  <c r="M44" i="2"/>
  <c r="Q42" i="2"/>
  <c r="Q44" i="2" s="1"/>
  <c r="P42" i="2"/>
  <c r="P44" i="2" s="1"/>
  <c r="O42" i="2"/>
  <c r="N42" i="2"/>
  <c r="N44" i="2" s="1"/>
  <c r="M42" i="2"/>
  <c r="L42" i="2"/>
  <c r="L44" i="2" s="1"/>
  <c r="K42" i="2"/>
  <c r="K44" i="2" s="1"/>
  <c r="J42" i="2"/>
  <c r="J44" i="2" s="1"/>
  <c r="I42" i="2"/>
  <c r="I44" i="2" s="1"/>
  <c r="H42" i="2"/>
  <c r="H44" i="2" s="1"/>
  <c r="G42" i="2"/>
  <c r="G44" i="2" s="1"/>
  <c r="F42" i="2"/>
  <c r="F44" i="2" s="1"/>
  <c r="Q38" i="2"/>
  <c r="P38" i="2"/>
  <c r="O38" i="2"/>
  <c r="N38" i="2"/>
  <c r="M38" i="2"/>
  <c r="L38" i="2"/>
  <c r="K38" i="2"/>
  <c r="J38" i="2"/>
  <c r="I38" i="2"/>
  <c r="H38" i="2"/>
  <c r="G38" i="2"/>
  <c r="F38" i="2"/>
  <c r="Q33" i="2"/>
  <c r="Q34" i="2" s="1"/>
  <c r="P33" i="2"/>
  <c r="P34" i="2" s="1"/>
  <c r="O33" i="2"/>
  <c r="O34" i="2" s="1"/>
  <c r="N33" i="2"/>
  <c r="N34" i="2" s="1"/>
  <c r="M33" i="2"/>
  <c r="M34" i="2" s="1"/>
  <c r="L33" i="2"/>
  <c r="L34" i="2" s="1"/>
  <c r="K33" i="2"/>
  <c r="K34" i="2" s="1"/>
  <c r="J33" i="2"/>
  <c r="J34" i="2" s="1"/>
  <c r="I33" i="2"/>
  <c r="I34" i="2" s="1"/>
  <c r="H33" i="2"/>
  <c r="H34" i="2" s="1"/>
  <c r="G33" i="2"/>
  <c r="G34" i="2" s="1"/>
  <c r="F33" i="2"/>
  <c r="F34" i="2" s="1"/>
  <c r="Q29" i="2"/>
  <c r="P29" i="2"/>
  <c r="O29" i="2"/>
  <c r="N29" i="2"/>
  <c r="M29" i="2"/>
  <c r="L29" i="2"/>
  <c r="K29" i="2"/>
  <c r="J29" i="2"/>
  <c r="I29" i="2"/>
  <c r="H29" i="2"/>
  <c r="G29" i="2"/>
  <c r="F29" i="2"/>
  <c r="Q42" i="1"/>
  <c r="Q44" i="1" s="1"/>
  <c r="P42" i="1"/>
  <c r="P44" i="1" s="1"/>
  <c r="O42" i="1"/>
  <c r="O44" i="1" s="1"/>
  <c r="N42" i="1"/>
  <c r="N44" i="1" s="1"/>
  <c r="M42" i="1"/>
  <c r="M44" i="1" s="1"/>
  <c r="L42" i="1"/>
  <c r="L44" i="1" s="1"/>
  <c r="K42" i="1"/>
  <c r="K44" i="1" s="1"/>
  <c r="J42" i="1"/>
  <c r="J44" i="1" s="1"/>
  <c r="I42" i="1"/>
  <c r="I44" i="1" s="1"/>
  <c r="H42" i="1"/>
  <c r="H44" i="1" s="1"/>
  <c r="G42" i="1"/>
  <c r="G44" i="1" s="1"/>
  <c r="F42" i="1"/>
  <c r="F44" i="1" s="1"/>
  <c r="Q38" i="1"/>
  <c r="P38" i="1"/>
  <c r="O38" i="1"/>
  <c r="N38" i="1"/>
  <c r="M38" i="1"/>
  <c r="L38" i="1"/>
  <c r="K38" i="1"/>
  <c r="J38" i="1"/>
  <c r="I38" i="1"/>
  <c r="H38" i="1"/>
  <c r="G38" i="1"/>
  <c r="F38" i="1"/>
  <c r="Q33" i="1"/>
  <c r="Q34" i="1" s="1"/>
  <c r="P33" i="1"/>
  <c r="P34" i="1" s="1"/>
  <c r="O33" i="1"/>
  <c r="O34" i="1" s="1"/>
  <c r="N33" i="1"/>
  <c r="N34" i="1" s="1"/>
  <c r="M33" i="1"/>
  <c r="M34" i="1" s="1"/>
  <c r="L33" i="1"/>
  <c r="L34" i="1" s="1"/>
  <c r="K33" i="1"/>
  <c r="K34" i="1" s="1"/>
  <c r="J33" i="1"/>
  <c r="J34" i="1" s="1"/>
  <c r="I33" i="1"/>
  <c r="I34" i="1" s="1"/>
  <c r="H33" i="1"/>
  <c r="H34" i="1" s="1"/>
  <c r="G33" i="1"/>
  <c r="G34" i="1" s="1"/>
  <c r="F33" i="1"/>
  <c r="F34" i="1" s="1"/>
  <c r="Q29" i="1"/>
  <c r="P29" i="1"/>
  <c r="O29" i="1"/>
  <c r="N29" i="1"/>
  <c r="M29" i="1"/>
  <c r="L29" i="1"/>
  <c r="K29" i="1"/>
  <c r="J29" i="1"/>
  <c r="I29" i="1"/>
  <c r="H29" i="1"/>
  <c r="G29" i="1"/>
  <c r="F29" i="1"/>
</calcChain>
</file>

<file path=xl/sharedStrings.xml><?xml version="1.0" encoding="utf-8"?>
<sst xmlns="http://schemas.openxmlformats.org/spreadsheetml/2006/main" count="4664" uniqueCount="101">
  <si>
    <t xml:space="preserve">OPERATION CHILLER LOG SHEET
&amp;
REFRIGERANT LEAK </t>
  </si>
  <si>
    <t>REVISION : 1</t>
  </si>
  <si>
    <t>DOC NO :</t>
  </si>
  <si>
    <t xml:space="preserve">OPER-01-QR-01 </t>
  </si>
  <si>
    <t>OPERATOR :</t>
  </si>
  <si>
    <t>PAGE : 1 OF 1</t>
  </si>
  <si>
    <t>OPERATION DATE</t>
  </si>
  <si>
    <t>CHILLER</t>
  </si>
  <si>
    <t xml:space="preserve"> CONTROL 
LIMIT</t>
  </si>
  <si>
    <t>EC0120A</t>
  </si>
  <si>
    <t>EC0120B</t>
  </si>
  <si>
    <t>EC0120C</t>
  </si>
  <si>
    <t>EC0120D</t>
  </si>
  <si>
    <t>EC0120E</t>
  </si>
  <si>
    <t>EC0120F</t>
  </si>
  <si>
    <t>TIME</t>
  </si>
  <si>
    <t>00:00</t>
  </si>
  <si>
    <t>REFRIGERANT LEAK STATUS</t>
  </si>
  <si>
    <t xml:space="preserve"> OK / NOT OK</t>
  </si>
  <si>
    <t>OK</t>
  </si>
  <si>
    <t>OPENING OF VANE</t>
  </si>
  <si>
    <t>%</t>
  </si>
  <si>
    <t>0~100%</t>
  </si>
  <si>
    <t>OPENING HOT GAS BYPASS VALVE</t>
  </si>
  <si>
    <t>OPENING OF 2nd VANE</t>
  </si>
  <si>
    <t>OPENING OF HIGH-STAGE EXPANSION VALVE</t>
  </si>
  <si>
    <t>OPENING OF LOW-STAGE EXPANSION VALVE</t>
  </si>
  <si>
    <t>MOTOR</t>
  </si>
  <si>
    <t>VOLTAGE</t>
  </si>
  <si>
    <t>V</t>
  </si>
  <si>
    <t>6600V(±   5% )</t>
  </si>
  <si>
    <t>CURRENT</t>
  </si>
  <si>
    <t>A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</si>
  <si>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115A</t>
    </r>
  </si>
  <si>
    <t>INPUT</t>
  </si>
  <si>
    <t>Kw</t>
  </si>
  <si>
    <t>1194kW</t>
  </si>
  <si>
    <t>COMPRESSOR</t>
  </si>
  <si>
    <t>RUNNING TIME</t>
  </si>
  <si>
    <t>Hr</t>
  </si>
  <si>
    <t>NA</t>
  </si>
  <si>
    <t>SUCTION TEMPERATURE</t>
  </si>
  <si>
    <t>CELCIUS</t>
  </si>
  <si>
    <t>C</t>
  </si>
  <si>
    <t>DISCHARGE TEMPERATURE</t>
  </si>
  <si>
    <t>35 -70 degC</t>
  </si>
  <si>
    <t>OIL TANK OIL TEMPERATURE</t>
  </si>
  <si>
    <t>45-72 deg C</t>
  </si>
  <si>
    <t>OIL PRESSURE</t>
  </si>
  <si>
    <t>Mpa(G)</t>
  </si>
  <si>
    <t>Diff pressure 
0.25-0.35 Mpa
OIL -EVAP =Diff pressure</t>
  </si>
  <si>
    <t>OIL LEVEL</t>
  </si>
  <si>
    <t>OIL SUPPLY TEMPERATURE</t>
  </si>
  <si>
    <t>35-45 degC</t>
  </si>
  <si>
    <t>EVAPORATOR</t>
  </si>
  <si>
    <t>EVAPORATING PRESSURE</t>
  </si>
  <si>
    <t>≥0.18Mpa</t>
  </si>
  <si>
    <t>EVAPORATING TEMPERATURE</t>
  </si>
  <si>
    <t>SATURATION TEMPERATURE</t>
  </si>
  <si>
    <t>APPROACH TEMP</t>
  </si>
  <si>
    <t>CHILLED WATER FLOW RATE</t>
  </si>
  <si>
    <t>m3/h</t>
  </si>
  <si>
    <t>634.8 m3h</t>
  </si>
  <si>
    <t>CHILLED WATER ENTERING TEMPERATURE</t>
  </si>
  <si>
    <t>CHILLED WATER LEAVING TEMPERATURE</t>
  </si>
  <si>
    <t>TEMPERATURE DIFFERENCE</t>
  </si>
  <si>
    <t>CHILLING CAPACITY</t>
  </si>
  <si>
    <t>kW</t>
  </si>
  <si>
    <t>7032.6kW</t>
  </si>
  <si>
    <t>CONDENSOR</t>
  </si>
  <si>
    <t>CONDENSING PRESSURE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</si>
  <si>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1.01Mpa(G)</t>
    </r>
  </si>
  <si>
    <t>CONSENSED LIQUID TEMPERATURE</t>
  </si>
  <si>
    <t>SATURATED TEMEPRATURE</t>
  </si>
  <si>
    <r>
      <t xml:space="preserve">APPROACH TEMP </t>
    </r>
    <r>
      <rPr>
        <b/>
        <sz val="9"/>
        <color theme="1"/>
        <rFont val="Calibri"/>
        <family val="2"/>
        <scheme val="minor"/>
      </rPr>
      <t>(COND LQ TEMP - LEAVING TEMP)</t>
    </r>
  </si>
  <si>
    <t>LIQUID LEVEL(Side Glass Bottom)</t>
  </si>
  <si>
    <t>mm</t>
  </si>
  <si>
    <t>COOLING WATER ENTERING TEMPERATURE</t>
  </si>
  <si>
    <t>COOLING WATER LEAVING TEMPERATURE</t>
  </si>
  <si>
    <t>TEMPERATURE DIFFERENCE COOLING WATER</t>
  </si>
  <si>
    <t>COOLING WATER FLOW RATE</t>
  </si>
  <si>
    <t>HEAT CAPACITY</t>
  </si>
  <si>
    <t>ECONOMIZER</t>
  </si>
  <si>
    <t>ECONOMIZER PRESSURE</t>
  </si>
  <si>
    <t>Mpa</t>
  </si>
  <si>
    <t>SATURATED TEMPERATURE</t>
  </si>
  <si>
    <t>LIQUID LEVEL</t>
  </si>
  <si>
    <t>HEAT BALANCE</t>
  </si>
  <si>
    <t>0.95~1.05</t>
  </si>
  <si>
    <t>COP</t>
  </si>
  <si>
    <t>% OF COOLING CAPACITY</t>
  </si>
  <si>
    <t>% OF MOTOR INPUT</t>
  </si>
  <si>
    <t>REMARK :</t>
  </si>
  <si>
    <t>CHILLER :</t>
  </si>
  <si>
    <t>Differential pressure of Oil pressure - Evap pressure is in range 0.25 Mpa ~ 0.35 Mpa.</t>
  </si>
  <si>
    <t>* Movement of Expansion Valve motor operation depends on running condition.</t>
  </si>
  <si>
    <t xml:space="preserve">REFRIGERANT  ALARM </t>
  </si>
  <si>
    <t>CHILLER ALARM :</t>
  </si>
  <si>
    <t>YES</t>
  </si>
  <si>
    <t>NO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</si>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</sst>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0" fontId="1" fillId="0" borderId="18" xfId="0" applyNumberFormat="1" applyFont="1" applyBorder="1" applyAlignment="1">
      <alignment horizontal="center"/>
    </xf>
    <xf numFmtId="20" fontId="1" fillId="0" borderId="18" xfId="0" quotePrefix="1" applyNumberFormat="1" applyFont="1" applyBorder="1" applyAlignment="1">
      <alignment horizontal="center"/>
    </xf>
    <xf numFmtId="20" fontId="1" fillId="2" borderId="18" xfId="0" applyNumberFormat="1" applyFont="1" applyFill="1" applyBorder="1" applyAlignment="1">
      <alignment horizontal="center"/>
    </xf>
    <xf numFmtId="20" fontId="1" fillId="2" borderId="18" xfId="0" quotePrefix="1" applyNumberFormat="1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20" fontId="1" fillId="0" borderId="18" xfId="0" quotePrefix="1" applyNumberFormat="1" applyFont="1" applyBorder="1" applyAlignment="1">
      <alignment horizontal="center" vertical="center"/>
    </xf>
    <xf numFmtId="20" fontId="1" fillId="2" borderId="18" xfId="0" quotePrefix="1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1" fillId="0" borderId="18" xfId="0" applyFont="1" applyBorder="1"/>
    <xf numFmtId="0" fontId="0" fillId="0" borderId="21" xfId="0" applyBorder="1" applyAlignment="1">
      <alignment horizontal="center"/>
    </xf>
    <xf numFmtId="0" fontId="1" fillId="0" borderId="18" xfId="0" applyFont="1" applyBorder="1" applyAlignment="1">
      <alignment vertical="center"/>
    </xf>
    <xf numFmtId="0" fontId="0" fillId="0" borderId="18" xfId="0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15" fontId="1" fillId="0" borderId="15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980585-FEC3-4768-BCDD-7A14A6AD5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5D2B049-9AD9-457F-8252-85D5E0119C22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0124770-3B73-44D1-92F3-B43DF0A94A0D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E79B8DE-A791-4A76-BCC7-BF956BA3E8D5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BA65DDB-8853-4AA0-A411-E9DDA5112991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EC67271-2A85-48C5-8E16-20BCCBCE819A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0657A2F-799D-48EA-871A-F1E9306D8C91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2906A15-63E6-4CF2-8707-8D57E2D7F5E1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54E22E7-6CDC-4C7C-AE58-BA0ACE1A6DEC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98043DD-4F43-4F96-9B87-158699FCB299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571D6CE-B7ED-4646-8221-2030C58DE83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9BC6296-8F02-4305-AB9C-437D04449FB2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7AD5B77-00B3-47BF-B9AE-493A26DC2CC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886D3187-5E9B-4044-9566-62FF9AB69B9A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F365619-5DD3-4569-AF98-337DD50B764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ED46ABCD-5951-4703-BBA0-380737D208E7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9FA58C0B-7073-4C5A-B2C5-546D8C71D8D8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C8FBCB47-8E29-42B5-8945-92CE50415E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B062F3D-5795-4AE3-9ADE-7C7FA29F7862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4BB60DF5-E883-466F-B827-2971DDDDFCBE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B5A42CA0-D88E-49BB-85CF-7461D6989AB8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9C7F99B-EF3A-448B-A072-C38AFCD24AA4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95D193B6-C2EE-4093-A84B-1D3C166914D1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966B3679-0EB7-4FFD-831A-0B482683FC7F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923EF04-10AC-41F1-A28F-587A9B5EF823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6B65F862-DDE9-4EEA-94D7-626322BE992B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7C5ECE00-D0C9-4D42-9DB3-C6BE1F85AD3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1E1C2B9-ADB2-40EB-A795-0429EE8F11ED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5805816-02EB-46EB-B5E8-BCA22C3F19E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E6A0A92A-108A-4A7E-81B6-A1F824A7FDAC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2F3A1BBA-F782-4005-A274-B4C5C36399A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1DBFCF69-253A-480E-B4B1-3865D5094A9A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6CF25BBC-481C-43F1-AA88-18603191937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E9EDA7AF-35AA-4A2E-A3CD-73FD1C970524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D1F20F4C-EE99-435D-A058-B6BE4E0216D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222A435-5786-4269-83A9-189DBE713369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67D0985E-7C71-43D6-B5A3-9CD1DA536BF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C74FE67-71A3-4335-BDA4-A25F7A21DCEC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A32366DF-C5B3-485A-9D01-B78C7C3F7D9F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D36CDD75-F89E-4310-B462-9970C4B756FA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5CBA7473-11FE-4288-B595-C911794BC0DA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E17388AC-E8A7-42A8-83F4-2841FB1A6017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FD77413F-1266-435D-92DB-49F5C554D3B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38C16328-9721-4C33-9CF2-31257DB8CF0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0C82798-89A5-4F50-BBEE-791CC9E2D1CA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ED4AA6C-40F3-4340-8889-3DDB4412536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8BCFA0BB-E2E1-47B8-A8BF-7EF92E95C8BF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9E3D233-CCFE-43F7-8DB3-900C04EEC571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C7E43BF-F487-40D3-B68A-DCA3D16B3F0A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4293D3E2-8CDF-4DAF-B8FF-6192DBF568CD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3D08BBD-E000-4AD8-8520-DA74BD185685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19780A6-970B-4719-9AB0-1C3AFB2A6ED0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10ECFB9D-4482-4FAC-8518-6FFD623D2596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4002B55-0256-4F07-B498-6BA2A659E6A5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7DC26A7-2F96-4988-BCDC-EADB6AFEC4AF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C1ECC3F-8AEB-47BB-A9F9-14C29EEB4E9D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D59D34AB-417E-4A59-9BCE-C919606EAB72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78F23D0-366B-4F8E-89DE-61E426A824A1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0837E72-6D23-4591-B532-DA6BD5420375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902E7-B37C-4F3F-BECA-4FB0D869D0EC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1CC6220A-BEEC-4780-9E85-CAEEFD26E477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D1FC891-A769-4D6C-9552-5D9664ED5A25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2A9C798D-ACC2-483E-9401-624F2A62670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59C16BF4-4CA8-44F6-9D29-853F5EB4878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5C93C74D-069E-49B9-ACED-6CF73015788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7ADEB8A0-0858-4CF0-9EF7-7C8E4036456D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D3811B1B-F8DD-45E3-9694-3C8A2B421CC2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B9D1BE1E-9855-46E7-B289-0D29E5062694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487E7378-B14B-4B01-96D5-F4B87116D500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44B5AC10-10F9-4F50-8CF8-9C8802AC689B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149D25-08BC-4272-AC3C-BA06B9542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DE8FA29-E5A3-4408-A542-CE228443835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DEB36BA-F445-4165-ADE5-F45B6E48B6C5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3F762B0-19EE-4D85-A096-43099CB1FC3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1AA2F38-602F-4F9C-8D65-696128F9A1CC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92B609E-91FD-4628-A1D2-99CFAFAF8D37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861F855-0D75-4DC8-B826-EE6B252F0D18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4B1C7-0321-47AF-8EEE-9CBE9F755865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80D2C8-C034-40C2-B6D6-0EFD44FCA97D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2B227BA2-FBA8-417D-90F4-3A7357D3E91F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9445D47-25AE-419C-AED9-11E4EB010832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688088CA-0586-4E27-9087-71FB073C0922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25E4F0C-C137-42EF-A5F2-85967B0F785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F057FA57-D61A-46C3-B2C4-1C210C613D9D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1A9EB3D-9100-45DF-9459-4FBFCDD12263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64341DE9-1127-4B36-AF5E-D9F4D30DF092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E1E435B2-B98C-40FD-8C83-8C6853515F7A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C8F8FB3A-6E50-4C61-9ADE-807E3BB1163F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4DD73FA2-0B0E-44EB-A8D3-DE4A3E45A646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73951AD1-995B-4FF7-B993-6080888585C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C863271-D28A-49A4-BC80-30F4E7B98DE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968EB42F-DA78-4232-B5AD-970AFDCD1736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93202B55-66E7-4598-8623-BED06DD6854B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77765A42-2B4A-4A57-8CF3-81DF1075C90E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481CA83-ECB2-4731-B623-5464BF86E04A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1F9F23E-8AF1-475B-9E72-6DA0889091C9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45AD1A7-78B8-4E7C-8320-687D89DE542C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086C8B2-BACF-400C-B9A8-2585FE2644B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9D7A494-D31A-4ABC-86DF-C61EAA6DDCE4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ED3DEB83-D84E-4B97-822F-6599C5EBA3E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F4ED498-733C-4DE4-9923-DC056CBD2772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750D5240-234D-4CF5-8FAA-B3D23DA63378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E3BA6272-EEF4-4207-98B7-3D928B7F44C2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BC969663-3F35-49B7-AD2D-A702A3062F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E9B149F-13D4-469E-AAA5-573602C6F53A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690A4A0-6B8B-44E5-96B0-ACF39AE664B2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DB63E255-1462-45B1-BA6C-0292FB1BCDD0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69346D9A-9474-4D77-9776-14FDE0BFE07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4F37B061-C8AF-4750-8386-A1BE8D58985E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39C4F6DF-E18D-429D-A4C8-0C45E52CFEE4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4A59CB2D-9197-4737-8176-8F09C5440979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BEA20822-3402-4E1A-A08C-C9B8E364A325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F1717007-926F-40D8-BEEB-7177D0E0EE62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3FBD5251-652E-431C-83ED-668D7C4A60C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37E0CC0-7AE0-47E7-B3A7-E6A281E32AF2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7B3462C-966B-44B2-8169-4146B9EBA62B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C2DB5F96-D509-490D-9BAE-E87BB62F868A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4A8830A-D771-4647-9F32-FE055DFCD415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69A80CCF-BB30-4161-BBEE-B18AA2E4DDD9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AE74C4B-48B2-49A1-BBE8-9D9F58767B9B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7E31721B-EF54-4AAB-A238-C46D32FC707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1CD039AE-322A-40A1-8D38-CBFC11ED6403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1A42F2F5-31F2-488D-96A0-B53AF5191215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ABA55DB-F4FC-43B8-8881-53D912CD532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5FAE628-E4BB-42D9-81AB-EB8C0A90472D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F760FF8-1FB9-4980-BA7F-347C2CF59431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15030EE-86B6-4108-952C-EF4C64B49A88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BB31EFBC-13D7-4547-8BAF-C653DC261877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CF676242-65E5-4000-9471-1CEE3F1D3362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E08D77B5-B656-4BE2-9E25-EE9112FFD83C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18465132-B9C8-4127-81DF-9F71BE6DEA3A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844B6EB2-75DD-45DF-AE43-A34A3730C4EA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94A942B2-D691-4452-88D1-112EA947FECD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6B54F73F-B661-49D4-B242-801EFDB7F823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5C404F7C-ECF0-478A-9AD9-A49201133461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B92F332-70AD-434D-897D-147FC5EF7669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142F6A38-D1E9-4D7A-96EF-FFEFA8E8813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01A1344-0D2D-497D-9981-4C2C66BD04CF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2A9C7C0A-F959-4A8C-ABDE-0DB4707DDEC8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201E0CD3-8780-48DD-AB6E-86DA9D3937F4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692A2F-DC74-48EA-BD99-63E2AA5A8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464242B-4ED6-4570-B9EB-357C7C44D38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C6663E0-62BD-42BE-A69B-311DC63FC72D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C706944-C0B2-41C8-834A-67B9404A23E6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887937F-D8E8-407E-8C59-271A29A1DE22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A801A1A-4262-4D39-8357-F5C420DFB476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ABD2348-0C60-4906-B8C8-B3A05360C17E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B0C69B3A-7C86-4230-915B-9C357E7AE757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AF60EC2-8231-46C7-8B6F-82F73AC9F5BB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2728ED0-CF0E-4199-AB82-6C5D6B08267B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F89631A0-160D-4922-BB83-648656D11286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EC72295D-20D1-485C-A914-D2AAF5858AF2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4463C4A-75F0-4D10-ACB6-F44DCCF839E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786BD27-CF93-4277-BD54-C957FF9FD5F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F8DD5545-B78D-446F-8535-07282BF66DE4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91F7A92-CD34-44EA-A222-81E2E9454887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4320E39-5416-4B65-A463-0A781B31CE96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C3E298D2-0FE9-4216-9EC5-0D4FDFBE443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52501809-ACD3-4F88-89B2-D9DE8D83C99C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8ED7A869-AD39-4502-9B72-52BA9AD73F1E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26E09B5-0973-406D-8263-42EAF84A3BB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CBA37BD8-BDB3-46B0-93A8-2A0F9692C2F9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6F105D5-458B-4397-A9F9-F152011E99D2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6B9C280-2308-4972-BA68-FDFCACDF6D1F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0E36986-89CD-469C-9F24-90607C914069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7318D3A-B81B-4815-82D8-B0D76615D363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DC69515-0127-4360-A26E-1283471141D4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E81DE59-E307-4C36-A06F-F9FFE1E5BBE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6AAC024-1ECF-409B-BD70-B9FC4A6D32C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08C1D10-3718-4F53-B303-AAB22D9AB2BA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1723117-B3F9-4A5A-826F-60142D2FE287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268E8A5-AF94-47F7-A703-D4382E4E178A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6379C95B-CD83-4EFF-BBB1-B487AE976B7F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5663C73A-561E-4B06-A60E-B6DCD4970A35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A041641F-1FFC-4AAA-B8F0-8C8E43AB3FD1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0110EB4-A936-4E9E-B788-DD9D7986B7A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3A4D324-06BF-4475-AD81-FE60D51E8255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AA1DB7B-6583-404C-8715-25D2DF3F5AD9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B4364C7C-0407-4E29-81CD-AB96F70E57CA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93919E7-7289-4A54-A464-5BD3E77F050F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7BB69726-09D2-4A88-849E-6E4CE04F7988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282EF7BD-8ABD-4A2E-B555-DE7C9473B514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1819721D-6A80-4DA1-8E8A-8FC23B9540A4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F20455B2-D0A0-4348-871B-22095238F65E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140CDD6-A157-4EFB-B8EE-C5DF1467DDCD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A32D105-3002-4126-AB02-33B0AC5E7BA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A9EA3FE-F867-4DE9-BA98-5408D9B9D2A3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401E533-8454-44E4-AAFE-283F22E69842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5F051BEC-2689-4C08-B741-CF4ECBD2D9C7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0FD989C-F062-4F42-866A-605A49954FA3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2CB0F58-00D4-44B0-A095-0A9460CAADC1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1B1DB96-4B39-426C-A1D9-7A9F05BA524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369099F-183F-4ECF-9C85-F103DDB8CCD0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29D7A43-CB0A-4C37-AC2C-683BAD67FBE0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FD690C82-1285-4F6D-8CA2-96904B63B509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49CADD1D-1E36-4F6D-8276-9DC545A25FA0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422FE5D-8DC5-4080-9F41-40430B885BCA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9CBE2A5-1C0E-4F34-9EB4-C50167EB3509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3BBDF4FA-EE28-47DA-8636-D1D3452C2A09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0C72889-150A-4680-9498-30CAC9C60BC7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8F044EEA-D99D-4EFF-BBF7-C59A2E99326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81841FB1-6EC6-4404-AD10-3C531048C476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B4DECBD8-776A-4D4D-B018-29325A39BCAB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39FEECFE-9087-44E1-9DA0-20FCC7DAD384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7182EB84-94B6-499C-8F9C-0D5BE4BBCA3E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AEB2A61C-C5D0-4897-9E26-CDAC8A95AD9F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44FB59CB-CC96-4D32-8447-FE44FB588E7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5D042AA0-0F57-49F0-B784-3D358252FC25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9478A58D-186A-4D60-AD31-8FA0A4729486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5C034646-A7BA-4BE7-88B8-2CF68A20CA41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B167DA-D685-4A1E-AA3E-F8ACA86FE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D44A56F-C4F1-49B2-AF24-8308F0C0919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37E498F-7E97-42B7-A3CC-0BF6D01904D0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EA109F7-0054-431A-B9AA-4118CE9A53A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497FCE4-0D80-4956-BB88-084D5229868D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D001763-8452-4A5A-8DB6-C01E5F91F135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EC73C2AD-FCE9-452B-9231-4923262CCC84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614D474-065A-4D1A-AE4E-9795C26497C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496E8A6-CECF-49C4-9675-F8B8EC8E7E1C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5AB6A4A-18F6-4062-AAC7-A9A2D28A21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CC154AB3-7505-4905-9988-F81594CFF0E5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65887945-102F-4DFA-B748-1FC2716E4E3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AC44F78-8633-459D-B5BD-3A8BEAA82B42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A99EFD5-F115-40C3-B651-12AB2A5315A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15564033-0340-4621-AD46-BACDE1318E99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8C870D7-A363-422F-85EA-D019F6B3A558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1DEA89-4F74-4B33-AA0E-03449BAF5716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0D249A4-6F57-4F59-9406-AEE5F958D1E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A6BAD858-D310-4A7D-AF95-C5E86244309E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A4EB02D9-C387-4E42-8C0E-9BED4BEA69D7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8874F19-6070-444C-947D-ED16760FF160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73D95A16-5292-46E8-BCAE-6991F8C9A09F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91FD916-9DC6-4953-8171-84CC07294AE0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35C8D3C-E7ED-407B-968A-649B6F8AF8BC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DA878EA-5B75-4018-B581-4E6D6BE7A0F0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C2DB41F-4B4A-4B9C-9F16-9802CF607E3D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529B56B4-5F32-4D34-8268-D5EECC35D0FE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84DEAC6-6A92-4EC2-B447-9D703343D230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69721791-273D-44B8-A28A-E8C2AD892E8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844475F-8283-4E63-9270-47975DDC89EB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821117C-5B82-47AA-A87C-F15B17504FEF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B9766DF2-2E2E-4DCC-81B4-BCE6B79A1AFE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4082A617-8842-4AEF-B8BF-20AA6D73D4D8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7B9F6042-4B7C-4C0F-9853-0A7B36F75E83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DD3DC37B-193A-4B7F-AD49-03431339B29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CE934D7-7807-4852-97DD-7906E2B94C4A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D6988D4-C7E1-4712-A43F-8AF4E3EB9A81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445031B2-6F2A-404D-AFB6-0DD3B56CD6C8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64FACCDB-F66D-4793-8893-927F2D4EDA06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BEEB75FD-C7B0-4D62-92D2-62EEEB09FCA1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3936B795-CBFB-40C6-A7FF-8E36A97628B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DED40987-9ED6-4084-BC76-90EF64A64AEE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7141D9C2-763B-4DFF-A0D5-D36403D8D465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C4947EDB-3DF4-446E-B951-F3E2CA9D87A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91C0FE9-B187-424B-99BE-92E791D9E9DB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FE9F470-F24A-4A60-8414-F4924CB5E4F1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332ECD9-BC0C-4396-B461-73BE35FD4A63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2A57D0B2-4DBC-44B5-8F5D-77FB6CDC8890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6F107280-B41E-4B9F-AB7E-B57BCB1C4E27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8040DFA-EF9E-4ECC-9051-13586C96A24F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B80CA502-7708-48E2-B679-B25452EB4F84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DB2C030-F464-4797-87AD-257AD345228A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93CB8AE5-B84C-43BB-A737-8B2694F14E1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46EE5252-E284-488E-8563-EEFF5E9F3ED8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955ACBD-F025-4B02-AB9A-3FE83C8F138F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6B34DC1-0CBB-4CC4-AD9E-93771E3D7612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5B2C1CF-C73B-47DB-A66C-D18FFF8356FF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606D5A58-FDC2-4049-9508-5D85D0DC011D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503F2E5-E654-4924-A4B5-AFB93FB5A46A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A49C4573-B0C4-4069-8385-D01A732E12F9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1F4F9E-077C-42B2-A3AD-FF29EAB6A05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CFEE02D-4760-4EE9-8FB6-43BEE99CC0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7980AC4D-A0FB-43EE-91B4-BF0E1C1D1886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B3101C10-64C6-47F1-9A43-8029DF5C1942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4757B6E1-F613-4D91-8813-5D2EDD4BCB3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FA7D396E-755B-4DCC-9D19-773E55C9A770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FE9E99D2-6C77-4AD5-94E0-3493AF45D445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B614E56-B8D4-48EE-A2C8-651AACA334D3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CFFFB5F8-1776-4D39-957F-14C15E87365D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A707F7DE-A644-4D84-B360-32BFBCCA8941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1E48B-0A36-4228-8DAC-6FE1B4B9D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9933B31-C7C4-43E0-B2E0-C31E0631F0C1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4806747-6E9D-46B5-A6C0-6E878E0AFF75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A5915A8-DF43-4F82-B592-EE974C799567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0603CB6-B162-4C71-B2CD-76F1E9A52A6F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2FC6A90-FE02-4EB3-BDA5-28EA7F529333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1D814D7-0F5A-4DB2-B048-F55EBABEA347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9D57AFC-BCAA-4496-ADB3-D8ABFF75CF0C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DF10675-22F7-4B34-9229-7B23F35ACCA1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228CFFC-BE9D-4EF4-8981-8D7309132C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2CC69B25-15F4-4574-AF20-B76F37265A72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6D6D2108-B5A0-491B-9841-D314CEC9C443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DEBEB78-823C-4869-8B12-EAD0F1C18EA5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F8BB9A8-88D7-4AAC-9B27-FFFF4F9ABAA6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99C78A3F-8FA0-4868-981E-AA62E3C1D095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9AA21D1-F88F-4B25-8425-51FC0149617F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C2E6845-C224-4C76-BA18-7898DC838B1B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F6D6B818-EE9E-409A-8D77-EFC914701202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28E1EA98-98FE-491E-A1F1-3B4FCE756F2B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CAF025EC-11C2-4256-BB3B-B560F7469480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8C36D7F-4507-4512-916C-88FD7A11A0F7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1E90857-1E54-4CF1-AE9D-90091B65C847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A308C39-1278-4DD3-92C1-B70B01A59837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3A5F54D-AF26-4A95-BD69-F568511F33F9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77EF277-B791-455C-8EF1-DF0EDA7EB1DB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D64C13E-3D42-4B52-A771-A16DC95545C5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C74D982-8D54-41DD-9E4F-9CE91337F062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985FE69B-158C-4B5F-ABEC-83AA911FDCD1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83813E1-3438-488A-BA63-85D22D0F4E3F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F269DF81-D768-4308-9384-C7ED145A570B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132F571-C296-499F-AC57-C0A65D5C6C9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E76D9655-CA21-49AB-9B8D-60F48F3624A1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483453D4-ECA3-4CAA-BFDD-E0A8E1B6B0EE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ABB6837-EEDD-4301-AA0D-BCC72AD5D19B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5CBCA95-F85D-4308-810C-B72D770F014A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C02D52C-B746-4C10-B102-89D25540454D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694C01B3-55ED-46D3-9477-B00E7BFB65CE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49E7B494-E7B5-4FCB-8642-47B8328A71DD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B7DEDC92-EDAD-4B09-BF32-6732110E575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1B55545D-E2AB-4C16-8930-3EFD538BC1E8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2D7DBAA5-20C0-465D-A3BA-E09968A765BF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D6CEBD40-F083-4ACB-A03B-BB57A72791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18AE4DA1-9C46-4555-B1BD-B782C57ACD01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6A4C4AF6-AEA6-48E1-A8BA-B6569BD0E5A8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A9295DEE-AE42-4685-9EE9-8384FDCCD0D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9158B36-9E5D-4370-B165-45B590634505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BDAA7DA7-D2A8-45AB-9855-6DC8857E1547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B271862C-DDF7-4FC8-A63B-D761B7B0E5C4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68A4F515-3B15-47B1-93A3-56B3EA1C485D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F3676E5-3004-411E-89BD-9483AB2F0F6B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E0D752B0-2CC9-4E72-83D7-84526F6D0C9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2186364-3476-472C-B9F1-555B7B2A0421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8ABB3616-9059-428D-BDF8-EDC474B08276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271AE2-5144-4264-8366-C031B8987AEA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5EAF175-4687-4D19-BDC5-3F9E0C573901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E924E13-D67C-45F9-A85C-F053E388B298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0ECFEAE-7659-4270-A929-498BA63926F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5DE84FAA-71C8-426D-BE94-B5203B98758B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4ECD42B-BB99-43E9-B439-C4013D3E1918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B4AA470A-6172-4ABB-9930-9CBC06B409D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128C6E7E-2DF6-4A06-813A-A5DA87A6003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A3CC41EC-3FA1-4728-A922-C06A33A04CF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67FE34FF-E97A-4526-9575-2E8535D9D4CF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7ADC1CD7-20C6-4513-9878-D4653BD348F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1517D76F-F0FD-406A-82CB-90E39D56E978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A0F85B22-D742-4900-9A04-BE05A16B089F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2E4EBF61-7092-4D82-8E7D-B1C842D213C4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FDDEF8FD-DDC4-40D2-944B-C55CF65B8B6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1226B32C-E21E-402D-970B-5FFB02DAB6F6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275C4143-3651-4DBC-A7A5-56F544080759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FF10DA-E738-44AD-9F86-CDBCC4DF7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F4506C3-3459-4E6C-BC9B-6A5284D9FE53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529CB045-EC83-4AD0-B192-1990419383D0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9841EF9-769E-4010-A176-B5F0F856AA48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86A70B3-532E-4021-943A-0BF329F68F86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F1E0B79-1ADD-4094-BD0A-8264D4F33EEB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25AB6006-630B-45EF-B8EE-D1D9B576D226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EA3237A-C106-49A9-A1E1-3B770A83F12B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EB021BB-4C34-4FC4-BBBB-5E047DE85A5D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0780E51-CE3D-4D4D-BB09-8C7AF0463972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3C912E0-E6DF-45BA-B4AC-97F3D9C4151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4B6C1A2-C8C7-4625-A8F8-378AF34F10D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CB79A2B-E0DB-4201-AEAC-708C86FE36F4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A87CB99-B331-4801-A4BD-70C30255AEA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82946C50-8633-404A-A28E-A90487B5EEE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FA577FA-FCD0-4698-AC68-2DF8D65F7567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C9D7DAF-FE4E-45BB-8843-93C077BFAFF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383565E-93E5-4C88-9C09-ED1DA9AF0632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AB2A8A5-DAC0-4AA6-B47A-BD7AFD88A463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75E984A-3AF6-41C5-A142-53775A2299B7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CCE40B0-DECD-4B18-B3D4-816B34A227FE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9597023-B484-4270-A113-2CB08D876133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ADC338DB-A21F-477D-994F-5EFCA12D6139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9A1D4BC1-8047-4082-A731-18C01ED7F9D0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B959833-0AA7-4DD5-AD30-FEBC1A35F9B9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F451EA2-9981-4ED1-AD97-FAFB267DCBB7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1AACA86-76CC-435C-84D6-EA14F4253AD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FAD3E71D-5496-4739-9421-B8F10753F668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642F7931-E0E2-4B24-9FC9-6C7D5744C29D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EB86CAB-228F-404B-AAFF-26A54350C34D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46BFFCE-F6F4-4686-A92B-7EE9827EF44D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CD3769F7-5563-4B59-9742-E976B792FDE3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CB825037-5137-4B22-BAF0-18053BF5F311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4B652F9-78F0-48FA-AAF1-FD49AC21C410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8C6403B-49F8-4DF6-9699-B36BCE50510F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A73981-1477-447A-8F28-4D32AC2DAC65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4B0E1471-0293-48D0-A1AC-7DEA577AFB0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6810CEEB-AD1D-4878-84D9-131B2ADEE557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B9194B3-1188-4E04-B0E0-B6ACAA65D9CE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7AE7B5A8-8C01-4C95-9FF8-5F8E9C43DFF4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78546732-58B5-4A7D-A2ED-7DE7040D6FB8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1F1CB918-C842-4F28-8764-E94E720AE5B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85A51382-9980-4D77-A39D-90FF6E149AEE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E70C72CE-508B-4EFD-925F-B2B784944347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DE2F5F3A-FF79-4D20-A340-51F26527B0E1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64375AB-66FF-4040-AF73-C85BAF602CE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9713046-F72B-4E6C-9D6E-723747B7F965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BE0B7C3F-BE8B-4AA0-AC5D-C79ED18FA67C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1BCC3E3B-E97A-41D5-B20F-8881F44F1404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FF8ADB7-4CE6-4A21-85A9-BCF39C57C962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C62D444-92C2-43DD-8D6A-B572F11FA54F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151A39B6-613C-475F-B9DE-18AECAF0C776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C955815-4DB4-44CA-A99F-2F7D48C86EF0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8488C8E0-C4C0-447E-9CA0-DE4896EE2E81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5A4657B-8AFC-4B98-A9D8-8CC8D58CFC05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54620F7-029F-4676-A88F-3BF0880A8730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3E6208B-0855-4329-A57B-4CE602D9002B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51827D05-BECA-4F48-ACF1-6387D2EC225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D317A097-6898-4C43-99D4-C8F8004E98B4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1EB6270-8CB9-4D89-A046-B23DC8F43E43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3432ABD6-F7A3-40FD-BCED-F0EA5C5219E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F5295FB2-43C5-475E-A755-7459F5EDC62E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EC34857D-860C-4603-8C13-4CD76E88EBB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595D63D6-F310-455E-B122-29700C4ADCAC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586C7A49-3DEF-4D51-96D1-E26E4A71AB44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D97231AF-E85C-49D1-84F1-62BED9B0A802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2811C9ED-18F0-47FD-8294-F2FC23EC3E31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1E3B8D8-F2CB-4939-AC9E-3BBAE5B47F9F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6BE85F7B-5BFE-453C-BCD1-09F7051522A9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2B8972FD-DCF9-4D9D-99F4-E9EF1E80F343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560DB4-4BFE-4E46-9617-F96BA633C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817A0B6-8064-4726-BDA4-064F41E62B5C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9516534-96F1-4D0E-9C5D-A7598527ACDE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02EB7AD-8163-4C08-92CC-42DE03DAC64A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2B6EE0F-7604-4719-803F-CA3B038A2C7F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B3FB703-340A-4AB8-9A24-1E06008348C6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14A6B7D-A6E6-43AE-A19E-4047A302E79B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2BE067D-8F34-4FA7-85C7-427B110F949B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A9BB7F6-B176-42C8-91D9-DA26350133E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6487CF4-99FD-4199-8D0D-2D761C034F61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33CBA4C-AA32-4A6A-86DB-D75DC9BD56E6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84F7881-6BC5-4B52-82A5-E2FBDAF404C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84F075B-679A-4EC8-B9FF-CB70890CC80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75224E90-D691-46F3-802A-DDD654395B80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4343BF4F-6AB8-43F2-9857-151C55BB3CDC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8E81310-620F-405A-9315-D6C4CF7D3DEE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E22605E3-120D-4D51-97D6-98D705B29821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09D84AF-CB3C-4D8B-98D7-B6C40F80A035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C841932-0A20-4280-91F5-02E8DD216C70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2451331D-276D-439F-A997-9A0C6EB09A1C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51169E9-FF68-4C28-A9D7-04F2F8AEC555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5FF19DF-1711-42E7-B6D7-ED5121D310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D3FBDC7-F162-4750-A5E1-993834547C88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22834AB5-8519-416F-ABF0-8EA92C89BCB9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6EF811E-FBDC-4293-B80B-B9CFA57046C6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E9CE56A-D374-4139-9582-7A6B384B9313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551EFB38-08AB-4DEA-9CBF-0C70E2A05F16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A86B29A-DB8A-43E0-AE59-B9A9506261D8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F35A55-F8DE-4CDC-99E2-072D97676F71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14DB88EE-67AA-46A1-A556-B1A59721A793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BA9B8E7-2DE7-4855-9EE3-3E0AAFC930F5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97B0C02E-5EC5-4C11-BC63-2F367C1BCCDA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63C6B6E9-F96A-4C13-9E25-84619B99E968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5837C9D-CB9E-49E5-954B-A365AFC55F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73380F4-F6E6-45F0-87FA-4895103829D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99F8BBE2-CC44-42F7-BAB6-C4345E6EBF18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2AE727D-ADE2-46DE-92E9-5450065BBA1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8E25776-9DA1-4F87-AE72-4B61F152649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B5233050-5F3F-4E68-8B0E-CDBE2042BC71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C62CA175-A348-4FB6-B03B-BDE6F2027400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FB13CAB1-D381-4112-8A2C-613B0FCF8F4E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CE7FF7B7-7E30-4089-B6A1-58865C6A3D33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5CE1ABF6-E154-4349-99E4-0F88A3E379A6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CE849E9F-406B-450F-8C66-740D1D138A6F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3657D79-1037-408C-B9F5-BFCE57681D07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0917A1B-8763-441B-AE2A-383358370DD1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76B0FD1E-C818-49B3-A52D-00E09DA334B0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2CF1073B-A3C2-46CA-9CC9-4CDFE7DB5B68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63298A22-EF4A-452E-8A86-4FA410C7A9DF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429AA2FF-E25B-4C72-90B8-FF19F38EED4B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EF5654D8-BAEA-49DB-B15A-383CF3D626B4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B47F36A-63F1-4B6A-A296-BFA86D6C0075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3D33F06-D56D-4B6B-8A0F-AFC95CFF0D1B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DC762635-C6FE-4250-B228-B3EB7A7304B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DA42BF0-BD9C-4729-A543-619AA94FF37D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27433543-302D-4FE1-A4ED-87B9DA530E4F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A994FE6-0521-4EF9-80B7-6F25987B54C1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E714A41-826B-4CF0-AD71-E6EAFB39B5F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31130047-7A3A-4336-B10D-1E39E0F846E8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DBE5470-B880-4A01-B81D-6C1FA1AACF4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257D1E25-6050-48B6-9EBC-A369C14F073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2CF3EE1B-5B90-4FA7-8FE1-A2E01404E038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D2789E40-B5C7-427C-B388-DE8392F3475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DBCD3D02-CD02-4DDC-BDD2-CC8845E961F5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D884ECC9-AC7D-41E4-86D1-1E8866C0A4B5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FA6687AA-EBDB-4A6E-843E-2D52214ACBF4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8C3A1772-01E5-4D4E-9EA5-936D90EBEDB3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16E9FCA6-1895-4B3F-8B20-4BFD2AC8AE5E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E20ECF98-E014-42B0-BFD7-223D331E2C4F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A9FEA2A2-46BC-4C91-B6A6-A51DC3948C1A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2D1222-069F-455D-879F-B3B52F0F3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224535A-785E-43F0-AC64-526874B08105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ADEE63B-0E71-4870-A7A0-C38A889AC04B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216B9C0-1224-4949-AF65-E1441F86D62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0CC9B72-18B7-414C-B99A-FEA1E3E28A31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4D3D718-F2DF-48F3-9012-59CBFE2B6AA8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0493430-9BB9-4079-A0F7-0D21224FA659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100A11D-1EBC-4F5A-807F-0E944E68509C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5B621BB-CB9C-46EF-83D2-F732C1DFA128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958577F-892A-41F6-93FA-8ECA52711B7C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8C09FF3-F02D-4ACC-8076-418402FCEDB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5A766DF-C8F0-45EA-8DBF-4D9F888AC6F1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EB651AE-5853-4A8D-9A7C-E310EA5A0072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CA806520-267A-46D2-AC68-C2B64BF2B67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6DE431C0-CF2B-4AE3-85F5-B4C4E824529F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D7BF5D95-16C5-4614-B9FB-155A566A3AE4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392FEEA-914B-42FB-AE88-789D3932170C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2A42965-4C93-485A-8BF4-7D40A23C33AF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3F102A8A-1B64-4BF3-B6D1-13A67513B5F2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D1288CA-205D-47A1-8869-FDD176FD5BAF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EE5BC85-8D9E-43F6-9534-7424CFB8C6C0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1D0CD0A-1C7A-4CA2-8D2F-D8CA938A1097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D7A16E36-775C-4DC1-8147-3D3BEBB9592A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85A2780F-28BF-47BA-A8A0-5E44A845BF7C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DBB988A-2C8A-4D5F-85CF-546A5FB37D98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D087394F-88B6-4CA3-B866-50E171AAACA0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5BF6858-B325-4566-91B7-4E517829C74A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3269849C-3AB8-411D-B105-A607621FFEB6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DA5BE9F-F327-4F95-A1A4-59E5D10AEA00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6B76FDD6-C239-4BC2-A62E-F3165E09ADF4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919F76B-2269-4F30-97B0-C44BE94F693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92073756-D810-4BF4-B4EC-6BD60FA45255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EA937BCC-F5DD-4B33-A4EC-BAE5CAE860D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83A7BD4C-3FB7-4FE1-882C-2513F1D3E980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2256D201-204B-468D-B5F4-6A438EBD78D9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3EC0C38-4A77-4850-A507-E695BA71B908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C761A385-C6C6-42B1-BE1B-9061086B62AE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9320089-FA1E-46B0-819D-D18D07A9281B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BD745678-32F2-4418-A416-222CB655ECA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77305075-640D-439A-9D2F-68842C46956F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75DD9647-1492-46AD-BFB4-075C4FB97D37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14AF3D46-C5AF-45C1-855C-BB48ED7D8B53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9507BB2B-A890-4075-985F-D92DF7DC974F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F8D26FE7-30FF-4629-A519-6B8851279D5B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880EF20-AD08-4F09-B6AF-09E66233096D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FAB24F5D-1FEA-4B7D-9A6F-D15E599DD4D3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9837346-3B67-42B9-A40C-4763E03D8326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63FF5-5330-42F8-9DC5-16491986C3D0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E76C5ED-AAA8-4A31-A868-9A1AE88AB2C5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EEDE4A3-046B-4538-8882-874D2D191E6D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C43EA32-6B66-4BA5-A3F9-67BCD08142D2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17F8218-E9DD-463B-A331-A0E46DDC1F17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16437835-4582-4DA6-B5A2-E4017E0B2607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83CB6644-DC36-4DFE-9529-3FA89464CA68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FDC8E855-AD7A-41B3-A4D6-A9A683A60042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9E93814-4F83-4311-A3ED-5F4D96CC301C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F8C73266-1CDD-497C-A83F-641DC875508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F6A37F50-FA73-4E51-85BE-69D50ABE4979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3CDF888F-58FD-4E8C-8A3E-D8C19D41AFD4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E1DE8E7-CCEA-4511-8DC9-D5F9687DA725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895D6EB9-DB50-45A1-B939-B352BF1B465D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6D1E3B25-78EC-422D-8970-5BD75476AC8A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4A1B44ED-A0B1-4EEB-BABC-C0A9AF8D238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F194C2A1-168C-4972-9F63-88CC845D2BF0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807C336A-FCE3-4B69-BB0F-AB24624FA0F1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D28389EB-7CBC-455D-A897-C12906E85BF6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A0AA970F-8454-4177-ACC1-8BD01DC602A8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5568B6D0-C1E5-4EEB-9483-394C0B903DB3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B497B313-152A-42E5-999D-6C6CC173B6A0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6F7684EC-FEE7-44D3-A55A-9BE1B9AF59E6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157D44-BC30-4AD4-908B-07201AAB3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5153766-0C70-4D73-B703-4B52D882A9C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A412F73-4300-49C3-8245-500F9DC8C87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7B99E68-FF65-4261-99BF-D6C6B6E9B9FE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558305A-4B57-4A9A-AC58-6663ED9AEFDE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173E76D-E01E-41FB-B8B9-F43448D6DC34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26DB847-536C-47F8-ABE6-7830D9AE8D23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9180194-82D4-4429-BDC7-C86D0332639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1A94973-D02A-4B17-ABD8-FEA0F5C17D3E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64E4BE5-9A62-4D86-856C-E4060D7A4E2C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12FEB4F-0767-472E-8270-56844E5F4972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09506D3-B95E-4637-84EF-F212872447A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EECBF0B-9B8B-42B4-BEEC-3540F9F2FD9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DCA6DA9-AADE-45CD-AFE2-237015AFB174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4540BB5B-587C-40FA-92E4-FF11DAE48827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80BCE8BC-EC34-4749-817D-A9AA53A8D61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0E071AC-EBA5-4874-9D9A-DE721BAF95D7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FEED829-09EE-4F4B-8E3D-E2FE233E304F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7BB0E957-9F18-46B7-9805-27EE31D2F989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CC37648-B585-472D-9DEA-481535893436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8A87A5D-ACED-4D80-8299-39FCD5D84426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61BC7AF-59B5-451F-BA0F-8F510E03E476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30B8324-D02C-443F-B606-EDA3055CDCF2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773051C-5ECE-4628-9412-5946307CC93D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9CF420F-6D8C-4F62-8245-C6CA9103A7A7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E0BB9F09-02D7-4602-887F-1F690B36C3F8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500B8163-8150-45C8-9070-D6F4DF86BC16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C02BA70-63F8-4306-BACD-6AD011B33201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10E26642-862E-4518-A390-3844093CE26C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52C52EAD-0C49-4253-A74A-D6E6A91C61A5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CB16C88F-EDCA-48F2-BE79-6B42C2533BA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934CA7B-131A-46A3-B9A0-B7DD97B771D7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493629EF-1F24-4379-8CA2-D74088E74D5F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EA9F3BCB-6E8A-4C84-B9F4-88CA9FB98931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23520A66-40A8-425D-BC51-346B892B97EB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EBA1A503-640D-49FF-8985-FC373D56EC91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A70CD81-64B3-4EA3-BE81-AD9B1358590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DDE968C-AE0E-4ECB-9FC5-2BE06FB51F47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4FADC25C-7CDC-4D52-8B0E-4D24C7E6773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11E6E7FF-DFD2-4644-9F18-7363B71C86A9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3CD88A75-72FA-490C-8860-5145CA884275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539E0887-6E84-489F-9B88-9C755A792A1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802E81DE-B754-4B6D-848C-F2BBE6912C26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46AD182F-BA12-498B-B14D-C5D2054AF7D1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C0E3CC4-283D-48FD-A8E8-BDB2FC06D1B3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14BA263-4CA7-4D7C-8917-2A27AD905C3B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CE3076B1-5CF3-457C-9EE3-C4906885A34C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4D84DCE-7033-4D6B-83E0-768BB2A42E8A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2E4B2AD-3FF7-485A-ABAB-6958CE50F767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5E64D2F-394B-4247-A71A-8D3E9308F8E5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7A8B5B7-A049-4DBA-B721-30E3B62D1562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5948F0D6-429D-43BC-B705-7DAF6E96148C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2E08C8AF-51D6-4BA8-A83E-11B7A5B64354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48011B7-B201-4167-9E2F-49776BAB487D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087514F-D673-4076-8355-E0534019336A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A61BC2B-9BC4-489D-9062-624C0D2338BD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6ACC3D4-F767-473C-B364-4B9B15C4BEA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8DB8DB60-AC73-4D4E-A7CE-DF1C4F9A6A13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6B462361-3B30-4C8B-BAEE-B0A978480BEB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431D968-70A0-4FC1-AA69-AE7C9027C27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2BACE399-0E78-42EF-8957-1D70846927E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5E57AB7A-1605-43C7-96CE-9332685115A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2AFBDF08-734C-486F-9C19-DA9340734CC5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8F905AF8-4E7E-41C9-9553-9E4BD94FC50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32ED3756-ADD7-470C-865A-B8F58C525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E7BDBCEB-5989-40F5-87AA-135425DBA028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E57E2F8F-2D8B-4CDD-A24D-5CC0AF43E1EC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D545F176-2FD2-4CAF-85A0-A47DE6B4939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C7A556D5-2DA3-466C-B0BE-3DEACB2F50AD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CE7CC369-2527-44A2-90EB-7B67DECABCD1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554FD-D61C-4D01-959D-CF8F8904E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DFD6A9E-F76E-42EE-8C71-D4C1223AB60B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C35E334-B1EC-4508-B3B8-E732769FD6CD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3B15F4D-6615-45CE-BC6D-404DF187F974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47D1C04-602C-4788-951E-156AFB70DA82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6E57846-6D39-4CF0-AB2A-0BB1EA79DA71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B7022F5-66D6-49E6-A07A-E3E429EC8EFF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5EB00C37-A3BB-470F-AC44-8DBEDB18032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F60E069-1E71-43C2-B418-F4AB3758648E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90D23AE-2AA5-49B1-9629-5895AC1770AB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3517A3E-F33E-407B-ABD2-0C6D912BA74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CC6E414-3114-4103-BF54-7D6AC032820A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E2EA69E-D704-4542-9BDA-C773095A3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8D2584EA-F8BB-468B-A5A1-BAD04600C936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CF8A48FA-98E6-48E9-A529-B7290E30FE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F30ABD77-BFF9-456C-B025-F8071B83713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AF91207-3F35-41BF-85C7-60E04C7390FF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FFB86898-BB4C-4444-B143-48EDD8D93480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E9ED795B-706B-4CA4-B184-3CB1548D165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907D60ED-26FC-4214-926A-5F672FD1D795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3815710-AB1F-4290-8C92-B8FE693F2807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F1265F6-059D-442C-AE1F-8623EB049026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CE681B1-7649-49B1-8573-C9AEC8CEBA31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A8E8C8F-F869-4AF0-A4E3-912E92C8C878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BEA030B-5663-43E2-8FAE-BC6535F22ADC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DC1359E-F15D-4C40-97B7-CD5DA6F1E720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4112601-F493-4551-862C-F4E1E7C514A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551A2B3-B07D-47E0-8F01-4EA8344D9B0D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0968884-A500-4306-BE4C-06D1EFD62EA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8E9674-7780-4976-8A47-C1E04F971E25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CE8D6F1-D99D-4D33-B32B-D2E011DC5831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BE38D13A-58BB-4D8E-ABFF-9ACE0464F4AE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C1BD45F-6311-4B7A-8862-B2427F15600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460BD5B4-ECED-4FB4-AED9-020EEC496B35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5F02A99-2D20-418B-8890-C855363AF353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1291190-D641-4A49-8019-E76F99B6E807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111BA3E-BE8E-4C31-A32A-44D97FBD7C05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7284E344-DD71-4E51-9370-90601BFBC236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4AADFE17-080D-4885-B1BE-003F4396B178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5E0D635B-C260-4842-8F49-013E46597B2B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188005C3-16AD-4B9F-9881-DDF39694EB6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A4CBFECD-8D3B-486A-A14F-2404C1066144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E1E0366D-F7AC-49E9-A513-A22352CBB40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37D7E2C1-DF89-421C-A885-B52B1355CB06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F3FFBBF2-8355-478A-B99B-2F3D3BCAD3EA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96C7CF03-FA23-401E-BC7A-9BE44EBAE21D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37A5F981-707C-4740-AC78-CEC384F7D888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A7E9235-53AB-4B30-92FA-EEFF33C021AB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187A019F-BBDE-419F-A4F0-7F193BB7EFF4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9A747B8-4E5A-4EB0-A698-91203989CA9D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4149AC1-03BF-43CF-BD59-5292985BB169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81A4273-A6FC-4713-AECB-5CD98900A2E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6B1278C-1626-454B-9EB9-B3D5446048FB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E314C3AD-27E0-4C92-AB69-31C5DFFD5140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47AEA51-4777-4FEC-8AA4-CDDF6ED06418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B3A1837-0357-4240-BA08-3D8D1DB6DAAB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CD7BF61-C8F1-4BD9-8CF7-FE8C76EFCB3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3C9BA12-A55F-4EB3-BA67-9A1B77B620C5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3FF0EA2D-D5D5-4399-808B-B7F0D776D558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86E973B-2788-44D3-96C8-07CFDB9C0531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3A17387C-0C8D-4F1C-BE50-67BAFA2B7A05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F2686C3A-0CDB-4B99-A2D1-5B54F6A08D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8DD9CAC-9CAF-495A-9711-B06625FC0CDA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D5A16887-3F92-486B-9AAE-3F499FB8F96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64436E9A-9FF5-40C4-A84A-9E76E2156880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E60D934C-C4CE-40FE-946E-FEE0AF88E5A2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62B9D163-5760-4017-8940-776CF3C3E07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67C44F87-F114-4BED-9E2E-2839FD3AA136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CC840485-574A-4329-8DD7-762924537112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D3B9D5EE-6E63-43DE-8B11-8003387BEBF5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84DB74-F5CE-4896-8897-E58F4C2EF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862B78F-BB80-4477-A36A-136273DA9853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7BD8F46-D875-47D4-B468-9B08E3F97B9E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F884632-00A1-473E-8FC0-CCFEE66A121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EBB3EB5-65A9-4DD3-A9F3-3AA773C69DC5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E76FA78-E955-4546-8106-6D05C00E8BBE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2EF572F5-2074-470E-9FAA-81F9DB62E403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21D27BC-0B03-4F2C-9B1C-FC866F43D2C1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4158819-05B2-4A82-934D-F5E1471DFE55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A75EF468-277F-45C2-97B7-3B74A7553381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C0BD80BB-2271-4CE4-AB20-D37660F7C46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353B2E1-7227-4BA8-BF71-5F41552D89F5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0E62DAF-DC3E-415A-A5CD-D0B34746C965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984D33D-985C-4255-B16D-E8DE9A629E22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F49ABBBF-0721-40D2-A05C-94BB82AA5049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8B8DD46-8C97-4D8B-AE7B-9B617784466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B33B8AA2-B0DA-4CD9-BEFF-E2077484C64D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1EB16EDC-6B1D-4EEB-91C2-0DBA7EED24D9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8E602AC-A0B7-41AA-B54C-FA970AC1929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9338DB9A-4CF1-4A03-8FE8-6EAD66A3DF1C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ABD864A-F3D3-4D94-8556-DF87295E2676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9672EBEE-5D62-4954-9991-1F1921A152FF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3C14FC3A-C688-45E3-BFFA-830F0C274F8C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16D89685-A987-4A80-8D38-2D6F05D7B2AF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D2F3539-8182-4C18-BD97-9CA8171E0629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B4D855A-3A6E-4B77-809D-496AB2AA2B4F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BB98BDF-8683-4BBF-B5B1-601DBD4A2AD7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A1A00B4-614B-4BCD-BE54-8196DEFF594D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BACEFFE-EB9D-4430-BE49-212E7AA154B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AD2C3AF8-EAA1-41E7-A6F7-B74FA2689F00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053342E-50A0-4F40-AF5D-5E7982267886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C304E12-A46B-4D78-8B68-A8902BBB77C2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46BB922-33A2-4DEE-BC25-E4CE0B8C487F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6E5C2512-6BAD-406E-A0E5-ABDD09183D24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8CF9A5B-D402-4FB8-8DFB-BA17E665A9C8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81235647-2F7D-4429-A616-7FFF592AF91C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52DF9F3A-1182-40D2-93BC-FC8E09BF01A4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7E744D36-A258-4E3A-9578-8112311526B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10A0F714-371F-48D5-A8B0-3D3CDD498761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3C61CD81-5F80-40CB-B2E4-D0879048C294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1DE63979-6A47-456E-8307-7F8E09053BD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5CD9385C-784B-4A46-B6D9-FD0C9FCC2C7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A967F7D-EF60-4C1E-A0CA-F00866AD5963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BFE1174A-3839-4F9E-B41C-9C4110CE322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F3C51494-DE72-4612-B710-59F3263C2351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175C07B-E84C-440C-B672-AFF1FDD78463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7977A44C-101C-43F4-9CAC-C30267C8E2B9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90DC4334-7041-40A8-A5D5-25BBD88C20BC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F9A6DFD-D182-497F-88EE-67087B355A0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87BA323-B771-4EE5-AA9C-22236801191F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6473D0E0-B6DA-4F19-942D-E817AD451523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A6F4E3DB-720B-406F-80DE-1BAC4B3AD2EE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8B5287C7-2A5B-4DF5-9038-48251F26930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F216EB17-9C15-4426-9C0C-5C13D4AB55CC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76BF7072-D318-481B-B4FF-1C10259803FC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4A2CC5B7-8D3C-4EDF-A8B3-1C1ABADB7F64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3807865-A75D-4AC1-BBB5-9036A712CA02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374F683F-37CA-4B5E-958F-1847478A5F07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67D6B1B7-4DD8-4FE3-9926-6826E03466D0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D5E6FCBD-13C2-4786-96A7-87C4F19CBCA3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1A1DC45E-7E60-4D31-B16B-9B9FC9D139B8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EFF0C7C1-EA87-4EA4-8E5A-E15703443F6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9931A9F0-8959-4B70-BDCA-24D025823D48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6546547F-DD0D-404D-A4B2-91BD6634BD81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127E492D-7F32-40A0-A97A-842E8FC51B77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E5BA388B-5343-478D-81A8-9FAC4505AAD2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F30D03BD-6BAE-42CD-86DE-1F7B9EAF44A8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B35F9BEB-EEB2-402D-BFFF-F598E4B476CD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9C64EC13-C212-4B98-834E-495327BE1DE3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A782210-DCB5-4FC3-AA51-842052C36176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E2E7CC-DF84-4C99-9680-5C8F2663F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CEF768A-297C-401D-9B3F-45D92BE2D1F9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85F16F8-ADBE-4214-BF5D-A06F112DE94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99B56F2-E9AD-4B7B-96F3-C2ADDE0A6F0D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270E45F-A2A7-4211-B731-ED46D4DC6880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39D45FA-66D1-45C2-AAEB-912F838F35D6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54229C7-78FD-4D47-A1F9-575C26C58CE2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CD1AC33F-8D46-4B46-82FE-E1D2498FC8D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B64DB59-51C4-4D91-8F9C-5D8D6BE907B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846E944-BD16-4711-A3C1-1913855E1E79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66DD0D06-4481-4225-B967-0F3137C3105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55235F6B-FDB4-499E-AA4B-6F6B62BD42B7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B09C594-D38F-4283-A2B9-61A2FC0A1A74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671B381-D2E9-435D-A3F1-C3CBD22F67EF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9B34090-3471-442F-A4FD-FFF478D37FDC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DC4EA903-BC33-4D0B-B38D-995F1960B6C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18149E4-BA00-4E63-97E9-56960E56FCC0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5976C08-F05E-4A7B-8543-3F284B299674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B6B84C8-CEAF-4509-8A54-1AF4641041BB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7CB02B6-A650-432F-8067-CA4714B32F46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A7CBBC5-46DA-41B4-A2BF-6E8A085C8D6A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A3DFEC5-ED3D-4E01-845D-05875B9F63D6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4D7ECD2-6620-45FA-93EC-61EEAD7FAC2F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98145CC-FB09-4FB9-BC3A-E684E4CB5C2D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5ED8F24-5485-4AA0-A975-8AAD38F466D7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CFBA50C-82AA-4637-A5C4-14A501BE3BA5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DDDF9AA-0CDF-4B19-9F38-220EB611233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F9647CA1-E0BC-4DCF-A409-9E891F5544B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F2CB642-96B7-48DB-B47E-D595FF0FC374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1E44B999-3A3E-4DCD-B55F-C7A63C0209A3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FD94925-0D79-45D3-9999-648D39E0AE8B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A4BA86C-C0FC-41DD-BA48-717C975E38CD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F97D5B36-821A-481B-A037-ED30A29B2F13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CD418E7F-B364-494C-AB66-CD459FF43404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0EDF61F-7E91-49FF-84BE-F735D4EE7C6F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9EDA5F3-B5F3-4D08-9A54-5940FA9550DC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80D7A3C4-9FCD-4476-ADD3-BBCA7347DF2E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5156705-4CAA-425D-AB6E-C57161AD4D12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BAA70CC5-E7D0-458B-BAFC-F627E9E506AF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DD2CA2F9-340D-4DD4-A59A-F79B50D0DA89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164C82DC-68F2-44B9-9713-51E944916AD5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A11387C2-5DDE-4E38-9BF9-09E6BF3F3933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C261971F-AEA3-40B3-B3E9-35EF9399E0B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F8BF030-509E-4BAB-8B6A-2BC79E405F8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100F848-C63B-4EF8-A547-49DD07DB5E92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FE3520C-68C1-4F7F-83D7-26F1194D249B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4B3AC9E-36D3-4183-B349-9C88CA8156FE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1F9D91C9-4606-4EB3-9C9A-F5912E33FAB3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1F31640D-D123-4C45-A438-4EB63016068D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817998A-9835-4785-BBE9-14A59B8DC49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7BB10EC-7C57-4C17-B761-32FEBE428EDF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D1526B5D-30E8-4C43-9D0C-82E50A53FCEC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C38A5F2-EF7B-4E53-8DD5-2BA00F5A94D0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F5E79088-F2AD-49B0-815B-9DCD9C2E6FBD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3800F15-8987-4227-B4DD-583F2B5E9E0A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365856F-AF36-4D55-9CD9-2446A8744620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F1A3B1B-7FC7-496A-9D0F-BE1AC8A2EF7D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AC56E9E2-5E7F-47A2-88E7-328720C05864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49B57D5-CF35-4823-B703-6F04A9A3B31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A9D4197-7ABC-404C-B62F-FC7365AF2559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B288CEB9-D3DC-44E6-A310-22E9D9CF2968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8B77BF82-9977-46B1-B8B7-45A7650BA630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18B5B1FF-729C-478C-B3F8-94864B0251A4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FF117413-0772-43C3-B013-B22760E84DEC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98225883-CA48-4689-AFEF-264B23F2210F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69D4F345-5375-442F-B01B-1594EBD349E6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E91E6989-C035-4DE3-B8EC-BCDE49C6FE44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ADD0B7BE-D015-418E-B784-AAA4423EF223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CDE0C018-33B7-427A-B274-F332DA6CA468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5DEFC149-C771-4DC0-8DA9-535D9AE88641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62F832-BE3B-445F-94CE-C88C24113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5AA42A9-EA5A-4DF9-984F-6504B84554F4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4AB6E98-A6B1-4DD6-BF9E-F71530102070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7A9A9CB-8169-4207-A3FA-318482014EC6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2A01B68-888E-4F24-B195-B0301E6BF0B8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3AE435F-76AF-4558-8A2F-06E36D68955E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E016C73-9836-43BE-83A9-AE966630D766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943613E7-F4AD-4371-934D-A45159444C2E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2CAD826-44B1-4B4C-9A76-A5C217E70DDB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68653B9-E708-40B3-A7BC-30A1E9A3A694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9CA6C3D-E761-4EC1-A896-9756E98D3A23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5ED96C7-C6A4-4232-9068-57C02C17A1C2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DFE2D7D-25FF-4BE0-8AB0-1FC93421591B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E367A99-B3F7-492F-9BE7-FB90D08FA98D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EE6F075-4F72-4A96-A3EC-9F39FD376479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C251B40-3655-4996-84F9-0B31ECFC32A1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B8C71BB4-1E6B-4863-A7B0-960FED179C83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3279180-1828-4D4B-B81B-645AFDBA7E6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5616FCA4-BA1E-4EAE-BE10-173B770F28A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0A3C7C2-09C7-487D-8E55-24FB590D8FC1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0578CBE-CD3C-40B3-B294-74D376DF5C4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DD2E3DE6-6650-4775-A3AD-3D20F8EF05C9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5F3C2D4-64BA-49CA-83E4-2C763F966865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24FB4013-B61A-4D6D-B20B-2FC60B517667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A9963E9-6606-4DEE-B98C-5034A941D40C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D2E04F2-A112-491D-B3F4-1A397D93B7E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EA347D-68F9-4F91-BDBA-3AF53D62F293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A2A0793-40AB-41F1-A49A-18C7D0E90437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BD1627E-2620-4225-8548-D280754A538D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4C22DFB-752A-4B15-ACFF-2FDF7DE2D917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FF6A06A8-31D9-48CC-8861-DB23F0A338D2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33B9FF4-4E28-453F-B929-E705F63E8C0C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28AD2E9B-DBFB-4AF2-A507-B337F0B07568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8B85095B-6347-4B76-8B99-9A64F1A0F1A4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3F21787-A160-483E-BF19-9D0F4AF751EC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31C93F3C-11A3-4350-B203-DE82B1D9841D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9131380-D1BF-40DD-A08C-F045B3E1AA3F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447F6547-BDC5-49FF-AD77-A9CF2574DC8F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BB904BE4-CFB4-40A3-9211-BCC9FB296203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B39FE353-686A-45A4-8388-D624E81B6E6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60859832-852C-4CD4-84D3-D54FF18AC3ED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451068A2-72F1-4C39-B3EF-C3DD6362A61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33CE8E04-93BF-45F5-B0AD-2C735E864BE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CA8DEA-1AA4-4AAD-881E-0DF40D362DD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E903AE18-7BE8-4B4E-A2AF-C3392CE0734C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939EA6E-8A8E-4065-9CAC-01A0B02A2949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B0749334-BA37-4A2D-8E40-2B97DCE1F6FD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353AA540-1DC6-4C38-9DF4-5FFDA84D698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9DF49F1-99B3-40C8-AEA9-AAFA48776ECA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3E99BA0-A1FC-477F-89C2-C445FD14652A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29741019-206F-45D1-96CB-B5C0B3507409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543BE46-0685-460B-BF5A-C5846099A475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BD6AF97F-40FB-43E7-A6EE-726A93D28AE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0C062F5-2A78-4BAF-AE96-2CFE33D27F8A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9DE8F4D7-5F1E-4DF0-B16F-9732570AA716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F2F29DA-2942-4F25-BE9E-FD3597AB95EC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4260E484-B248-4D31-8189-1A796E7C868E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8EA1872-2FCE-4127-AFFC-2CD2BF70D670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3D0685F4-301A-40F4-BCEF-90368713211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868A007-8163-4B75-8CA6-049D0C9E8F4A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F8F51BFB-F79D-4BCD-BD7F-C04C4D5F3C40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8A2B9489-526F-4667-9731-FAB31521D7FA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6B3F09B1-B5B2-41C4-8B27-4E09DE3F855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84E426E2-77E1-46AF-B947-CE1AFB9E2D7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7BABA5C2-A6B4-43DB-BD56-37031BC1399F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B1587A-6B9E-4BE8-A299-90E39F936342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5415A34-4C87-4D88-834E-1C378E443DA8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245E13EE-9326-4C19-BF17-7753BB701EF5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AC4D90E9-81E2-45D1-B70F-39A951177A96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DB5743B4-8185-4537-B432-749877722D68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9E30D2-C54F-47F9-A58E-4A78B4018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80CB670-8D47-442C-8BBE-E25589005E4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9528783-4E48-4896-8664-AD2F312CBB9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4278A94-9AB1-4EDD-B020-CE1878682A00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CE36F40-32A0-4453-AEC3-517F2FB7E945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57582A8F-F543-4941-A8B9-96CF7B72018D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3597E3C-86CD-4645-81D1-302FDDFB991D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C9A2E13-5114-4F8D-A2F2-D292C65245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CB49F7B-1C98-425C-B32F-EF6CF0B83299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7112A3C-C663-45D9-9FBF-8CAB605DE42F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E774CCA-D141-4014-87B9-07D85D0CE63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9F9F82F8-D2A5-4E36-B4AC-17919B31BF57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9B56811-42CB-4C06-A346-6145A7AB0274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60C18A0-3860-4DCE-9E8D-6ED65345917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3780800-4058-4811-BDC2-F74B610075B5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5A352DA-D7C1-4DE9-9FA6-55DF19441FD7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763286D-242E-4769-BB13-77AD0C31ABB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051086B-B783-414F-8CC8-F8504073BD5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EE9328FE-CDFB-494C-ACB7-2552E6769FA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36DABF3-6F46-49BE-B143-877E1273DBB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A8B269-16B1-4D8A-B836-A7670DA75598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F591680A-FC1A-4212-B064-E3E22A8290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3D54EF17-2A51-43FA-81C5-069FEFC6FEBE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C26AC318-8B6F-45A5-ADEC-25E5F00E05C6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F24F166-0114-458A-8F39-4EC9095E7A17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DEC5024-F44E-41BF-9012-AE5F1EFEE7DC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A029D214-985A-4C11-9771-BFD602522FEC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FD1C89F-A660-4580-8D15-6C36160AC750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8936BA6-02B5-415D-B8EC-12FB6131C5E1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38B124E-1B29-4672-BD17-D2D849F17E5C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213846FE-6132-4A15-B553-793EF6B14BBD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67F57215-51C8-437C-92E0-AB5810375A62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CFAE980B-D0EE-42FB-A433-648FCFDC58C0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C5854448-1740-4434-8C58-879BA994AF23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D3EFB527-C329-496B-916C-95594EF340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E7D266A-846E-45B4-9197-B09E32B8AD25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A61923E5-4C04-4B31-97BF-A72729CBF9A5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8EA8745-1034-4C1A-8A70-598F167DEBBF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7EF5754C-5358-4199-89A4-8DD42A5D14FC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8E0EDB4F-A1A5-4E48-8F28-55A47F6758B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6D685831-953B-47B7-902A-B9A20744851D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86D54CE3-A878-47CC-93BB-5CC3EAA5CC88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86FB7BF8-E455-4537-B159-6C7B396C4493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DCB06FA5-D6FE-4ECA-B3C1-5846302D021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6357E66-D4C8-4E98-8651-BD3EF3B7545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EBB385A-B36B-487D-95CC-1CA061042C1D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B465BD4-CE72-4DB9-A8AD-D5A4197EB7D9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7C6F66E-1F59-46D0-ABFD-52F48F9F3CE1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B33FF151-CFC0-4C22-94C0-F028FAFA601B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B627208-82BA-482B-98CE-05354419FB22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29D1D044-E0A3-4267-99E1-EBD6A971F59A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50A2C80-AA93-45FE-9C53-AC00866C36B8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6F20256-1C1D-44D5-ACA0-A26DA5B3FF5B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FB415DF-7534-4B0F-85D8-A6EEA92BE090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2256EFC-9431-45D1-9D7A-FF9193F563CB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87D483D-D446-413D-A8A9-020D4EB3650E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186954A8-22AE-47AB-92E2-61E3D0E31D66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35E9034-BB8C-48D6-9B83-B33B90019FDC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1E1C49A-B966-4AC9-B722-BAC44A6500C0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10AFC98D-35FC-45E4-8209-EA8A36ED924B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1756AA7C-14D8-4CAA-8955-30AA1B352930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9A02A59A-4740-45D3-A332-EAA16B3ED9DB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86A73BF-BFE3-438B-A5DD-3D70C1EBE0E7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5088D1BD-F80C-4F34-BF31-12096983F731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60B29FBB-AA10-4CA4-A508-D95979BA8CC6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62664644-26CB-4E86-964F-25BF89A305BE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EFB0CBDF-4D7C-4EB8-AD16-E20B3207C624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416C2319-78D4-4311-A7E3-13D109CCA676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424DCF27-1DCE-44A2-926D-7B8AFAC40DE7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63B00AFC-3138-43BD-9C75-B158FC8A8C02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825BA-9F17-4D53-8282-7511A16D4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888D3AE5-A954-45F1-80BE-C29FFDBDF2CF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47FFFF2-54E5-4BF6-8551-704B5B9CB7E6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6638B30-50AC-49F9-9EC0-7AD55F4B3AB8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138E58B-74A4-40E9-B08A-354D35A0B0BD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256E74D-DDEA-43ED-AD70-3829EE631844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3E4E8B1-AFF7-440D-A29E-861E1526B04C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1DA3106-09F4-4980-A7D3-D10F769AC24C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9EDE981-FEC8-4960-8990-3CD08819CCD0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A6CD1CA8-D3F4-4F05-AFA1-C37415BEB678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DEC0BF18-EA5B-40DB-AF4D-AABB71D62AE6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1C14707A-071A-4574-A24E-9FA464A99E36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DF1E3DF-AC1A-424D-8091-825FCEA1C72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3827075A-D815-46C7-AFF3-6198708E5C54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90062F39-68F8-4C0A-96E0-561C14E00F67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7048A2B-8EEB-4B0F-8F60-59F47C2A55B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AD1C41B-76C2-461E-9914-7FDA97C2F853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F3A1A79F-6720-465E-932C-ADF0A628AA9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7A7EE55-88F1-4BB1-AF36-BBA5EE8F501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9EA2A7B5-B09B-4095-8625-D8C4CFBD9CEE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69B13657-32C8-45A4-B4B9-59AE4411E65D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C5D8574E-4232-4850-A066-AB367463D1B4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5266118-CADE-4C7F-96B5-4F20079A108A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23CE406C-2A21-4435-A7A0-78B5586E2947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4508D6F-8B77-488E-A5D1-C5E588CD9D3E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588D637-B361-4A1A-BCEF-23E800E769D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51F88072-D3FD-45B1-BF61-AB4A28AB3C5A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C5FCCD2-9FA8-4B91-8F40-5E704DFA7600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276DF70-FDC1-4175-AECC-71E97F8A3AF0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97C1206-CD47-418B-992B-2C5E7A2E5B8A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97D703AB-7539-4FE1-A2CB-A33E2364B8B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0802C79-ED1A-44AB-B36D-1F67C3792225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89C20503-33A2-4434-BD1E-C5C7B933545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85D1D4AF-39D6-4DE0-9BE7-E45C509357E4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B370BE52-8B9F-46AB-9ACA-328469E18BAF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161D595E-8D09-4732-964D-4465B6D991CF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C230408B-1E0E-4F2F-A58A-0E60BEFF7CCD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F5AFD1D-C186-4F54-8226-99814C048E5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43C04A21-13AA-4B81-AEE0-DE7C043A6E8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36909944-AE20-46E4-926A-7280C91AC588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D628E04A-33F1-425A-8FB9-7353C1752425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BF38A2C5-859F-4DAC-9799-296217319C01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257FC5F-C2E1-4A6F-8561-FAC7C574396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42362D72-23B8-4E70-9A7E-E2113552E96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468081F7-0AB5-49CF-B3DA-D85A84875025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5A14E24-A8BD-408A-A5B1-D4747BD349C3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858F13C-D609-4A84-B621-35BE1636F984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D0591330-4BB7-4B54-AA02-0D0BE2B11409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55267DB9-21DC-46DC-BCDF-45BED738E94F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DA3427A-3842-4F31-A64C-D7AAA1B8B28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C3502A01-5DA5-4F8F-B1E3-4934C5E9A0B5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2793B7D-E782-44C0-82A1-7961AD4D08AA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C510B493-BEFB-48A4-964E-55AAE68BBB1B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634DD72-FF69-45D4-95D9-1D22FACD89DE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E2AD87BC-2FB9-497E-AD70-E40FD0EED432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A22AE72-E284-49CA-85A9-490D0EB45783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BF9BBB6-A9EC-4116-85F5-F2C191E0EF9B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84EE9C0-6412-445B-B21A-448C6EB1BAC1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16A7828-FC51-4FF1-87CE-B1862BA580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5C6AB66-A4CD-4157-BDE5-B11EBB5A2FE5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8B66FD37-D0B7-4912-98AF-A225EA908A0D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19BC8484-51B9-47A0-9C50-CAE2E3414C56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5FCAE861-AD0B-4400-BAAE-847A70186C37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88E6D97B-BBD2-41B1-AA53-9E622FDB7A77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268F8FCB-3FEB-430E-B0FE-13A4E3FD2D18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AE1CB389-1B8C-4701-8909-5D023A84BB66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9DEB6E0F-F796-418F-8946-ED3D9862BEE3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DFFF2A54-AF61-4574-91F2-50E930EF6844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D4846266-CF03-4568-8D8D-6747FC4B8213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84BC0125-257A-4E5A-BEF5-C6BD0295EDBB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37A050-6BF0-4991-8507-8170F4C92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39532ED-2E79-49C9-BA47-AAA54D69E96F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26C5A43-94BF-4F95-BBC5-A64A75034F4C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8106FD9-3708-4E94-A757-1D973B1AFD67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822B098-D029-4B7E-B72C-AF8AD32313BB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C20D7B2-6FAF-4C21-9BD5-CEC14113E832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8F8B33F-0CE5-4F00-B4F9-24A908E46605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6CCBE2A-E872-4060-BC1E-BE7575A5C7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4AA2D7C-729D-4031-999F-A9CEF725CCEB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F317987-23EE-49BA-8C18-822A14F2EBDC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68C2C74D-38A0-47DF-8C55-044F353A210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E0724FDB-4B30-44E5-B9C5-E7471C0E7F0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75D987F-FA01-425E-A815-0F02B4086E47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877527C-0F77-4D0A-BC71-C93B7BB0CFB9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F123A3-D200-4EDC-99DE-45615096B9EC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FE03FA7B-B7D2-42B0-BF76-802C4FA563CB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A3B951F-D8EC-47D2-A48E-459952A7464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CAE92952-E581-4626-A68D-7B15C7EFE6C5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FDB68A8-C1F3-4E0F-A7B5-4015854AB16D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87CE776E-BE1B-454D-BA54-6A964B0023BD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68BEC71-50DC-4073-9445-8ABCC581153D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4A678D5-4034-4B79-8C0F-9D7E4E18A260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665A479-A748-4FE5-8638-C8B5598F7FCF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0D8D81B-75C0-45F4-AEAC-6514A2125C2C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698B0CD-87CA-452C-8603-BBFDA1EFA376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9C73109E-DD3B-4B44-BD18-287E37F66847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190AA726-60FC-4F82-A595-D8543C898DE9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E8B60BE0-0C9F-4985-879E-885D6F3BA7C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C041207-5115-4A36-8E00-56DD7357221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1C48429-AEF0-4BDC-B610-1C26601B01C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33FA836-9D59-44B8-BB26-0079F8B45807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A05B6EE8-8FBF-4B2C-85FD-CD1BB5DF6D26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EFD799BE-F4A8-454E-BAA2-9E27383F8C2B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0189EBA-BFDC-4A78-9D29-D382B58DDCB6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E452BC46-BC0F-4B41-BBAA-E49BD2642C27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FD1846A6-A085-4557-A52F-F08FDB0AC718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DDFB2F74-5709-44D1-A5FD-C22A88B97017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2EB20D3-A04C-4FF7-BC21-40F335A3C5CE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E4D5441D-04AB-4830-8EA6-C3BBAEE5103E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1E1272C6-B189-434A-AA21-6D5F0F9DB6FF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451CF555-0CFE-477A-AD8D-F2C615F27F02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A89B39B7-FF7E-456E-BEB2-85F0F09A314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EB3DF825-D8E3-475C-AC14-9691635102B7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E28DA677-51B3-4D79-82D3-EE9D5DE5E65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D620E075-94B2-4364-8E2E-00C6A0DBCB75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AA8AB-ABD7-4A56-BA18-020AE6DA6E33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2DF8896-3562-4B25-B109-4352E747051C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7AAF7C4-7FBD-4F12-BA91-650519BF3C41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1A19AAA6-AC55-4A21-B45C-6A15E6925EAF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4CA4C3B-262D-4BC6-9CA5-0262F0B1842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93F74A2-7AD4-480E-AC54-0398716E047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A91C1401-5751-42EA-8061-CE2F175C8D3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A919B097-729C-4A8A-8E92-444E2493F63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04EE414-5FD3-4AD3-ACF4-69673FB95347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EA73FE7-8F64-403A-A257-C1EFCEBF4D32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6712CF3-227E-4AB1-9BD0-1320599909CC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1887839-F411-466D-972E-BE21FFDC82BD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8648267-CED1-4D30-BA84-072C218EFBE0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F6034C6C-5A9F-4888-A410-C23AD2BD16A1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D82580EB-5084-4549-96D3-6BCA38CE49D2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DD591EA5-B770-41C7-843E-A57F07881BE3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810339B3-E1C9-4A99-9468-A833A9C1F7CD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A94080AB-7FD2-412E-9BF1-A47652D8755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81C85244-C790-4B21-BAB7-AB81B2A19F87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FE132EC8-6785-4D12-97A1-B2EFF16E6818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7AB166E8-B048-4399-BD74-289408ADC788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866143E1-F615-4445-8D03-4739F138DFAD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A4C734D3-C153-4018-A249-0CED81D82377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6F22E42B-92A5-4190-A84D-881C7EC482D3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3D7D7673-B018-43CF-9B66-8C470C6A2FC4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9D13F7-B312-4BD0-A971-D29D6C044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282B47D-19B0-43D0-92A9-D9F5FC3600BE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57C053F2-3D93-4545-A43D-591BA911E0DE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C2A6E24-8FBB-40B0-A0A0-D6041C1A368F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8720C63-01B3-454F-8007-40A429A5735A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E52D7FD-C76D-4A3F-BB08-BF2825573A39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2ED4D8F-7454-4526-BEC8-12E7332D119E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3AEF7FD-444B-467C-A026-AC8A571DD3D1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4972852-4426-47DA-B347-E4EC8270362D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752EF36-F7A5-48F1-B0ED-930ABF7454D0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45530C0-E849-47FA-B571-7FF6F64F702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1D46902-AA72-46AE-9F21-7372B0A55695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D3C2D89-D028-4C3B-8940-8E0F635D54A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96F46664-3C34-4518-9A02-1FB61BFB723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C4F9E01-7AE2-4035-A662-06865A48CA7C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B531F777-5842-445D-B11C-67CBDDAC778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A06B28F-11EC-4B86-B7A2-6D4857BADAF8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3E4A0FAE-CC60-48F8-9071-64F870F0B46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58BA78A6-AB89-47E7-B9F8-DCED1523749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82005049-E9A7-4438-B58F-4D616A1B6B6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9F682DD-718E-4219-AF5D-F36FC50107BB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FFBF980-6B8D-4324-807A-78F929ABD5FB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3555AB8D-84ED-4EAA-B14E-DF7DCC9777E3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E5327AB8-7D6C-4144-9699-61087A6589B2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A360664-7888-4FB9-9B45-AA7A9A8492DD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9642A6A2-3C96-478B-AA1D-372DB391AA9B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D47A5EB7-AE66-464C-A003-3CF0927ED252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D6FF29A-7051-43D6-A62D-9ECBDCBBAAE0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EEA2D55-99F1-4C57-85CA-63A75D811311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2E7361B-0D57-4D0C-8E7C-E10838048665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730818EB-C673-4D07-B5D0-C0024B001B0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1DF5E69-C567-4F7E-BF1D-F3D38C596888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4BA19DB0-2F4F-4EC9-A304-9805EC85631D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F0C5943-BC41-4E02-9CD4-1CDA4189C34C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D360C848-CBD2-446E-9FC3-49D40CD89D6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18EAE06F-C8EF-44B6-8E8C-8A221245E59C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044BB0F-72BA-4664-9EA2-724C28E1F1FE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67F2932-E188-42D9-8802-1E1F4B10A560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AC2D0C30-E9A7-425B-B606-0108B096490F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8C0D2A81-D102-4768-9620-A8A0A63E179E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7ACDF297-ABD8-43ED-8952-BBCAD5872EE7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CEAECDA2-EF82-4E14-9598-898D2C48C9A1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DC1B12B3-DF02-4F41-9088-8B3282739F7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C33DD16C-34E7-4209-9428-2191851BCE69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57E5177-61C4-416F-AF5C-618A4BF8019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3D2B8B1C-005B-4912-BC09-AC3C569CBB78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891FDD52-6783-4936-BCFA-EB11F8C7BD54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1A95B979-5A97-4E04-8C15-C9E8F5D482FC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07288C4-2EB3-4824-A853-36FDFBBD0E5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75C7E98-9D94-4653-918B-EFB29220DE6F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3181FB21-F3E1-4E1B-A74C-3DE68186A30E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8EE398B-415B-4C4B-94E2-23D0AE26D515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19433F45-8C39-4714-AC33-AC68CF498364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C68D5F3-A819-445C-8B05-B42D2A627EA5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4942407-967F-4DA9-9A93-2E1881CC9442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2ABE2436-AF21-4757-98D2-8C7AB1FCA9FE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1776B1EE-08E6-4737-BAD6-8EC052CB1A1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CB86C45-0BB6-4D23-801A-FCBB1C2FE68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4B880A8-4897-4888-9B34-1E45E7DC1C74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196B580-65F9-4E74-956A-F3301FAAC25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C02E9B0F-E031-4F8A-8765-2ACB6B09FF80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1A363B6B-FCA9-4962-9110-01DFBD117EAF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346E98-FA54-4F01-9A3E-1E0239AE4069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4C4E4D74-3E8A-4B24-BB7E-97EC6EB1116F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764BC4BC-92B6-478E-AD37-E7E23C0E2ACD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5258B80C-9A5D-4020-AED6-0DCA3B6D0269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7ABBCDDA-A9D3-429C-BE59-65DB34E9C1E8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340F96E-422D-43F1-9238-905DEF853F8E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39939802-061B-4F4F-BE9A-88541C272DDF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43AA26B5-F307-412E-AE1F-B7634BDC2EEB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4DFBE7-F60B-4ACA-A50E-40D31485B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5FA8797-D86E-4C71-A577-4AB3AAA41373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2DD7801-CC37-43C9-BA53-74DA8972B3EE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2D25BFDE-C2F4-407E-BC95-518CB6EBC324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20CEF2A-E180-48C6-BA63-A0ECDF2FB0B3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7C3AC82-6CB5-4073-9336-5BD453AA9BAF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B3FEF5A-FA51-473D-8C63-5DA2C5A581E7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A62E5B0-A743-4C3B-8675-E68A0990CDAD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4E9375F-AE0C-4EBB-886C-AC670F27269F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3695E11-EA72-4558-9E39-A22B307A0FAD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C500DDE0-8F87-462A-A73B-6F0D4F48C77E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563FAB3-CB83-454E-8252-9456E6CC228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EC5E640-B26A-40B4-A5A5-4E0D53F768A7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1368370-282C-4626-83F4-5FE1BB0C7211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6C8F751-559A-479C-8546-C760161C4BC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754A56-F4BA-42E9-97E4-73B986DC5AF7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321D569-AE9A-4CCC-8D21-811D35594953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23764C79-BAF5-4840-9EFE-766FF2B49069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8CC990D1-D621-4296-90C9-66030DBA8392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940082C-8191-4333-BF4E-60700A5A49E8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ED7BBC3-74B4-46E3-9FA8-79AE289F9F05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C45EED36-E51B-4A2C-A193-E0B1820457C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8164AA0-4BBD-4E98-8D1E-05221DD73D2E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2C1DF52D-FBFF-440A-8CE7-5C93F87C6AD0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87BB421-886A-4A90-8CA3-B21C3DA52902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8D65CB3-3068-4AAB-A0E1-7CEDE69A0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660598F-AA16-41C6-9768-16331C837FC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21F3D247-EC43-412A-A1FA-D88B3881D0B2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C712FD8-D12B-4382-AD61-8D2F77B220B5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CF1354-AA0E-40BA-85D4-C28C8EF016F7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B20DB50-BE69-451B-8602-FC31B4E135B4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E768D08-7430-471D-A307-B1F8FFEB13DA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8CE825B-AC3B-47D4-BB68-76DA1B7C5533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75C0248-1ECB-4241-AA56-32753E23B6A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86A74838-4724-41AB-8C89-11526AC68AA9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F8CA0E3-77FE-481A-8E89-DCE0E1A3243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8E2839F1-5B35-456D-B63F-C52568E7DDF3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6DA1043-9024-41DB-85EB-0C386E9993A6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986CA468-D06D-4679-8A8D-10CF629C1D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6BB750E7-6528-43BC-B9DA-F8A2D5F92F5D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FBE828D7-5F54-47CB-AB72-D8EF8C15D3B6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C0C47E98-817B-42DE-993C-140355C8806E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AAB57F26-51B5-48B3-ACF7-9CFDA35FA197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D92764C5-C099-4E90-B32A-1DE13ED2721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4824AE4-4F2D-47C4-8D2D-FC4DAC8F49F6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3FE92047-2772-4F61-8DFC-07489455FC75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BB4F146D-AA6E-484E-A8AC-4A75429B6BFE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20D4AE47-5140-48B6-9E6C-F30D27D23979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655B6F16-4DCA-4466-B286-27096159B7AD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D00C6B2C-43F7-4B46-B3B6-9A7E4EEE2F5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FD32699-1945-4C21-B537-6F0B4402636A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C59ED4E-1CDC-41E1-AAD9-623FC26AC04E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B3EE455-A1F0-43A2-8E4E-C7B635BDF9D2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F07471D6-CEB1-475A-B115-5221164A3A8C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38C95F61-A8D4-4F3A-87AA-43314F742A3D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9A1090C-4585-468B-BD7B-F13DDA130423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113D4AF8-98DC-4C01-B41A-7F48F356B88A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3155424-2F11-4344-9E32-FD54398F2F05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E9518455-0DE2-449B-8D8A-6A8385DFB33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EE738B7B-188D-4E19-A1DA-3FA4B1707BB0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5E1C788E-17A5-480C-BF36-75C9A1F92930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E3CBA00C-DB4F-49EA-BD14-68BA2B6E199D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692E1798-3E75-487C-A765-4B1ED0D0FB6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4AB6B390-20C5-4577-AB8F-AA6A2CE7BCEF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FD65DD97-BB23-4547-A1C2-975329A5E990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5C88F94-4F01-4FC6-886B-BCEC71772973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CB8A5000-6E0F-4248-860D-F11223A512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980C8F3-42CE-4B72-B70F-32238A2EEE2E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541044D-EF11-4558-89A7-A2186323B59F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5C1B2CFF-5822-44BD-9BD1-73FBCE3EF242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B010E-F09C-417A-9966-90D1A7A96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0BEA770-A396-4CFD-ACF8-DAF726BD854C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DCA50C0-3461-4EAA-88C1-94718E1ECE0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44B7A83-D1D4-4E81-919A-96021504AF58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3DB6D1A-8004-48B2-B197-5B272B96F360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A92A4-3492-456C-8114-95F0C65BC6D0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4103517-104A-4A3A-AD06-F6C006220135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C1074DA-24AC-4D52-98D2-F2FF65D02DD1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F7C44C-ACF4-4A45-96B5-02F21AE046BF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AEA64D8-A717-45D8-901C-0799D4E5909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1425830-B56B-436C-9B24-453A35188B82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74BCCF1-2F1F-482C-8528-0A37376894E3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C59E2B1-68AE-4A75-93BB-3A110085DA2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55DD86EF-CD56-4CF3-8962-F442E8C0BCEC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EBC2B98-6A6B-4297-8B1D-2C31BD8A4683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DB3830C-5C5F-4A34-A3B0-613D10BA6C1E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2D99CE5-4378-4442-BCF7-A7438686FCE9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74D6602-CE21-4908-801E-2364F9171D79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6CFE5A4-66B3-41A3-8186-432D521CEDC0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244ADD7E-5EC5-4D07-8910-67350DA604F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94A6BF3-22C0-4638-91AB-9187CF2AB38E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3F2F93F-5A41-47B6-96A1-7FD5ABF9B7F4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513672A8-24FE-4BF9-A892-E316DE087C67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575460E-82F6-4BBE-9048-7C53EB2226EB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24A1EBE-DA5A-4A82-BCEE-556B09F77D8F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3EFD7900-D2C7-417B-B813-9DFAA56B8616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CA7136B-9D1D-40C7-8E97-0C3EEDBA83A9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4E1E997-9FEF-4512-91FC-46414FE0FFC1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6881FF2-052E-4E8F-AF21-40C68F1AA5B1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52173530-1455-43E5-B643-59F358A5A499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4713E45-9493-42AB-9E22-6D91A469E8BA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4658F63-BAAD-40B0-833F-0791749C42F2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1FD89A2-F017-4F9C-A701-5E5961EBF17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C59DD5A3-DC77-42D9-B23D-B2B8FDD88B21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E73FE14-3F32-4540-98EF-6C81A08A628A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BEE71FE7-3444-4507-99C5-73DBA27B8CA7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225FC1D-A1D2-404E-A613-C3FB85AAD665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1D6B2744-06AD-4A59-A3FD-390AC9DE6B1D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9BF569DC-34E6-4A90-ACC7-34F287320F7B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A898A0AF-BC5D-4CC3-AEDF-F97422328BDE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BE9B4134-4238-4880-A686-66492B1C44B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A1C5D8D7-7AE7-458B-81BF-927329AAB808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11C8BCC-A023-4B79-ABC6-161876B0155B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E2AED826-D0FA-43EE-B21B-6ACA2398920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8D73C96-D5A1-475B-93AD-3BD18C20D17B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F3F58295-3163-4104-8D39-C9DF21DBB191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FE96234-2FA4-450A-A63E-5AA49B3A03A7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99A5247-5C37-4EE6-BDE7-C27BDAC6EC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134D2CDB-0DFA-4990-AA95-7DD8F47F959A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82F0CED-55F7-47F9-8354-1E4148314CB2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CDB2B315-2E9B-4191-B39C-CBA6482603BE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1AF1DF9-D0A9-4CFF-9B96-F8C97A5A09C1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C99CDE1B-72A7-470D-9A70-FCCC8CD83D9E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6EE8D5A0-C86D-4164-BE89-1D85E9EA3566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96F1FC1E-7A7F-4C80-A4D8-2446D8DD46CA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7C8FBB5B-0E73-47A0-8108-DF52328B83C0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F5A1FFF-0308-4D78-8B25-140B47A3040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8FBAFD1F-37E1-4BE8-A238-7954DD99008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D846B18-AAF2-4B88-AE22-AB35EBAE9648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3137037-3E19-49E8-BFA1-FD8358D53E7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C5CA257-B4E7-433F-9C45-E8E51256DECB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BC545841-31F4-4E6B-BA39-47D5C845C64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A242959-6155-4119-B114-F2C3C6499958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D83333D4-5B7C-4285-A480-FBAE904C8527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6076CF4F-296C-4966-9754-AC61396D59CA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E991078E-85C9-4B89-B62A-7027FFB59F15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25EF3E04-3B76-4D0A-8C67-A3B6A73A23F2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BF27ED00-88E0-43F8-871A-990A0B8133A9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9D75513B-518B-4A40-9BDD-0B20F472B274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2F07859F-D2BF-495E-9937-A5A6D574D6FC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E27EFC-9F22-45D7-AEED-F89767052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E68AF40-EED4-4F0A-B090-1EF74DA1837D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A9AC51B-FCDB-4236-A81E-2D771C39161F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0D7E8C1-1FCE-48E7-BBDF-5F6DB760620E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5F76F84-8305-45EA-8261-58BEF177294C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A6D68C6E-71D7-421F-9DF1-7A8203027D0D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BFE3B84-0F32-4CF2-8E61-540EED6B90F8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521027DD-A263-4E48-B095-8C62EA66F91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62012EB-0649-498A-87E3-FEF032A2D48C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12EBC0C-399C-46B0-B706-83BCDD4503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58159F0-2CBB-4261-9654-C2BD7DEBCA6E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5156719-7E93-4B6E-A408-5C6F41DE8C31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41A1C75-C0BF-484A-94FA-DE0BF2690411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919DC4BC-C14D-4031-A671-7F225B0CB7B9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9778124F-EA1A-42A8-B294-70100AD9AFB0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E23489C6-62FF-46BA-BADC-52E130F3A72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C438874-0AC4-4EA8-A382-ED28D09B286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A33EE88-CA8D-4D84-98B1-28C357256190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10F1708-BE85-4717-B3F4-B90E9C3CFDE6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27831281-7CD9-4C71-AF11-91F8076157CB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AB61A82-1795-4778-9BDE-8A4687DB11E9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4D14FA52-2C74-4806-830B-1F246A3AC534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9480B42-2C11-4B6D-B79F-79CF2C1105E4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6865003B-7E6B-4704-99D3-E4AE031F397E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1878D06-6D65-4154-A561-808BD5A1A57A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F4A66BA-6C9C-47D3-8D71-611FF3250D0D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B632530A-34FA-47E5-84DD-0A35A228D507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12C705-E0F3-46D3-B500-9BF34DFDA5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011FB8F-EF09-4D3E-AEA1-EAFFC83774F4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47508F4A-9F56-4716-8519-B823C3E927D3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A90B8C-1F82-4C31-B280-FAD677CD030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80AAFE84-A978-46D9-8F73-2C3D2411EDB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E2388DF0-4882-4B21-B966-DCBB4D96659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AFE3B62A-060D-49F4-B0B2-3273CCCD621C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2F5F775-7507-4059-9128-54A7968F7868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C06BEA2-AA3A-4220-BD05-32A7419FAD3F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412A0DC4-5D3B-45C5-9334-CBD8C62750D5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7617F71D-0204-4273-8EA3-01448B538B30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9FF4C5AA-22FC-4079-AE0E-BC63EE63360B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1E3E8BD6-DE99-4FB3-AC43-BACB9C4F4BC9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756872B4-6023-4D10-9448-E00F6DC4E466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A371916A-DF11-49EA-A794-6F72469677F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E5E47278-7122-4956-88B7-88230DF56AF1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BED36B26-7896-453E-9695-71B1B750FADA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E055AFE-BECB-4E36-AF88-6F68DC696EB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C6E48A93-E366-463A-A4C2-BB25D53D0BB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F1E7DEA-404D-4B31-8278-B3B587AB8B6D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181CFF6-2929-4597-ABF1-A9675E7523C5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C183FD67-E5AB-4C1F-8EF5-E07605573AC5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601769EF-22B3-4D77-BC1F-BBA8678C054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3B8F49C-4335-4B1A-8ABD-82972B4E6DEF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F628CD2-B292-443C-8009-4B72761F3FA5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A05138D-A54B-4C33-9323-DE695C43C5C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783B21BB-BC98-4EBE-807A-3D2751635565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43FA3AA-1A8D-4D8C-81F6-AB98D049A67F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8895900-B7CD-4C76-BF81-3A24CB9706AC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C6450DA-C3ED-492E-B4A0-4FA2A98CCDE9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36BB7602-D52D-4196-8B3D-8B3B1E1CA152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3D955731-22CC-4D05-B332-35750F9E8CC6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7122807-7E9C-41AC-B98D-86F96DDE85CE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1C635112-6207-42AC-AE29-B9B3E53E660D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9B4C20D8-C91C-4F7C-918A-41FE66598CC2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4D21BE69-FA7C-42D6-8D8A-751313471948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B5455CBB-5889-4C07-A5FF-970258E20BC0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F0D84EA1-2158-4510-91EE-4BDBF1B574AC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F858FA1E-5F87-40D9-B3CD-9349D87FC6A3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DD5B4999-160A-406E-9E15-A29C8F69E933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721A5E49-6FDC-4AA1-B1BB-BC9347E6872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81AA85E-D38E-4E14-B681-BEF0EF83A68B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5A8AA5BB-06B8-4715-A2E7-7BF35932561A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2CCA6A-818A-47D1-A59E-3C54EE16D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06532AA-88E6-4161-A1BC-0438EE03F559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75609E5-9A66-48DF-83D0-E10724527618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A3C1193-A59D-4095-9E92-CC01AF9B3E4B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D3232F1-BD37-4F55-9467-213171EE2516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404F9C5-1883-49B7-B50F-B55BB54E266D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23A84A6-7E3D-4E69-AD30-A1BDD6D76848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1900F1F2-7428-43A7-B8A7-1394676D206D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87927F7-81DF-4491-AA16-075D31BF8D3A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C3F2C9F-D93A-45A6-B24A-26C307F281D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FA3AC57-0A1A-41ED-B62B-763AB468F5D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5036A17F-80E0-4FC6-A711-1FDE5DBF49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2D61375-CFF7-4828-AFC7-EEDE263A9DB4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347163E-DBB1-4C96-A6CC-E7DBE6A5C38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84902F9B-BEC8-4698-BE74-66C4A9172055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FDBB9334-D3FB-4837-835F-7BFA3945582F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44B4C4E-C15B-4761-AFAD-78CA0681088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C3A87A1-ED0F-46FF-BFF2-84EA60EE25F4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246298F5-0565-41FE-A6D1-B8130CEC1550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11F51FF-CEA4-4AE1-8F11-F1ABE3898A4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4749371-FE14-451B-8343-8193B31A4818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D59F1E7A-5D63-4A6B-AB9F-9CA4C9B6CA87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B799DA2-FB20-4129-B8B1-40AA61AD3657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36C1741-1E2B-41ED-99AC-6DE74DC74802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3232A4F5-07C6-4CEC-A583-580C98AD146F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CA17406-A941-461D-A5EE-23FA5E0F39A7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8CA6B01-24C2-4947-B89A-DA80AE48C53F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7AD87BF-CCB0-4792-96E9-DC7FC0096A9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1F2AD4D-D5FD-4A1D-ABAA-CD6E14243276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6277CDF7-D4BD-4B5F-9F28-D79E765D9132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260B329-4628-4AAA-AB90-5060BA26190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B20AB2-2E3D-446F-A9F8-7E754B925C47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84C7E5E-4EF7-40F9-BF5E-3C9F851C1299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D2E09DA5-5813-4C36-B58B-AA3C9A277F6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A307D1C-D0E0-40D3-9818-336670B4BD12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9AA8502-8C7C-466C-B8D3-967B907A9B1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2E95601F-858D-4F54-B3A2-1BDA2D627373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3BB4F33-3183-4B70-9B37-D473C858A887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BC7BE630-8E50-4B69-92D5-853220B792E9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DF85FDE2-222C-4F64-B929-0B804271B2BA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A929F3A9-938A-4BD8-9220-CB9B50F01C67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76575777-27EB-4C47-ACFB-BDA4FCF00A6E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65CEB3C9-3AD8-4E0D-8785-4548691C1F3F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347CD8A3-0DF7-4148-9F7E-216BB94A5153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29FBD56-BDE4-4CEA-8B52-46FFCDD8A82E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A16D500-E228-4F78-9A5C-05D6CF2983C7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3682A25F-E512-4AA5-9945-F4C5573E1299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7D861DD-28B3-4074-B5EE-BCF038DBDB05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7774D3AE-7304-4782-9CB7-BFD8400A41D7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BA83804-C54B-40AF-9627-58146B1BCDC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C529362-A2EE-4AF6-AAF2-617C41AD9C26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F9459CB-32D8-4958-AE35-49E81E1430B6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544BC06-EF1D-4742-96F2-B8C188398344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93774E4-4452-459C-8A2A-5EB5D156A8B6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45D2E7-5B8D-4652-95D3-14C0FD680004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DDCCA29-89E6-4F65-93E2-5495E37170EB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A0DA06B-A6EE-4DE3-BE6B-3E6E3694FD0D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AB1E47D-1410-425D-8C7E-3B4073AD34D8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E8C1FFF8-40C1-4C32-8A59-0B9C2AF09DA2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5419609-DD2E-473B-8F19-1EFAC890B5AF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BA2E2EBC-877B-4D21-B8F3-68C02D4F574D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3B894C9A-C825-4667-9B88-B30F5BD3D130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5C19F4A5-BC2A-4AB9-AD83-07126B8F467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D3F832FA-127A-4EAE-BFD3-A937825E5B58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91273984-C46B-4B27-848C-DA17B2264807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50BF5741-3CE9-4A01-AEDB-8412E4E1BB25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8EC6D248-B698-4185-A889-C62D46CEE601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26D0AB5D-9973-4E10-A7DD-25D9C8227044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FDA97A79-499F-4562-86C2-2AB57DE31BDD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EA44D22F-56F5-4163-960D-562B74495293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D898EE-0858-4B6F-BBC4-5CACCF5D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F20D1AE-1EA4-4E5E-A2AA-80368E43E198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284C014-0829-4F1F-A2AB-90B7EF64B367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C63339-C423-490D-97C4-D88CEC3DFFE4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7C8C5AC-8BBE-4F7E-A9B8-B49CFF6A8AD5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52143DA-D712-40AD-A28E-0ABDF7FDAECF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01AA896-F85C-408E-99CC-41405204513A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BA739EA-6E39-4FE7-A0A6-5701B9D3EEA4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77E9EAD-412C-46C6-B8BC-1A964CF44565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FC297CB-1840-4588-B357-9EC887EC70A2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DF8A6867-76EA-4EB3-9F88-C842E9384D4D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40696BF-9C08-430F-9E6C-FA6B93BD529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F82AEA6-B6C8-4D1A-AA08-779CB150441C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75EC34D0-6B19-45F3-A6AA-13A3E69F5A99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17334B80-3AC2-4E31-A51B-EC494A6A896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92B5590-9596-43EB-AD48-52A6AEF0E4E8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392871D-82CA-4215-B180-B62165DCD59B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DD20BA7-9201-4600-8000-08C4524EF33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DABDD9D-BAF1-4238-9394-7970C46C9219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E47A4F6-074C-4964-9ABD-09F02D784530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36CC821-6E3E-485D-8A92-F808F55E96A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C2F9246-35C3-42EA-A78B-0662A7D383D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653A9B4B-E246-42FE-BABF-9C6E8ADC569B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952DBD46-B9E8-4E28-BA43-C89A099650B6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9C791A6-F8E1-4015-A2E4-505188B76DB5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8E4C913-4A86-4DB6-922C-64170112A79B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4DFD1C3-B0F4-4A99-98DA-F8575120236F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9168661-0D19-4A50-AD23-270753F758F6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68B9209-0B53-43F5-B174-D3E5462BDB9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1811B9C-F7CB-4990-A827-882355231B7C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6BE5705-FE51-4DFE-B08A-FC47BADA9BEF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17856130-1A8A-4AAD-8511-B3679C7714B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E60BBE57-4B43-4B1A-BF61-949E7792D25F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A13D13-0CC3-4C7D-ABFE-AA42F6A0C7E1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2FC50D6-09E6-4DAF-82ED-48ECA065CD12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EDBCA9-2CEA-47C5-BA3C-551E0AE9B497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C2C930D0-1B76-4589-8B78-7ED5950B5539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FED62184-43A5-4283-86F2-67CB150AB127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586CBE1A-9CEE-44A3-A3DB-3973B668DCD8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A2A0B0DA-1984-4A6A-B6E0-742C017B2F4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5908EB3C-588A-41B5-B915-A46B9A65C4C5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E671679A-602E-4ED8-8B59-FA2EB1C58A29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CEA4D252-18A8-40B5-9D21-4FA02C9158D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B7D97B83-8F32-44E4-9916-74A67FCC8D6F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B1A8286-495F-4D3E-852F-44E9B05D303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BA24AD6-6E3A-4661-ACBD-FEE84DCB93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1EDB311-A156-4D8A-BE62-B9AA098ECC60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1F8658-39AC-46FB-BB41-4CD5D68D4AD8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6B5DF45A-765C-4ABC-8137-8138ED3C3812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E765E2C-9EC6-4869-9F3A-B1E9E99AC0EF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C5E4F2D-7ACF-4633-BE52-ECA783BB77C1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E136D772-6775-4C19-B93B-4070E31CB1C3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BA517F7-DB08-43BE-BFDB-FE094DBA28A8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78687FD0-7E87-4464-A171-0B48EEA795A6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556A8F87-59DD-45D6-ABC7-98C5786AAAA0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68DE903-36D5-45F8-8F4E-29406F8A0B1C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4C642E9-A04D-4D80-94C4-3513375B5267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73217D00-19DB-4E02-8D80-C35CBC54DA6B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D4098D6-0994-4FA9-96B2-01E487A18160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A25DB90B-FEF1-4DC2-9209-A1CD7D7E1060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C036A814-5588-42FB-8F81-49740EAA30F8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C2B66467-F89A-486B-964D-AF6EAA44EFE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BCF4A340-141D-4C4C-AE53-96010F673414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B58C39C6-D78E-44F5-8C23-929FA1712D77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CEB1534E-4B8A-445A-A942-63B9FA058C98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2B036292-DD99-4107-BD76-8E3F95B8CD8D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B189C41E-8DBE-4C54-BD37-E767DE016C0D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42E760DC-0479-43DF-9B76-999B69EE145E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899FF1D5-D7C4-48A0-AC2D-D2C6F1596844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992807AF-0FEB-4EF9-B5D4-686698D9BE2F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2C38C-3B50-4341-B6A8-2F0CF0D94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E6D4F45-3307-43EC-BFDF-71D1D3A0018C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FF4154B-3311-40D7-A520-CEE6E48B3413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BC412F4-369B-412E-B060-A5370770774B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BCCC028-D768-4394-B153-6C491A71CF20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EAD2274-F2BB-41C7-A964-36B0997D5AF9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29CE601-8EA1-41ED-B2FD-1433B8B51EB1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C2AB45F6-41C7-46EC-9B7A-FFF1C77AA38B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7FC6484-A909-417B-A67A-93FED68E4EFA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6B11633-719D-4106-98A0-E71D22D14C8F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0F39390-45DC-4CE1-BAAF-44EF19DCB62A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8D87B08D-8752-42EF-A557-6788E51EFA75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E5C348D-21C4-4BC9-A2A0-04546775DED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674645C-AE4D-4705-9F1B-26774A71203D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1B0BAE15-8050-4871-A705-81078896A94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956CC16-CF5E-4700-B054-F7D21AC22888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1578B9A-489A-4964-9C6F-289836D544ED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BA78920-05D3-4B5A-A03F-7305F7B7B99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887C881-6AAD-4C32-BE9C-A0DB02ACF302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92B5A93-B606-4D95-BECC-576F22217B48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9DD69C6-81A7-4383-94DE-51B304738CAF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C6DA70A7-1342-4D9B-ACED-F94105F38621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FC886F2-B353-4C76-9D88-DCA9E0366B52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6A3F3F3F-DD06-487E-8D9B-96F9E42CE370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CE541FB8-84BA-49B7-9306-46FB69EF4D15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DE115A5-94F4-495C-A6DE-B728CC29259B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17CFBE1B-2072-490C-922A-D8E24CCE56BC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8792EDFA-04B5-4BF8-AA4A-4A584DE904A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9B2BFC0-8A64-4D93-8D90-489D7617BEAE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43FAD0A-6DC7-4ABD-A14E-95C4182E396F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5874F3-F3E9-4691-8AA1-9C265E474B75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E2217A03-CB80-4496-9144-0648A05BC802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E7A243B5-BCDA-4656-A540-353FE0779EDA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D7B1EC7F-3751-4B69-8F15-6AF3CC32644D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136F479-73DF-4572-B5B9-4C0BCE17CC74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261AB1-5C0E-4030-8E14-CF49B83312D4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5B76EA8A-D526-4396-856C-B7A5BF81384E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471E0A28-33D3-4689-BDC1-FFE07F0C332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D12F6A5E-5913-4CD8-9DAC-5A9BCEE0D00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ED80B10A-763F-48A9-B9D2-07AF36A601C3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2071C7C3-097D-4D41-9AFB-6393936D049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41A9CED9-4FA7-467B-B6AA-79E7D451D43D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F1D63990-EBDF-4938-BC39-427512F181BE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51CD60F4-448A-45EC-85D7-EE3E2C3CC6AF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FA56C00-EDDA-4C97-B4E3-56A75CF72903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1F09334-C6B1-4792-8522-5DE57D58DCB5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6AC77E2F-BA92-4294-ACE6-885A58154BF2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207329BF-20E1-42CC-8A21-7C00C6F3E12C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7636AECE-1371-4D79-A2C8-508CEBF13E50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30D1F18-1BCE-44F4-AC5F-83D53E0CD12F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340A9D0A-3CB5-4D13-8375-2E271080AA4A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EFFAF7A-D7BC-425F-9ACE-6C02C27B4C43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3C864CD2-6375-47B2-9E26-8E58F462F750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6D8F87C6-1998-49E7-B160-478F4B28864E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C6E2727-7603-4D20-B55F-E9B9AD7A1108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BE29A62-EF11-446A-BD19-33FAEE764842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4C16F104-6FC8-4F9B-A80C-FCCD6A4B067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7D5C2CB-C1DA-46DB-A65A-C1807C9E3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823EDF5-38E0-4336-ABC2-2BD4CB94C878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60CB4244-74C4-475D-87FE-048EA82D8B81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A3EB48D9-984B-45D9-9CB8-8DAA76D73093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E0E10AD4-D509-4467-8451-0524E9E35D76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B429E52D-6441-40A0-837F-8F4737BE5209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B7EB5B71-9A30-40ED-9FC6-44003C369B74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FED9ACFD-FC2C-4067-A364-81CFF589C92C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20560324-6171-413C-AE89-5BEEC5950AC1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7E99CF0D-84AF-4086-9AB7-DC5D902E772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1D8E07E0-6308-4041-9961-C0380B300566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8253E63-1820-41DA-939B-83D74240EB8E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73E00405-B4F4-42F4-92E9-544EFD4237FC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0239EE-35D9-4543-8518-6AE244FA7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87C1CFF0-2FDC-484D-918C-A15AB395DA41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132E448-B79C-412D-BF01-B6119A466188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B220A02-393F-4E21-93C5-267F961B7859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F116543-E72C-475E-9D1E-D6D424458689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7F6E575-8102-4966-A473-09827B98DBA5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11EEDBD-CE39-4F48-A5F1-0502E59BFB77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34FAB904-0EDF-44BF-9E33-F1474339C025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25CC8BE-9033-44C0-8914-7596B26FDA3D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98B783A-7E1C-4C28-AF7E-8BFC970ED10C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D4B798DB-F1E9-45FF-A708-E56E39AB51B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98E1666A-63C4-457A-B8CD-A47B9226E9B6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2F1F967-8A17-46F2-9B37-ABF13B6BFBA1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3EFE401B-2FC4-4A07-9920-447319733B83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6A682426-D1D2-4F5C-A7AC-16E041618352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3E746BE-EBAF-4BEE-8548-0F51D534EBE8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59982D8-C9A0-4DCE-A862-01E2BCCD797A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AF47B93-43D3-4ADF-8E35-E50140E8910E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AC9F7B05-F2CA-42AD-830E-FFF5DB6E319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A443F31-7BD6-41C8-B1EE-238677E8B8FE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D1086A8-34E5-4ABB-A085-E8A1E85C8285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27E7FB8-CA7F-4440-9589-4AD72B10A68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46116CA-8E66-4757-B8D5-515DA79722E5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EE201CE6-3138-4CF0-B121-C6233D14ED7C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B644DDF-2229-4BD0-9B18-EDFC10DA9CBB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9754468-D2CD-4B4C-AF6E-8ABCCCE0415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A8808BF0-7ADC-45F8-A590-F6EAED193309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44A75AF-7096-4621-A7CD-E279AB82F59B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50BE3A8-D898-4CB6-BE8A-B8458DF3390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35C853D9-561A-4CBD-A4A2-3ABFFFD57F74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864087A-B641-42D6-BE1F-64F222DB4991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2A923D1-1DEF-4134-9D40-F6EEB5EBA9E8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89996313-6595-4FC5-A687-5AC7B1AB4CC3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79856386-0784-4EE4-A906-B229F231A102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3CD52740-2D7F-45B8-A25B-DDA8E2FB8045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872A964-E956-4BEA-AE01-149401C6400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4D521C62-B646-471E-8361-00C9D31D8C29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2D147497-A707-4D85-BA99-E4588723BC9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EF726A3D-0A7C-4A69-A881-E121412FF29E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D6B5C3B2-D4B3-4851-ABE4-DAB268973238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141BDC7B-702D-4A8C-A52C-8D34675B1A0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33BFA8BC-692D-4542-A032-2DA5F2B874F5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FD857E5E-674B-4A6C-BDA8-FD281B0FB22B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BDE0AB1-FAF1-4C3C-A7A0-896187489BA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32A4741-75C9-4311-BA3B-335FB38F1F64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C788E410-597F-47D9-8353-5065FD61FE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DEBFD67-72A4-463F-B409-F77F6817DE15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87A6470-2186-4896-B5F3-2545B0175154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8C6AE86-B854-4F16-BDFB-7FE0CD89E81E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25AEB98-76DC-4518-B645-44FD4C8D4D47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424278E-CBB1-400B-AEA3-7AF82396D737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58C66E07-9B01-4067-BAA5-9F5734FEC388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8ED97394-4352-4915-B2F4-1D866A0C3A7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672EE2D7-359C-4B80-9C60-64228901A938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E0CE1C65-C406-432A-9318-993733D342BF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24692F5-6324-405A-82E8-0E670BA61EC9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62900886-71A4-4D51-B505-7EA05FBF0CCB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0EEDC75-1B5F-4C64-B03A-B634997EFDD0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DD36546F-F08E-4A20-BAE7-418627A3D170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8D90F7E7-70F9-433E-B01D-264CD3975B73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E303D872-37B8-4758-A221-7D301000E37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2AA1923B-8046-4FB3-AF11-68205FBDF35D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B3F78517-8295-41A6-93B6-77F70E63A799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A76AE1D1-8140-4928-BFBB-6E92399412A1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8EDDD4F4-6746-48B7-9FF5-7B35E15E74B5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57A15E9F-0148-481E-A267-D85F9F4024B0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7EB6EDCB-617D-4CC0-8C18-BE6F3E201981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2DBE2598-C9E2-42AB-96EB-05582B417D1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6FAF5475-0084-4ACA-BA80-A3712EFE989F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FA30E298-BB5F-49BE-9699-38203F9278D4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CCD0B9-7839-4E6E-9BFD-A47E7D90C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844C8404-526A-45E3-A7BC-C6C8815AB1FC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510D1C8-9A15-4A3B-91EB-F6AC9A20889D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173A089-3540-4307-A0C1-2179256E1ED0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9390CDD-1A3C-4630-B429-0DEA42B95CB8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85A8F29-97A6-4F7D-B1DF-7B77241EB3F0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21D209D0-CAC6-4D8B-9AFD-C6A1ADB59E22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E6A8B9E-9D71-48A3-A792-BA9F512055D2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D4CD553-E03F-45E3-B55F-C55663652D1A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E04A5316-CA9C-40ED-B104-EA90BD305F00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E894BED-E7FB-4751-B56F-0B8CF6986614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E9AFBDFC-375E-4B1C-8708-B82619326138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D2DBE08-B42D-478E-B9F7-CE95AF8E9362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FC5E4F3-A282-4512-8817-F30B74C4BB12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C0EED46-7D90-48BD-B482-081FBE131042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BAA8A8D9-52E5-4490-A8F9-B35A13DC2563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2E3E0CE-3BBF-4BFD-B172-7A5656D84247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2127557-1675-4340-AE3E-331D3CAA385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518F7AE-0929-4930-880C-CD1FA01E7767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7AC563A-52AC-4CC9-B647-85FFC5F1ACA4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9D77F352-0492-46DF-9EB7-EA8068452F6B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CE8BA74-F62A-454A-9B23-73E4CC67FBC1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9BA4A70-D176-42B1-82B2-A0B2BD7EE121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6E69104-284C-4F2C-ABD9-28004CE945AA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5C26C6C-9CBF-432C-B893-77A7471DEDE0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3BEE87A4-22C6-48E2-9E8C-3452E18FCCD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F18E8FB-B79A-4E22-A1DA-EF3C55ED0C47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8319D9A-F628-4BB2-A5EA-8D43D27AE778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11B7217-A71F-45EE-B22A-26999863B4B6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F0A9FDA3-E09D-4656-834F-5A73AF0DFD26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8E7A625-BA1C-4182-A131-1236E5FCFE4F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9223DD55-084E-4E35-B9CE-FECAF02B5F29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2CAC4026-B333-47BA-ADEE-EA09E34A1B7E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8F7FA42B-1941-4D4E-B3B1-6CBA007041BC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36D0A2B-4622-41E4-827E-04370314DDAC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4B1D09A1-A825-4729-B02D-E5FF8960DE31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45B64ED-677B-4657-8EC6-B9E61F0844D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7E44D5D2-F4FB-42B4-A8E2-A3C5AB0B1E9E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1FBF1739-2D39-4F79-9A98-91403EBD0723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C6E9D72E-C8A8-44AE-80C5-6359765604D1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4E5E4D5F-8DA3-4F07-AA9E-D9F4019E960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3CCF0E68-FC5D-4563-9909-01987B204658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EB2858A3-57B7-49E6-94A6-5964DD720AEF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12FBE5CD-F92E-4C2E-871B-53A9E296DA2E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D63B6EC-455A-4244-AF65-904E9F89CCB6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10FDC34-C6E5-4644-B604-A235A12B08B5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6167B763-441D-4C73-8BF7-828DFFF323C3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B4DA9DC-3CD7-4DEF-BBD9-F80ABEBA5B63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89C4436-F463-494C-A3C2-2E440C03CAAA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58B291C-DAE4-4B4B-8BC9-1584A3CCF6DF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88C0069-39F2-4B72-945A-93FE2E179BA6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52D1D76F-1D23-4205-9DC1-603FF5DB396A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B938FE87-48BC-446A-AD29-08D2ABAA2C8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A543D75-7DE5-435B-AC3E-7F0C3B550202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28155ED-C28F-4C6A-978D-BCE69BE9F48C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914DC62-4012-47BF-837F-D1CA6DB7C5BB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8B553B1-C830-4C34-89F6-002A30888FC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785156A8-DE30-4FDB-A904-46725832160D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2A77E8B-0D53-4AB1-84FF-047C7A98B35E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DF76CBDE-C22F-48EA-A5ED-9F3C92CA2D8C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B736088B-0EDB-4E07-B1DE-05B3DDD0CB24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1E51B129-234E-4262-A78F-E3D86C310D7D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C86F02E4-C04A-443C-AFA2-22A9B6F25B98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4EFD18DD-00ED-4971-B850-770D87FA95A0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624968D3-E90D-4008-BBBD-9E7096F81AC4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1A9DA995-D133-4D61-9239-180EB05C8711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3E37F13-A5A2-400A-9433-D49147EE855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FFF29BEF-0DE1-4136-8499-4D7B747F4E1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AB809EDE-C9CF-4677-BDD0-29E8A71BDA80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6BD36DAD-73D3-4AD4-AEF9-71F076196B7A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B2F16B-C8FF-4DD8-99A7-691112A62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2D003C1-E1E0-40A3-B355-381F4345A96E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6D2E01E-1F7F-4270-9A13-2C7BFDD76F96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0893C4D-A54B-42DD-A58A-478294C8C554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8B7F537-FFBD-4AEC-9DF0-3FC54B54A8DF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B7A1D1F-3A5E-47CE-A214-527EB8C48EB5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56A68C9-E019-4326-AD34-FEF9DF290076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37A39C9-3753-48C5-91A2-E8C2E1A7C6D4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0905D34-C362-4C25-8DAF-40C04519FD6A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49F0796-9010-490C-A865-9BD9115E1B80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D9B7D95F-5426-4286-8263-F7FD65B15CED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8E78EC4-B0F1-4642-B2B9-F4CF32C6B527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3265274-5FB5-4B91-B917-7E039B9EA05B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9DD700E-2B04-4A33-BF9F-0DAD55199E2C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561DC4B-D106-4A3B-B51B-3E9E30110054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54032EB5-7B8A-4DB8-95A4-CA8FAF402E06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B200072-132E-461F-8192-73AE638E51E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FBB051D-3CAF-4307-B744-1C1062683185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B30F64A-703E-42F7-AFFB-A51DD86E76A7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31292F7C-58F7-4CEE-BF0E-8B5A49A11778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80A6752-9938-4B68-A0C5-E90C0CBE84B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4B4F5672-807C-460D-B05C-D6D0A4B70E3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8ACA32F-197C-4A8A-8A62-391AA7200725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8BE9A1FF-912E-4F3D-B31B-3DE452EAD466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307E9FF-50A5-43D8-BDB8-ECB500A54330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5CCBBA3-B15F-4347-A88D-080F338A63C8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45030B7-323B-422D-831E-4CA74B445860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6EE522B-662E-46A7-9772-9B79359E75BE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C9D7B24-2940-455D-B881-DB99C33562DA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143AB405-6673-4AE5-A894-874500393EDF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A371A47-BCB5-43E9-B992-9E9725BCC8E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6208ED47-01B0-49CD-B800-A468D12943A6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763E8E1-4CCC-4FF5-9A72-2930B4E8A0B1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D79D62CB-5484-486D-AAC0-55EBB903D14E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8621EAA2-B241-4B5E-B533-C09C10EE6055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A0A9A545-4AB0-4BE8-BF60-DF7C15B0ACCD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F756D3F-BF46-445B-A7B9-874BF117D9C4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517E5E7-3726-41BE-AB00-ADC78ACFB61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2E0E72C5-423B-49AD-82A3-A25CFD58FE2A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19291F40-AC2F-459E-B2B6-0EB4ED8AF2E9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CC157D31-DA73-4D04-8B9A-022CDACF0006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56DC9B0D-A82F-4BAE-9AFA-46C5E1DF3C5F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E4158B8-5ECD-4DC0-8259-51E8CE01E215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1B15CFC4-6758-4D57-B9F5-20858353D9AB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46955261-3799-4C84-9738-489B984C1394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653A2BB-87FE-4CD3-B8E3-D17B72F2C0E1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9F8DC0C-D572-470F-B54E-B49F320D1B81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B502F8CA-48B9-4A4F-ADC4-E2EFEC569E69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E9FCAE2-005C-41DE-9BA9-F81F1ABC5B1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E06CAAC4-7B99-4832-9C9B-46E4DB21E01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C4E51D1F-0721-4DCA-8570-0BBA5A7CB0F9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08A9B06-8A0F-4332-BCC6-F27508243EE5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33822E6A-BFA0-4507-986A-A4096824E11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A543CED9-D511-4CA0-B18D-32C1F1762145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6705670C-3FDC-440D-AC1D-2746D374F577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CB62510-CF67-4110-82A3-665BE05CB98E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868E104-90B2-41A9-8728-77C6CD5FAA11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FEF759D-4158-4AF7-831E-4C55384699E8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864D4C7-7539-4E3E-B938-F7A3BE0C1D24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3C3CFAE9-B437-4D4B-ACE0-A69496532DE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DA9E7654-3906-4876-8D00-A5E8F703DF30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C7F5BD4C-CBB2-4571-81C6-584C8301D934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E95F798-F08F-4CDE-A7FE-D63122496FC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62A9A4DB-950E-4E04-8CBB-DFD5D15C33D2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7378B5BA-A14E-4F6C-9303-D5D8C54F34AA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E15C02E0-88A1-47FD-BEF8-C85514D40B00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450B8BEF-35F4-4CC5-8601-D3A1A433376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40ADA72F-2E6A-484B-89A4-EAA57AE555A8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51CF39AF-297C-4E86-8AC3-AEFA642060C5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C8705E27-78D7-43A6-8779-180E134442F9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26B6A4-B0E8-4418-AF8F-35AAB934C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D323BAA-4D51-423A-87D9-446F1FB55F7C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3CFB5ED-2155-4A0F-B386-B9C9A10FE005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099C45C-5A35-4C51-B795-6C5F303A686A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73E2AAA-4C07-40F9-8FBD-B2AB2651FAAF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39C3697-57A6-49C8-9A10-6E6078E32EF6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1A282A0-A86D-4B5A-B87F-85C837806D56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86C38ED-0D22-4C2E-868F-C309083FBADC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7EFF3A8-49DD-418F-8CDB-567E29B23133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C646828-C89C-4919-9944-AD72229B619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CA364636-B601-4C17-8601-EEEEDE3E551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DF95C56-F413-46C8-9B0B-3D99C44CF7A9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8945CD5-61CE-4B97-9043-E65AADABE045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5625549C-2A4A-49D1-8F57-40DD7D59FE86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4B333527-8E6F-4A49-A06D-9E2D9B0D92AB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224D5A0-C145-4AE0-BF9F-1D0DB6404B07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BCE2A41-13F5-41A8-945A-1C13B4570A4C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CB0C0E4B-1384-41B0-A90A-87C03D1DC535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F37C46A-57BE-413F-9D46-EC972106BF0C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6BEA349-E050-42F6-A79B-FCFED5747FDE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7A0E1A4-E65A-4D18-AA23-13C592D1822B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9AEEA4B8-2AB3-4A7C-B5CB-655513743FA6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B2AE48A-086B-40F1-951F-75571B43908C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95EC661B-395F-48EA-AB00-0D7463C1E37E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F667DD7-5BBF-42F5-9DD4-06CEA7B436FC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8E638DE-BA7F-4E55-98FE-2D1189A74469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BDD88398-323E-4341-A07B-E45553DA53A4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22B14857-9E87-47B0-9BDE-953F0A77C742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79B775F-00EE-481D-8CF2-68E74865295A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91E94DD8-DFB7-44BB-8E10-2D93E254AC7A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6CBCC7C4-7867-45D7-ACEF-CDA7D938A48F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F5B90BAE-6594-4A09-B836-DC9F9E6036B1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446D9BE-0DC2-4F64-8F85-2EA73BF9FCF0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D32A576-D2D3-40D0-AA22-6ED1ABF62CC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B54DD97-DB7F-42A3-A7C5-F5FFB0075B1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3D0889EC-9C71-4DC3-837A-46A06B53F0FA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19D89109-BCBD-4053-919D-E326724B57D1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E70435B3-F30F-4349-B848-786DECB2148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493FE90-BCC4-49A0-BEEE-4B4E2A802F0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62C278DD-2953-40A8-95CF-1C0BAD487DC1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2327F004-329D-4F24-A843-1E98A6B9D636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C32748DC-C6D5-4343-86D6-5EF421236268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AFE66A20-DB09-4E2F-8987-995F49AB39E6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F43CCE0C-C89B-498F-9B8E-B8993F2B702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E29C0164-AF8C-4B59-9451-33A21512A0AD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06F3F2A-1E88-469A-8A4C-D6B89910999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71943BD-CDF6-428A-A178-0EF0B3D5DCF2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B0EA0D8F-4C7B-4317-A57D-1B803B796406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441A6F84-D857-4B25-8D4D-798F2B23ED6D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6535E751-0D58-46E9-BB94-81D7A5008E05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3ADF575A-214D-42D2-AE81-B7713C463D35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510E8BAD-1A55-4BD2-A889-917DDCA9647C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14F6CD6-1B5F-419D-92BD-3FF6C858213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FEEFE819-5521-4E60-9C1E-DAE4AAF20685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257AC82-CFE5-4EB5-8A2A-35CC9204A211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A084CFE-AC18-467D-8E7A-F026CD476045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A252354-9BC5-4672-8285-2A447464020B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A362383-3E7B-451A-8EAA-23BF1FE6E6EE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DEEF410-FEA9-4176-B1FB-E6A777C98E19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D180D017-779D-4E86-ABE3-2034445F34C2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AE94A1C-AB3D-4F92-B416-7682856D7C29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F9EF915A-D3CD-45F4-8E1A-EDF4538879BE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A9BFDAAF-9EE5-4C07-806A-CB9CBCB7375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708CCC38-BE49-40B3-A481-3518CF3D00C3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122D8ED-5C09-42C7-9F24-6339E77450A5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F09C65BC-2159-43D5-8DB9-BBC83F2D254F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9B6A72D7-DBC3-440D-9CC3-7761FAA731AA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642312ED-09D1-4465-B5E1-B4E8BFD6BE2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493C36BA-4DF4-461F-8EEF-BCEC7BC2CFA5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27E1BDEA-B017-4075-BECB-A60EE92C32F7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7EEDA3-A10C-4DDC-A79F-127E04B34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857687E-AF0A-4E6A-AA24-70641E8B2ED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B44DC08-DB12-4897-9951-707FC5265C43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E303E1D-D792-4600-9AF8-305398244834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3B96E8E-4D81-457E-AF82-4DA8234D761F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EA746DD-B009-41B0-A07B-EB589C7D2195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303D107-577B-40A9-98D7-81B4C65705A7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320C343-8B43-41A4-A36A-BEF186988764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E478019-18FC-4548-A4DF-15D1A5D53DF1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F646519-0FAC-48B7-AB6B-263C35CF5751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1EF6A9B-5F34-45DE-B1BA-E3713FF4ED5E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C10D3CE8-84BE-4C45-9420-AE4D1D42B8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BFC8DE-9E47-4447-BF95-886A21705C75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84A17D5-3A72-4F3B-800A-EF3A79259402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B40C715-ABCB-4E1E-9740-7E23460D6A02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A80EEB5-D2F6-42F0-BBFC-A160D24EBF5A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BC7C8583-EF26-4B81-9C42-140894B827F0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75F8C1E6-17EF-47E9-A8C3-4177566B097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4E5BC0B7-7547-4281-8543-BD827E63D077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469A18E-D1CF-4BE1-93B6-254CC71DBB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134DF2F-A97A-403C-998B-1109392AE6E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5D84CB2B-46D7-4332-AF2C-DB25AF2BC7A1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852EEAD-9875-4E19-B5A1-73E5BD9E8DB0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9762859D-96E6-43B3-B731-ACEE001B6FCE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DC30371-C0AF-410E-8073-76CBC805A839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7EB83DFA-EC8D-4A08-BC35-9F417CEA2FBD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756CAFE-DA2D-4936-8C78-968EC33E4D98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C21AE4D9-FAA4-4E64-8AC5-278BCADF33E8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F587209-21AC-4D3C-BBD1-3FF4EA732091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E8100DD0-C13C-4186-9F37-63F7254682D6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C12DEED-222C-4AEA-9494-7F89C737E6E6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B02A82E6-1139-4ACB-A38F-C5D4372FFD3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E9B0DD2F-E312-458F-8FB7-D4A79DC37613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6ADA477C-1057-4BC4-9E3A-DE233E08939E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945EB28-05C0-48B8-8BFC-412AB9D2007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31F240C8-46C7-4D39-9305-032BC622EBF1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8D8715B-7C37-45B7-9B35-EA41EE6D4A77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ED202F6-316C-4B1A-BBFA-E3CAE1553D62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9C48E26F-D44E-441B-8C38-F439A27D9871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5EB2182D-669B-49D8-8320-645C8D35ACCF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E8EAA4A7-F8AF-49D7-BAFF-C13BDE272F7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FEB10F8D-C484-45C3-8172-00EAEB17CDF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A0D56C77-D721-4A07-B535-81297514DAD2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C4E50CC4-730D-48BB-82C6-48D6AE3B89CF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B53E2F8-5C73-4C35-9D4D-1AA760A81F8A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A196E07-3FFD-4AD0-9D13-DB9D60AD20C9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82B548F0-2EDD-48D2-833D-B8DDAA1012FB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44AD348-87EE-47F9-B61C-717A980CD20B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39BF69C-F6B7-4497-8172-42C0CEB358B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E28F996-58FA-40B5-A531-2F6A11D58587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E58E00FB-8911-4C99-B12E-CE5DDA048DE5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AED44454-76EA-4D7E-BCB7-607C285B1A31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C0065608-9EAC-46D3-A7A1-4B1E9A0DD07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230D31BB-898F-45D4-A815-53ED84E065CE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6E8E37B4-5579-48E1-8D78-45E3A22058A0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A6D3265-2D36-4323-A711-06EE11A777A2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B565B57-51E7-44D2-865B-E71513A9B31A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86FD70D1-0A7C-440D-ADB6-53DDC080AD70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64F3ABBE-2640-4850-BD5D-D736D0C49B0D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C9C0432A-2240-4ECE-BE0B-39F88DF9BC03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56808A01-2C7E-4537-8F41-0C648A38B549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1A821A0F-3E53-4A29-B57F-9ED1167DA23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E5F4AAE6-DF47-44DA-AAB3-2F53A870A2D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2E03F22A-00FD-4333-A070-0BEE163EF261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8892AC70-7801-43BE-BEF4-073097CAAA60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92AFC6DF-D109-4ADF-A0BC-100AE7FF9013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3BC963-8C6C-4CB6-95A9-A51F33C76F0A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598A631A-D958-4475-92A3-31058BB3D60F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88FFE2FF-B8A0-4961-A798-B5F230000818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DA809574-EDAB-4FA5-BD90-2E952DCA2011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9FBFE-8F1B-4168-8DAF-531584996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654004D-A84C-49D4-BE50-40ECBBE0B39E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F9378FF-7225-40E3-B2CF-857B6DA2B7B7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DCDABD4-BFD4-4784-ADCB-6E87DEF85074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294FF8E-B005-48B1-A660-A7D820B2B779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AEA93DDA-A549-4B1B-900A-8D6B88DAC32F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A6FFB68-CF61-450B-99A0-0B102E494C50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8EFE183-DFE2-4922-8CCA-A5B30E68690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9BE5288-B8DF-4688-A916-C30DFE084427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E56B5EEE-FB69-4873-A88E-0E1623093422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25268834-03FC-4550-A9D1-6CC513AB17C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1032B532-0ED1-426F-98D6-3A94A0A012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09AAC64-D623-4DFC-9D99-E957F405F7A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B375924-3758-438E-8C2A-77F335A3C1AA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6D71E3F8-E9B7-45C6-AAF6-89E296BBFDD4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A0AEBE0-89B1-4778-A2DD-431798BC3D22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64AE758-193E-48D3-A576-C1ABD74A787C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46487F8-3DBC-4CBB-A4B8-4270F8AA9C41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CC21885-A7B3-4B7F-95A9-08477FCBD11C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3804554-132C-4D96-B6D2-CF300E6B952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F2E3964-7446-40CB-8490-ABE7DD0C6D0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654AE61-0198-4384-98A4-E9082A8844CF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0B9CD71-FAA6-4257-8788-13636D8A7515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BA4F64C-56AD-49EE-8DFE-D8B01990D964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204D45C-81D8-412A-AC8E-0C1CA8F1F390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7A5F716A-89C6-4BB7-BD30-18E0F6FE2F20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79DD0F7C-A772-4386-9FE0-ECA2B9708EAA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3C5774D9-D19B-4A67-B058-FD5516A36E1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B4725EF-C587-4FFE-A48D-9C0594F7FE55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E75877C3-0B84-41CF-B751-5A0E9DF755E0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10AB2F0-6C22-463C-B164-EBEE37E818CC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96F9546E-BF55-4668-BE54-3CB24721B98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1E623882-D314-419B-B6AC-720DE9C0CA23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EDBEC889-717F-48E6-8A43-C55D53392EF4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3906F327-0684-47A5-8BC0-1AC510CD1C67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A40BC72A-4AFB-4E01-9B86-E598872D4BAA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4BC7485C-D841-4F69-9AE3-796A1F80B23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56A2826-29D4-4B75-B384-1589DE85B76E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C9DE43F1-EA37-48CB-B92B-B23A8135AFD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8DC5A0A7-C081-43A8-9207-90DEEDE31FE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C23CC92D-03D8-4EF6-95DA-DD5E2CFC725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F7DD3711-9CC5-4B63-B715-7180958F5631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DD81E7FC-2FB6-4A94-BB31-640CED0BC07F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FDE2EB0D-08EB-4B5E-80C8-EDD311A78C4C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4397E9C3-5D77-4EB3-B794-10FD3A9109D5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7710989-7C72-47FB-8060-891F71DCD842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20578B3-7F55-47D3-839B-D4E4085CFC11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A96B74BD-1E46-40B1-A008-1DA9EAEA8326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513BF7C-AC58-471A-8932-8EA0961F7CB2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BC8C7EF-9908-4F32-842F-A25CF2A9A9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B4752F8-2925-4B0E-A6CB-33B56CB32EC9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6977C88-C496-4DF5-BD88-3ED4B4AC35B7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77D414A-43B1-4347-B0E0-1974C06E086D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CC2A3F4-BDE3-4C22-815F-BA5AB39E3BBA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53EC26E-E8BB-45E2-AAED-2A7603ADF548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0045B4B-C84C-487A-93F7-AEB1E359780E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DE06C80A-933D-44DF-B85C-0488551A109A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BA94A971-FFE4-4372-8066-CB8481CAE06E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E2EDF29-903E-4593-B1D0-1724D6436A4E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BC299DF3-09EF-4387-AA37-776BFD9AA9EB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FA0B1358-51B8-4048-B950-898307D44365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276A9471-9F3A-445F-9069-25945852655E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4F3FCFFB-1FF1-4C3E-A5D1-E85D4D98F355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CD65FAD8-BFF2-4221-81C8-1B8DE35A52B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F718242E-EA79-4919-B938-C89968C2E86D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63D7D094-71BE-40A6-8512-4D69EEDBA7A0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1B3A6A-73BD-4764-BC9B-A0BF8648C15E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498B0A4-902A-41BB-B927-B3D5591ACE8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241E24C5-06A6-4E09-9D23-FD414BAED2B9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816A96F-9DA1-4624-BCEE-C7EBDEA61DE2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F68C12-96F2-4B10-B0BE-640F272E1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C321275-83A4-4CB1-956E-5B608926BB84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31BBA16-C6C6-4C47-97D0-1B913FEA45D3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2416B9F1-6557-4AD8-8E42-1E5D866A379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B08E205-35E6-41F0-8EB8-3A62B25AF94E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E57FF09-28ED-4B79-B6C7-E3874A628882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199BEDB-7E5A-4CAF-A86F-7D42A0E48C8D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75B212E-CB6C-4EE9-A222-3953E39AA9F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F3BE214-31D0-482A-A763-B8BA39EB4511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A12AEA3-1F45-4C6A-B54B-37D1E7916764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C0A02D72-54CC-4D1B-B17C-5FE87E518A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8163A85A-046D-4249-AEE5-89FF69DB1D1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92951AA-9673-41A2-810E-C2A43831068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AA81659-40BC-4E54-B4DE-BF0CEAFA21E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67EAD6F-8C91-41DD-8AA2-A2FD7857A0C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97B7F3-642B-4D07-8B8C-CE1EF80F31A4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AD7C1CD-6D5F-4DAC-860F-E110FA029A6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261083ED-1417-403E-90F9-5F66567402B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AA9B6B8B-261A-4133-B145-850909BE96CC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CE2F457B-C13E-4B42-99D3-08E316ACDA6E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EF8856B-EFBE-452A-B8F3-36EBE07B7DEA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950FBB3-71DE-427D-94F1-9C5DF92F2821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A04FFE2-DF66-4722-9743-D01325CB4632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4EDB3D4-3BF6-4BD2-B09A-76E084CF7CAE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AEE17D0-4D3C-4B45-B808-3B3EA5DA7E33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D3646E0-46BA-41BF-98C5-5CEE013437A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A4114C66-A6DA-496E-A9AF-2A854A9091E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C9A4633D-32E6-4557-B8B0-53F488398A66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F5B0A44-AC37-4A18-8D52-523BF286D72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C31902A-3BAB-4991-BFEA-12F70E2AB60A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C3657639-86E6-4971-8341-7F241EB403FE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7BF5E046-B3D1-4E5F-8B87-AD789E478E99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D3386AC-A28B-4767-9907-DF530153000F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68CF9C9F-4222-445B-9544-311014FC10C4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B9B44031-876D-4537-B3CC-D2B398719548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839BB74-3D5E-404C-B32C-F101FD8B3E67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6FA2265-840F-437B-84ED-99C9B2B2B0E7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93334C84-248A-4F7E-ACD6-ABB4D1071E79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21C3AAF4-574F-438A-9568-14B440DBBB61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BD570023-0CF0-4E4C-B9CF-7C86794E08E1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5124A434-9CD6-4423-AAF3-577F14E50DCC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A79D4C8F-2434-45B9-AAB7-98F927062CDA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A3BAAE21-77F7-4308-9F1D-F202C609167E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BD5F4088-A3C0-4EEA-9EA8-10DB0606EE9A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8DC7C8F-803B-4685-B948-0BAA322EF654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5ED6AF6-2101-4E46-BBDE-A0973B9BA4E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83C1378-174D-4A7C-80CC-A0465E7687E6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BDB9171-1833-4635-B20C-3B8FFAF0F971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B8736741-889D-4FFE-893D-A9B3B6BC2CD7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57BE63C-3656-4426-B68A-213137FF2C64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6A27CD64-FBD3-45D1-94A6-CA3DCD4471A8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D6F4CDA5-6322-499C-B1F6-854F72FFF69F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8067C683-8759-4DCE-A629-164DBBA746E8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6A5595A9-2BB5-4C92-9E58-E1AB0CB21AE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E8FE3A97-8735-4F6D-B87C-FB17B8FE8DC6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5463EAA5-BAAD-47A7-B66D-07B8A083FA64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DCCFAA4F-3547-4B89-976E-F324571A238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427B6F7-FD4B-42BE-A56B-9B8D1B79206C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1B61C36E-ED0D-4EA0-A3B3-BC1F49DEB0A1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EB17898-307C-4368-A3F3-031E3CF5D9BB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554514D1-2CDC-4284-A5E4-D3EBAFC86CEA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92F67686-EA6F-48DF-8F20-680442F29B75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32A408FA-712F-4430-83C6-282EBCEA231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E0EE4145-2357-4032-ADB1-9A24E5FC9A64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7219BD2C-E7B5-4EF7-B847-78F2103ED25E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98757B5A-3F3E-429E-B66D-E9994A50DEF4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CF0EF99-4214-4256-AE8A-95FA8B7739BD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6A0B312B-9F5C-4B56-BEBA-398B16E044D7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69C3E342-FB04-4FAC-8E66-153E316B58DF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215B67A4-2070-4752-88EA-BE7E1B000DCD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75585-047F-47AA-895D-C8F7EC989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6B9927A-CABE-4370-BF5A-84A3E0DB4D8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0D13B68-F0F7-4A01-BB1B-B1D260F55069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95D19A6-1D76-4D97-B498-C963959C7CAB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078DFDF-EDFC-4985-9491-296431B90A4F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DDC4AB4-BF55-4821-890D-A42CFB37B437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26C02F5E-CCE8-4DD2-AF3D-CCB6C496C737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36BB60C-1996-4A11-8C49-AC4901EEFD85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1B1CA13-25FA-4D32-8B10-D33081061C7F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143871D-D5AF-4C09-AD9D-1478BEEB810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887C2133-E544-41CD-90EC-E33EFCBA1C6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AABB558-7DF0-4675-8569-154BFC93A511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4E551EB-C97A-439D-8756-A27617615DE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304E1B99-CE99-4893-9339-F944D9C295E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29F4061-4C69-41BF-8AB6-1986125CEF9D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A2DA893-9C7E-4A94-9B07-B6AD594DC60C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2A881D1-875C-425B-A030-29E6426618D3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0FC0252-74A7-4A0C-8D8E-FC995115D701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3D5050F1-1E5A-4A74-B695-2B55A4D2468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1CE1268F-CFDD-4A84-94C2-E5E77788A788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FE1E276-4863-4171-83DC-2EEF3AB0A888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8C56A62-25D2-43DC-A77A-A6E28BA0C3B2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B0767674-7393-4CA3-BE54-3AAB24C915FE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3F65FFB-B6B8-49FD-A1A7-6E6C20D6A402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45EC19C-C5F9-4364-9DE3-4E5534A6BF84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B2CBBFC-5102-4254-B9CF-7B8D7814AC5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E50C751E-1923-4CF6-A99D-71E5A5881B17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FED9C1DA-5012-4FE8-A7F5-F346290E653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A84BEE9-059B-4F1D-A0AA-A4C1D8C5B6E4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F83AFB76-E931-40DB-9FD3-20646E21B5E6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BB51EF9-897B-41E2-950B-21C28BDCA38B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601492D5-756D-4E11-9BCE-87C8CB7E0C4F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031B3BC-5DFE-49C6-AB52-C156D431EBDC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55DDB817-7E5A-4E21-BEF7-15266FAFADB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E93B85AA-3909-4142-A978-22B9BC79D23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0304DDA-C86E-4447-BB5A-B0720012951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132B1F7A-E713-4CA8-9C5C-DA1DE6E13793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90C7EE3E-79EA-4EF9-97E0-B93ADEC3C800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8DF51D75-25B0-44F4-A81E-9EAD983C8F63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343FDDEC-2416-40DC-9C3C-CE110548DDB2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3F13D5A7-5CE9-46D0-A54C-7F40F20BCBA9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83DAD3C3-2528-42D0-8712-6271F03B18C0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00C3948-7B4A-4636-96FE-0D4A4E1EBFD1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D61C6F1-6374-4596-BEA3-BDA2D8D5014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53671DE-07C2-4E9C-B4D5-5BF307A1A962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CE3F66B-73FD-4B57-80BD-48C647452770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A420FAF3-1760-4576-A798-78F0586AEE79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AC5EBF1B-E036-4787-81A1-2DADBAE08901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DA4762C-8E95-4A59-AD11-11D47D962A5E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2F3A123C-9FBE-4F57-AC85-FFB032823276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1F68589-6F77-458F-AD6B-5683A409D841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E4A68EB-4990-4782-A572-FE09B8AA069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D12F523-3BDF-4F1B-B669-E6C08D66E72C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2BB28907-24F4-4723-BC69-3532C843317E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1C44BA-8914-4E70-83C4-E5093A88A560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24E2D665-0C74-4B55-88F2-CDA2E6AF00EB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4762CC4F-0263-47DF-A9D8-94E25657630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49614C7-72F2-4F03-BAAA-1FD348415357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DD023EA-3EBC-4E94-B3FF-2BA1D1070301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127D5E5A-F710-4F65-9EEB-761973A05FA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ACBF3C27-6A95-4B20-A3C8-09793B96194F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584F7A56-0A2B-45C2-A54E-DEB1BA631571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CE92CF09-1D23-4AEF-9742-74C104A98C55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459577D6-319E-4134-A754-4036D0AFABB6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DEB43E9C-12D3-46F2-BB26-36C149EBC260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4EE1E9A4-8C60-400A-8267-8B485C502071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78CD52AB-16F4-4D2E-8929-2FD4DFD4A369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144BF6DC-D460-4375-8276-1F765CF0C81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BC748E5C-5EE7-4A41-AE4A-EE6B8D67962B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F429F92E-734E-400D-B101-B5686A1D559E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3929E-D882-41B0-80A4-4809B274A8BC}">
  <dimension ref="B1:Q59"/>
  <sheetViews>
    <sheetView view="pageBreakPreview" topLeftCell="A25" zoomScale="85" zoomScaleNormal="60" zoomScaleSheetLayoutView="85" workbookViewId="0">
      <selection activeCell="L45" sqref="L45:L4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14" t="s">
        <v>18</v>
      </c>
      <c r="E10" s="15"/>
      <c r="F10" s="16" t="s">
        <v>19</v>
      </c>
      <c r="G10" s="16" t="s">
        <v>19</v>
      </c>
      <c r="H10" s="17"/>
      <c r="I10" s="17" t="s">
        <v>19</v>
      </c>
      <c r="J10" s="16"/>
      <c r="K10" s="16" t="s">
        <v>19</v>
      </c>
      <c r="L10" s="17"/>
      <c r="M10" s="17" t="s">
        <v>19</v>
      </c>
      <c r="N10" s="16" t="s">
        <v>19</v>
      </c>
      <c r="O10" s="16" t="s">
        <v>19</v>
      </c>
      <c r="P10" s="16" t="s">
        <v>19</v>
      </c>
      <c r="Q10" s="17" t="s">
        <v>19</v>
      </c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70</v>
      </c>
      <c r="H11" s="20"/>
      <c r="I11" s="20">
        <v>77.099999999999994</v>
      </c>
      <c r="J11" s="19">
        <v>74.599999999999994</v>
      </c>
      <c r="K11" s="19">
        <v>72.7</v>
      </c>
      <c r="L11" s="20">
        <v>76.099999999999994</v>
      </c>
      <c r="M11" s="20">
        <v>73.3</v>
      </c>
      <c r="N11" s="19">
        <v>76.7</v>
      </c>
      <c r="O11" s="19">
        <v>73.400000000000006</v>
      </c>
      <c r="P11" s="20"/>
      <c r="Q11" s="20">
        <v>79.7</v>
      </c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</v>
      </c>
      <c r="H12" s="20"/>
      <c r="I12" s="20">
        <v>0</v>
      </c>
      <c r="J12" s="19">
        <v>0</v>
      </c>
      <c r="K12" s="19">
        <v>0</v>
      </c>
      <c r="L12" s="20">
        <v>0</v>
      </c>
      <c r="M12" s="20">
        <v>0</v>
      </c>
      <c r="N12" s="19">
        <v>0</v>
      </c>
      <c r="O12" s="19">
        <v>0</v>
      </c>
      <c r="P12" s="20"/>
      <c r="Q12" s="20">
        <v>0.3</v>
      </c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66.3</v>
      </c>
      <c r="H13" s="20"/>
      <c r="I13" s="20">
        <v>72.2</v>
      </c>
      <c r="J13" s="19">
        <v>69.400000000000006</v>
      </c>
      <c r="K13" s="19">
        <v>66.900000000000006</v>
      </c>
      <c r="L13" s="20">
        <v>70.7</v>
      </c>
      <c r="M13" s="20">
        <v>67.5</v>
      </c>
      <c r="N13" s="19">
        <v>72.3</v>
      </c>
      <c r="O13" s="19">
        <v>70.3</v>
      </c>
      <c r="P13" s="20"/>
      <c r="Q13" s="20">
        <v>75.3</v>
      </c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64.7</v>
      </c>
      <c r="H14" s="20"/>
      <c r="I14" s="20">
        <v>66.8</v>
      </c>
      <c r="J14" s="19">
        <v>61.3</v>
      </c>
      <c r="K14" s="19">
        <v>63.3</v>
      </c>
      <c r="L14" s="20">
        <v>63.4</v>
      </c>
      <c r="M14" s="20">
        <v>65.2</v>
      </c>
      <c r="N14" s="19">
        <v>69.099999999999994</v>
      </c>
      <c r="O14" s="19">
        <v>70.8</v>
      </c>
      <c r="P14" s="20"/>
      <c r="Q14" s="20">
        <v>72.3</v>
      </c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56.9</v>
      </c>
      <c r="H15" s="20"/>
      <c r="I15" s="20">
        <v>51.3</v>
      </c>
      <c r="J15" s="19">
        <v>37.6</v>
      </c>
      <c r="K15" s="19">
        <v>39.5</v>
      </c>
      <c r="L15" s="20">
        <v>35.1</v>
      </c>
      <c r="M15" s="20">
        <v>32.299999999999997</v>
      </c>
      <c r="N15" s="19">
        <v>52.8</v>
      </c>
      <c r="O15" s="19">
        <v>48.1</v>
      </c>
      <c r="P15" s="20"/>
      <c r="Q15" s="20">
        <v>42.6</v>
      </c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/>
      <c r="I16" s="20">
        <v>6.6</v>
      </c>
      <c r="J16" s="19">
        <v>6.6</v>
      </c>
      <c r="K16" s="19">
        <v>6.6</v>
      </c>
      <c r="L16" s="20">
        <v>6.6</v>
      </c>
      <c r="M16" s="20">
        <v>6.6</v>
      </c>
      <c r="N16" s="19">
        <v>6.6</v>
      </c>
      <c r="O16" s="19">
        <v>6.6</v>
      </c>
      <c r="P16" s="19"/>
      <c r="Q16" s="20">
        <v>6.6</v>
      </c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117.4</v>
      </c>
      <c r="H17" s="20"/>
      <c r="I17" s="20">
        <v>116.5</v>
      </c>
      <c r="J17" s="19">
        <v>116.1</v>
      </c>
      <c r="K17" s="19">
        <v>115.6</v>
      </c>
      <c r="L17" s="20">
        <v>117.3</v>
      </c>
      <c r="M17" s="20">
        <v>116.4</v>
      </c>
      <c r="N17" s="19">
        <v>116.7</v>
      </c>
      <c r="O17" s="19">
        <v>117.6</v>
      </c>
      <c r="P17" s="20"/>
      <c r="Q17" s="20">
        <v>119.4</v>
      </c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1153</v>
      </c>
      <c r="H18" s="20"/>
      <c r="I18" s="20">
        <v>1177</v>
      </c>
      <c r="J18" s="19">
        <v>1194</v>
      </c>
      <c r="K18" s="19">
        <v>1171</v>
      </c>
      <c r="L18" s="20">
        <v>1205</v>
      </c>
      <c r="M18" s="20">
        <v>1178</v>
      </c>
      <c r="N18" s="19">
        <v>1197</v>
      </c>
      <c r="O18" s="19">
        <v>1189</v>
      </c>
      <c r="P18" s="20"/>
      <c r="Q18" s="20">
        <v>1208</v>
      </c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46525.3</v>
      </c>
      <c r="H19" s="20"/>
      <c r="I19" s="20">
        <v>47419.5</v>
      </c>
      <c r="J19" s="19">
        <v>45004.6</v>
      </c>
      <c r="K19" s="19">
        <v>44996</v>
      </c>
      <c r="L19" s="20">
        <v>47303.199999999997</v>
      </c>
      <c r="M19" s="20">
        <v>47294.6</v>
      </c>
      <c r="N19" s="19">
        <v>46640.1</v>
      </c>
      <c r="O19" s="19">
        <v>46631.5</v>
      </c>
      <c r="P19" s="20"/>
      <c r="Q19" s="20">
        <v>48519.9</v>
      </c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58.8</v>
      </c>
      <c r="H22" s="20"/>
      <c r="I22" s="20">
        <v>58.9</v>
      </c>
      <c r="J22" s="19">
        <v>57.6</v>
      </c>
      <c r="K22" s="19">
        <v>57.5</v>
      </c>
      <c r="L22" s="20">
        <v>57.2</v>
      </c>
      <c r="M22" s="20">
        <v>57.5</v>
      </c>
      <c r="N22" s="19">
        <v>58.5</v>
      </c>
      <c r="O22" s="19">
        <v>58.6</v>
      </c>
      <c r="P22" s="20"/>
      <c r="Q22" s="20">
        <v>59.4</v>
      </c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0.52</v>
      </c>
      <c r="H23" s="20"/>
      <c r="I23" s="20">
        <v>0.49</v>
      </c>
      <c r="J23" s="19">
        <v>0.59</v>
      </c>
      <c r="K23" s="19">
        <v>0.59</v>
      </c>
      <c r="L23" s="20">
        <v>0.52</v>
      </c>
      <c r="M23" s="20">
        <v>0.52</v>
      </c>
      <c r="N23" s="19">
        <v>0.47</v>
      </c>
      <c r="O23" s="19">
        <v>0.48</v>
      </c>
      <c r="P23" s="20"/>
      <c r="Q23" s="20">
        <v>0.47</v>
      </c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44.9</v>
      </c>
      <c r="H25" s="20"/>
      <c r="I25" s="20">
        <v>45.1</v>
      </c>
      <c r="J25" s="19">
        <v>45.3</v>
      </c>
      <c r="K25" s="19">
        <v>45.1</v>
      </c>
      <c r="L25" s="20">
        <v>44.9</v>
      </c>
      <c r="M25" s="20">
        <v>45</v>
      </c>
      <c r="N25" s="19">
        <v>45.2</v>
      </c>
      <c r="O25" s="19">
        <v>45.1</v>
      </c>
      <c r="P25" s="20"/>
      <c r="Q25" s="20">
        <v>45</v>
      </c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/>
      <c r="I26" s="20">
        <v>0.22</v>
      </c>
      <c r="J26" s="19">
        <v>0.25</v>
      </c>
      <c r="K26" s="19">
        <v>0.22</v>
      </c>
      <c r="L26" s="20">
        <v>0.22</v>
      </c>
      <c r="M26" s="20">
        <v>0.22</v>
      </c>
      <c r="N26" s="19">
        <v>0.22</v>
      </c>
      <c r="O26" s="19">
        <v>0.22</v>
      </c>
      <c r="P26" s="20"/>
      <c r="Q26" s="20">
        <v>0.22</v>
      </c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</v>
      </c>
      <c r="H27" s="20"/>
      <c r="I27" s="20">
        <v>3.3</v>
      </c>
      <c r="J27" s="19">
        <v>3.9</v>
      </c>
      <c r="K27" s="19">
        <v>3.9</v>
      </c>
      <c r="L27" s="20">
        <v>4.2</v>
      </c>
      <c r="M27" s="20">
        <v>3.9</v>
      </c>
      <c r="N27" s="19">
        <v>3.7</v>
      </c>
      <c r="O27" s="19">
        <v>3.9</v>
      </c>
      <c r="P27" s="20"/>
      <c r="Q27" s="20">
        <v>3.9</v>
      </c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3.5</v>
      </c>
      <c r="H28" s="20"/>
      <c r="I28" s="20">
        <v>2.5</v>
      </c>
      <c r="J28" s="19">
        <v>3.2</v>
      </c>
      <c r="K28" s="19">
        <v>3.3</v>
      </c>
      <c r="L28" s="20">
        <v>3.3</v>
      </c>
      <c r="M28" s="20">
        <v>3.3</v>
      </c>
      <c r="N28" s="19">
        <v>2.2999999999999998</v>
      </c>
      <c r="O28" s="19">
        <v>2.7</v>
      </c>
      <c r="P28" s="20"/>
      <c r="Q28" s="20">
        <v>2.9</v>
      </c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0.79999999999999982</v>
      </c>
      <c r="H29" s="26">
        <f t="shared" si="0"/>
        <v>0</v>
      </c>
      <c r="I29" s="26">
        <f t="shared" si="0"/>
        <v>2.0999999999999996</v>
      </c>
      <c r="J29" s="26">
        <f t="shared" si="0"/>
        <v>1.0999999999999996</v>
      </c>
      <c r="K29" s="26">
        <f t="shared" si="0"/>
        <v>0.79999999999999982</v>
      </c>
      <c r="L29" s="26">
        <f t="shared" si="0"/>
        <v>1</v>
      </c>
      <c r="M29" s="26">
        <f t="shared" si="0"/>
        <v>0.79999999999999982</v>
      </c>
      <c r="N29" s="26">
        <f>N32-N28</f>
        <v>1.3000000000000003</v>
      </c>
      <c r="O29" s="26">
        <f t="shared" si="0"/>
        <v>1.5</v>
      </c>
      <c r="P29" s="26">
        <f>P32-P28</f>
        <v>0</v>
      </c>
      <c r="Q29" s="26">
        <f t="shared" si="0"/>
        <v>1.6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654.1</v>
      </c>
      <c r="H30" s="20"/>
      <c r="I30" s="20">
        <v>646.4</v>
      </c>
      <c r="J30" s="19">
        <v>670.96</v>
      </c>
      <c r="K30" s="19">
        <v>643.39</v>
      </c>
      <c r="L30" s="20">
        <v>746.48</v>
      </c>
      <c r="M30" s="20">
        <v>661.6</v>
      </c>
      <c r="N30" s="19">
        <v>669.84</v>
      </c>
      <c r="O30" s="19">
        <v>636.29999999999995</v>
      </c>
      <c r="P30" s="20"/>
      <c r="Q30" s="20">
        <v>643.1</v>
      </c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13.1</v>
      </c>
      <c r="H31" s="20"/>
      <c r="I31" s="20">
        <v>13</v>
      </c>
      <c r="J31" s="19">
        <v>12.7</v>
      </c>
      <c r="K31" s="19">
        <v>12.9</v>
      </c>
      <c r="L31" s="20">
        <v>12.4</v>
      </c>
      <c r="M31" s="20">
        <v>12.9</v>
      </c>
      <c r="N31" s="19">
        <v>12</v>
      </c>
      <c r="O31" s="19">
        <v>13.1</v>
      </c>
      <c r="P31" s="20"/>
      <c r="Q31" s="20">
        <v>13.3</v>
      </c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4.3</v>
      </c>
      <c r="H32" s="20"/>
      <c r="I32" s="20">
        <v>4.5999999999999996</v>
      </c>
      <c r="J32" s="19">
        <v>4.3</v>
      </c>
      <c r="K32" s="19">
        <v>4.0999999999999996</v>
      </c>
      <c r="L32" s="20">
        <v>4.3</v>
      </c>
      <c r="M32" s="20">
        <v>4.0999999999999996</v>
      </c>
      <c r="N32" s="19">
        <v>3.6</v>
      </c>
      <c r="O32" s="19">
        <v>4.2</v>
      </c>
      <c r="P32" s="20"/>
      <c r="Q32" s="20">
        <v>4.5</v>
      </c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8.8000000000000007</v>
      </c>
      <c r="H33" s="26">
        <f t="shared" si="1"/>
        <v>0</v>
      </c>
      <c r="I33" s="26">
        <f t="shared" si="1"/>
        <v>8.4</v>
      </c>
      <c r="J33" s="26">
        <f t="shared" si="1"/>
        <v>8.3999999999999986</v>
      </c>
      <c r="K33" s="26">
        <f t="shared" si="1"/>
        <v>8.8000000000000007</v>
      </c>
      <c r="L33" s="26">
        <f t="shared" si="1"/>
        <v>8.1000000000000014</v>
      </c>
      <c r="M33" s="26">
        <f t="shared" si="1"/>
        <v>8.8000000000000007</v>
      </c>
      <c r="N33" s="26">
        <f t="shared" si="1"/>
        <v>8.4</v>
      </c>
      <c r="O33" s="26">
        <f t="shared" si="1"/>
        <v>8.8999999999999986</v>
      </c>
      <c r="P33" s="26">
        <f t="shared" si="1"/>
        <v>0</v>
      </c>
      <c r="Q33" s="26">
        <f t="shared" si="1"/>
        <v>8.8000000000000007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6646.7436489607398</v>
      </c>
      <c r="H34" s="27">
        <f t="shared" si="2"/>
        <v>0</v>
      </c>
      <c r="I34" s="27">
        <f t="shared" si="2"/>
        <v>6269.9307159353348</v>
      </c>
      <c r="J34" s="27">
        <f t="shared" si="2"/>
        <v>6508.1570438799072</v>
      </c>
      <c r="K34" s="27">
        <f t="shared" si="2"/>
        <v>6537.912240184758</v>
      </c>
      <c r="L34" s="27">
        <f t="shared" si="2"/>
        <v>6982.0877598152438</v>
      </c>
      <c r="M34" s="27">
        <f t="shared" si="2"/>
        <v>6722.9561200923799</v>
      </c>
      <c r="N34" s="27">
        <f t="shared" si="2"/>
        <v>6497.2933025404163</v>
      </c>
      <c r="O34" s="27">
        <f t="shared" si="2"/>
        <v>6539.3418013856799</v>
      </c>
      <c r="P34" s="27">
        <f t="shared" si="2"/>
        <v>0</v>
      </c>
      <c r="Q34" s="27">
        <f t="shared" si="2"/>
        <v>6534.9653579676678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0.82</v>
      </c>
      <c r="H35" s="20"/>
      <c r="I35" s="20">
        <v>0.85</v>
      </c>
      <c r="J35" s="19">
        <v>0.83</v>
      </c>
      <c r="K35" s="19">
        <v>0.83</v>
      </c>
      <c r="L35" s="20">
        <v>0.85</v>
      </c>
      <c r="M35" s="20">
        <v>0.81</v>
      </c>
      <c r="N35" s="19">
        <v>0.82</v>
      </c>
      <c r="O35" s="19">
        <v>0.83</v>
      </c>
      <c r="P35" s="20"/>
      <c r="Q35" s="20">
        <v>0.81</v>
      </c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36.1</v>
      </c>
      <c r="H36" s="20"/>
      <c r="I36" s="20">
        <v>36.700000000000003</v>
      </c>
      <c r="J36" s="19">
        <v>36.200000000000003</v>
      </c>
      <c r="K36" s="19">
        <v>36.299999999999997</v>
      </c>
      <c r="L36" s="20">
        <v>36.9</v>
      </c>
      <c r="M36" s="20">
        <v>36.799999999999997</v>
      </c>
      <c r="N36" s="19">
        <v>35.799999999999997</v>
      </c>
      <c r="O36" s="19">
        <v>36.4</v>
      </c>
      <c r="P36" s="20"/>
      <c r="Q36" s="20">
        <v>36.299999999999997</v>
      </c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36.6</v>
      </c>
      <c r="H37" s="20"/>
      <c r="I37" s="20">
        <v>37.700000000000003</v>
      </c>
      <c r="J37" s="19">
        <v>37</v>
      </c>
      <c r="K37" s="19">
        <v>37</v>
      </c>
      <c r="L37" s="20">
        <v>37.5</v>
      </c>
      <c r="M37" s="20">
        <v>37.200000000000003</v>
      </c>
      <c r="N37" s="19">
        <v>36.299999999999997</v>
      </c>
      <c r="O37" s="19">
        <v>36.799999999999997</v>
      </c>
      <c r="P37" s="20"/>
      <c r="Q37" s="20">
        <v>36.4</v>
      </c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2.5</v>
      </c>
      <c r="H38" s="26">
        <f t="shared" si="3"/>
        <v>0</v>
      </c>
      <c r="I38" s="26">
        <f t="shared" si="3"/>
        <v>4.3000000000000043</v>
      </c>
      <c r="J38" s="26">
        <f t="shared" si="3"/>
        <v>3.7000000000000028</v>
      </c>
      <c r="K38" s="26">
        <f t="shared" si="3"/>
        <v>2.8999999999999986</v>
      </c>
      <c r="L38" s="26">
        <f t="shared" si="3"/>
        <v>4.3999999999999986</v>
      </c>
      <c r="M38" s="26">
        <f t="shared" si="3"/>
        <v>3.5</v>
      </c>
      <c r="N38" s="26">
        <f t="shared" si="3"/>
        <v>3.2999999999999972</v>
      </c>
      <c r="O38" s="26">
        <f t="shared" si="3"/>
        <v>2.1999999999999957</v>
      </c>
      <c r="P38" s="26">
        <f t="shared" si="3"/>
        <v>0</v>
      </c>
      <c r="Q38" s="26">
        <f t="shared" si="3"/>
        <v>2.2999999999999972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28.6</v>
      </c>
      <c r="H40" s="20"/>
      <c r="I40" s="20">
        <v>28.6</v>
      </c>
      <c r="J40" s="19">
        <v>28</v>
      </c>
      <c r="K40" s="19">
        <v>28.7</v>
      </c>
      <c r="L40" s="20">
        <v>27.9</v>
      </c>
      <c r="M40" s="20">
        <v>28.5</v>
      </c>
      <c r="N40" s="19">
        <v>27.9</v>
      </c>
      <c r="O40" s="19">
        <v>28.5</v>
      </c>
      <c r="P40" s="20"/>
      <c r="Q40" s="20">
        <v>28.4</v>
      </c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34.1</v>
      </c>
      <c r="H41" s="20"/>
      <c r="I41" s="20">
        <v>33.4</v>
      </c>
      <c r="J41" s="19">
        <v>33.299999999999997</v>
      </c>
      <c r="K41" s="19">
        <v>34.1</v>
      </c>
      <c r="L41" s="20">
        <v>33.1</v>
      </c>
      <c r="M41" s="20">
        <v>33.700000000000003</v>
      </c>
      <c r="N41" s="19">
        <v>33</v>
      </c>
      <c r="O41" s="19">
        <v>34.6</v>
      </c>
      <c r="P41" s="20"/>
      <c r="Q41" s="20">
        <v>34.1</v>
      </c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5.5</v>
      </c>
      <c r="H42" s="26">
        <f t="shared" si="4"/>
        <v>0</v>
      </c>
      <c r="I42" s="26">
        <f t="shared" si="4"/>
        <v>4.7999999999999972</v>
      </c>
      <c r="J42" s="26">
        <f t="shared" si="4"/>
        <v>5.2999999999999972</v>
      </c>
      <c r="K42" s="26">
        <f t="shared" si="4"/>
        <v>5.4000000000000021</v>
      </c>
      <c r="L42" s="26">
        <f t="shared" si="4"/>
        <v>5.2000000000000028</v>
      </c>
      <c r="M42" s="26">
        <f t="shared" si="4"/>
        <v>5.2000000000000028</v>
      </c>
      <c r="N42" s="26">
        <f t="shared" si="4"/>
        <v>5.1000000000000014</v>
      </c>
      <c r="O42" s="26">
        <f t="shared" si="4"/>
        <v>6.1000000000000014</v>
      </c>
      <c r="P42" s="26">
        <f t="shared" si="4"/>
        <v>0</v>
      </c>
      <c r="Q42" s="26">
        <f t="shared" si="4"/>
        <v>5.7000000000000028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1300.8</v>
      </c>
      <c r="H43" s="20"/>
      <c r="I43" s="20">
        <v>1295.4000000000001</v>
      </c>
      <c r="J43" s="19">
        <v>1298.08</v>
      </c>
      <c r="K43" s="19">
        <v>1292.2</v>
      </c>
      <c r="L43" s="20">
        <v>1292.3399999999999</v>
      </c>
      <c r="M43" s="19">
        <v>1284.0999999999999</v>
      </c>
      <c r="N43" s="19">
        <v>1236.3399999999999</v>
      </c>
      <c r="O43" s="19">
        <v>1111.9000000000001</v>
      </c>
      <c r="P43" s="20"/>
      <c r="Q43" s="20">
        <v>1295.3</v>
      </c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8261.431870669745</v>
      </c>
      <c r="H44" s="27">
        <f t="shared" si="5"/>
        <v>0</v>
      </c>
      <c r="I44" s="27">
        <f t="shared" si="5"/>
        <v>7180.0461893764395</v>
      </c>
      <c r="J44" s="27">
        <f t="shared" si="5"/>
        <v>7944.3695150115427</v>
      </c>
      <c r="K44" s="27">
        <f t="shared" si="5"/>
        <v>8057.5981524249455</v>
      </c>
      <c r="L44" s="27">
        <f t="shared" si="5"/>
        <v>7760.0092378752925</v>
      </c>
      <c r="M44" s="27">
        <f t="shared" si="5"/>
        <v>7710.5311778291034</v>
      </c>
      <c r="N44" s="27">
        <f t="shared" si="5"/>
        <v>7280.9861431870686</v>
      </c>
      <c r="O44" s="27">
        <f t="shared" si="5"/>
        <v>7832.0900692840669</v>
      </c>
      <c r="P44" s="27">
        <f t="shared" si="5"/>
        <v>0</v>
      </c>
      <c r="Q44" s="27">
        <f t="shared" si="5"/>
        <v>8525.6466512702118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0.46</v>
      </c>
      <c r="H45" s="20"/>
      <c r="I45" s="20">
        <v>0.46</v>
      </c>
      <c r="J45" s="19">
        <v>0.46</v>
      </c>
      <c r="K45" s="19">
        <v>0.46</v>
      </c>
      <c r="L45" s="20">
        <v>0.47</v>
      </c>
      <c r="M45" s="20">
        <v>0.47</v>
      </c>
      <c r="N45" s="19">
        <v>0.45</v>
      </c>
      <c r="O45" s="19">
        <v>0.46</v>
      </c>
      <c r="P45" s="20"/>
      <c r="Q45" s="20">
        <v>0.46</v>
      </c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19.899999999999999</v>
      </c>
      <c r="H46" s="20"/>
      <c r="I46" s="20">
        <v>19.7</v>
      </c>
      <c r="J46" s="19">
        <v>19.2</v>
      </c>
      <c r="K46" s="19">
        <v>19.8</v>
      </c>
      <c r="L46" s="20">
        <v>20.2</v>
      </c>
      <c r="M46" s="20">
        <v>20.2</v>
      </c>
      <c r="N46" s="19">
        <v>18.899999999999999</v>
      </c>
      <c r="O46" s="19">
        <v>19.399999999999999</v>
      </c>
      <c r="P46" s="20"/>
      <c r="Q46" s="20">
        <v>19.5</v>
      </c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185.3</v>
      </c>
      <c r="H47" s="20"/>
      <c r="I47" s="20">
        <v>117.5</v>
      </c>
      <c r="J47" s="19">
        <v>201.1</v>
      </c>
      <c r="K47" s="19">
        <v>201</v>
      </c>
      <c r="L47" s="20">
        <v>218.9</v>
      </c>
      <c r="M47" s="20">
        <v>206.3</v>
      </c>
      <c r="N47" s="19">
        <v>160.80000000000001</v>
      </c>
      <c r="O47" s="19">
        <v>160.5</v>
      </c>
      <c r="P47" s="20"/>
      <c r="Q47" s="20">
        <v>199</v>
      </c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14">
        <v>5.89</v>
      </c>
      <c r="F49" s="19"/>
      <c r="G49" s="19">
        <v>5.47</v>
      </c>
      <c r="H49" s="20"/>
      <c r="I49" s="20">
        <v>5.4</v>
      </c>
      <c r="J49" s="19">
        <v>5.3</v>
      </c>
      <c r="K49" s="19">
        <v>5.6</v>
      </c>
      <c r="L49" s="20">
        <v>5.0599999999999996</v>
      </c>
      <c r="M49" s="20">
        <v>5.4</v>
      </c>
      <c r="N49" s="19">
        <v>5.4</v>
      </c>
      <c r="O49" s="19">
        <v>5.65</v>
      </c>
      <c r="P49" s="20"/>
      <c r="Q49" s="20">
        <v>5.27</v>
      </c>
    </row>
    <row r="50" spans="2:17" ht="20.100000000000001" customHeight="1" x14ac:dyDescent="0.25">
      <c r="B50" s="93" t="s">
        <v>90</v>
      </c>
      <c r="C50" s="93"/>
      <c r="D50" s="93"/>
      <c r="E50" s="14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29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9613-8FB4-49AA-81D3-7A90D5913BFE}">
  <dimension ref="B1:Q59"/>
  <sheetViews>
    <sheetView view="pageBreakPreview" zoomScale="85" zoomScaleNormal="60" zoomScaleSheetLayoutView="85" workbookViewId="0">
      <selection activeCell="L20" sqref="L20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14" t="s">
        <v>18</v>
      </c>
      <c r="E10" s="15"/>
      <c r="F10" s="16" t="s">
        <v>19</v>
      </c>
      <c r="G10" s="16" t="s">
        <v>19</v>
      </c>
      <c r="H10" s="17"/>
      <c r="I10" s="17" t="s">
        <v>19</v>
      </c>
      <c r="J10" s="16"/>
      <c r="K10" s="16" t="s">
        <v>19</v>
      </c>
      <c r="L10" s="17"/>
      <c r="M10" s="17" t="s">
        <v>19</v>
      </c>
      <c r="N10" s="16" t="s">
        <v>19</v>
      </c>
      <c r="O10" s="16" t="s">
        <v>19</v>
      </c>
      <c r="P10" s="16" t="s">
        <v>19</v>
      </c>
      <c r="Q10" s="17" t="s">
        <v>19</v>
      </c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71.2</v>
      </c>
      <c r="H11" s="20"/>
      <c r="I11" s="20">
        <v>77.7</v>
      </c>
      <c r="J11" s="19"/>
      <c r="K11" s="19">
        <v>70.400000000000006</v>
      </c>
      <c r="L11" s="20"/>
      <c r="M11" s="20">
        <v>73.3</v>
      </c>
      <c r="N11" s="19"/>
      <c r="O11" s="19">
        <v>74.3</v>
      </c>
      <c r="P11" s="20"/>
      <c r="Q11" s="20">
        <v>78.599999999999994</v>
      </c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</v>
      </c>
      <c r="H12" s="20"/>
      <c r="I12" s="20">
        <v>0</v>
      </c>
      <c r="J12" s="19"/>
      <c r="K12" s="19">
        <v>0</v>
      </c>
      <c r="L12" s="20"/>
      <c r="M12" s="20">
        <v>0</v>
      </c>
      <c r="N12" s="19"/>
      <c r="O12" s="19">
        <v>0</v>
      </c>
      <c r="P12" s="20"/>
      <c r="Q12" s="20">
        <v>0</v>
      </c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65.2</v>
      </c>
      <c r="H13" s="20"/>
      <c r="I13" s="20">
        <v>72.8</v>
      </c>
      <c r="J13" s="19"/>
      <c r="K13" s="19">
        <v>66.099999999999994</v>
      </c>
      <c r="L13" s="20"/>
      <c r="M13" s="20">
        <v>70.599999999999994</v>
      </c>
      <c r="N13" s="19"/>
      <c r="O13" s="19">
        <v>69.7</v>
      </c>
      <c r="P13" s="20"/>
      <c r="Q13" s="20">
        <v>73.599999999999994</v>
      </c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64.7</v>
      </c>
      <c r="H14" s="20"/>
      <c r="I14" s="20">
        <v>67.2</v>
      </c>
      <c r="J14" s="19"/>
      <c r="K14" s="19">
        <v>63.6</v>
      </c>
      <c r="L14" s="20"/>
      <c r="M14" s="20">
        <v>63.5</v>
      </c>
      <c r="N14" s="19"/>
      <c r="O14" s="19">
        <v>68.099999999999994</v>
      </c>
      <c r="P14" s="20"/>
      <c r="Q14" s="20">
        <v>72.5</v>
      </c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56</v>
      </c>
      <c r="H15" s="20"/>
      <c r="I15" s="20">
        <v>51.3</v>
      </c>
      <c r="J15" s="19"/>
      <c r="K15" s="19">
        <v>38.700000000000003</v>
      </c>
      <c r="L15" s="20"/>
      <c r="M15" s="20">
        <v>30.9</v>
      </c>
      <c r="N15" s="19"/>
      <c r="O15" s="19">
        <v>50.4</v>
      </c>
      <c r="P15" s="20"/>
      <c r="Q15" s="20">
        <v>42.8</v>
      </c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/>
      <c r="I16" s="20">
        <v>6.6</v>
      </c>
      <c r="J16" s="19"/>
      <c r="K16" s="19">
        <v>6.6</v>
      </c>
      <c r="L16" s="20"/>
      <c r="M16" s="20">
        <v>6.6</v>
      </c>
      <c r="N16" s="19"/>
      <c r="O16" s="19">
        <v>6.6</v>
      </c>
      <c r="P16" s="19"/>
      <c r="Q16" s="20">
        <v>6.6</v>
      </c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116.6</v>
      </c>
      <c r="H17" s="20"/>
      <c r="I17" s="20">
        <v>117.7</v>
      </c>
      <c r="J17" s="19"/>
      <c r="K17" s="19">
        <v>116.4</v>
      </c>
      <c r="L17" s="20"/>
      <c r="M17" s="20">
        <v>118</v>
      </c>
      <c r="N17" s="19"/>
      <c r="O17" s="19">
        <v>116.9</v>
      </c>
      <c r="P17" s="20"/>
      <c r="Q17" s="20">
        <v>119.7</v>
      </c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1132</v>
      </c>
      <c r="H18" s="20"/>
      <c r="I18" s="20">
        <v>1186</v>
      </c>
      <c r="J18" s="19"/>
      <c r="K18" s="19">
        <v>1176</v>
      </c>
      <c r="L18" s="20"/>
      <c r="M18" s="20">
        <v>1194</v>
      </c>
      <c r="N18" s="19"/>
      <c r="O18" s="19">
        <v>1185</v>
      </c>
      <c r="P18" s="20"/>
      <c r="Q18" s="20">
        <v>1205</v>
      </c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46534.400000000001</v>
      </c>
      <c r="H19" s="20"/>
      <c r="I19" s="20">
        <v>47428.9</v>
      </c>
      <c r="J19" s="19"/>
      <c r="K19" s="19">
        <v>45019.8</v>
      </c>
      <c r="L19" s="20"/>
      <c r="M19" s="20">
        <v>47318.400000000001</v>
      </c>
      <c r="N19" s="19"/>
      <c r="O19" s="19">
        <v>46647.5</v>
      </c>
      <c r="P19" s="20"/>
      <c r="Q19" s="20">
        <v>48529.5</v>
      </c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58.1</v>
      </c>
      <c r="H22" s="20"/>
      <c r="I22" s="20">
        <v>59.3</v>
      </c>
      <c r="J22" s="19"/>
      <c r="K22" s="19">
        <v>57.7</v>
      </c>
      <c r="L22" s="20"/>
      <c r="M22" s="20">
        <v>57.3</v>
      </c>
      <c r="N22" s="19"/>
      <c r="O22" s="19">
        <v>58.5</v>
      </c>
      <c r="P22" s="20"/>
      <c r="Q22" s="20">
        <v>59.2</v>
      </c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0.53</v>
      </c>
      <c r="H23" s="20"/>
      <c r="I23" s="20">
        <v>0.49</v>
      </c>
      <c r="J23" s="19"/>
      <c r="K23" s="19">
        <v>0.59</v>
      </c>
      <c r="L23" s="20"/>
      <c r="M23" s="20">
        <v>0.52</v>
      </c>
      <c r="N23" s="19"/>
      <c r="O23" s="19">
        <v>0.48</v>
      </c>
      <c r="P23" s="20"/>
      <c r="Q23" s="20">
        <v>0.48</v>
      </c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45</v>
      </c>
      <c r="H25" s="20"/>
      <c r="I25" s="20">
        <v>44.8</v>
      </c>
      <c r="J25" s="19"/>
      <c r="K25" s="19">
        <v>45.1</v>
      </c>
      <c r="L25" s="20"/>
      <c r="M25" s="20">
        <v>45</v>
      </c>
      <c r="N25" s="19"/>
      <c r="O25" s="19">
        <v>44.8</v>
      </c>
      <c r="P25" s="20"/>
      <c r="Q25" s="20">
        <v>45</v>
      </c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/>
      <c r="I26" s="20">
        <v>0.22</v>
      </c>
      <c r="J26" s="19"/>
      <c r="K26" s="19">
        <v>0.23</v>
      </c>
      <c r="L26" s="20"/>
      <c r="M26" s="20">
        <v>0.22</v>
      </c>
      <c r="N26" s="19"/>
      <c r="O26" s="19">
        <v>0.22</v>
      </c>
      <c r="P26" s="20"/>
      <c r="Q26" s="20">
        <v>2.2000000000000002</v>
      </c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</v>
      </c>
      <c r="H27" s="20"/>
      <c r="I27" s="20">
        <v>3.6</v>
      </c>
      <c r="J27" s="19"/>
      <c r="K27" s="19">
        <v>4.3</v>
      </c>
      <c r="L27" s="20"/>
      <c r="M27" s="20">
        <v>4.0999999999999996</v>
      </c>
      <c r="N27" s="19"/>
      <c r="O27" s="19">
        <v>3.9</v>
      </c>
      <c r="P27" s="20"/>
      <c r="Q27" s="20">
        <v>4</v>
      </c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3.7</v>
      </c>
      <c r="H28" s="20"/>
      <c r="I28" s="20">
        <v>2.7</v>
      </c>
      <c r="J28" s="19"/>
      <c r="K28" s="19">
        <v>3.6</v>
      </c>
      <c r="L28" s="20"/>
      <c r="M28" s="20">
        <v>2.9</v>
      </c>
      <c r="N28" s="19"/>
      <c r="O28" s="19">
        <v>2.7</v>
      </c>
      <c r="P28" s="20"/>
      <c r="Q28" s="20">
        <v>3.2</v>
      </c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1</v>
      </c>
      <c r="H29" s="26">
        <f t="shared" si="0"/>
        <v>0</v>
      </c>
      <c r="I29" s="26">
        <f t="shared" si="0"/>
        <v>2.2999999999999998</v>
      </c>
      <c r="J29" s="26">
        <f t="shared" si="0"/>
        <v>0</v>
      </c>
      <c r="K29" s="26">
        <f t="shared" si="0"/>
        <v>0.69999999999999973</v>
      </c>
      <c r="L29" s="26">
        <f t="shared" si="0"/>
        <v>0</v>
      </c>
      <c r="M29" s="26">
        <f t="shared" si="0"/>
        <v>1.3000000000000003</v>
      </c>
      <c r="N29" s="26">
        <f>N32-N28</f>
        <v>0</v>
      </c>
      <c r="O29" s="26">
        <f t="shared" si="0"/>
        <v>1.1999999999999997</v>
      </c>
      <c r="P29" s="26">
        <f>P32-P28</f>
        <v>0</v>
      </c>
      <c r="Q29" s="26">
        <f t="shared" si="0"/>
        <v>1.7000000000000002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669.2</v>
      </c>
      <c r="H30" s="20"/>
      <c r="I30" s="20">
        <v>650.29999999999995</v>
      </c>
      <c r="J30" s="19"/>
      <c r="K30" s="19">
        <v>648.9</v>
      </c>
      <c r="L30" s="20"/>
      <c r="M30" s="20">
        <v>653.5</v>
      </c>
      <c r="N30" s="19"/>
      <c r="O30" s="19">
        <v>638.1</v>
      </c>
      <c r="P30" s="20"/>
      <c r="Q30" s="20">
        <v>655.20000000000005</v>
      </c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13.4</v>
      </c>
      <c r="H31" s="20"/>
      <c r="I31" s="20">
        <v>13.3</v>
      </c>
      <c r="J31" s="19"/>
      <c r="K31" s="19">
        <v>13.1</v>
      </c>
      <c r="L31" s="20"/>
      <c r="M31" s="20">
        <v>12.9</v>
      </c>
      <c r="N31" s="19"/>
      <c r="O31" s="19">
        <v>12.8</v>
      </c>
      <c r="P31" s="20"/>
      <c r="Q31" s="20">
        <v>13.6</v>
      </c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4.7</v>
      </c>
      <c r="H32" s="20"/>
      <c r="I32" s="20">
        <v>5</v>
      </c>
      <c r="J32" s="19"/>
      <c r="K32" s="19">
        <v>4.3</v>
      </c>
      <c r="L32" s="20"/>
      <c r="M32" s="20">
        <v>4.2</v>
      </c>
      <c r="N32" s="19"/>
      <c r="O32" s="19">
        <v>3.9</v>
      </c>
      <c r="P32" s="20"/>
      <c r="Q32" s="20">
        <v>4.9000000000000004</v>
      </c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8.6999999999999993</v>
      </c>
      <c r="H33" s="26">
        <f t="shared" si="1"/>
        <v>0</v>
      </c>
      <c r="I33" s="26">
        <f t="shared" si="1"/>
        <v>8.3000000000000007</v>
      </c>
      <c r="J33" s="26">
        <f t="shared" si="1"/>
        <v>0</v>
      </c>
      <c r="K33" s="26">
        <f t="shared" si="1"/>
        <v>8.8000000000000007</v>
      </c>
      <c r="L33" s="26">
        <f t="shared" si="1"/>
        <v>0</v>
      </c>
      <c r="M33" s="26">
        <f t="shared" si="1"/>
        <v>8.6999999999999993</v>
      </c>
      <c r="N33" s="26">
        <f t="shared" si="1"/>
        <v>0</v>
      </c>
      <c r="O33" s="26">
        <f t="shared" si="1"/>
        <v>8.9</v>
      </c>
      <c r="P33" s="26">
        <f t="shared" si="1"/>
        <v>0</v>
      </c>
      <c r="Q33" s="26">
        <f t="shared" si="1"/>
        <v>8.6999999999999993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6722.9099307159349</v>
      </c>
      <c r="H34" s="27">
        <f t="shared" si="2"/>
        <v>0</v>
      </c>
      <c r="I34" s="27">
        <f t="shared" si="2"/>
        <v>6232.6674364896071</v>
      </c>
      <c r="J34" s="27">
        <f t="shared" si="2"/>
        <v>0</v>
      </c>
      <c r="K34" s="27">
        <f t="shared" si="2"/>
        <v>6593.9030023094692</v>
      </c>
      <c r="L34" s="27">
        <f t="shared" si="2"/>
        <v>0</v>
      </c>
      <c r="M34" s="27">
        <f t="shared" si="2"/>
        <v>6565.1847575057736</v>
      </c>
      <c r="N34" s="27">
        <f t="shared" si="2"/>
        <v>0</v>
      </c>
      <c r="O34" s="27">
        <f t="shared" si="2"/>
        <v>6557.8406466512706</v>
      </c>
      <c r="P34" s="27">
        <f t="shared" si="2"/>
        <v>0</v>
      </c>
      <c r="Q34" s="27">
        <f t="shared" si="2"/>
        <v>6582.2632794457277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0.83</v>
      </c>
      <c r="H35" s="20"/>
      <c r="I35" s="20">
        <v>0.86</v>
      </c>
      <c r="J35" s="19"/>
      <c r="K35" s="19">
        <v>0.84</v>
      </c>
      <c r="L35" s="20"/>
      <c r="M35" s="20">
        <v>0.85</v>
      </c>
      <c r="N35" s="19"/>
      <c r="O35" s="19">
        <v>0.82</v>
      </c>
      <c r="P35" s="20"/>
      <c r="Q35" s="20">
        <v>0.82</v>
      </c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36.4</v>
      </c>
      <c r="H36" s="20"/>
      <c r="I36" s="20">
        <v>37.1</v>
      </c>
      <c r="J36" s="19"/>
      <c r="K36" s="19">
        <v>36.6</v>
      </c>
      <c r="L36" s="20"/>
      <c r="M36" s="20">
        <v>37.200000000000003</v>
      </c>
      <c r="N36" s="19"/>
      <c r="O36" s="19">
        <v>36.700000000000003</v>
      </c>
      <c r="P36" s="20"/>
      <c r="Q36" s="20">
        <v>36.5</v>
      </c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37</v>
      </c>
      <c r="H37" s="20"/>
      <c r="I37" s="20">
        <v>38</v>
      </c>
      <c r="J37" s="19"/>
      <c r="K37" s="19">
        <v>37.299999999999997</v>
      </c>
      <c r="L37" s="20"/>
      <c r="M37" s="20">
        <v>37.6</v>
      </c>
      <c r="N37" s="19"/>
      <c r="O37" s="19">
        <v>37</v>
      </c>
      <c r="P37" s="20"/>
      <c r="Q37" s="20">
        <v>36.700000000000003</v>
      </c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2.6000000000000014</v>
      </c>
      <c r="H38" s="26">
        <f t="shared" si="3"/>
        <v>0</v>
      </c>
      <c r="I38" s="26">
        <f t="shared" si="3"/>
        <v>4.1000000000000014</v>
      </c>
      <c r="J38" s="26">
        <f t="shared" si="3"/>
        <v>0</v>
      </c>
      <c r="K38" s="26">
        <f t="shared" si="3"/>
        <v>2.7999999999999972</v>
      </c>
      <c r="L38" s="26">
        <f t="shared" si="3"/>
        <v>0</v>
      </c>
      <c r="M38" s="26">
        <f t="shared" si="3"/>
        <v>3.5</v>
      </c>
      <c r="N38" s="26">
        <f t="shared" si="3"/>
        <v>0</v>
      </c>
      <c r="O38" s="26">
        <f t="shared" si="3"/>
        <v>2.2000000000000028</v>
      </c>
      <c r="P38" s="26">
        <f t="shared" si="3"/>
        <v>0</v>
      </c>
      <c r="Q38" s="26">
        <f t="shared" si="3"/>
        <v>2.3000000000000043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29.1</v>
      </c>
      <c r="H40" s="20"/>
      <c r="I40" s="20">
        <v>28.8</v>
      </c>
      <c r="J40" s="19"/>
      <c r="K40" s="19">
        <v>29</v>
      </c>
      <c r="L40" s="20"/>
      <c r="M40" s="20">
        <v>28.9</v>
      </c>
      <c r="N40" s="19"/>
      <c r="O40" s="19">
        <v>28.8</v>
      </c>
      <c r="P40" s="20"/>
      <c r="Q40" s="20">
        <v>28.9</v>
      </c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34.4</v>
      </c>
      <c r="H41" s="20"/>
      <c r="I41" s="20">
        <v>33.9</v>
      </c>
      <c r="J41" s="19"/>
      <c r="K41" s="19">
        <v>34.5</v>
      </c>
      <c r="L41" s="20"/>
      <c r="M41" s="20">
        <v>34.1</v>
      </c>
      <c r="N41" s="19"/>
      <c r="O41" s="19">
        <v>34.799999999999997</v>
      </c>
      <c r="P41" s="20"/>
      <c r="Q41" s="20">
        <v>34.4</v>
      </c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5.2999999999999972</v>
      </c>
      <c r="H42" s="26">
        <f t="shared" si="4"/>
        <v>0</v>
      </c>
      <c r="I42" s="26">
        <f t="shared" si="4"/>
        <v>5.0999999999999979</v>
      </c>
      <c r="J42" s="26">
        <f t="shared" si="4"/>
        <v>0</v>
      </c>
      <c r="K42" s="26">
        <f t="shared" si="4"/>
        <v>5.5</v>
      </c>
      <c r="L42" s="26">
        <f t="shared" si="4"/>
        <v>0</v>
      </c>
      <c r="M42" s="26">
        <f t="shared" si="4"/>
        <v>5.2000000000000028</v>
      </c>
      <c r="N42" s="26">
        <f t="shared" si="4"/>
        <v>0</v>
      </c>
      <c r="O42" s="26">
        <f t="shared" si="4"/>
        <v>5.9999999999999964</v>
      </c>
      <c r="P42" s="26">
        <f t="shared" si="4"/>
        <v>0</v>
      </c>
      <c r="Q42" s="26">
        <f t="shared" si="4"/>
        <v>5.5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1297.3</v>
      </c>
      <c r="H43" s="20"/>
      <c r="I43" s="20">
        <v>1300.9000000000001</v>
      </c>
      <c r="J43" s="19"/>
      <c r="K43" s="19">
        <v>1303.2</v>
      </c>
      <c r="L43" s="20"/>
      <c r="M43" s="19">
        <v>1289.9000000000001</v>
      </c>
      <c r="N43" s="19"/>
      <c r="O43" s="19">
        <v>1110</v>
      </c>
      <c r="P43" s="20"/>
      <c r="Q43" s="20">
        <v>1291.5999999999999</v>
      </c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7939.5958429561151</v>
      </c>
      <c r="H44" s="27">
        <f t="shared" si="5"/>
        <v>0</v>
      </c>
      <c r="I44" s="27">
        <f t="shared" si="5"/>
        <v>7661.1893764434153</v>
      </c>
      <c r="J44" s="27">
        <f t="shared" si="5"/>
        <v>0</v>
      </c>
      <c r="K44" s="27">
        <f t="shared" si="5"/>
        <v>8276.6743648960746</v>
      </c>
      <c r="L44" s="27">
        <f t="shared" si="5"/>
        <v>0</v>
      </c>
      <c r="M44" s="27">
        <f t="shared" si="5"/>
        <v>7745.3579676674417</v>
      </c>
      <c r="N44" s="27">
        <f t="shared" si="5"/>
        <v>0</v>
      </c>
      <c r="O44" s="27">
        <f t="shared" si="5"/>
        <v>7690.5311778290952</v>
      </c>
      <c r="P44" s="27">
        <f t="shared" si="5"/>
        <v>0</v>
      </c>
      <c r="Q44" s="27">
        <f t="shared" si="5"/>
        <v>8203.0023094688222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0.47</v>
      </c>
      <c r="H45" s="20"/>
      <c r="I45" s="20">
        <v>0.47</v>
      </c>
      <c r="J45" s="19"/>
      <c r="K45" s="19">
        <v>0.46</v>
      </c>
      <c r="L45" s="20"/>
      <c r="M45" s="20">
        <v>0.47</v>
      </c>
      <c r="N45" s="19"/>
      <c r="O45" s="19">
        <v>0.46</v>
      </c>
      <c r="P45" s="20"/>
      <c r="Q45" s="20">
        <v>0.47</v>
      </c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20.100000000000001</v>
      </c>
      <c r="H46" s="20"/>
      <c r="I46" s="20">
        <v>19.899999999999999</v>
      </c>
      <c r="J46" s="19"/>
      <c r="K46" s="19">
        <v>19.8</v>
      </c>
      <c r="L46" s="20"/>
      <c r="M46" s="20">
        <v>20.100000000000001</v>
      </c>
      <c r="N46" s="19"/>
      <c r="O46" s="19">
        <v>19.600000000000001</v>
      </c>
      <c r="P46" s="20"/>
      <c r="Q46" s="20">
        <v>20</v>
      </c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229.9</v>
      </c>
      <c r="H47" s="20"/>
      <c r="I47" s="20">
        <v>120.8</v>
      </c>
      <c r="J47" s="19"/>
      <c r="K47" s="19">
        <v>207.3</v>
      </c>
      <c r="L47" s="20"/>
      <c r="M47" s="20">
        <v>203.6</v>
      </c>
      <c r="N47" s="19"/>
      <c r="O47" s="19">
        <v>159.4</v>
      </c>
      <c r="P47" s="20"/>
      <c r="Q47" s="20">
        <v>201.2</v>
      </c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14">
        <v>5.89</v>
      </c>
      <c r="F49" s="19"/>
      <c r="G49" s="19">
        <v>5.74</v>
      </c>
      <c r="H49" s="20"/>
      <c r="I49" s="20">
        <v>5.18</v>
      </c>
      <c r="J49" s="19"/>
      <c r="K49" s="19">
        <v>5.52</v>
      </c>
      <c r="L49" s="20"/>
      <c r="M49" s="20">
        <v>5.39</v>
      </c>
      <c r="N49" s="19"/>
      <c r="O49" s="19">
        <v>5.54</v>
      </c>
      <c r="P49" s="20"/>
      <c r="Q49" s="20">
        <v>5.32</v>
      </c>
    </row>
    <row r="50" spans="2:17" ht="20.100000000000001" customHeight="1" x14ac:dyDescent="0.25">
      <c r="B50" s="93" t="s">
        <v>90</v>
      </c>
      <c r="C50" s="93"/>
      <c r="D50" s="93"/>
      <c r="E50" s="14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29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7783-DCC3-47F3-AC5D-7D122C94FBF8}">
  <dimension ref="B1:Q59"/>
  <sheetViews>
    <sheetView view="pageBreakPreview" topLeftCell="A22" zoomScale="85" zoomScaleNormal="60" zoomScaleSheetLayoutView="85" workbookViewId="0">
      <selection activeCell="G45" sqref="G45:G4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35" t="s">
        <v>18</v>
      </c>
      <c r="E10" s="15"/>
      <c r="F10" s="16" t="s">
        <v>19</v>
      </c>
      <c r="G10" s="16" t="s">
        <v>19</v>
      </c>
      <c r="H10" s="17"/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 t="s">
        <v>19</v>
      </c>
      <c r="O10" s="16" t="s">
        <v>19</v>
      </c>
      <c r="P10" s="16"/>
      <c r="Q10" s="17" t="s">
        <v>19</v>
      </c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70.400000000000006</v>
      </c>
      <c r="H11" s="20"/>
      <c r="I11" s="20">
        <v>77.7</v>
      </c>
      <c r="J11" s="19">
        <v>75.400000000000006</v>
      </c>
      <c r="K11" s="19">
        <v>71.099999999999994</v>
      </c>
      <c r="L11" s="20">
        <v>73.599999999999994</v>
      </c>
      <c r="M11" s="20">
        <v>74.5</v>
      </c>
      <c r="N11" s="19">
        <v>73.599999999999994</v>
      </c>
      <c r="O11" s="19">
        <v>76</v>
      </c>
      <c r="P11" s="20"/>
      <c r="Q11" s="20">
        <v>76.3</v>
      </c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0.4</v>
      </c>
      <c r="H12" s="20"/>
      <c r="I12" s="20">
        <v>0</v>
      </c>
      <c r="J12" s="19">
        <v>0</v>
      </c>
      <c r="K12" s="19">
        <v>0</v>
      </c>
      <c r="L12" s="20">
        <v>0</v>
      </c>
      <c r="M12" s="20">
        <v>0.1</v>
      </c>
      <c r="N12" s="19">
        <v>0</v>
      </c>
      <c r="O12" s="19">
        <v>0</v>
      </c>
      <c r="P12" s="20"/>
      <c r="Q12" s="20">
        <v>0.3</v>
      </c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64.900000000000006</v>
      </c>
      <c r="H13" s="20"/>
      <c r="I13" s="20">
        <v>74.2</v>
      </c>
      <c r="J13" s="19">
        <v>70</v>
      </c>
      <c r="K13" s="19">
        <v>65.099999999999994</v>
      </c>
      <c r="L13" s="20">
        <v>70.3</v>
      </c>
      <c r="M13" s="20">
        <v>69.3</v>
      </c>
      <c r="N13" s="19">
        <v>70.599999999999994</v>
      </c>
      <c r="O13" s="19">
        <v>71</v>
      </c>
      <c r="P13" s="20"/>
      <c r="Q13" s="20">
        <v>71.900000000000006</v>
      </c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66.7</v>
      </c>
      <c r="H14" s="20"/>
      <c r="I14" s="20">
        <v>68.5</v>
      </c>
      <c r="J14" s="19">
        <v>62.9</v>
      </c>
      <c r="K14" s="19">
        <v>63.9</v>
      </c>
      <c r="L14" s="20">
        <v>63.9</v>
      </c>
      <c r="M14" s="20">
        <v>64.7</v>
      </c>
      <c r="N14" s="19">
        <v>71.099999999999994</v>
      </c>
      <c r="O14" s="19">
        <v>73</v>
      </c>
      <c r="P14" s="20"/>
      <c r="Q14" s="20">
        <v>74.099999999999994</v>
      </c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66.099999999999994</v>
      </c>
      <c r="H15" s="20"/>
      <c r="I15" s="20">
        <v>51.4</v>
      </c>
      <c r="J15" s="19">
        <v>41.3</v>
      </c>
      <c r="K15" s="19">
        <v>38.299999999999997</v>
      </c>
      <c r="L15" s="20">
        <v>31.7</v>
      </c>
      <c r="M15" s="20">
        <v>34.700000000000003</v>
      </c>
      <c r="N15" s="19">
        <v>56.8</v>
      </c>
      <c r="O15" s="19">
        <v>50.2</v>
      </c>
      <c r="P15" s="20"/>
      <c r="Q15" s="20">
        <v>41.8</v>
      </c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/>
      <c r="I16" s="20">
        <v>6.6</v>
      </c>
      <c r="J16" s="19">
        <v>6.6</v>
      </c>
      <c r="K16" s="19">
        <v>6.6</v>
      </c>
      <c r="L16" s="20">
        <v>6.6</v>
      </c>
      <c r="M16" s="20">
        <v>6.6</v>
      </c>
      <c r="N16" s="19">
        <v>6.6</v>
      </c>
      <c r="O16" s="19">
        <v>6.6</v>
      </c>
      <c r="P16" s="19"/>
      <c r="Q16" s="20">
        <v>6.6</v>
      </c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117.1</v>
      </c>
      <c r="H17" s="20"/>
      <c r="I17" s="20">
        <v>117.6</v>
      </c>
      <c r="J17" s="19">
        <v>116.4</v>
      </c>
      <c r="K17" s="19">
        <v>115.5</v>
      </c>
      <c r="L17" s="20">
        <v>118</v>
      </c>
      <c r="M17" s="20">
        <v>117.8</v>
      </c>
      <c r="N17" s="19">
        <v>116.6</v>
      </c>
      <c r="O17" s="19">
        <v>119.1</v>
      </c>
      <c r="P17" s="20"/>
      <c r="Q17" s="20">
        <v>117.7</v>
      </c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1144</v>
      </c>
      <c r="H18" s="20"/>
      <c r="I18" s="20">
        <v>1185</v>
      </c>
      <c r="J18" s="19">
        <v>1206</v>
      </c>
      <c r="K18" s="19">
        <v>1158</v>
      </c>
      <c r="L18" s="20">
        <v>1198</v>
      </c>
      <c r="M18" s="20">
        <v>1188</v>
      </c>
      <c r="N18" s="19">
        <v>1188</v>
      </c>
      <c r="O18" s="19">
        <v>1207</v>
      </c>
      <c r="P18" s="20"/>
      <c r="Q18" s="20">
        <v>1189</v>
      </c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46554.7</v>
      </c>
      <c r="H19" s="20"/>
      <c r="I19" s="20">
        <v>47453.3</v>
      </c>
      <c r="J19" s="19">
        <v>45038.6</v>
      </c>
      <c r="K19" s="19">
        <v>45029.8</v>
      </c>
      <c r="L19" s="20">
        <v>47337.3</v>
      </c>
      <c r="M19" s="20">
        <v>47328.5</v>
      </c>
      <c r="N19" s="19">
        <v>46667.4</v>
      </c>
      <c r="O19" s="19">
        <v>46658.6</v>
      </c>
      <c r="P19" s="20"/>
      <c r="Q19" s="20">
        <v>48547.8</v>
      </c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58.2</v>
      </c>
      <c r="H22" s="20"/>
      <c r="I22" s="20">
        <v>59.2</v>
      </c>
      <c r="J22" s="19">
        <v>57.8</v>
      </c>
      <c r="K22" s="19">
        <v>57.4</v>
      </c>
      <c r="L22" s="20">
        <v>57.9</v>
      </c>
      <c r="M22" s="20">
        <v>57.3</v>
      </c>
      <c r="N22" s="19">
        <v>58.6</v>
      </c>
      <c r="O22" s="19">
        <v>58.6</v>
      </c>
      <c r="P22" s="20"/>
      <c r="Q22" s="20">
        <v>59.3</v>
      </c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0.53</v>
      </c>
      <c r="H23" s="20"/>
      <c r="I23" s="20">
        <v>0.49</v>
      </c>
      <c r="J23" s="19">
        <v>0.59</v>
      </c>
      <c r="K23" s="19">
        <v>0.59</v>
      </c>
      <c r="L23" s="20">
        <v>0.52</v>
      </c>
      <c r="M23" s="20">
        <v>0.52</v>
      </c>
      <c r="N23" s="19">
        <v>0.48</v>
      </c>
      <c r="O23" s="19">
        <v>0.48</v>
      </c>
      <c r="P23" s="20"/>
      <c r="Q23" s="20">
        <v>0.48</v>
      </c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44.8</v>
      </c>
      <c r="H25" s="20"/>
      <c r="I25" s="20">
        <v>44.9</v>
      </c>
      <c r="J25" s="19">
        <v>44.9</v>
      </c>
      <c r="K25" s="19">
        <v>45</v>
      </c>
      <c r="L25" s="20">
        <v>44.9</v>
      </c>
      <c r="M25" s="20">
        <v>45</v>
      </c>
      <c r="N25" s="19">
        <v>44.9</v>
      </c>
      <c r="O25" s="19">
        <v>45.1</v>
      </c>
      <c r="P25" s="20"/>
      <c r="Q25" s="20">
        <v>44.8</v>
      </c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/>
      <c r="I26" s="20">
        <v>0.21</v>
      </c>
      <c r="J26" s="19">
        <v>0.22</v>
      </c>
      <c r="K26" s="19">
        <v>0.23</v>
      </c>
      <c r="L26" s="20">
        <v>0.22</v>
      </c>
      <c r="M26" s="20">
        <v>0.22</v>
      </c>
      <c r="N26" s="19">
        <v>0.22</v>
      </c>
      <c r="O26" s="19">
        <v>0.22</v>
      </c>
      <c r="P26" s="20"/>
      <c r="Q26" s="20">
        <v>0.22</v>
      </c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4.3</v>
      </c>
      <c r="H27" s="20"/>
      <c r="I27" s="20">
        <v>3.3</v>
      </c>
      <c r="J27" s="19">
        <v>4.3</v>
      </c>
      <c r="K27" s="19">
        <v>4.0999999999999996</v>
      </c>
      <c r="L27" s="20">
        <v>3.8</v>
      </c>
      <c r="M27" s="20">
        <v>3.9</v>
      </c>
      <c r="N27" s="19">
        <v>4.2</v>
      </c>
      <c r="O27" s="19">
        <v>4.0999999999999996</v>
      </c>
      <c r="P27" s="20"/>
      <c r="Q27" s="20">
        <v>4</v>
      </c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3.8</v>
      </c>
      <c r="H28" s="20"/>
      <c r="I28" s="20">
        <v>2.4</v>
      </c>
      <c r="J28" s="19">
        <v>3.3</v>
      </c>
      <c r="K28" s="19">
        <v>3.5</v>
      </c>
      <c r="L28" s="20">
        <v>3.4</v>
      </c>
      <c r="M28" s="20">
        <v>3.9</v>
      </c>
      <c r="N28" s="19">
        <v>3.6</v>
      </c>
      <c r="O28" s="19">
        <v>3.7</v>
      </c>
      <c r="P28" s="20"/>
      <c r="Q28" s="20">
        <v>3.8</v>
      </c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0.90000000000000036</v>
      </c>
      <c r="H29" s="26">
        <f t="shared" si="0"/>
        <v>0</v>
      </c>
      <c r="I29" s="26">
        <f t="shared" si="0"/>
        <v>2.3000000000000003</v>
      </c>
      <c r="J29" s="26">
        <f t="shared" si="0"/>
        <v>0.90000000000000036</v>
      </c>
      <c r="K29" s="26">
        <f t="shared" si="0"/>
        <v>0.59999999999999964</v>
      </c>
      <c r="L29" s="26">
        <f t="shared" si="0"/>
        <v>0.80000000000000027</v>
      </c>
      <c r="M29" s="26">
        <f t="shared" si="0"/>
        <v>0.19999999999999973</v>
      </c>
      <c r="N29" s="26">
        <f>N32-N28</f>
        <v>0.69999999999999973</v>
      </c>
      <c r="O29" s="26">
        <f t="shared" si="0"/>
        <v>0.59999999999999964</v>
      </c>
      <c r="P29" s="26">
        <f>P32-P28</f>
        <v>0</v>
      </c>
      <c r="Q29" s="26">
        <f t="shared" si="0"/>
        <v>1.1000000000000005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667.4</v>
      </c>
      <c r="H30" s="20"/>
      <c r="I30" s="20">
        <v>650.29999999999995</v>
      </c>
      <c r="J30" s="19">
        <v>647.79999999999995</v>
      </c>
      <c r="K30" s="19">
        <v>644.29999999999995</v>
      </c>
      <c r="L30" s="20">
        <v>639.20000000000005</v>
      </c>
      <c r="M30" s="20">
        <v>633.9</v>
      </c>
      <c r="N30" s="19">
        <v>659.9</v>
      </c>
      <c r="O30" s="19">
        <v>641</v>
      </c>
      <c r="P30" s="20"/>
      <c r="Q30" s="20">
        <v>646.29999999999995</v>
      </c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13.2</v>
      </c>
      <c r="H31" s="20"/>
      <c r="I31" s="20">
        <v>13.3</v>
      </c>
      <c r="J31" s="19">
        <v>13.2</v>
      </c>
      <c r="K31" s="19">
        <v>13</v>
      </c>
      <c r="L31" s="20">
        <v>13.2</v>
      </c>
      <c r="M31" s="20">
        <v>13.3</v>
      </c>
      <c r="N31" s="19">
        <v>13.2</v>
      </c>
      <c r="O31" s="19">
        <v>13.5</v>
      </c>
      <c r="P31" s="20"/>
      <c r="Q31" s="20">
        <v>13.5</v>
      </c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4.7</v>
      </c>
      <c r="H32" s="20"/>
      <c r="I32" s="20">
        <v>4.7</v>
      </c>
      <c r="J32" s="19">
        <v>4.2</v>
      </c>
      <c r="K32" s="19">
        <v>4.0999999999999996</v>
      </c>
      <c r="L32" s="20">
        <v>4.2</v>
      </c>
      <c r="M32" s="20">
        <v>4.0999999999999996</v>
      </c>
      <c r="N32" s="19">
        <v>4.3</v>
      </c>
      <c r="O32" s="19">
        <v>4.3</v>
      </c>
      <c r="P32" s="20"/>
      <c r="Q32" s="20">
        <v>4.9000000000000004</v>
      </c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8.5</v>
      </c>
      <c r="H33" s="26">
        <f t="shared" si="1"/>
        <v>0</v>
      </c>
      <c r="I33" s="26">
        <f t="shared" si="1"/>
        <v>8.6000000000000014</v>
      </c>
      <c r="J33" s="26">
        <f t="shared" si="1"/>
        <v>9</v>
      </c>
      <c r="K33" s="26">
        <f t="shared" si="1"/>
        <v>8.9</v>
      </c>
      <c r="L33" s="26">
        <f t="shared" si="1"/>
        <v>9</v>
      </c>
      <c r="M33" s="26">
        <f t="shared" si="1"/>
        <v>9.2000000000000011</v>
      </c>
      <c r="N33" s="26">
        <f t="shared" si="1"/>
        <v>8.8999999999999986</v>
      </c>
      <c r="O33" s="26">
        <f t="shared" si="1"/>
        <v>9.1999999999999993</v>
      </c>
      <c r="P33" s="26">
        <f t="shared" si="1"/>
        <v>0</v>
      </c>
      <c r="Q33" s="26">
        <f t="shared" si="1"/>
        <v>8.6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6550.6928406466513</v>
      </c>
      <c r="H34" s="27">
        <f t="shared" si="2"/>
        <v>0</v>
      </c>
      <c r="I34" s="27">
        <f t="shared" si="2"/>
        <v>6457.9445727482689</v>
      </c>
      <c r="J34" s="27">
        <f t="shared" si="2"/>
        <v>6732.3325635103929</v>
      </c>
      <c r="K34" s="27">
        <f t="shared" si="2"/>
        <v>6621.5588914549653</v>
      </c>
      <c r="L34" s="27">
        <f t="shared" si="2"/>
        <v>6642.956120092379</v>
      </c>
      <c r="M34" s="27">
        <f t="shared" si="2"/>
        <v>6734.2725173210165</v>
      </c>
      <c r="N34" s="27">
        <f t="shared" si="2"/>
        <v>6781.8822170900676</v>
      </c>
      <c r="O34" s="27">
        <f t="shared" si="2"/>
        <v>6809.699769053118</v>
      </c>
      <c r="P34" s="27">
        <f t="shared" si="2"/>
        <v>0</v>
      </c>
      <c r="Q34" s="27">
        <f t="shared" si="2"/>
        <v>6418.221709006928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0.83</v>
      </c>
      <c r="H35" s="20"/>
      <c r="I35" s="20">
        <v>0.85</v>
      </c>
      <c r="J35" s="19">
        <v>0.82</v>
      </c>
      <c r="K35" s="19">
        <v>0.83</v>
      </c>
      <c r="L35" s="20">
        <v>0.84</v>
      </c>
      <c r="M35" s="20">
        <v>0.84</v>
      </c>
      <c r="N35" s="19">
        <v>0.83</v>
      </c>
      <c r="O35" s="19">
        <v>0.83</v>
      </c>
      <c r="P35" s="20"/>
      <c r="Q35" s="20">
        <v>0.81</v>
      </c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36.299999999999997</v>
      </c>
      <c r="H36" s="20"/>
      <c r="I36" s="20">
        <v>36.9</v>
      </c>
      <c r="J36" s="19">
        <v>35.799999999999997</v>
      </c>
      <c r="K36" s="19">
        <v>36.4</v>
      </c>
      <c r="L36" s="20">
        <v>37</v>
      </c>
      <c r="M36" s="20">
        <v>36.9</v>
      </c>
      <c r="N36" s="19">
        <v>35.700000000000003</v>
      </c>
      <c r="O36" s="19">
        <v>36.5</v>
      </c>
      <c r="P36" s="20"/>
      <c r="Q36" s="20">
        <v>36.299999999999997</v>
      </c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36.799999999999997</v>
      </c>
      <c r="H37" s="20"/>
      <c r="I37" s="20">
        <v>37.799999999999997</v>
      </c>
      <c r="J37" s="19">
        <v>36.6</v>
      </c>
      <c r="K37" s="19">
        <v>37</v>
      </c>
      <c r="L37" s="20">
        <v>37.799999999999997</v>
      </c>
      <c r="M37" s="20">
        <v>37.4</v>
      </c>
      <c r="N37" s="19">
        <v>36</v>
      </c>
      <c r="O37" s="19">
        <v>36.9</v>
      </c>
      <c r="P37" s="20"/>
      <c r="Q37" s="20">
        <v>36.299999999999997</v>
      </c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2.5</v>
      </c>
      <c r="H38" s="26">
        <f t="shared" si="3"/>
        <v>0</v>
      </c>
      <c r="I38" s="26">
        <f t="shared" si="3"/>
        <v>4.2999999999999972</v>
      </c>
      <c r="J38" s="26">
        <f t="shared" si="3"/>
        <v>3</v>
      </c>
      <c r="K38" s="26">
        <f t="shared" si="3"/>
        <v>2.7999999999999972</v>
      </c>
      <c r="L38" s="26">
        <f t="shared" si="3"/>
        <v>3.8999999999999986</v>
      </c>
      <c r="M38" s="26">
        <f t="shared" si="3"/>
        <v>3.6000000000000014</v>
      </c>
      <c r="N38" s="26">
        <f t="shared" si="3"/>
        <v>2.3999999999999986</v>
      </c>
      <c r="O38" s="26">
        <f t="shared" si="3"/>
        <v>2.2999999999999972</v>
      </c>
      <c r="P38" s="26">
        <f t="shared" si="3"/>
        <v>0</v>
      </c>
      <c r="Q38" s="26">
        <f t="shared" si="3"/>
        <v>2.1999999999999957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28.8</v>
      </c>
      <c r="H40" s="20"/>
      <c r="I40" s="20">
        <v>28.7</v>
      </c>
      <c r="J40" s="19">
        <v>27.9</v>
      </c>
      <c r="K40" s="19">
        <v>28.8</v>
      </c>
      <c r="L40" s="20">
        <v>27.9</v>
      </c>
      <c r="M40" s="20">
        <v>28.8</v>
      </c>
      <c r="N40" s="19">
        <v>27.8</v>
      </c>
      <c r="O40" s="19">
        <v>28.5</v>
      </c>
      <c r="P40" s="20"/>
      <c r="Q40" s="20">
        <v>28.4</v>
      </c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34.299999999999997</v>
      </c>
      <c r="H41" s="20"/>
      <c r="I41" s="20">
        <v>33.5</v>
      </c>
      <c r="J41" s="19">
        <v>33.6</v>
      </c>
      <c r="K41" s="19">
        <v>34.200000000000003</v>
      </c>
      <c r="L41" s="20">
        <v>33.9</v>
      </c>
      <c r="M41" s="20">
        <v>33.799999999999997</v>
      </c>
      <c r="N41" s="19">
        <v>33.6</v>
      </c>
      <c r="O41" s="19">
        <v>34.6</v>
      </c>
      <c r="P41" s="20"/>
      <c r="Q41" s="20">
        <v>34.1</v>
      </c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5.4999999999999964</v>
      </c>
      <c r="H42" s="26">
        <f t="shared" si="4"/>
        <v>0</v>
      </c>
      <c r="I42" s="26">
        <f t="shared" si="4"/>
        <v>4.8000000000000007</v>
      </c>
      <c r="J42" s="26">
        <f t="shared" si="4"/>
        <v>5.7000000000000028</v>
      </c>
      <c r="K42" s="26">
        <f t="shared" si="4"/>
        <v>5.4000000000000021</v>
      </c>
      <c r="L42" s="26">
        <f t="shared" si="4"/>
        <v>6</v>
      </c>
      <c r="M42" s="26">
        <f t="shared" si="4"/>
        <v>4.9999999999999964</v>
      </c>
      <c r="N42" s="26">
        <f t="shared" si="4"/>
        <v>5.8000000000000007</v>
      </c>
      <c r="O42" s="26">
        <f t="shared" si="4"/>
        <v>6.1000000000000014</v>
      </c>
      <c r="P42" s="26">
        <f t="shared" si="4"/>
        <v>0</v>
      </c>
      <c r="Q42" s="26">
        <f t="shared" si="4"/>
        <v>5.7000000000000028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1296.5999999999999</v>
      </c>
      <c r="H43" s="20"/>
      <c r="I43" s="20">
        <v>1302.5</v>
      </c>
      <c r="J43" s="19">
        <v>1296.0999999999999</v>
      </c>
      <c r="K43" s="19">
        <v>1300.5999999999999</v>
      </c>
      <c r="L43" s="20">
        <v>1291</v>
      </c>
      <c r="M43" s="19">
        <v>1287.2</v>
      </c>
      <c r="N43" s="19">
        <v>1110</v>
      </c>
      <c r="O43" s="19">
        <v>1106.0999999999999</v>
      </c>
      <c r="P43" s="20"/>
      <c r="Q43" s="20">
        <v>1293.2</v>
      </c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8234.7575057736667</v>
      </c>
      <c r="H44" s="27">
        <f t="shared" si="5"/>
        <v>0</v>
      </c>
      <c r="I44" s="27">
        <f t="shared" si="5"/>
        <v>7219.3995381062368</v>
      </c>
      <c r="J44" s="27">
        <f t="shared" si="5"/>
        <v>8530.9122401847617</v>
      </c>
      <c r="K44" s="27">
        <f t="shared" si="5"/>
        <v>8109.9769053117816</v>
      </c>
      <c r="L44" s="27">
        <f t="shared" si="5"/>
        <v>8944.5727482678976</v>
      </c>
      <c r="M44" s="27">
        <f t="shared" si="5"/>
        <v>7431.8706697459529</v>
      </c>
      <c r="N44" s="27">
        <f t="shared" si="5"/>
        <v>7434.1801385681301</v>
      </c>
      <c r="O44" s="27">
        <f t="shared" si="5"/>
        <v>7791.235565819863</v>
      </c>
      <c r="P44" s="27">
        <f t="shared" si="5"/>
        <v>0</v>
      </c>
      <c r="Q44" s="27">
        <f t="shared" si="5"/>
        <v>8511.8244803695197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0.47</v>
      </c>
      <c r="H45" s="20"/>
      <c r="I45" s="20">
        <v>0.46</v>
      </c>
      <c r="J45" s="19">
        <v>0.45</v>
      </c>
      <c r="K45" s="19">
        <v>0.47</v>
      </c>
      <c r="L45" s="20">
        <v>0.47</v>
      </c>
      <c r="M45" s="20">
        <v>0.47</v>
      </c>
      <c r="N45" s="19">
        <v>0.45</v>
      </c>
      <c r="O45" s="19">
        <v>0.46</v>
      </c>
      <c r="P45" s="20"/>
      <c r="Q45" s="20">
        <v>0.47</v>
      </c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20</v>
      </c>
      <c r="H46" s="20"/>
      <c r="I46" s="20">
        <v>19.5</v>
      </c>
      <c r="J46" s="19">
        <v>19.2</v>
      </c>
      <c r="K46" s="19">
        <v>20.2</v>
      </c>
      <c r="L46" s="20">
        <v>19.899999999999999</v>
      </c>
      <c r="M46" s="20">
        <v>20.2</v>
      </c>
      <c r="N46" s="19">
        <v>19.5</v>
      </c>
      <c r="O46" s="19">
        <v>19.7</v>
      </c>
      <c r="P46" s="20"/>
      <c r="Q46" s="20">
        <v>19.8</v>
      </c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176.3</v>
      </c>
      <c r="H47" s="20"/>
      <c r="I47" s="20">
        <v>131.30000000000001</v>
      </c>
      <c r="J47" s="19">
        <v>197.8</v>
      </c>
      <c r="K47" s="19">
        <v>202.4</v>
      </c>
      <c r="L47" s="20">
        <v>198.1</v>
      </c>
      <c r="M47" s="20">
        <v>196.5</v>
      </c>
      <c r="N47" s="19">
        <v>159.9</v>
      </c>
      <c r="O47" s="19">
        <v>163.1</v>
      </c>
      <c r="P47" s="20"/>
      <c r="Q47" s="20">
        <v>203.9</v>
      </c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35">
        <v>5.89</v>
      </c>
      <c r="F49" s="19"/>
      <c r="G49" s="19">
        <v>5.6</v>
      </c>
      <c r="H49" s="20"/>
      <c r="I49" s="20">
        <v>5.27</v>
      </c>
      <c r="J49" s="19">
        <v>5.54</v>
      </c>
      <c r="K49" s="19">
        <v>5.64</v>
      </c>
      <c r="L49" s="20">
        <v>5.61</v>
      </c>
      <c r="M49" s="20">
        <v>5.67</v>
      </c>
      <c r="N49" s="19">
        <v>5.48</v>
      </c>
      <c r="O49" s="19">
        <v>5.67</v>
      </c>
      <c r="P49" s="20"/>
      <c r="Q49" s="20">
        <v>5.31</v>
      </c>
    </row>
    <row r="50" spans="2:17" ht="20.100000000000001" customHeight="1" x14ac:dyDescent="0.25">
      <c r="B50" s="93" t="s">
        <v>90</v>
      </c>
      <c r="C50" s="93"/>
      <c r="D50" s="93"/>
      <c r="E50" s="35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36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3BD0-551B-4E72-B31B-5F8874668E64}">
  <dimension ref="B1:Q59"/>
  <sheetViews>
    <sheetView view="pageBreakPreview" zoomScale="85" zoomScaleNormal="60" zoomScaleSheetLayoutView="85" workbookViewId="0">
      <selection activeCell="Q45" sqref="Q45:Q4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38" t="s">
        <v>18</v>
      </c>
      <c r="E10" s="15"/>
      <c r="F10" s="16"/>
      <c r="G10" s="16" t="s">
        <v>19</v>
      </c>
      <c r="H10" s="17"/>
      <c r="I10" s="17" t="s">
        <v>19</v>
      </c>
      <c r="J10" s="16" t="s">
        <v>19</v>
      </c>
      <c r="K10" s="16" t="s">
        <v>19</v>
      </c>
      <c r="L10" s="17"/>
      <c r="M10" s="17" t="s">
        <v>19</v>
      </c>
      <c r="N10" s="16" t="s">
        <v>19</v>
      </c>
      <c r="O10" s="16" t="s">
        <v>19</v>
      </c>
      <c r="P10" s="16" t="s">
        <v>19</v>
      </c>
      <c r="Q10" s="17" t="s">
        <v>19</v>
      </c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70.400000000000006</v>
      </c>
      <c r="H11" s="20"/>
      <c r="I11" s="20">
        <v>78.7</v>
      </c>
      <c r="J11" s="19">
        <v>75.8</v>
      </c>
      <c r="K11" s="19">
        <v>74.099999999999994</v>
      </c>
      <c r="L11" s="20"/>
      <c r="M11" s="20">
        <v>74.099999999999994</v>
      </c>
      <c r="N11" s="19">
        <v>73.7</v>
      </c>
      <c r="O11" s="19">
        <v>72.8</v>
      </c>
      <c r="P11" s="20">
        <v>76.599999999999994</v>
      </c>
      <c r="Q11" s="20">
        <v>76.5</v>
      </c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0.4</v>
      </c>
      <c r="H12" s="20"/>
      <c r="I12" s="20">
        <v>0</v>
      </c>
      <c r="J12" s="19">
        <v>0</v>
      </c>
      <c r="K12" s="19">
        <v>0</v>
      </c>
      <c r="L12" s="20"/>
      <c r="M12" s="20">
        <v>0</v>
      </c>
      <c r="N12" s="19">
        <v>0</v>
      </c>
      <c r="O12" s="19">
        <v>0</v>
      </c>
      <c r="P12" s="20">
        <v>0.3</v>
      </c>
      <c r="Q12" s="20">
        <v>0.2</v>
      </c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64.900000000000006</v>
      </c>
      <c r="H13" s="20"/>
      <c r="I13" s="20">
        <v>74.400000000000006</v>
      </c>
      <c r="J13" s="19">
        <v>70</v>
      </c>
      <c r="K13" s="19">
        <v>38.4</v>
      </c>
      <c r="L13" s="20"/>
      <c r="M13" s="20">
        <v>38.4</v>
      </c>
      <c r="N13" s="19">
        <v>70.900000000000006</v>
      </c>
      <c r="O13" s="19">
        <v>68</v>
      </c>
      <c r="P13" s="20">
        <v>72</v>
      </c>
      <c r="Q13" s="20">
        <v>71.900000000000006</v>
      </c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66.7</v>
      </c>
      <c r="H14" s="20"/>
      <c r="I14" s="20">
        <v>68.2</v>
      </c>
      <c r="J14" s="19">
        <v>63.6</v>
      </c>
      <c r="K14" s="19">
        <v>63</v>
      </c>
      <c r="L14" s="20"/>
      <c r="M14" s="20">
        <v>63</v>
      </c>
      <c r="N14" s="19">
        <v>71.400000000000006</v>
      </c>
      <c r="O14" s="19">
        <v>72.599999999999994</v>
      </c>
      <c r="P14" s="20">
        <v>73.599999999999994</v>
      </c>
      <c r="Q14" s="20">
        <v>72.900000000000006</v>
      </c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66.099999999999994</v>
      </c>
      <c r="H15" s="20"/>
      <c r="I15" s="20">
        <v>46.7</v>
      </c>
      <c r="J15" s="19">
        <v>42.3</v>
      </c>
      <c r="K15" s="19">
        <v>38.1</v>
      </c>
      <c r="L15" s="20"/>
      <c r="M15" s="20">
        <v>38.1</v>
      </c>
      <c r="N15" s="19">
        <v>56.3</v>
      </c>
      <c r="O15" s="19">
        <v>49.8</v>
      </c>
      <c r="P15" s="20">
        <v>44.5</v>
      </c>
      <c r="Q15" s="20">
        <v>39.799999999999997</v>
      </c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/>
      <c r="I16" s="20">
        <v>6.6</v>
      </c>
      <c r="J16" s="19">
        <v>6.6</v>
      </c>
      <c r="K16" s="19">
        <v>6.6</v>
      </c>
      <c r="L16" s="20"/>
      <c r="M16" s="20">
        <v>6.6</v>
      </c>
      <c r="N16" s="19">
        <v>6.6</v>
      </c>
      <c r="O16" s="19">
        <v>6.6</v>
      </c>
      <c r="P16" s="20">
        <v>6.6</v>
      </c>
      <c r="Q16" s="20">
        <v>6.6</v>
      </c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117.1</v>
      </c>
      <c r="H17" s="20"/>
      <c r="I17" s="20">
        <v>117</v>
      </c>
      <c r="J17" s="19">
        <v>116.4</v>
      </c>
      <c r="K17" s="19">
        <v>117.8</v>
      </c>
      <c r="L17" s="20"/>
      <c r="M17" s="20">
        <v>117.8</v>
      </c>
      <c r="N17" s="19">
        <v>116.6</v>
      </c>
      <c r="O17" s="19">
        <v>117.8</v>
      </c>
      <c r="P17" s="20">
        <v>116.1</v>
      </c>
      <c r="Q17" s="20">
        <v>117.5</v>
      </c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1144</v>
      </c>
      <c r="H18" s="20"/>
      <c r="I18" s="20">
        <v>1192</v>
      </c>
      <c r="J18" s="19">
        <v>1205</v>
      </c>
      <c r="K18" s="19">
        <v>1192</v>
      </c>
      <c r="L18" s="20"/>
      <c r="M18" s="20">
        <v>1192</v>
      </c>
      <c r="N18" s="19">
        <v>1189</v>
      </c>
      <c r="O18" s="19">
        <v>1195</v>
      </c>
      <c r="P18" s="20">
        <v>1182</v>
      </c>
      <c r="Q18" s="20">
        <v>1201</v>
      </c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46554.7</v>
      </c>
      <c r="H19" s="20"/>
      <c r="I19" s="20">
        <v>47410.400000000001</v>
      </c>
      <c r="J19" s="19">
        <v>45056</v>
      </c>
      <c r="K19" s="19">
        <v>44986.5</v>
      </c>
      <c r="L19" s="20"/>
      <c r="M19" s="20">
        <v>44986.5</v>
      </c>
      <c r="N19" s="19">
        <v>46681.3</v>
      </c>
      <c r="O19" s="19">
        <v>46613.8</v>
      </c>
      <c r="P19" s="20">
        <v>48564.7</v>
      </c>
      <c r="Q19" s="20">
        <v>48503.3</v>
      </c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58.2</v>
      </c>
      <c r="H22" s="20"/>
      <c r="I22" s="20">
        <v>59.2</v>
      </c>
      <c r="J22" s="19">
        <v>57.8</v>
      </c>
      <c r="K22" s="19">
        <v>57.6</v>
      </c>
      <c r="L22" s="20"/>
      <c r="M22" s="20">
        <v>57.6</v>
      </c>
      <c r="N22" s="19">
        <v>58.5</v>
      </c>
      <c r="O22" s="19">
        <v>58.9</v>
      </c>
      <c r="P22" s="20">
        <v>59.3</v>
      </c>
      <c r="Q22" s="20">
        <v>59.5</v>
      </c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0.53</v>
      </c>
      <c r="H23" s="20"/>
      <c r="I23" s="20">
        <v>0.49</v>
      </c>
      <c r="J23" s="19">
        <v>0.59</v>
      </c>
      <c r="K23" s="19">
        <v>0.59</v>
      </c>
      <c r="L23" s="20"/>
      <c r="M23" s="20">
        <v>0.59</v>
      </c>
      <c r="N23" s="19">
        <v>0.48</v>
      </c>
      <c r="O23" s="19">
        <v>0.48</v>
      </c>
      <c r="P23" s="20">
        <v>0.48</v>
      </c>
      <c r="Q23" s="20">
        <v>0.48</v>
      </c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44.8</v>
      </c>
      <c r="H25" s="20"/>
      <c r="I25" s="20">
        <v>45</v>
      </c>
      <c r="J25" s="19">
        <v>44.9</v>
      </c>
      <c r="K25" s="19">
        <v>44.9</v>
      </c>
      <c r="L25" s="20"/>
      <c r="M25" s="20">
        <v>44.9</v>
      </c>
      <c r="N25" s="19">
        <v>44.8</v>
      </c>
      <c r="O25" s="19">
        <v>44.9</v>
      </c>
      <c r="P25" s="20">
        <v>44.8</v>
      </c>
      <c r="Q25" s="20">
        <v>44.8</v>
      </c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/>
      <c r="I26" s="20">
        <v>0.22</v>
      </c>
      <c r="J26" s="19">
        <v>0.22</v>
      </c>
      <c r="K26" s="19">
        <v>0.23</v>
      </c>
      <c r="L26" s="20"/>
      <c r="M26" s="20">
        <v>0.23</v>
      </c>
      <c r="N26" s="19">
        <v>0.22</v>
      </c>
      <c r="O26" s="19">
        <v>0.22</v>
      </c>
      <c r="P26" s="20">
        <v>0.22</v>
      </c>
      <c r="Q26" s="20">
        <v>0.22</v>
      </c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4.3</v>
      </c>
      <c r="H27" s="20"/>
      <c r="I27" s="20">
        <v>3.4</v>
      </c>
      <c r="J27" s="19">
        <v>4.3</v>
      </c>
      <c r="K27" s="19">
        <v>4.2</v>
      </c>
      <c r="L27" s="20"/>
      <c r="M27" s="20">
        <v>4.2</v>
      </c>
      <c r="N27" s="19">
        <v>4.2</v>
      </c>
      <c r="O27" s="19">
        <v>4.4000000000000004</v>
      </c>
      <c r="P27" s="20">
        <v>4.0999999999999996</v>
      </c>
      <c r="Q27" s="20">
        <v>4.3</v>
      </c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3.8</v>
      </c>
      <c r="H28" s="20"/>
      <c r="I28" s="20">
        <v>2.6</v>
      </c>
      <c r="J28" s="19">
        <v>3.3</v>
      </c>
      <c r="K28" s="19">
        <v>3.5</v>
      </c>
      <c r="L28" s="20"/>
      <c r="M28" s="20">
        <v>3.5</v>
      </c>
      <c r="N28" s="19">
        <v>3.6</v>
      </c>
      <c r="O28" s="19">
        <v>3.4</v>
      </c>
      <c r="P28" s="20">
        <v>3.2</v>
      </c>
      <c r="Q28" s="20">
        <v>3.6</v>
      </c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0.90000000000000036</v>
      </c>
      <c r="H29" s="26">
        <f t="shared" si="0"/>
        <v>0</v>
      </c>
      <c r="I29" s="26">
        <f t="shared" si="0"/>
        <v>2.3000000000000003</v>
      </c>
      <c r="J29" s="26">
        <f t="shared" si="0"/>
        <v>0.79999999999999982</v>
      </c>
      <c r="K29" s="26">
        <f t="shared" si="0"/>
        <v>0.70000000000000018</v>
      </c>
      <c r="L29" s="26">
        <f t="shared" si="0"/>
        <v>0</v>
      </c>
      <c r="M29" s="26">
        <f t="shared" si="0"/>
        <v>0.70000000000000018</v>
      </c>
      <c r="N29" s="26">
        <f>N32-N28</f>
        <v>0.80000000000000027</v>
      </c>
      <c r="O29" s="26">
        <f t="shared" si="0"/>
        <v>1.1999999999999997</v>
      </c>
      <c r="P29" s="26">
        <f>P32-P28</f>
        <v>1.7000000000000002</v>
      </c>
      <c r="Q29" s="26">
        <f t="shared" si="0"/>
        <v>1.4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667.4</v>
      </c>
      <c r="H30" s="20"/>
      <c r="I30" s="20">
        <v>648</v>
      </c>
      <c r="J30" s="19">
        <v>647.79999999999995</v>
      </c>
      <c r="K30" s="19">
        <v>638.5</v>
      </c>
      <c r="L30" s="20"/>
      <c r="M30" s="20">
        <v>638.5</v>
      </c>
      <c r="N30" s="19">
        <v>663.4</v>
      </c>
      <c r="O30" s="19">
        <v>641.79999999999995</v>
      </c>
      <c r="P30" s="20">
        <v>675.3</v>
      </c>
      <c r="Q30" s="20">
        <v>648.6</v>
      </c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13.2</v>
      </c>
      <c r="H31" s="20"/>
      <c r="I31" s="20">
        <v>13.4</v>
      </c>
      <c r="J31" s="19">
        <v>13.1</v>
      </c>
      <c r="K31" s="19">
        <v>13.2</v>
      </c>
      <c r="L31" s="20"/>
      <c r="M31" s="20">
        <v>13.2</v>
      </c>
      <c r="N31" s="19">
        <v>13.1</v>
      </c>
      <c r="O31" s="19">
        <v>13.4</v>
      </c>
      <c r="P31" s="20">
        <v>13.2</v>
      </c>
      <c r="Q31" s="20">
        <v>13.4</v>
      </c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4.7</v>
      </c>
      <c r="H32" s="20"/>
      <c r="I32" s="20">
        <v>4.9000000000000004</v>
      </c>
      <c r="J32" s="19">
        <v>4.0999999999999996</v>
      </c>
      <c r="K32" s="19">
        <v>4.2</v>
      </c>
      <c r="L32" s="20"/>
      <c r="M32" s="20">
        <v>4.2</v>
      </c>
      <c r="N32" s="19">
        <v>4.4000000000000004</v>
      </c>
      <c r="O32" s="19">
        <v>4.5999999999999996</v>
      </c>
      <c r="P32" s="20">
        <v>4.9000000000000004</v>
      </c>
      <c r="Q32" s="20">
        <v>5</v>
      </c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8.5</v>
      </c>
      <c r="H33" s="26">
        <f t="shared" si="1"/>
        <v>0</v>
      </c>
      <c r="I33" s="26">
        <f t="shared" si="1"/>
        <v>8.5</v>
      </c>
      <c r="J33" s="26">
        <f t="shared" si="1"/>
        <v>9</v>
      </c>
      <c r="K33" s="26">
        <f t="shared" si="1"/>
        <v>9</v>
      </c>
      <c r="L33" s="26">
        <f t="shared" si="1"/>
        <v>0</v>
      </c>
      <c r="M33" s="26">
        <f t="shared" si="1"/>
        <v>9</v>
      </c>
      <c r="N33" s="26">
        <f t="shared" si="1"/>
        <v>8.6999999999999993</v>
      </c>
      <c r="O33" s="26">
        <f t="shared" si="1"/>
        <v>8.8000000000000007</v>
      </c>
      <c r="P33" s="26">
        <f t="shared" si="1"/>
        <v>8.2999999999999989</v>
      </c>
      <c r="Q33" s="26">
        <f t="shared" si="1"/>
        <v>8.4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6550.6928406466513</v>
      </c>
      <c r="H34" s="27">
        <f t="shared" si="2"/>
        <v>0</v>
      </c>
      <c r="I34" s="27">
        <f t="shared" si="2"/>
        <v>6360.2771362586609</v>
      </c>
      <c r="J34" s="27">
        <f t="shared" si="2"/>
        <v>6732.3325635103929</v>
      </c>
      <c r="K34" s="27">
        <f t="shared" si="2"/>
        <v>6635.6812933025403</v>
      </c>
      <c r="L34" s="27">
        <f t="shared" si="2"/>
        <v>0</v>
      </c>
      <c r="M34" s="27">
        <f t="shared" si="2"/>
        <v>6635.6812933025403</v>
      </c>
      <c r="N34" s="27">
        <f t="shared" si="2"/>
        <v>6664.6420323325628</v>
      </c>
      <c r="O34" s="27">
        <f t="shared" si="2"/>
        <v>6521.75519630485</v>
      </c>
      <c r="P34" s="27">
        <f t="shared" si="2"/>
        <v>6472.2748267898369</v>
      </c>
      <c r="Q34" s="27">
        <f t="shared" si="2"/>
        <v>6291.2702078521952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0.83</v>
      </c>
      <c r="H35" s="20"/>
      <c r="I35" s="20">
        <v>0.87</v>
      </c>
      <c r="J35" s="19">
        <v>0.82</v>
      </c>
      <c r="K35" s="19">
        <v>0.85</v>
      </c>
      <c r="L35" s="20"/>
      <c r="M35" s="20">
        <v>0.85</v>
      </c>
      <c r="N35" s="19">
        <v>0.84</v>
      </c>
      <c r="O35" s="19">
        <v>0.83</v>
      </c>
      <c r="P35" s="20">
        <v>0.8</v>
      </c>
      <c r="Q35" s="20">
        <v>0.48</v>
      </c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36.299999999999997</v>
      </c>
      <c r="H36" s="20"/>
      <c r="I36" s="20">
        <v>37.5</v>
      </c>
      <c r="J36" s="19">
        <v>35.799999999999997</v>
      </c>
      <c r="K36" s="19">
        <v>37.200000000000003</v>
      </c>
      <c r="L36" s="20"/>
      <c r="M36" s="20">
        <v>37.200000000000003</v>
      </c>
      <c r="N36" s="19">
        <v>35.700000000000003</v>
      </c>
      <c r="O36" s="19">
        <v>37.200000000000003</v>
      </c>
      <c r="P36" s="20">
        <v>35.6</v>
      </c>
      <c r="Q36" s="20">
        <v>37</v>
      </c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36.799999999999997</v>
      </c>
      <c r="H37" s="20"/>
      <c r="I37" s="20">
        <v>38.4</v>
      </c>
      <c r="J37" s="19">
        <v>36.6</v>
      </c>
      <c r="K37" s="19">
        <v>37.799999999999997</v>
      </c>
      <c r="L37" s="20"/>
      <c r="M37" s="20">
        <v>37.799999999999997</v>
      </c>
      <c r="N37" s="19">
        <v>36</v>
      </c>
      <c r="O37" s="19">
        <v>37.5</v>
      </c>
      <c r="P37" s="20">
        <v>35.700000000000003</v>
      </c>
      <c r="Q37" s="20">
        <v>37</v>
      </c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2.5</v>
      </c>
      <c r="H38" s="26">
        <f t="shared" si="3"/>
        <v>0</v>
      </c>
      <c r="I38" s="26">
        <f t="shared" si="3"/>
        <v>4.1999999999999957</v>
      </c>
      <c r="J38" s="26">
        <f t="shared" si="3"/>
        <v>3</v>
      </c>
      <c r="K38" s="26">
        <f t="shared" si="3"/>
        <v>2.7999999999999972</v>
      </c>
      <c r="L38" s="26">
        <f t="shared" si="3"/>
        <v>0</v>
      </c>
      <c r="M38" s="26">
        <f t="shared" si="3"/>
        <v>2.7999999999999972</v>
      </c>
      <c r="N38" s="26">
        <f t="shared" si="3"/>
        <v>2.3999999999999986</v>
      </c>
      <c r="O38" s="26">
        <f t="shared" si="3"/>
        <v>2.2000000000000028</v>
      </c>
      <c r="P38" s="26">
        <f t="shared" si="3"/>
        <v>2.3000000000000043</v>
      </c>
      <c r="Q38" s="26">
        <f t="shared" si="3"/>
        <v>2.1000000000000014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28.8</v>
      </c>
      <c r="H40" s="20"/>
      <c r="I40" s="20">
        <v>29.4</v>
      </c>
      <c r="J40" s="19">
        <v>28</v>
      </c>
      <c r="K40" s="19">
        <v>29.5</v>
      </c>
      <c r="L40" s="20"/>
      <c r="M40" s="20">
        <v>29.5</v>
      </c>
      <c r="N40" s="19">
        <v>27.7</v>
      </c>
      <c r="O40" s="19">
        <v>29.2</v>
      </c>
      <c r="P40" s="20">
        <v>27.7</v>
      </c>
      <c r="Q40" s="20">
        <v>29.2</v>
      </c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34.299999999999997</v>
      </c>
      <c r="H41" s="20"/>
      <c r="I41" s="20">
        <v>34.200000000000003</v>
      </c>
      <c r="J41" s="19">
        <v>33.6</v>
      </c>
      <c r="K41" s="19">
        <v>35</v>
      </c>
      <c r="L41" s="20"/>
      <c r="M41" s="20">
        <v>35</v>
      </c>
      <c r="N41" s="19">
        <v>33.6</v>
      </c>
      <c r="O41" s="19">
        <v>35.299999999999997</v>
      </c>
      <c r="P41" s="20">
        <v>33.4</v>
      </c>
      <c r="Q41" s="20">
        <v>34.9</v>
      </c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5.4999999999999964</v>
      </c>
      <c r="H42" s="26">
        <f t="shared" si="4"/>
        <v>0</v>
      </c>
      <c r="I42" s="26">
        <f t="shared" si="4"/>
        <v>4.8000000000000043</v>
      </c>
      <c r="J42" s="26">
        <f t="shared" si="4"/>
        <v>5.6000000000000014</v>
      </c>
      <c r="K42" s="26">
        <f t="shared" si="4"/>
        <v>5.5</v>
      </c>
      <c r="L42" s="26">
        <f t="shared" si="4"/>
        <v>0</v>
      </c>
      <c r="M42" s="26">
        <f t="shared" si="4"/>
        <v>5.5</v>
      </c>
      <c r="N42" s="26">
        <f t="shared" si="4"/>
        <v>5.9000000000000021</v>
      </c>
      <c r="O42" s="26">
        <f t="shared" si="4"/>
        <v>6.0999999999999979</v>
      </c>
      <c r="P42" s="26">
        <f t="shared" si="4"/>
        <v>5.6999999999999993</v>
      </c>
      <c r="Q42" s="26">
        <f t="shared" si="4"/>
        <v>5.6999999999999993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1296.5999999999999</v>
      </c>
      <c r="H43" s="20"/>
      <c r="I43" s="20">
        <v>1303.5999999999999</v>
      </c>
      <c r="J43" s="19">
        <v>1294.3</v>
      </c>
      <c r="K43" s="19">
        <v>1301.2</v>
      </c>
      <c r="L43" s="20"/>
      <c r="M43" s="19"/>
      <c r="N43" s="19">
        <v>1187.5999999999999</v>
      </c>
      <c r="O43" s="19">
        <v>1108.5999999999999</v>
      </c>
      <c r="P43" s="20">
        <v>1297.8</v>
      </c>
      <c r="Q43" s="20">
        <v>1290</v>
      </c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8234.7575057736667</v>
      </c>
      <c r="H44" s="27">
        <f t="shared" si="5"/>
        <v>0</v>
      </c>
      <c r="I44" s="27">
        <f t="shared" si="5"/>
        <v>7225.4965357967731</v>
      </c>
      <c r="J44" s="27">
        <f t="shared" si="5"/>
        <v>8369.6073903002325</v>
      </c>
      <c r="K44" s="27">
        <f t="shared" si="5"/>
        <v>8263.9722863741335</v>
      </c>
      <c r="L44" s="27">
        <f t="shared" si="5"/>
        <v>0</v>
      </c>
      <c r="M44" s="27">
        <f t="shared" si="5"/>
        <v>0</v>
      </c>
      <c r="N44" s="27">
        <f t="shared" si="5"/>
        <v>8091.0392609699793</v>
      </c>
      <c r="O44" s="27">
        <f t="shared" si="5"/>
        <v>7808.8452655889114</v>
      </c>
      <c r="P44" s="27">
        <f t="shared" si="5"/>
        <v>8542.1016166281752</v>
      </c>
      <c r="Q44" s="27">
        <f t="shared" si="5"/>
        <v>8490.7621247113148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0.47</v>
      </c>
      <c r="H45" s="20"/>
      <c r="I45" s="20">
        <v>0.47</v>
      </c>
      <c r="J45" s="19">
        <v>0.45</v>
      </c>
      <c r="K45" s="19">
        <v>0.47</v>
      </c>
      <c r="L45" s="20"/>
      <c r="M45" s="20">
        <v>0.47</v>
      </c>
      <c r="N45" s="19">
        <v>0.45</v>
      </c>
      <c r="O45" s="19">
        <v>0.47</v>
      </c>
      <c r="P45" s="20">
        <v>0.46</v>
      </c>
      <c r="Q45" s="20">
        <v>0.47</v>
      </c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20</v>
      </c>
      <c r="H46" s="20"/>
      <c r="I46" s="20">
        <v>20.100000000000001</v>
      </c>
      <c r="J46" s="19">
        <v>19</v>
      </c>
      <c r="K46" s="19">
        <v>20.3</v>
      </c>
      <c r="L46" s="20"/>
      <c r="M46" s="20">
        <v>20.3</v>
      </c>
      <c r="N46" s="19">
        <v>19.100000000000001</v>
      </c>
      <c r="O46" s="19">
        <v>20.3</v>
      </c>
      <c r="P46" s="20">
        <v>19.5</v>
      </c>
      <c r="Q46" s="20">
        <v>20.3</v>
      </c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176.3</v>
      </c>
      <c r="H47" s="20"/>
      <c r="I47" s="20">
        <v>123.9</v>
      </c>
      <c r="J47" s="19">
        <v>196.5</v>
      </c>
      <c r="K47" s="19">
        <v>202.4</v>
      </c>
      <c r="L47" s="20"/>
      <c r="M47" s="20">
        <v>202.4</v>
      </c>
      <c r="N47" s="19">
        <v>158.6</v>
      </c>
      <c r="O47" s="19">
        <v>159.80000000000001</v>
      </c>
      <c r="P47" s="20">
        <v>197.2</v>
      </c>
      <c r="Q47" s="20">
        <v>202.2</v>
      </c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38">
        <v>5.89</v>
      </c>
      <c r="F49" s="19"/>
      <c r="G49" s="19">
        <v>5.6</v>
      </c>
      <c r="H49" s="20"/>
      <c r="I49" s="20">
        <v>5.4</v>
      </c>
      <c r="J49" s="19">
        <v>5.53</v>
      </c>
      <c r="K49" s="19">
        <v>5.57</v>
      </c>
      <c r="L49" s="20"/>
      <c r="M49" s="20">
        <v>5.57</v>
      </c>
      <c r="N49" s="19">
        <v>5.49</v>
      </c>
      <c r="O49" s="19">
        <v>5.44</v>
      </c>
      <c r="P49" s="20">
        <v>5.24</v>
      </c>
      <c r="Q49" s="20">
        <v>5.23</v>
      </c>
    </row>
    <row r="50" spans="2:17" ht="20.100000000000001" customHeight="1" x14ac:dyDescent="0.25">
      <c r="B50" s="93" t="s">
        <v>90</v>
      </c>
      <c r="C50" s="93"/>
      <c r="D50" s="93"/>
      <c r="E50" s="38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37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4AEA-A4C1-415B-924C-B742858C916E}">
  <dimension ref="B1:Q59"/>
  <sheetViews>
    <sheetView view="pageBreakPreview" zoomScale="85" zoomScaleNormal="60" zoomScaleSheetLayoutView="85" workbookViewId="0">
      <selection activeCell="J16" sqref="J16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40" t="s">
        <v>18</v>
      </c>
      <c r="E10" s="15"/>
      <c r="F10" s="16" t="s">
        <v>19</v>
      </c>
      <c r="G10" s="16" t="s">
        <v>19</v>
      </c>
      <c r="H10" s="17" t="s">
        <v>19</v>
      </c>
      <c r="I10" s="17" t="s">
        <v>19</v>
      </c>
      <c r="J10" s="16"/>
      <c r="K10" s="16" t="s">
        <v>19</v>
      </c>
      <c r="L10" s="17"/>
      <c r="M10" s="17" t="s">
        <v>19</v>
      </c>
      <c r="N10" s="16"/>
      <c r="O10" s="16" t="s">
        <v>19</v>
      </c>
      <c r="P10" s="16"/>
      <c r="Q10" s="17" t="s">
        <v>19</v>
      </c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>
        <v>73.8</v>
      </c>
      <c r="G11" s="19">
        <v>71.400000000000006</v>
      </c>
      <c r="H11" s="20">
        <v>80.599999999999994</v>
      </c>
      <c r="I11" s="20">
        <v>76.7</v>
      </c>
      <c r="J11" s="19"/>
      <c r="K11" s="19">
        <v>70.8</v>
      </c>
      <c r="L11" s="20">
        <v>76.099999999999994</v>
      </c>
      <c r="M11" s="20">
        <v>73.5</v>
      </c>
      <c r="N11" s="19"/>
      <c r="O11" s="19">
        <v>73.400000000000006</v>
      </c>
      <c r="P11" s="20"/>
      <c r="Q11" s="20">
        <v>77.3</v>
      </c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>
        <v>0</v>
      </c>
      <c r="G12" s="19">
        <v>0.1</v>
      </c>
      <c r="H12" s="20">
        <v>0.2</v>
      </c>
      <c r="I12" s="20">
        <v>0</v>
      </c>
      <c r="J12" s="19"/>
      <c r="K12" s="19">
        <v>0</v>
      </c>
      <c r="L12" s="20">
        <v>0</v>
      </c>
      <c r="M12" s="20">
        <v>0.1</v>
      </c>
      <c r="N12" s="19"/>
      <c r="O12" s="19">
        <v>0</v>
      </c>
      <c r="P12" s="20"/>
      <c r="Q12" s="20">
        <v>0.2</v>
      </c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>
        <v>68.400000000000006</v>
      </c>
      <c r="G13" s="19">
        <v>66.2</v>
      </c>
      <c r="H13" s="20">
        <v>77.7</v>
      </c>
      <c r="I13" s="20">
        <v>71.400000000000006</v>
      </c>
      <c r="J13" s="19"/>
      <c r="K13" s="19">
        <v>67.8</v>
      </c>
      <c r="L13" s="20">
        <v>70.7</v>
      </c>
      <c r="M13" s="20">
        <v>68.7</v>
      </c>
      <c r="N13" s="19"/>
      <c r="O13" s="19">
        <v>68.5</v>
      </c>
      <c r="P13" s="20"/>
      <c r="Q13" s="20">
        <v>73.099999999999994</v>
      </c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>
        <v>62.8</v>
      </c>
      <c r="G14" s="19">
        <v>66</v>
      </c>
      <c r="H14" s="20">
        <v>61.9</v>
      </c>
      <c r="I14" s="20">
        <v>68.8</v>
      </c>
      <c r="J14" s="19"/>
      <c r="K14" s="19">
        <v>62.8</v>
      </c>
      <c r="L14" s="20">
        <v>63.4</v>
      </c>
      <c r="M14" s="20">
        <v>65.400000000000006</v>
      </c>
      <c r="N14" s="19"/>
      <c r="O14" s="19">
        <v>72.400000000000006</v>
      </c>
      <c r="P14" s="20"/>
      <c r="Q14" s="20">
        <v>74.400000000000006</v>
      </c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>
        <v>68.400000000000006</v>
      </c>
      <c r="G15" s="19">
        <v>44.8</v>
      </c>
      <c r="H15" s="20">
        <v>51.4</v>
      </c>
      <c r="I15" s="20">
        <v>48.8</v>
      </c>
      <c r="J15" s="19"/>
      <c r="K15" s="19">
        <v>36.799999999999997</v>
      </c>
      <c r="L15" s="20">
        <v>35.1</v>
      </c>
      <c r="M15" s="20">
        <v>30.6</v>
      </c>
      <c r="N15" s="19"/>
      <c r="O15" s="19">
        <v>48.7</v>
      </c>
      <c r="P15" s="20"/>
      <c r="Q15" s="20">
        <v>39.700000000000003</v>
      </c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>
        <v>6.6</v>
      </c>
      <c r="G16" s="19">
        <v>6.6</v>
      </c>
      <c r="H16" s="20">
        <v>6.6</v>
      </c>
      <c r="I16" s="20">
        <v>6.6</v>
      </c>
      <c r="J16" s="19">
        <v>6.6</v>
      </c>
      <c r="K16" s="19">
        <v>6.6</v>
      </c>
      <c r="L16" s="20">
        <v>6.6</v>
      </c>
      <c r="M16" s="20">
        <v>6.6</v>
      </c>
      <c r="N16" s="19">
        <v>6.6</v>
      </c>
      <c r="O16" s="19">
        <v>6.6</v>
      </c>
      <c r="P16" s="20">
        <v>6.6</v>
      </c>
      <c r="Q16" s="20">
        <v>6.6</v>
      </c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>
        <v>115.5</v>
      </c>
      <c r="G17" s="19">
        <v>117.9</v>
      </c>
      <c r="H17" s="20">
        <v>117.1</v>
      </c>
      <c r="I17" s="20">
        <v>116.9</v>
      </c>
      <c r="J17" s="19"/>
      <c r="K17" s="19">
        <v>115.8</v>
      </c>
      <c r="L17" s="20">
        <v>117.3</v>
      </c>
      <c r="M17" s="20">
        <v>115.5</v>
      </c>
      <c r="N17" s="19"/>
      <c r="O17" s="19">
        <v>117.2</v>
      </c>
      <c r="P17" s="20"/>
      <c r="Q17" s="20">
        <v>118.6</v>
      </c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>
        <v>1132</v>
      </c>
      <c r="G18" s="19">
        <v>1164</v>
      </c>
      <c r="H18" s="20">
        <v>1188</v>
      </c>
      <c r="I18" s="20">
        <v>1184</v>
      </c>
      <c r="J18" s="19"/>
      <c r="K18" s="19">
        <v>1172</v>
      </c>
      <c r="L18" s="20">
        <v>1205</v>
      </c>
      <c r="M18" s="20">
        <v>1177</v>
      </c>
      <c r="N18" s="19"/>
      <c r="O18" s="19">
        <v>1196</v>
      </c>
      <c r="P18" s="20"/>
      <c r="Q18" s="20">
        <v>1204</v>
      </c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>
        <v>46583.3</v>
      </c>
      <c r="G19" s="19">
        <v>46572.9</v>
      </c>
      <c r="H19" s="20">
        <v>47483.199999999997</v>
      </c>
      <c r="I19" s="20">
        <v>47471.5</v>
      </c>
      <c r="J19" s="19"/>
      <c r="K19" s="19">
        <v>45070.8</v>
      </c>
      <c r="L19" s="20">
        <v>47371.9</v>
      </c>
      <c r="M19" s="20">
        <v>47361.1</v>
      </c>
      <c r="N19" s="19"/>
      <c r="O19" s="19">
        <v>46687.1</v>
      </c>
      <c r="P19" s="20"/>
      <c r="Q19" s="20">
        <v>48575.5</v>
      </c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>
        <v>57.8</v>
      </c>
      <c r="G22" s="19">
        <v>59.5</v>
      </c>
      <c r="H22" s="20">
        <v>58.7</v>
      </c>
      <c r="I22" s="20">
        <v>59</v>
      </c>
      <c r="J22" s="19"/>
      <c r="K22" s="19">
        <v>57.7</v>
      </c>
      <c r="L22" s="20">
        <v>57.2</v>
      </c>
      <c r="M22" s="20">
        <v>57.6</v>
      </c>
      <c r="N22" s="19"/>
      <c r="O22" s="19">
        <v>58.6</v>
      </c>
      <c r="P22" s="20"/>
      <c r="Q22" s="20">
        <v>59.3</v>
      </c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>
        <v>0.52</v>
      </c>
      <c r="G23" s="19">
        <v>0.52</v>
      </c>
      <c r="H23" s="20">
        <v>0.48</v>
      </c>
      <c r="I23" s="20">
        <v>0.49</v>
      </c>
      <c r="J23" s="19"/>
      <c r="K23" s="19">
        <v>0.59</v>
      </c>
      <c r="L23" s="20">
        <v>0.52</v>
      </c>
      <c r="M23" s="20">
        <v>0.52</v>
      </c>
      <c r="N23" s="19"/>
      <c r="O23" s="19">
        <v>0.48</v>
      </c>
      <c r="P23" s="20"/>
      <c r="Q23" s="20">
        <v>0.48</v>
      </c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>
        <v>45</v>
      </c>
      <c r="G25" s="19">
        <v>46</v>
      </c>
      <c r="H25" s="20">
        <v>45.1</v>
      </c>
      <c r="I25" s="20">
        <v>45.2</v>
      </c>
      <c r="J25" s="19"/>
      <c r="K25" s="19">
        <v>45</v>
      </c>
      <c r="L25" s="20">
        <v>44.9</v>
      </c>
      <c r="M25" s="20">
        <v>44.9</v>
      </c>
      <c r="N25" s="19"/>
      <c r="O25" s="19">
        <v>45.2</v>
      </c>
      <c r="P25" s="20"/>
      <c r="Q25" s="20">
        <v>45</v>
      </c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>
        <v>0.23</v>
      </c>
      <c r="G26" s="19">
        <v>0.23</v>
      </c>
      <c r="H26" s="20">
        <v>0.21</v>
      </c>
      <c r="I26" s="20">
        <v>0.22</v>
      </c>
      <c r="J26" s="19"/>
      <c r="K26" s="19">
        <v>0.23</v>
      </c>
      <c r="L26" s="20">
        <v>0.22</v>
      </c>
      <c r="M26" s="20">
        <v>0.22</v>
      </c>
      <c r="N26" s="19"/>
      <c r="O26" s="19">
        <v>0.22</v>
      </c>
      <c r="P26" s="20"/>
      <c r="Q26" s="20">
        <v>0.23</v>
      </c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>
        <v>3.7</v>
      </c>
      <c r="G27" s="19">
        <v>4.3</v>
      </c>
      <c r="H27" s="20">
        <v>2.7</v>
      </c>
      <c r="I27" s="20">
        <v>3.6</v>
      </c>
      <c r="J27" s="19"/>
      <c r="K27" s="19">
        <v>4.2</v>
      </c>
      <c r="L27" s="20">
        <v>4.2</v>
      </c>
      <c r="M27" s="20">
        <v>3.9</v>
      </c>
      <c r="N27" s="19"/>
      <c r="O27" s="19">
        <v>4.3</v>
      </c>
      <c r="P27" s="20"/>
      <c r="Q27" s="20">
        <v>4.0999999999999996</v>
      </c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>
        <v>3.5</v>
      </c>
      <c r="G28" s="19">
        <v>3.8</v>
      </c>
      <c r="H28" s="20">
        <v>1.8</v>
      </c>
      <c r="I28" s="20">
        <v>2.8</v>
      </c>
      <c r="J28" s="19"/>
      <c r="K28" s="19">
        <v>3.6</v>
      </c>
      <c r="L28" s="20">
        <v>3.3</v>
      </c>
      <c r="M28" s="20">
        <v>2.8</v>
      </c>
      <c r="N28" s="19"/>
      <c r="O28" s="19">
        <v>3.3</v>
      </c>
      <c r="P28" s="20"/>
      <c r="Q28" s="20">
        <v>3.2</v>
      </c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0.79999999999999982</v>
      </c>
      <c r="G29" s="26">
        <f t="shared" ref="G29:Q29" si="0">G32-G28</f>
        <v>0.79999999999999982</v>
      </c>
      <c r="H29" s="26">
        <f t="shared" si="0"/>
        <v>2.2999999999999998</v>
      </c>
      <c r="I29" s="26">
        <f t="shared" si="0"/>
        <v>2</v>
      </c>
      <c r="J29" s="26">
        <f t="shared" si="0"/>
        <v>0</v>
      </c>
      <c r="K29" s="26">
        <f t="shared" si="0"/>
        <v>0.69999999999999973</v>
      </c>
      <c r="L29" s="26">
        <f t="shared" si="0"/>
        <v>1</v>
      </c>
      <c r="M29" s="26">
        <f t="shared" si="0"/>
        <v>1.2000000000000002</v>
      </c>
      <c r="N29" s="26">
        <f>N32-N28</f>
        <v>0</v>
      </c>
      <c r="O29" s="26">
        <f t="shared" si="0"/>
        <v>1.2000000000000002</v>
      </c>
      <c r="P29" s="26">
        <f>P32-P28</f>
        <v>0</v>
      </c>
      <c r="Q29" s="26">
        <f t="shared" si="0"/>
        <v>1.7000000000000002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>
        <v>695.6</v>
      </c>
      <c r="G30" s="19">
        <v>671.9</v>
      </c>
      <c r="H30" s="20">
        <v>674.3</v>
      </c>
      <c r="I30" s="20">
        <v>654.54</v>
      </c>
      <c r="J30" s="19"/>
      <c r="K30" s="19">
        <v>633</v>
      </c>
      <c r="L30" s="20">
        <v>746.48</v>
      </c>
      <c r="M30" s="20">
        <v>649.9</v>
      </c>
      <c r="N30" s="19"/>
      <c r="O30" s="19">
        <v>647.70000000000005</v>
      </c>
      <c r="P30" s="20"/>
      <c r="Q30" s="20">
        <v>654.1</v>
      </c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>
        <v>12.3</v>
      </c>
      <c r="G31" s="19">
        <v>13.4</v>
      </c>
      <c r="H31" s="20">
        <v>12.3</v>
      </c>
      <c r="I31" s="20">
        <v>13.5</v>
      </c>
      <c r="J31" s="19"/>
      <c r="K31" s="19">
        <v>13.3</v>
      </c>
      <c r="L31" s="20">
        <v>12.4</v>
      </c>
      <c r="M31" s="20">
        <v>12.8</v>
      </c>
      <c r="N31" s="19"/>
      <c r="O31" s="19">
        <v>13.5</v>
      </c>
      <c r="P31" s="20"/>
      <c r="Q31" s="20">
        <v>13.6</v>
      </c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>
        <v>4.3</v>
      </c>
      <c r="G32" s="19">
        <v>4.5999999999999996</v>
      </c>
      <c r="H32" s="20">
        <v>4.0999999999999996</v>
      </c>
      <c r="I32" s="20">
        <v>4.8</v>
      </c>
      <c r="J32" s="19"/>
      <c r="K32" s="19">
        <v>4.3</v>
      </c>
      <c r="L32" s="20">
        <v>4.3</v>
      </c>
      <c r="M32" s="20">
        <v>4</v>
      </c>
      <c r="N32" s="19"/>
      <c r="O32" s="19">
        <v>4.5</v>
      </c>
      <c r="P32" s="20"/>
      <c r="Q32" s="20">
        <v>4.9000000000000004</v>
      </c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8</v>
      </c>
      <c r="G33" s="26">
        <f t="shared" ref="G33:Q33" si="1">G31-G32</f>
        <v>8.8000000000000007</v>
      </c>
      <c r="H33" s="26">
        <f t="shared" si="1"/>
        <v>8.2000000000000011</v>
      </c>
      <c r="I33" s="26">
        <f t="shared" si="1"/>
        <v>8.6999999999999993</v>
      </c>
      <c r="J33" s="26">
        <f t="shared" si="1"/>
        <v>0</v>
      </c>
      <c r="K33" s="26">
        <f t="shared" si="1"/>
        <v>9</v>
      </c>
      <c r="L33" s="26">
        <f t="shared" si="1"/>
        <v>8.1000000000000014</v>
      </c>
      <c r="M33" s="26">
        <f t="shared" si="1"/>
        <v>8.8000000000000007</v>
      </c>
      <c r="N33" s="26">
        <f t="shared" si="1"/>
        <v>0</v>
      </c>
      <c r="O33" s="26">
        <f t="shared" si="1"/>
        <v>9</v>
      </c>
      <c r="P33" s="26">
        <f t="shared" si="1"/>
        <v>0</v>
      </c>
      <c r="Q33" s="26">
        <f t="shared" si="1"/>
        <v>8.6999999999999993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6425.866050808314</v>
      </c>
      <c r="G34" s="27">
        <f t="shared" ref="G34:Q34" si="2">(G33*G30)/0.866</f>
        <v>6827.6212471131639</v>
      </c>
      <c r="H34" s="27">
        <f t="shared" si="2"/>
        <v>6384.8267898383374</v>
      </c>
      <c r="I34" s="27">
        <f t="shared" si="2"/>
        <v>6575.632794457274</v>
      </c>
      <c r="J34" s="27">
        <f t="shared" si="2"/>
        <v>0</v>
      </c>
      <c r="K34" s="27">
        <f t="shared" si="2"/>
        <v>6578.5219399538109</v>
      </c>
      <c r="L34" s="27">
        <f t="shared" si="2"/>
        <v>6982.0877598152438</v>
      </c>
      <c r="M34" s="27">
        <f t="shared" si="2"/>
        <v>6604.0646651270208</v>
      </c>
      <c r="N34" s="27">
        <f t="shared" si="2"/>
        <v>0</v>
      </c>
      <c r="O34" s="27">
        <f t="shared" si="2"/>
        <v>6731.2933025404163</v>
      </c>
      <c r="P34" s="27">
        <f t="shared" si="2"/>
        <v>0</v>
      </c>
      <c r="Q34" s="27">
        <f t="shared" si="2"/>
        <v>6571.2124711316401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>
        <v>0.81</v>
      </c>
      <c r="G35" s="19">
        <v>0.83</v>
      </c>
      <c r="H35" s="20">
        <v>0.84</v>
      </c>
      <c r="I35" s="20">
        <v>0.85</v>
      </c>
      <c r="J35" s="19"/>
      <c r="K35" s="19">
        <v>0.84</v>
      </c>
      <c r="L35" s="20">
        <v>0.85</v>
      </c>
      <c r="M35" s="20">
        <v>0.84</v>
      </c>
      <c r="N35" s="19"/>
      <c r="O35" s="19">
        <v>0.83</v>
      </c>
      <c r="P35" s="20"/>
      <c r="Q35" s="20">
        <v>0.48</v>
      </c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>
        <v>34.9</v>
      </c>
      <c r="G36" s="19">
        <v>36.299999999999997</v>
      </c>
      <c r="H36" s="20">
        <v>36.4</v>
      </c>
      <c r="I36" s="20">
        <v>36.9</v>
      </c>
      <c r="J36" s="19"/>
      <c r="K36" s="19">
        <v>36.5</v>
      </c>
      <c r="L36" s="20">
        <v>36.9</v>
      </c>
      <c r="M36" s="20">
        <v>36.9</v>
      </c>
      <c r="N36" s="19"/>
      <c r="O36" s="19">
        <v>36.6</v>
      </c>
      <c r="P36" s="20"/>
      <c r="Q36" s="20">
        <v>36.4</v>
      </c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>
        <v>35.9</v>
      </c>
      <c r="G37" s="19">
        <v>36.9</v>
      </c>
      <c r="H37" s="20">
        <v>37.200000000000003</v>
      </c>
      <c r="I37" s="20">
        <v>37.9</v>
      </c>
      <c r="J37" s="19"/>
      <c r="K37" s="19">
        <v>37.200000000000003</v>
      </c>
      <c r="L37" s="20">
        <v>37.5</v>
      </c>
      <c r="M37" s="20">
        <v>37.4</v>
      </c>
      <c r="N37" s="19"/>
      <c r="O37" s="19">
        <v>37</v>
      </c>
      <c r="P37" s="20"/>
      <c r="Q37" s="20">
        <v>36.5</v>
      </c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3.3999999999999986</v>
      </c>
      <c r="G38" s="26">
        <f t="shared" ref="G38:Q38" si="3">G37-G41</f>
        <v>2.6999999999999957</v>
      </c>
      <c r="H38" s="26">
        <f t="shared" si="3"/>
        <v>4.3000000000000043</v>
      </c>
      <c r="I38" s="26">
        <f t="shared" si="3"/>
        <v>4.3999999999999986</v>
      </c>
      <c r="J38" s="26">
        <f t="shared" si="3"/>
        <v>0</v>
      </c>
      <c r="K38" s="26">
        <f t="shared" si="3"/>
        <v>2.8000000000000043</v>
      </c>
      <c r="L38" s="26">
        <f t="shared" si="3"/>
        <v>4.3999999999999986</v>
      </c>
      <c r="M38" s="26">
        <f t="shared" si="3"/>
        <v>3.5</v>
      </c>
      <c r="N38" s="26">
        <f t="shared" si="3"/>
        <v>0</v>
      </c>
      <c r="O38" s="26">
        <f t="shared" si="3"/>
        <v>2.2999999999999972</v>
      </c>
      <c r="P38" s="26">
        <f t="shared" si="3"/>
        <v>0</v>
      </c>
      <c r="Q38" s="26">
        <f t="shared" si="3"/>
        <v>2.2999999999999972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>
        <v>27.4</v>
      </c>
      <c r="G40" s="19">
        <v>28.9</v>
      </c>
      <c r="H40" s="20">
        <v>28</v>
      </c>
      <c r="I40" s="20">
        <v>28.8</v>
      </c>
      <c r="J40" s="19"/>
      <c r="K40" s="19">
        <v>28.9</v>
      </c>
      <c r="L40" s="20">
        <v>27.9</v>
      </c>
      <c r="M40" s="20">
        <v>28.8</v>
      </c>
      <c r="N40" s="19"/>
      <c r="O40" s="19">
        <v>28.7</v>
      </c>
      <c r="P40" s="20"/>
      <c r="Q40" s="20">
        <v>28.7</v>
      </c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>
        <v>32.5</v>
      </c>
      <c r="G41" s="19">
        <v>34.200000000000003</v>
      </c>
      <c r="H41" s="20">
        <v>32.9</v>
      </c>
      <c r="I41" s="20">
        <v>33.5</v>
      </c>
      <c r="J41" s="19"/>
      <c r="K41" s="19">
        <v>34.4</v>
      </c>
      <c r="L41" s="20">
        <v>33.1</v>
      </c>
      <c r="M41" s="20">
        <v>33.9</v>
      </c>
      <c r="N41" s="19"/>
      <c r="O41" s="19">
        <v>34.700000000000003</v>
      </c>
      <c r="P41" s="20"/>
      <c r="Q41" s="20">
        <v>34.200000000000003</v>
      </c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5.1000000000000014</v>
      </c>
      <c r="G42" s="26">
        <f t="shared" ref="G42:Q42" si="4">G41-G40</f>
        <v>5.3000000000000043</v>
      </c>
      <c r="H42" s="26">
        <f t="shared" si="4"/>
        <v>4.8999999999999986</v>
      </c>
      <c r="I42" s="26">
        <f t="shared" si="4"/>
        <v>4.6999999999999993</v>
      </c>
      <c r="J42" s="26">
        <f t="shared" si="4"/>
        <v>0</v>
      </c>
      <c r="K42" s="26">
        <f t="shared" si="4"/>
        <v>5.5</v>
      </c>
      <c r="L42" s="26">
        <f t="shared" si="4"/>
        <v>5.2000000000000028</v>
      </c>
      <c r="M42" s="26">
        <f t="shared" si="4"/>
        <v>5.0999999999999979</v>
      </c>
      <c r="N42" s="26">
        <f t="shared" si="4"/>
        <v>0</v>
      </c>
      <c r="O42" s="26">
        <f t="shared" si="4"/>
        <v>6.0000000000000036</v>
      </c>
      <c r="P42" s="26">
        <f t="shared" si="4"/>
        <v>0</v>
      </c>
      <c r="Q42" s="26">
        <f t="shared" si="4"/>
        <v>5.5000000000000036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>
        <v>1291.3599999999999</v>
      </c>
      <c r="G43" s="19">
        <v>1298.9000000000001</v>
      </c>
      <c r="H43" s="20">
        <v>1299.5999999999999</v>
      </c>
      <c r="I43" s="20">
        <v>1296.5</v>
      </c>
      <c r="J43" s="19"/>
      <c r="K43" s="19">
        <v>1298.0999999999999</v>
      </c>
      <c r="L43" s="20">
        <v>1293.4000000000001</v>
      </c>
      <c r="M43" s="19">
        <v>1287.0999999999999</v>
      </c>
      <c r="N43" s="19"/>
      <c r="O43" s="19">
        <v>1110.7</v>
      </c>
      <c r="P43" s="20"/>
      <c r="Q43" s="20">
        <v>1293.8</v>
      </c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7605.0069284064684</v>
      </c>
      <c r="G44" s="27">
        <f t="shared" ref="G44:Q44" si="5">G42*G43/0.866</f>
        <v>7949.3879907621322</v>
      </c>
      <c r="H44" s="27">
        <f t="shared" si="5"/>
        <v>7353.3949191685888</v>
      </c>
      <c r="I44" s="27">
        <f t="shared" si="5"/>
        <v>7036.431870669745</v>
      </c>
      <c r="J44" s="27">
        <f t="shared" si="5"/>
        <v>0</v>
      </c>
      <c r="K44" s="27">
        <f t="shared" si="5"/>
        <v>8244.2840646651257</v>
      </c>
      <c r="L44" s="27">
        <f t="shared" si="5"/>
        <v>7766.3741339491962</v>
      </c>
      <c r="M44" s="27">
        <f t="shared" si="5"/>
        <v>7579.9191685912201</v>
      </c>
      <c r="N44" s="27">
        <f t="shared" si="5"/>
        <v>0</v>
      </c>
      <c r="O44" s="27">
        <f t="shared" si="5"/>
        <v>7695.3810623556637</v>
      </c>
      <c r="P44" s="27">
        <f t="shared" si="5"/>
        <v>0</v>
      </c>
      <c r="Q44" s="27">
        <f t="shared" si="5"/>
        <v>8216.9745958429612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>
        <v>0.45</v>
      </c>
      <c r="G45" s="19">
        <v>0.47</v>
      </c>
      <c r="H45" s="20">
        <v>0.45</v>
      </c>
      <c r="I45" s="20">
        <v>0.47</v>
      </c>
      <c r="J45" s="19"/>
      <c r="K45" s="19">
        <v>0.47</v>
      </c>
      <c r="L45" s="20">
        <v>0.47</v>
      </c>
      <c r="M45" s="20">
        <v>0.47</v>
      </c>
      <c r="N45" s="19"/>
      <c r="O45" s="19">
        <v>0.47</v>
      </c>
      <c r="P45" s="20"/>
      <c r="Q45" s="20">
        <v>0.47</v>
      </c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>
        <v>18.8</v>
      </c>
      <c r="G46" s="19">
        <v>20.100000000000001</v>
      </c>
      <c r="H46" s="20">
        <v>18.8</v>
      </c>
      <c r="I46" s="20">
        <v>19.899999999999999</v>
      </c>
      <c r="J46" s="19"/>
      <c r="K46" s="19">
        <v>20</v>
      </c>
      <c r="L46" s="20">
        <v>20.2</v>
      </c>
      <c r="M46" s="20">
        <v>20.100000000000001</v>
      </c>
      <c r="N46" s="19"/>
      <c r="O46" s="19">
        <v>19.899999999999999</v>
      </c>
      <c r="P46" s="20"/>
      <c r="Q46" s="20">
        <v>20</v>
      </c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>
        <v>200.3</v>
      </c>
      <c r="G47" s="19">
        <v>173.4</v>
      </c>
      <c r="H47" s="20">
        <v>126</v>
      </c>
      <c r="I47" s="20">
        <v>129.80000000000001</v>
      </c>
      <c r="J47" s="19"/>
      <c r="K47" s="19">
        <v>202.2</v>
      </c>
      <c r="L47" s="20">
        <v>218.9</v>
      </c>
      <c r="M47" s="20">
        <v>207.3</v>
      </c>
      <c r="N47" s="19"/>
      <c r="O47" s="19">
        <v>155.19999999999999</v>
      </c>
      <c r="P47" s="20"/>
      <c r="Q47" s="20">
        <v>200.7</v>
      </c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40">
        <v>5.89</v>
      </c>
      <c r="F49" s="19">
        <v>5.69</v>
      </c>
      <c r="G49" s="19">
        <v>5.4</v>
      </c>
      <c r="H49" s="20">
        <v>5.21</v>
      </c>
      <c r="I49" s="20">
        <v>5.3</v>
      </c>
      <c r="J49" s="19"/>
      <c r="K49" s="19">
        <v>5.72</v>
      </c>
      <c r="L49" s="20">
        <v>5.0599999999999996</v>
      </c>
      <c r="M49" s="20">
        <v>5.59</v>
      </c>
      <c r="N49" s="19"/>
      <c r="O49" s="19">
        <v>5.49</v>
      </c>
      <c r="P49" s="20"/>
      <c r="Q49" s="20">
        <v>5.22</v>
      </c>
    </row>
    <row r="50" spans="2:17" ht="20.100000000000001" customHeight="1" x14ac:dyDescent="0.25">
      <c r="B50" s="93" t="s">
        <v>90</v>
      </c>
      <c r="C50" s="93"/>
      <c r="D50" s="93"/>
      <c r="E50" s="40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39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52041-66CA-4CB7-84A2-D44E121B835F}">
  <dimension ref="B1:Q59"/>
  <sheetViews>
    <sheetView view="pageBreakPreview" zoomScale="85" zoomScaleNormal="60" zoomScaleSheetLayoutView="85" workbookViewId="0">
      <selection activeCell="H17" sqref="H17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42" t="s">
        <v>18</v>
      </c>
      <c r="E10" s="15"/>
      <c r="F10" s="16"/>
      <c r="G10" s="16" t="s">
        <v>19</v>
      </c>
      <c r="H10" s="17"/>
      <c r="I10" s="17" t="s">
        <v>19</v>
      </c>
      <c r="J10" s="16"/>
      <c r="K10" s="16" t="s">
        <v>19</v>
      </c>
      <c r="L10" s="17"/>
      <c r="M10" s="17" t="s">
        <v>19</v>
      </c>
      <c r="N10" s="16"/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72</v>
      </c>
      <c r="H11" s="20"/>
      <c r="I11" s="20">
        <v>75.099999999999994</v>
      </c>
      <c r="J11" s="19"/>
      <c r="K11" s="19">
        <v>73.900000000000006</v>
      </c>
      <c r="L11" s="20"/>
      <c r="M11" s="19">
        <v>74.099999999999994</v>
      </c>
      <c r="N11" s="19"/>
      <c r="O11" s="19">
        <v>72.400000000000006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0.6</v>
      </c>
      <c r="H12" s="20"/>
      <c r="I12" s="20">
        <v>0</v>
      </c>
      <c r="J12" s="19"/>
      <c r="K12" s="19">
        <v>0</v>
      </c>
      <c r="L12" s="20"/>
      <c r="M12" s="19">
        <v>0.1</v>
      </c>
      <c r="N12" s="19"/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66.900000000000006</v>
      </c>
      <c r="H13" s="20"/>
      <c r="I13" s="20">
        <v>70.099999999999994</v>
      </c>
      <c r="J13" s="19"/>
      <c r="K13" s="19">
        <v>68.7</v>
      </c>
      <c r="L13" s="20"/>
      <c r="M13" s="19">
        <v>69.099999999999994</v>
      </c>
      <c r="N13" s="19"/>
      <c r="O13" s="19">
        <v>67.2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64.2</v>
      </c>
      <c r="H14" s="20"/>
      <c r="I14" s="20">
        <v>66.099999999999994</v>
      </c>
      <c r="J14" s="19"/>
      <c r="K14" s="19">
        <v>63.1</v>
      </c>
      <c r="L14" s="20"/>
      <c r="M14" s="19">
        <v>63.8</v>
      </c>
      <c r="N14" s="19"/>
      <c r="O14" s="19">
        <v>69.099999999999994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48.1</v>
      </c>
      <c r="H15" s="20"/>
      <c r="I15" s="20">
        <v>53.8</v>
      </c>
      <c r="J15" s="19"/>
      <c r="K15" s="19">
        <v>39.9</v>
      </c>
      <c r="L15" s="20"/>
      <c r="M15" s="19">
        <v>33.700000000000003</v>
      </c>
      <c r="N15" s="19"/>
      <c r="O15" s="19">
        <v>55.8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/>
      <c r="I16" s="19">
        <v>6.6</v>
      </c>
      <c r="J16" s="19"/>
      <c r="K16" s="19">
        <v>6.6</v>
      </c>
      <c r="L16" s="20"/>
      <c r="M16" s="19">
        <v>6.6</v>
      </c>
      <c r="N16" s="19"/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118.3</v>
      </c>
      <c r="H17" s="20"/>
      <c r="I17" s="20">
        <v>116.4</v>
      </c>
      <c r="J17" s="19"/>
      <c r="K17" s="19">
        <v>115.9</v>
      </c>
      <c r="L17" s="20"/>
      <c r="M17" s="19">
        <v>117.2</v>
      </c>
      <c r="N17" s="19"/>
      <c r="O17" s="19">
        <v>116.4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1156</v>
      </c>
      <c r="H18" s="20"/>
      <c r="I18" s="20">
        <v>1176</v>
      </c>
      <c r="J18" s="19"/>
      <c r="K18" s="19">
        <v>1182</v>
      </c>
      <c r="L18" s="20"/>
      <c r="M18" s="19">
        <v>1201</v>
      </c>
      <c r="N18" s="19"/>
      <c r="O18" s="19">
        <v>1192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46596</v>
      </c>
      <c r="H19" s="20"/>
      <c r="I19" s="20">
        <v>47486</v>
      </c>
      <c r="J19" s="19"/>
      <c r="K19" s="19">
        <v>45079</v>
      </c>
      <c r="L19" s="20"/>
      <c r="M19" s="20">
        <v>47385</v>
      </c>
      <c r="N19" s="19"/>
      <c r="O19" s="19">
        <v>46696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</v>
      </c>
      <c r="H22" s="20"/>
      <c r="I22" s="20">
        <v>59.1</v>
      </c>
      <c r="J22" s="19"/>
      <c r="K22" s="19">
        <v>57.9</v>
      </c>
      <c r="L22" s="20"/>
      <c r="M22" s="20">
        <v>57.1</v>
      </c>
      <c r="N22" s="19"/>
      <c r="O22" s="19">
        <v>58.7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0.52</v>
      </c>
      <c r="H23" s="20"/>
      <c r="I23" s="20">
        <v>0.49</v>
      </c>
      <c r="J23" s="19"/>
      <c r="K23" s="19">
        <v>0.59</v>
      </c>
      <c r="L23" s="20"/>
      <c r="M23" s="20">
        <v>0.53</v>
      </c>
      <c r="N23" s="19"/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45.2</v>
      </c>
      <c r="H25" s="20"/>
      <c r="I25" s="20">
        <v>45.1</v>
      </c>
      <c r="J25" s="19"/>
      <c r="K25" s="20">
        <v>44.9</v>
      </c>
      <c r="L25" s="20"/>
      <c r="M25" s="20">
        <v>45.1</v>
      </c>
      <c r="N25" s="19"/>
      <c r="O25" s="19">
        <v>45.1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/>
      <c r="I26" s="20">
        <v>0.21</v>
      </c>
      <c r="J26" s="19"/>
      <c r="K26" s="20">
        <v>0.23</v>
      </c>
      <c r="L26" s="20"/>
      <c r="M26" s="20">
        <v>0.23</v>
      </c>
      <c r="N26" s="19"/>
      <c r="O26" s="19">
        <v>0.23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4.2</v>
      </c>
      <c r="H27" s="20"/>
      <c r="I27" s="20">
        <v>3.1</v>
      </c>
      <c r="J27" s="19"/>
      <c r="K27" s="20">
        <v>4.5999999999999996</v>
      </c>
      <c r="L27" s="20"/>
      <c r="M27" s="20">
        <v>4.4000000000000004</v>
      </c>
      <c r="N27" s="19"/>
      <c r="O27" s="19">
        <v>4.8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3.8</v>
      </c>
      <c r="H28" s="20"/>
      <c r="I28" s="20">
        <v>2.4</v>
      </c>
      <c r="J28" s="19"/>
      <c r="K28" s="20">
        <v>3.6</v>
      </c>
      <c r="L28" s="20"/>
      <c r="M28" s="20">
        <v>3.5</v>
      </c>
      <c r="N28" s="19"/>
      <c r="O28" s="19">
        <v>3.8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0.90000000000000036</v>
      </c>
      <c r="H29" s="26">
        <f t="shared" si="0"/>
        <v>0</v>
      </c>
      <c r="I29" s="26">
        <f t="shared" si="0"/>
        <v>2.4</v>
      </c>
      <c r="J29" s="26">
        <f t="shared" si="0"/>
        <v>0</v>
      </c>
      <c r="K29" s="26">
        <f t="shared" si="0"/>
        <v>0.60000000000000009</v>
      </c>
      <c r="L29" s="26">
        <f t="shared" si="0"/>
        <v>0</v>
      </c>
      <c r="M29" s="26">
        <f t="shared" si="0"/>
        <v>1.2999999999999998</v>
      </c>
      <c r="N29" s="26">
        <f>N32-N28</f>
        <v>0</v>
      </c>
      <c r="O29" s="26">
        <f t="shared" si="0"/>
        <v>1.2000000000000002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710.5</v>
      </c>
      <c r="H30" s="20"/>
      <c r="I30" s="20">
        <v>686</v>
      </c>
      <c r="J30" s="19"/>
      <c r="K30" s="19">
        <v>660.5</v>
      </c>
      <c r="L30" s="20"/>
      <c r="M30" s="20">
        <v>712.4</v>
      </c>
      <c r="N30" s="19"/>
      <c r="O30" s="19">
        <v>717.9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13.3</v>
      </c>
      <c r="H31" s="20"/>
      <c r="I31" s="20">
        <v>13.3</v>
      </c>
      <c r="J31" s="19"/>
      <c r="K31" s="19">
        <v>13.1</v>
      </c>
      <c r="L31" s="20"/>
      <c r="M31" s="20">
        <v>13.3</v>
      </c>
      <c r="N31" s="19"/>
      <c r="O31" s="19">
        <v>13.3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4.7</v>
      </c>
      <c r="H32" s="20"/>
      <c r="I32" s="20">
        <v>4.8</v>
      </c>
      <c r="J32" s="19"/>
      <c r="K32" s="19">
        <v>4.2</v>
      </c>
      <c r="L32" s="20"/>
      <c r="M32" s="20">
        <v>4.8</v>
      </c>
      <c r="N32" s="19"/>
      <c r="O32" s="19">
        <v>5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8.6000000000000014</v>
      </c>
      <c r="H33" s="26">
        <f t="shared" si="1"/>
        <v>0</v>
      </c>
      <c r="I33" s="26">
        <f t="shared" si="1"/>
        <v>8.5</v>
      </c>
      <c r="J33" s="26">
        <f t="shared" si="1"/>
        <v>0</v>
      </c>
      <c r="K33" s="26">
        <f t="shared" si="1"/>
        <v>8.8999999999999986</v>
      </c>
      <c r="L33" s="26">
        <f t="shared" si="1"/>
        <v>0</v>
      </c>
      <c r="M33" s="26">
        <f t="shared" si="1"/>
        <v>8.5</v>
      </c>
      <c r="N33" s="26">
        <f t="shared" si="1"/>
        <v>0</v>
      </c>
      <c r="O33" s="26">
        <f t="shared" si="1"/>
        <v>8.3000000000000007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7055.7736720554285</v>
      </c>
      <c r="H34" s="27">
        <f t="shared" si="2"/>
        <v>0</v>
      </c>
      <c r="I34" s="27">
        <f t="shared" si="2"/>
        <v>6733.2563510392611</v>
      </c>
      <c r="J34" s="27">
        <f t="shared" si="2"/>
        <v>0</v>
      </c>
      <c r="K34" s="27">
        <f t="shared" si="2"/>
        <v>6788.0484988452645</v>
      </c>
      <c r="L34" s="27">
        <f t="shared" si="2"/>
        <v>0</v>
      </c>
      <c r="M34" s="27">
        <f t="shared" si="2"/>
        <v>6992.3787528868361</v>
      </c>
      <c r="N34" s="27">
        <f t="shared" si="2"/>
        <v>0</v>
      </c>
      <c r="O34" s="27">
        <f t="shared" si="2"/>
        <v>6880.5658198614328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</v>
      </c>
      <c r="H35" s="20"/>
      <c r="I35" s="20">
        <v>0.84</v>
      </c>
      <c r="J35" s="19"/>
      <c r="K35" s="19">
        <v>0.82</v>
      </c>
      <c r="L35" s="20"/>
      <c r="M35" s="20">
        <v>0.83</v>
      </c>
      <c r="N35" s="19"/>
      <c r="O35" s="19">
        <v>0.82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35.5</v>
      </c>
      <c r="H36" s="20"/>
      <c r="I36" s="20">
        <v>36.4</v>
      </c>
      <c r="J36" s="19"/>
      <c r="K36" s="19">
        <v>35.799999999999997</v>
      </c>
      <c r="L36" s="20"/>
      <c r="M36" s="20">
        <v>37.1</v>
      </c>
      <c r="N36" s="19"/>
      <c r="O36" s="19">
        <v>36.1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</v>
      </c>
      <c r="H37" s="20"/>
      <c r="I37" s="20">
        <v>37.4</v>
      </c>
      <c r="J37" s="19"/>
      <c r="K37" s="19">
        <v>36.5</v>
      </c>
      <c r="L37" s="20"/>
      <c r="M37" s="20">
        <v>37.1</v>
      </c>
      <c r="N37" s="19"/>
      <c r="O37" s="19">
        <v>36.5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2.2000000000000028</v>
      </c>
      <c r="H38" s="26">
        <f t="shared" si="3"/>
        <v>0</v>
      </c>
      <c r="I38" s="26">
        <f t="shared" si="3"/>
        <v>4.5</v>
      </c>
      <c r="J38" s="26">
        <f t="shared" si="3"/>
        <v>0</v>
      </c>
      <c r="K38" s="26">
        <f t="shared" si="3"/>
        <v>2.7999999999999972</v>
      </c>
      <c r="L38" s="26">
        <f t="shared" si="3"/>
        <v>0</v>
      </c>
      <c r="M38" s="26">
        <f t="shared" si="3"/>
        <v>3.5</v>
      </c>
      <c r="N38" s="26">
        <f t="shared" si="3"/>
        <v>0</v>
      </c>
      <c r="O38" s="26">
        <f t="shared" si="3"/>
        <v>2.3999999999999986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28.3</v>
      </c>
      <c r="H40" s="20"/>
      <c r="I40" s="20">
        <v>28.1</v>
      </c>
      <c r="J40" s="19"/>
      <c r="K40" s="19">
        <v>28.1</v>
      </c>
      <c r="L40" s="20"/>
      <c r="M40" s="20">
        <v>28.1</v>
      </c>
      <c r="N40" s="19"/>
      <c r="O40" s="19">
        <v>28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33.799999999999997</v>
      </c>
      <c r="H41" s="20"/>
      <c r="I41" s="20">
        <v>32.9</v>
      </c>
      <c r="J41" s="19"/>
      <c r="K41" s="19">
        <v>33.700000000000003</v>
      </c>
      <c r="L41" s="20"/>
      <c r="M41" s="20">
        <v>33.6</v>
      </c>
      <c r="N41" s="19"/>
      <c r="O41" s="19">
        <v>34.1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5.4999999999999964</v>
      </c>
      <c r="H42" s="26">
        <f t="shared" si="4"/>
        <v>0</v>
      </c>
      <c r="I42" s="26">
        <f t="shared" si="4"/>
        <v>4.7999999999999972</v>
      </c>
      <c r="J42" s="26">
        <f t="shared" si="4"/>
        <v>0</v>
      </c>
      <c r="K42" s="26">
        <f t="shared" si="4"/>
        <v>5.6000000000000014</v>
      </c>
      <c r="L42" s="26">
        <f t="shared" si="4"/>
        <v>0</v>
      </c>
      <c r="M42" s="26">
        <f t="shared" si="4"/>
        <v>5.5</v>
      </c>
      <c r="N42" s="26">
        <f t="shared" si="4"/>
        <v>0</v>
      </c>
      <c r="O42" s="26">
        <f t="shared" si="4"/>
        <v>6.1000000000000014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1263.2</v>
      </c>
      <c r="H43" s="20"/>
      <c r="I43" s="20">
        <v>1309.7</v>
      </c>
      <c r="J43" s="19"/>
      <c r="K43" s="19">
        <v>1295.4000000000001</v>
      </c>
      <c r="L43" s="20"/>
      <c r="M43" s="20">
        <v>1241.5999999999999</v>
      </c>
      <c r="N43" s="19"/>
      <c r="O43" s="19">
        <v>1079.4000000000001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8022.6327944572704</v>
      </c>
      <c r="H44" s="27">
        <f t="shared" si="5"/>
        <v>0</v>
      </c>
      <c r="I44" s="27">
        <f t="shared" si="5"/>
        <v>7259.307159353345</v>
      </c>
      <c r="J44" s="27">
        <f t="shared" si="5"/>
        <v>0</v>
      </c>
      <c r="K44" s="27">
        <f t="shared" si="5"/>
        <v>8376.7205542725205</v>
      </c>
      <c r="L44" s="27">
        <f t="shared" si="5"/>
        <v>0</v>
      </c>
      <c r="M44" s="27">
        <f t="shared" si="5"/>
        <v>7885.4503464203226</v>
      </c>
      <c r="N44" s="27">
        <f t="shared" si="5"/>
        <v>0</v>
      </c>
      <c r="O44" s="27">
        <f t="shared" si="5"/>
        <v>7603.1639722863765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0.46</v>
      </c>
      <c r="H45" s="20"/>
      <c r="I45" s="20">
        <v>0.45</v>
      </c>
      <c r="J45" s="19"/>
      <c r="K45" s="19">
        <v>0.45</v>
      </c>
      <c r="L45" s="20"/>
      <c r="M45" s="20">
        <v>0.47</v>
      </c>
      <c r="N45" s="19"/>
      <c r="O45" s="19">
        <v>0.47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19.600000000000001</v>
      </c>
      <c r="H46" s="20"/>
      <c r="I46" s="20">
        <v>19.2</v>
      </c>
      <c r="J46" s="19"/>
      <c r="K46" s="19">
        <v>19.3</v>
      </c>
      <c r="L46" s="20"/>
      <c r="M46" s="20">
        <v>20.2</v>
      </c>
      <c r="N46" s="19"/>
      <c r="O46" s="19">
        <v>20.100000000000001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192</v>
      </c>
      <c r="H47" s="20"/>
      <c r="I47" s="20">
        <v>127</v>
      </c>
      <c r="J47" s="19"/>
      <c r="K47" s="19">
        <v>204.5</v>
      </c>
      <c r="L47" s="20"/>
      <c r="M47" s="20">
        <v>199.1</v>
      </c>
      <c r="N47" s="19"/>
      <c r="O47" s="19">
        <v>151.80000000000001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42">
        <v>5.89</v>
      </c>
      <c r="F49" s="19"/>
      <c r="G49" s="19">
        <v>5.35</v>
      </c>
      <c r="H49" s="20"/>
      <c r="I49" s="20">
        <v>5.15</v>
      </c>
      <c r="J49" s="19"/>
      <c r="K49" s="19">
        <v>5.56</v>
      </c>
      <c r="L49" s="20"/>
      <c r="M49" s="20">
        <v>5.18</v>
      </c>
      <c r="N49" s="19"/>
      <c r="O49" s="19">
        <v>5.13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42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41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3AEE-1CC8-4857-9B6A-A2FDCBF2E7D0}">
  <dimension ref="B1:Q59"/>
  <sheetViews>
    <sheetView view="pageBreakPreview" topLeftCell="B28" zoomScale="85" zoomScaleNormal="60" zoomScaleSheetLayoutView="85" workbookViewId="0">
      <selection activeCell="N45" sqref="N45:N4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44" t="s">
        <v>18</v>
      </c>
      <c r="E10" s="15"/>
      <c r="F10" s="16" t="s">
        <v>19</v>
      </c>
      <c r="G10" s="16" t="s">
        <v>19</v>
      </c>
      <c r="H10" s="17" t="s">
        <v>19</v>
      </c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 t="s">
        <v>19</v>
      </c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>
        <v>71.099999999999994</v>
      </c>
      <c r="G11" s="19">
        <v>72</v>
      </c>
      <c r="H11" s="20"/>
      <c r="I11" s="20">
        <v>75.099999999999994</v>
      </c>
      <c r="J11" s="19"/>
      <c r="K11" s="19">
        <v>73.900000000000006</v>
      </c>
      <c r="L11" s="20">
        <v>72.400000000000006</v>
      </c>
      <c r="M11" s="19">
        <v>74.099999999999994</v>
      </c>
      <c r="N11" s="19">
        <v>72.900000000000006</v>
      </c>
      <c r="O11" s="19">
        <v>72.400000000000006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>
        <v>0.1</v>
      </c>
      <c r="G12" s="19">
        <v>0.6</v>
      </c>
      <c r="H12" s="20"/>
      <c r="I12" s="20">
        <v>0</v>
      </c>
      <c r="J12" s="19"/>
      <c r="K12" s="19">
        <v>0</v>
      </c>
      <c r="L12" s="20">
        <v>0</v>
      </c>
      <c r="M12" s="19">
        <v>0.1</v>
      </c>
      <c r="N12" s="19">
        <v>0</v>
      </c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>
        <v>66.2</v>
      </c>
      <c r="G13" s="19">
        <v>66.900000000000006</v>
      </c>
      <c r="H13" s="20"/>
      <c r="I13" s="20">
        <v>70.099999999999994</v>
      </c>
      <c r="J13" s="19"/>
      <c r="K13" s="19">
        <v>68.7</v>
      </c>
      <c r="L13" s="20">
        <v>69.599999999999994</v>
      </c>
      <c r="M13" s="19">
        <v>69.099999999999994</v>
      </c>
      <c r="N13" s="19">
        <v>69.099999999999994</v>
      </c>
      <c r="O13" s="19">
        <v>67.2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>
        <v>63.1</v>
      </c>
      <c r="G14" s="19">
        <v>64.2</v>
      </c>
      <c r="H14" s="20"/>
      <c r="I14" s="20">
        <v>66.099999999999994</v>
      </c>
      <c r="J14" s="19"/>
      <c r="K14" s="19">
        <v>63.1</v>
      </c>
      <c r="L14" s="20">
        <v>64.099999999999994</v>
      </c>
      <c r="M14" s="19">
        <v>63.8</v>
      </c>
      <c r="N14" s="19">
        <v>69.2</v>
      </c>
      <c r="O14" s="19">
        <v>69.099999999999994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>
        <v>41.1</v>
      </c>
      <c r="G15" s="19">
        <v>48.1</v>
      </c>
      <c r="H15" s="20"/>
      <c r="I15" s="20">
        <v>53.8</v>
      </c>
      <c r="J15" s="19"/>
      <c r="K15" s="19">
        <v>39.9</v>
      </c>
      <c r="L15" s="20">
        <v>33.200000000000003</v>
      </c>
      <c r="M15" s="19">
        <v>33.700000000000003</v>
      </c>
      <c r="N15" s="19">
        <v>49.3</v>
      </c>
      <c r="O15" s="19">
        <v>55.8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>
        <v>6.6</v>
      </c>
      <c r="G16" s="19">
        <v>6.6</v>
      </c>
      <c r="H16" s="20">
        <v>6.6</v>
      </c>
      <c r="I16" s="19">
        <v>6.6</v>
      </c>
      <c r="J16" s="19">
        <v>6.6</v>
      </c>
      <c r="K16" s="19">
        <v>6.6</v>
      </c>
      <c r="L16" s="20">
        <v>6.6</v>
      </c>
      <c r="M16" s="19">
        <v>6.6</v>
      </c>
      <c r="N16" s="19">
        <v>6.6</v>
      </c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>
        <v>115.7</v>
      </c>
      <c r="G17" s="19">
        <v>118.3</v>
      </c>
      <c r="H17" s="20"/>
      <c r="I17" s="20">
        <v>116.4</v>
      </c>
      <c r="J17" s="19"/>
      <c r="K17" s="19">
        <v>115.9</v>
      </c>
      <c r="L17" s="20">
        <v>118.8</v>
      </c>
      <c r="M17" s="19">
        <v>117.2</v>
      </c>
      <c r="N17" s="19">
        <v>116.5</v>
      </c>
      <c r="O17" s="19">
        <v>116.4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>
        <v>1133</v>
      </c>
      <c r="G18" s="19">
        <v>1156</v>
      </c>
      <c r="H18" s="20"/>
      <c r="I18" s="20">
        <v>1176</v>
      </c>
      <c r="J18" s="19"/>
      <c r="K18" s="19">
        <v>1182</v>
      </c>
      <c r="L18" s="20">
        <v>1201</v>
      </c>
      <c r="M18" s="19">
        <v>1201</v>
      </c>
      <c r="N18" s="19">
        <v>1179</v>
      </c>
      <c r="O18" s="19">
        <v>1192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>
        <v>46616.800000000003</v>
      </c>
      <c r="G19" s="19">
        <v>46596</v>
      </c>
      <c r="H19" s="20"/>
      <c r="I19" s="20">
        <v>47486</v>
      </c>
      <c r="J19" s="19"/>
      <c r="K19" s="19">
        <v>45079</v>
      </c>
      <c r="L19" s="20">
        <v>47405.4</v>
      </c>
      <c r="M19" s="20">
        <v>47385</v>
      </c>
      <c r="N19" s="19">
        <v>46731.1</v>
      </c>
      <c r="O19" s="19">
        <v>46696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>
        <v>58</v>
      </c>
      <c r="G22" s="19">
        <v>58</v>
      </c>
      <c r="H22" s="20"/>
      <c r="I22" s="20">
        <v>59.1</v>
      </c>
      <c r="J22" s="19"/>
      <c r="K22" s="19">
        <v>57.9</v>
      </c>
      <c r="L22" s="20">
        <v>57.4</v>
      </c>
      <c r="M22" s="20">
        <v>57.1</v>
      </c>
      <c r="N22" s="19">
        <v>58.6</v>
      </c>
      <c r="O22" s="19">
        <v>58.7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>
        <v>0.53</v>
      </c>
      <c r="G23" s="19">
        <v>0.52</v>
      </c>
      <c r="H23" s="20"/>
      <c r="I23" s="20">
        <v>0.49</v>
      </c>
      <c r="J23" s="19"/>
      <c r="K23" s="19">
        <v>0.59</v>
      </c>
      <c r="L23" s="20">
        <v>0.52</v>
      </c>
      <c r="M23" s="20">
        <v>0.53</v>
      </c>
      <c r="N23" s="19">
        <v>0.48</v>
      </c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>
        <v>44.9</v>
      </c>
      <c r="G25" s="19">
        <v>45.2</v>
      </c>
      <c r="H25" s="20"/>
      <c r="I25" s="20">
        <v>45.1</v>
      </c>
      <c r="J25" s="19"/>
      <c r="K25" s="20">
        <v>44.9</v>
      </c>
      <c r="L25" s="20">
        <v>44.9</v>
      </c>
      <c r="M25" s="20">
        <v>45.1</v>
      </c>
      <c r="N25" s="19">
        <v>45</v>
      </c>
      <c r="O25" s="19">
        <v>45.1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>
        <v>0.24</v>
      </c>
      <c r="G26" s="19">
        <v>0.23</v>
      </c>
      <c r="H26" s="20"/>
      <c r="I26" s="20">
        <v>0.21</v>
      </c>
      <c r="J26" s="19"/>
      <c r="K26" s="20">
        <v>0.23</v>
      </c>
      <c r="L26" s="20">
        <v>0.22</v>
      </c>
      <c r="M26" s="20">
        <v>0.23</v>
      </c>
      <c r="N26" s="19">
        <v>0.22</v>
      </c>
      <c r="O26" s="19">
        <v>0.23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>
        <v>3.8</v>
      </c>
      <c r="G27" s="19">
        <v>4.2</v>
      </c>
      <c r="H27" s="20"/>
      <c r="I27" s="20">
        <v>3.1</v>
      </c>
      <c r="J27" s="19"/>
      <c r="K27" s="20">
        <v>4.5999999999999996</v>
      </c>
      <c r="L27" s="20">
        <v>4.5</v>
      </c>
      <c r="M27" s="20">
        <v>4.4000000000000004</v>
      </c>
      <c r="N27" s="19">
        <v>3.9</v>
      </c>
      <c r="O27" s="19">
        <v>4.8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>
        <v>3.2</v>
      </c>
      <c r="G28" s="19">
        <v>3.8</v>
      </c>
      <c r="H28" s="20"/>
      <c r="I28" s="20">
        <v>2.4</v>
      </c>
      <c r="J28" s="19"/>
      <c r="K28" s="20">
        <v>3.6</v>
      </c>
      <c r="L28" s="20">
        <v>3.6</v>
      </c>
      <c r="M28" s="20">
        <v>3.5</v>
      </c>
      <c r="N28" s="19">
        <v>2.9</v>
      </c>
      <c r="O28" s="19">
        <v>3.8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1.2000000000000002</v>
      </c>
      <c r="G29" s="26">
        <f t="shared" ref="G29:Q29" si="0">G32-G28</f>
        <v>0.90000000000000036</v>
      </c>
      <c r="H29" s="26">
        <f t="shared" si="0"/>
        <v>0</v>
      </c>
      <c r="I29" s="26">
        <f t="shared" si="0"/>
        <v>2.4</v>
      </c>
      <c r="J29" s="26">
        <f t="shared" si="0"/>
        <v>0</v>
      </c>
      <c r="K29" s="26">
        <f t="shared" si="0"/>
        <v>0.60000000000000009</v>
      </c>
      <c r="L29" s="26">
        <f t="shared" si="0"/>
        <v>1.1999999999999997</v>
      </c>
      <c r="M29" s="26">
        <f t="shared" si="0"/>
        <v>1.2999999999999998</v>
      </c>
      <c r="N29" s="26">
        <f>N32-N28</f>
        <v>1.1999999999999997</v>
      </c>
      <c r="O29" s="26">
        <f t="shared" si="0"/>
        <v>1.2000000000000002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>
        <v>689.4</v>
      </c>
      <c r="G30" s="19">
        <v>710.5</v>
      </c>
      <c r="H30" s="20"/>
      <c r="I30" s="20">
        <v>686</v>
      </c>
      <c r="J30" s="19"/>
      <c r="K30" s="19">
        <v>660.5</v>
      </c>
      <c r="L30" s="20">
        <v>742</v>
      </c>
      <c r="M30" s="20">
        <v>712.4</v>
      </c>
      <c r="N30" s="19">
        <v>668.7</v>
      </c>
      <c r="O30" s="19">
        <v>717.9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>
        <v>12.6</v>
      </c>
      <c r="G31" s="19">
        <v>13.3</v>
      </c>
      <c r="H31" s="20"/>
      <c r="I31" s="20">
        <v>13.3</v>
      </c>
      <c r="J31" s="19"/>
      <c r="K31" s="19">
        <v>13.1</v>
      </c>
      <c r="L31" s="20">
        <v>12.7</v>
      </c>
      <c r="M31" s="20">
        <v>13.3</v>
      </c>
      <c r="N31" s="19">
        <v>12.8</v>
      </c>
      <c r="O31" s="19">
        <v>13.3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>
        <v>4.4000000000000004</v>
      </c>
      <c r="G32" s="19">
        <v>4.7</v>
      </c>
      <c r="H32" s="20"/>
      <c r="I32" s="20">
        <v>4.8</v>
      </c>
      <c r="J32" s="19"/>
      <c r="K32" s="19">
        <v>4.2</v>
      </c>
      <c r="L32" s="20">
        <v>4.8</v>
      </c>
      <c r="M32" s="20">
        <v>4.8</v>
      </c>
      <c r="N32" s="19">
        <v>4.0999999999999996</v>
      </c>
      <c r="O32" s="19">
        <v>5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8.1999999999999993</v>
      </c>
      <c r="G33" s="26">
        <f t="shared" ref="G33:Q33" si="1">G31-G32</f>
        <v>8.6000000000000014</v>
      </c>
      <c r="H33" s="26">
        <f t="shared" si="1"/>
        <v>0</v>
      </c>
      <c r="I33" s="26">
        <f t="shared" si="1"/>
        <v>8.5</v>
      </c>
      <c r="J33" s="26">
        <f t="shared" si="1"/>
        <v>0</v>
      </c>
      <c r="K33" s="26">
        <f t="shared" si="1"/>
        <v>8.8999999999999986</v>
      </c>
      <c r="L33" s="26">
        <f t="shared" si="1"/>
        <v>7.8999999999999995</v>
      </c>
      <c r="M33" s="26">
        <f t="shared" si="1"/>
        <v>8.5</v>
      </c>
      <c r="N33" s="26">
        <f t="shared" si="1"/>
        <v>8.7000000000000011</v>
      </c>
      <c r="O33" s="26">
        <f t="shared" si="1"/>
        <v>8.3000000000000007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6527.8060046189366</v>
      </c>
      <c r="G34" s="27">
        <f t="shared" ref="G34:Q34" si="2">(G33*G30)/0.866</f>
        <v>7055.7736720554285</v>
      </c>
      <c r="H34" s="27">
        <f t="shared" si="2"/>
        <v>0</v>
      </c>
      <c r="I34" s="27">
        <f t="shared" si="2"/>
        <v>6733.2563510392611</v>
      </c>
      <c r="J34" s="27">
        <f t="shared" si="2"/>
        <v>0</v>
      </c>
      <c r="K34" s="27">
        <f t="shared" si="2"/>
        <v>6788.0484988452645</v>
      </c>
      <c r="L34" s="27">
        <f t="shared" si="2"/>
        <v>6768.8221709006921</v>
      </c>
      <c r="M34" s="27">
        <f t="shared" si="2"/>
        <v>6992.3787528868361</v>
      </c>
      <c r="N34" s="27">
        <f t="shared" si="2"/>
        <v>6717.8868360277156</v>
      </c>
      <c r="O34" s="27">
        <f t="shared" si="2"/>
        <v>6880.5658198614328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>
        <v>0.82</v>
      </c>
      <c r="G35" s="19">
        <v>0.8</v>
      </c>
      <c r="H35" s="20"/>
      <c r="I35" s="20">
        <v>0.84</v>
      </c>
      <c r="J35" s="19"/>
      <c r="K35" s="19">
        <v>0.82</v>
      </c>
      <c r="L35" s="20">
        <v>0.84</v>
      </c>
      <c r="M35" s="20">
        <v>0.83</v>
      </c>
      <c r="N35" s="19">
        <v>0.83</v>
      </c>
      <c r="O35" s="19">
        <v>0.82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>
        <v>36</v>
      </c>
      <c r="G36" s="19">
        <v>35.5</v>
      </c>
      <c r="H36" s="20"/>
      <c r="I36" s="20">
        <v>36.4</v>
      </c>
      <c r="J36" s="19"/>
      <c r="K36" s="19">
        <v>35.799999999999997</v>
      </c>
      <c r="L36" s="20">
        <v>36.9</v>
      </c>
      <c r="M36" s="20">
        <v>37.1</v>
      </c>
      <c r="N36" s="19">
        <v>36</v>
      </c>
      <c r="O36" s="19">
        <v>36.1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>
        <v>36.5</v>
      </c>
      <c r="G37" s="19">
        <v>36</v>
      </c>
      <c r="H37" s="20"/>
      <c r="I37" s="20">
        <v>37.4</v>
      </c>
      <c r="J37" s="19"/>
      <c r="K37" s="19">
        <v>36.5</v>
      </c>
      <c r="L37" s="20">
        <v>37.1</v>
      </c>
      <c r="M37" s="20">
        <v>37.1</v>
      </c>
      <c r="N37" s="19">
        <v>36.4</v>
      </c>
      <c r="O37" s="19">
        <v>36.5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2.5</v>
      </c>
      <c r="G38" s="26">
        <f t="shared" ref="G38:Q38" si="3">G37-G41</f>
        <v>2.2000000000000028</v>
      </c>
      <c r="H38" s="26">
        <f t="shared" si="3"/>
        <v>0</v>
      </c>
      <c r="I38" s="26">
        <f t="shared" si="3"/>
        <v>4.5</v>
      </c>
      <c r="J38" s="26">
        <f t="shared" si="3"/>
        <v>0</v>
      </c>
      <c r="K38" s="26">
        <f t="shared" si="3"/>
        <v>2.7999999999999972</v>
      </c>
      <c r="L38" s="26">
        <f t="shared" si="3"/>
        <v>3.3000000000000043</v>
      </c>
      <c r="M38" s="26">
        <f t="shared" si="3"/>
        <v>3.5</v>
      </c>
      <c r="N38" s="26">
        <f t="shared" si="3"/>
        <v>2.3999999999999986</v>
      </c>
      <c r="O38" s="26">
        <f t="shared" si="3"/>
        <v>2.3999999999999986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>
        <v>28.5</v>
      </c>
      <c r="G40" s="19">
        <v>28.3</v>
      </c>
      <c r="H40" s="20"/>
      <c r="I40" s="20">
        <v>28.1</v>
      </c>
      <c r="J40" s="19"/>
      <c r="K40" s="19">
        <v>28.1</v>
      </c>
      <c r="L40" s="20">
        <v>28.6</v>
      </c>
      <c r="M40" s="20">
        <v>28.1</v>
      </c>
      <c r="N40" s="19">
        <v>28.4</v>
      </c>
      <c r="O40" s="19">
        <v>28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>
        <v>34</v>
      </c>
      <c r="G41" s="19">
        <v>33.799999999999997</v>
      </c>
      <c r="H41" s="20"/>
      <c r="I41" s="20">
        <v>32.9</v>
      </c>
      <c r="J41" s="19"/>
      <c r="K41" s="19">
        <v>33.700000000000003</v>
      </c>
      <c r="L41" s="20">
        <v>33.799999999999997</v>
      </c>
      <c r="M41" s="20">
        <v>33.6</v>
      </c>
      <c r="N41" s="19">
        <v>34</v>
      </c>
      <c r="O41" s="19">
        <v>34.1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5.5</v>
      </c>
      <c r="G42" s="26">
        <f t="shared" ref="G42:Q42" si="4">G41-G40</f>
        <v>5.4999999999999964</v>
      </c>
      <c r="H42" s="26">
        <f t="shared" si="4"/>
        <v>0</v>
      </c>
      <c r="I42" s="26">
        <f t="shared" si="4"/>
        <v>4.7999999999999972</v>
      </c>
      <c r="J42" s="26">
        <f t="shared" si="4"/>
        <v>0</v>
      </c>
      <c r="K42" s="26">
        <f t="shared" si="4"/>
        <v>5.6000000000000014</v>
      </c>
      <c r="L42" s="26">
        <f t="shared" si="4"/>
        <v>5.1999999999999957</v>
      </c>
      <c r="M42" s="26">
        <f t="shared" si="4"/>
        <v>5.5</v>
      </c>
      <c r="N42" s="26">
        <f t="shared" si="4"/>
        <v>5.6000000000000014</v>
      </c>
      <c r="O42" s="26">
        <f t="shared" si="4"/>
        <v>6.1000000000000014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>
        <v>1294.0999999999999</v>
      </c>
      <c r="G43" s="19">
        <v>1263.2</v>
      </c>
      <c r="H43" s="20"/>
      <c r="I43" s="20">
        <v>1309.7</v>
      </c>
      <c r="J43" s="19"/>
      <c r="K43" s="19">
        <v>1295.4000000000001</v>
      </c>
      <c r="L43" s="20">
        <v>1295.5</v>
      </c>
      <c r="M43" s="20">
        <v>1241.5999999999999</v>
      </c>
      <c r="N43" s="19">
        <v>1195.0999999999999</v>
      </c>
      <c r="O43" s="19">
        <v>1079.4000000000001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8218.8799076212472</v>
      </c>
      <c r="G44" s="27">
        <f t="shared" ref="G44:Q44" si="5">G42*G43/0.866</f>
        <v>8022.6327944572704</v>
      </c>
      <c r="H44" s="27">
        <f t="shared" si="5"/>
        <v>0</v>
      </c>
      <c r="I44" s="27">
        <f t="shared" si="5"/>
        <v>7259.307159353345</v>
      </c>
      <c r="J44" s="27">
        <f t="shared" si="5"/>
        <v>0</v>
      </c>
      <c r="K44" s="27">
        <f t="shared" si="5"/>
        <v>8376.7205542725205</v>
      </c>
      <c r="L44" s="27">
        <f t="shared" si="5"/>
        <v>7778.9838337182391</v>
      </c>
      <c r="M44" s="27">
        <f t="shared" si="5"/>
        <v>7885.4503464203226</v>
      </c>
      <c r="N44" s="27">
        <f t="shared" si="5"/>
        <v>7728.1293302540435</v>
      </c>
      <c r="O44" s="27">
        <f t="shared" si="5"/>
        <v>7603.1639722863765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>
        <v>0.47</v>
      </c>
      <c r="G45" s="19">
        <v>0.46</v>
      </c>
      <c r="H45" s="20"/>
      <c r="I45" s="20">
        <v>0.45</v>
      </c>
      <c r="J45" s="19"/>
      <c r="K45" s="19">
        <v>0.45</v>
      </c>
      <c r="L45" s="20">
        <v>0.47</v>
      </c>
      <c r="M45" s="20">
        <v>0.47</v>
      </c>
      <c r="N45" s="19">
        <v>0.46</v>
      </c>
      <c r="O45" s="19">
        <v>0.47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>
        <v>19.7</v>
      </c>
      <c r="G46" s="19">
        <v>19.600000000000001</v>
      </c>
      <c r="H46" s="20"/>
      <c r="I46" s="20">
        <v>19.2</v>
      </c>
      <c r="J46" s="19"/>
      <c r="K46" s="19">
        <v>19.3</v>
      </c>
      <c r="L46" s="20">
        <v>20.3</v>
      </c>
      <c r="M46" s="20">
        <v>20.2</v>
      </c>
      <c r="N46" s="19">
        <v>19.2</v>
      </c>
      <c r="O46" s="19">
        <v>20.100000000000001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>
        <v>225.4</v>
      </c>
      <c r="G47" s="19">
        <v>192</v>
      </c>
      <c r="H47" s="20"/>
      <c r="I47" s="20">
        <v>127</v>
      </c>
      <c r="J47" s="19"/>
      <c r="K47" s="19">
        <v>204.5</v>
      </c>
      <c r="L47" s="20">
        <v>208.2</v>
      </c>
      <c r="M47" s="20">
        <v>199.1</v>
      </c>
      <c r="N47" s="19">
        <v>163.19999999999999</v>
      </c>
      <c r="O47" s="19">
        <v>151.80000000000001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44">
        <v>5.89</v>
      </c>
      <c r="F49" s="19">
        <v>5.52</v>
      </c>
      <c r="G49" s="19">
        <v>5.35</v>
      </c>
      <c r="H49" s="20"/>
      <c r="I49" s="20">
        <v>5.15</v>
      </c>
      <c r="J49" s="19"/>
      <c r="K49" s="19">
        <v>5.56</v>
      </c>
      <c r="L49" s="20">
        <v>4.8499999999999996</v>
      </c>
      <c r="M49" s="20">
        <v>5.18</v>
      </c>
      <c r="N49" s="19">
        <v>5.34</v>
      </c>
      <c r="O49" s="19">
        <v>5.13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44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43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E982-9D01-499B-B947-DC605A04C45D}">
  <dimension ref="B1:Q59"/>
  <sheetViews>
    <sheetView view="pageBreakPreview" topLeftCell="B20" zoomScale="85" zoomScaleNormal="60" zoomScaleSheetLayoutView="85" workbookViewId="0">
      <selection activeCell="N23" sqref="N23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46" t="s">
        <v>18</v>
      </c>
      <c r="E10" s="15"/>
      <c r="F10" s="16" t="s">
        <v>19</v>
      </c>
      <c r="G10" s="16" t="s">
        <v>19</v>
      </c>
      <c r="H10" s="17" t="s">
        <v>19</v>
      </c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 t="s">
        <v>19</v>
      </c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71.900000000000006</v>
      </c>
      <c r="H11" s="20">
        <v>81.599999999999994</v>
      </c>
      <c r="I11" s="20">
        <v>74.8</v>
      </c>
      <c r="J11" s="19">
        <v>73.2</v>
      </c>
      <c r="K11" s="19">
        <v>74.599999999999994</v>
      </c>
      <c r="L11" s="20">
        <v>73.7</v>
      </c>
      <c r="M11" s="19">
        <v>70.8</v>
      </c>
      <c r="N11" s="19"/>
      <c r="O11" s="19">
        <v>75.8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0.1</v>
      </c>
      <c r="H12" s="20">
        <v>0</v>
      </c>
      <c r="I12" s="20">
        <v>0</v>
      </c>
      <c r="J12" s="19">
        <v>0</v>
      </c>
      <c r="K12" s="19">
        <v>0</v>
      </c>
      <c r="L12" s="20">
        <v>0.1</v>
      </c>
      <c r="M12" s="19">
        <v>0.1</v>
      </c>
      <c r="N12" s="19"/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65.900000000000006</v>
      </c>
      <c r="H13" s="20">
        <v>77.400000000000006</v>
      </c>
      <c r="I13" s="20">
        <v>69.900000000000006</v>
      </c>
      <c r="J13" s="19">
        <v>69.400000000000006</v>
      </c>
      <c r="K13" s="19">
        <v>69.400000000000006</v>
      </c>
      <c r="L13" s="20">
        <v>70.400000000000006</v>
      </c>
      <c r="M13" s="19">
        <v>67.400000000000006</v>
      </c>
      <c r="N13" s="19"/>
      <c r="O13" s="19">
        <v>71.3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67.5</v>
      </c>
      <c r="H14" s="20">
        <v>70.7</v>
      </c>
      <c r="I14" s="20">
        <v>69</v>
      </c>
      <c r="J14" s="19">
        <v>63.2</v>
      </c>
      <c r="K14" s="19">
        <v>63.9</v>
      </c>
      <c r="L14" s="20">
        <v>65.7</v>
      </c>
      <c r="M14" s="19">
        <v>65.5</v>
      </c>
      <c r="N14" s="19"/>
      <c r="O14" s="19">
        <v>72.400000000000006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61.9</v>
      </c>
      <c r="H15" s="20">
        <v>52</v>
      </c>
      <c r="I15" s="20">
        <v>50.7</v>
      </c>
      <c r="J15" s="19">
        <v>39.299999999999997</v>
      </c>
      <c r="K15" s="19">
        <v>37.1</v>
      </c>
      <c r="L15" s="20">
        <v>31.2</v>
      </c>
      <c r="M15" s="19">
        <v>28.7</v>
      </c>
      <c r="N15" s="19"/>
      <c r="O15" s="19">
        <v>49.5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>
        <v>6.6</v>
      </c>
      <c r="I16" s="19">
        <v>6.6</v>
      </c>
      <c r="J16" s="19">
        <v>6.6</v>
      </c>
      <c r="K16" s="19">
        <v>6.6</v>
      </c>
      <c r="L16" s="20">
        <v>6.6</v>
      </c>
      <c r="M16" s="19">
        <v>6.6</v>
      </c>
      <c r="N16" s="19"/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118</v>
      </c>
      <c r="H17" s="20">
        <v>117.9</v>
      </c>
      <c r="I17" s="20">
        <v>116.4</v>
      </c>
      <c r="J17" s="19">
        <v>115.2</v>
      </c>
      <c r="K17" s="19">
        <v>118</v>
      </c>
      <c r="L17" s="20">
        <v>117.2</v>
      </c>
      <c r="M17" s="19">
        <v>114.1</v>
      </c>
      <c r="N17" s="19"/>
      <c r="O17" s="19">
        <v>118.9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1151</v>
      </c>
      <c r="H18" s="20">
        <v>1210</v>
      </c>
      <c r="I18" s="20">
        <v>1176</v>
      </c>
      <c r="J18" s="19">
        <v>1184</v>
      </c>
      <c r="K18" s="19">
        <v>1210</v>
      </c>
      <c r="L18" s="20">
        <v>1195</v>
      </c>
      <c r="M18" s="19">
        <v>1168</v>
      </c>
      <c r="N18" s="19"/>
      <c r="O18" s="19">
        <v>1214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46630.5</v>
      </c>
      <c r="H19" s="20">
        <v>47523.9</v>
      </c>
      <c r="I19" s="20">
        <v>47515.4</v>
      </c>
      <c r="J19" s="19">
        <v>45120</v>
      </c>
      <c r="K19" s="19">
        <v>45112.2</v>
      </c>
      <c r="L19" s="20">
        <v>47427</v>
      </c>
      <c r="M19" s="20">
        <v>47419.1</v>
      </c>
      <c r="N19" s="19"/>
      <c r="O19" s="19">
        <v>46740.2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</v>
      </c>
      <c r="H22" s="20">
        <v>59.3</v>
      </c>
      <c r="I22" s="20">
        <v>59.2</v>
      </c>
      <c r="J22" s="19">
        <v>57.6</v>
      </c>
      <c r="K22" s="19">
        <v>58</v>
      </c>
      <c r="L22" s="20">
        <v>57.3</v>
      </c>
      <c r="M22" s="20">
        <v>57.5</v>
      </c>
      <c r="N22" s="19"/>
      <c r="O22" s="19">
        <v>58.5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0.53</v>
      </c>
      <c r="H23" s="20">
        <v>0.49</v>
      </c>
      <c r="I23" s="20">
        <v>0.5</v>
      </c>
      <c r="J23" s="19">
        <v>0.59</v>
      </c>
      <c r="K23" s="19">
        <v>0.56999999999999995</v>
      </c>
      <c r="L23" s="20">
        <v>0.52</v>
      </c>
      <c r="M23" s="20">
        <v>0.52</v>
      </c>
      <c r="N23" s="19"/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45</v>
      </c>
      <c r="H25" s="20">
        <v>44.9</v>
      </c>
      <c r="I25" s="20">
        <v>45</v>
      </c>
      <c r="J25" s="19">
        <v>44.7</v>
      </c>
      <c r="K25" s="20">
        <v>44.6</v>
      </c>
      <c r="L25" s="20">
        <v>44.7</v>
      </c>
      <c r="M25" s="20">
        <v>45</v>
      </c>
      <c r="N25" s="19"/>
      <c r="O25" s="19">
        <v>45.1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>
        <v>0.22</v>
      </c>
      <c r="I26" s="20">
        <v>0.22</v>
      </c>
      <c r="J26" s="19">
        <v>0.23</v>
      </c>
      <c r="K26" s="20">
        <v>0.23</v>
      </c>
      <c r="L26" s="20">
        <v>0.23</v>
      </c>
      <c r="M26" s="20">
        <v>0.22</v>
      </c>
      <c r="N26" s="19"/>
      <c r="O26" s="19">
        <v>0.22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4.0999999999999996</v>
      </c>
      <c r="H27" s="20">
        <v>3.4</v>
      </c>
      <c r="I27" s="20">
        <v>3.9</v>
      </c>
      <c r="J27" s="19">
        <v>4.2</v>
      </c>
      <c r="K27" s="20">
        <v>4.5</v>
      </c>
      <c r="L27" s="20">
        <v>4.0999999999999996</v>
      </c>
      <c r="M27" s="20">
        <v>3.9</v>
      </c>
      <c r="N27" s="19"/>
      <c r="O27" s="19">
        <v>4.3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3.8</v>
      </c>
      <c r="H28" s="20">
        <v>2.2999999999999998</v>
      </c>
      <c r="I28" s="20">
        <v>3.1</v>
      </c>
      <c r="J28" s="19">
        <v>3.7</v>
      </c>
      <c r="K28" s="20">
        <v>3.6</v>
      </c>
      <c r="L28" s="20">
        <v>3.7</v>
      </c>
      <c r="M28" s="20">
        <v>2.8</v>
      </c>
      <c r="N28" s="19"/>
      <c r="O28" s="19">
        <v>3.3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0.90000000000000036</v>
      </c>
      <c r="H29" s="26">
        <f t="shared" si="0"/>
        <v>2.2000000000000002</v>
      </c>
      <c r="I29" s="26">
        <f t="shared" si="0"/>
        <v>1.8000000000000003</v>
      </c>
      <c r="J29" s="26">
        <f t="shared" si="0"/>
        <v>1</v>
      </c>
      <c r="K29" s="26">
        <f t="shared" si="0"/>
        <v>0.69999999999999973</v>
      </c>
      <c r="L29" s="26">
        <f t="shared" si="0"/>
        <v>1.0999999999999996</v>
      </c>
      <c r="M29" s="26">
        <f t="shared" si="0"/>
        <v>1.2999999999999998</v>
      </c>
      <c r="N29" s="26">
        <f>N32-N28</f>
        <v>0</v>
      </c>
      <c r="O29" s="26">
        <f t="shared" si="0"/>
        <v>1.2000000000000002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684.1</v>
      </c>
      <c r="H30" s="20">
        <v>675.36</v>
      </c>
      <c r="I30" s="20">
        <v>664.8</v>
      </c>
      <c r="J30" s="19">
        <v>679.04</v>
      </c>
      <c r="K30" s="19">
        <v>636.9</v>
      </c>
      <c r="L30" s="20">
        <v>743.6</v>
      </c>
      <c r="M30" s="20">
        <v>643.70000000000005</v>
      </c>
      <c r="N30" s="19"/>
      <c r="O30" s="19">
        <v>656.6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13.5</v>
      </c>
      <c r="H31" s="20">
        <v>12.6</v>
      </c>
      <c r="I31" s="20">
        <v>13.5</v>
      </c>
      <c r="J31" s="19">
        <v>13.2</v>
      </c>
      <c r="K31" s="19">
        <v>13.4</v>
      </c>
      <c r="L31" s="20">
        <v>12.8</v>
      </c>
      <c r="M31" s="20">
        <v>12.7</v>
      </c>
      <c r="N31" s="19"/>
      <c r="O31" s="19">
        <v>13.6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4.7</v>
      </c>
      <c r="H32" s="20">
        <v>4.5</v>
      </c>
      <c r="I32" s="20">
        <v>4.9000000000000004</v>
      </c>
      <c r="J32" s="19">
        <v>4.7</v>
      </c>
      <c r="K32" s="19">
        <v>4.3</v>
      </c>
      <c r="L32" s="20">
        <v>4.8</v>
      </c>
      <c r="M32" s="20">
        <v>4.0999999999999996</v>
      </c>
      <c r="N32" s="19"/>
      <c r="O32" s="19">
        <v>4.5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8.8000000000000007</v>
      </c>
      <c r="H33" s="26">
        <f t="shared" si="1"/>
        <v>8.1</v>
      </c>
      <c r="I33" s="26">
        <f t="shared" si="1"/>
        <v>8.6</v>
      </c>
      <c r="J33" s="26">
        <f t="shared" si="1"/>
        <v>8.5</v>
      </c>
      <c r="K33" s="26">
        <f t="shared" si="1"/>
        <v>9.1000000000000014</v>
      </c>
      <c r="L33" s="26">
        <f t="shared" si="1"/>
        <v>8</v>
      </c>
      <c r="M33" s="26">
        <f t="shared" si="1"/>
        <v>8.6</v>
      </c>
      <c r="N33" s="26">
        <f t="shared" si="1"/>
        <v>0</v>
      </c>
      <c r="O33" s="26">
        <f t="shared" si="1"/>
        <v>9.1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6951.5935334872993</v>
      </c>
      <c r="H34" s="27">
        <f t="shared" si="2"/>
        <v>6316.877598152425</v>
      </c>
      <c r="I34" s="27">
        <f t="shared" si="2"/>
        <v>6601.9399538106236</v>
      </c>
      <c r="J34" s="27">
        <f t="shared" si="2"/>
        <v>6664.9422632794458</v>
      </c>
      <c r="K34" s="27">
        <f t="shared" si="2"/>
        <v>6692.5981524249437</v>
      </c>
      <c r="L34" s="27">
        <f t="shared" si="2"/>
        <v>6869.2840646651275</v>
      </c>
      <c r="M34" s="27">
        <f t="shared" si="2"/>
        <v>6392.4018475750572</v>
      </c>
      <c r="N34" s="27">
        <f t="shared" si="2"/>
        <v>0</v>
      </c>
      <c r="O34" s="27">
        <f t="shared" si="2"/>
        <v>6899.6073903002316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0.82</v>
      </c>
      <c r="H35" s="20">
        <v>0.87</v>
      </c>
      <c r="I35" s="20">
        <v>0.85</v>
      </c>
      <c r="J35" s="19">
        <v>0.86</v>
      </c>
      <c r="K35" s="19">
        <v>0.84</v>
      </c>
      <c r="L35" s="20">
        <v>0.87</v>
      </c>
      <c r="M35" s="20">
        <v>0.83</v>
      </c>
      <c r="N35" s="19"/>
      <c r="O35" s="19">
        <v>0.83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36.1</v>
      </c>
      <c r="H36" s="20">
        <v>36.9</v>
      </c>
      <c r="I36" s="20">
        <v>36.700000000000003</v>
      </c>
      <c r="J36" s="19">
        <v>36.200000000000003</v>
      </c>
      <c r="K36" s="19">
        <v>36.5</v>
      </c>
      <c r="L36" s="20">
        <v>36.799999999999997</v>
      </c>
      <c r="M36" s="20">
        <v>36.799999999999997</v>
      </c>
      <c r="N36" s="19"/>
      <c r="O36" s="19">
        <v>36.4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36.700000000000003</v>
      </c>
      <c r="H37" s="20">
        <v>38.4</v>
      </c>
      <c r="I37" s="20">
        <v>37.700000000000003</v>
      </c>
      <c r="J37" s="19">
        <v>37.799999999999997</v>
      </c>
      <c r="K37" s="19">
        <v>37.200000000000003</v>
      </c>
      <c r="L37" s="20">
        <v>38.200000000000003</v>
      </c>
      <c r="M37" s="20">
        <v>37.1</v>
      </c>
      <c r="N37" s="19"/>
      <c r="O37" s="19">
        <v>36.9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2.6000000000000014</v>
      </c>
      <c r="H38" s="26">
        <f t="shared" si="3"/>
        <v>4.6000000000000014</v>
      </c>
      <c r="I38" s="26">
        <f t="shared" si="3"/>
        <v>4.2000000000000028</v>
      </c>
      <c r="J38" s="26">
        <f t="shared" si="3"/>
        <v>3.5</v>
      </c>
      <c r="K38" s="26">
        <f t="shared" si="3"/>
        <v>2.9000000000000057</v>
      </c>
      <c r="L38" s="26">
        <f t="shared" si="3"/>
        <v>4.3000000000000043</v>
      </c>
      <c r="M38" s="26">
        <f t="shared" si="3"/>
        <v>3.3999999999999986</v>
      </c>
      <c r="N38" s="26">
        <f t="shared" si="3"/>
        <v>0</v>
      </c>
      <c r="O38" s="26">
        <f t="shared" si="3"/>
        <v>2.3999999999999986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28.8</v>
      </c>
      <c r="H40" s="20">
        <v>28.8</v>
      </c>
      <c r="I40" s="20">
        <v>28.5</v>
      </c>
      <c r="J40" s="19">
        <v>29</v>
      </c>
      <c r="K40" s="19">
        <v>28.7</v>
      </c>
      <c r="L40" s="20">
        <v>28.7</v>
      </c>
      <c r="M40" s="20">
        <v>28.5</v>
      </c>
      <c r="N40" s="19"/>
      <c r="O40" s="19">
        <v>28.5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34.1</v>
      </c>
      <c r="H41" s="20">
        <v>33.799999999999997</v>
      </c>
      <c r="I41" s="20">
        <v>33.5</v>
      </c>
      <c r="J41" s="19">
        <v>34.299999999999997</v>
      </c>
      <c r="K41" s="19">
        <v>34.299999999999997</v>
      </c>
      <c r="L41" s="20">
        <v>33.9</v>
      </c>
      <c r="M41" s="20">
        <v>33.700000000000003</v>
      </c>
      <c r="N41" s="19"/>
      <c r="O41" s="19">
        <v>34.5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5.3000000000000007</v>
      </c>
      <c r="H42" s="26">
        <f t="shared" si="4"/>
        <v>4.9999999999999964</v>
      </c>
      <c r="I42" s="26">
        <f t="shared" si="4"/>
        <v>5</v>
      </c>
      <c r="J42" s="26">
        <f t="shared" si="4"/>
        <v>5.2999999999999972</v>
      </c>
      <c r="K42" s="26">
        <f t="shared" si="4"/>
        <v>5.5999999999999979</v>
      </c>
      <c r="L42" s="26">
        <f t="shared" si="4"/>
        <v>5.1999999999999993</v>
      </c>
      <c r="M42" s="26">
        <f t="shared" si="4"/>
        <v>5.2000000000000028</v>
      </c>
      <c r="N42" s="26">
        <f t="shared" si="4"/>
        <v>0</v>
      </c>
      <c r="O42" s="26">
        <f t="shared" si="4"/>
        <v>6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1300.9000000000001</v>
      </c>
      <c r="H43" s="20">
        <v>1300.8800000000001</v>
      </c>
      <c r="I43" s="20">
        <v>1299.2</v>
      </c>
      <c r="J43" s="19">
        <v>1297.24</v>
      </c>
      <c r="K43" s="19">
        <v>1296.7</v>
      </c>
      <c r="L43" s="20">
        <v>1271.3399999999999</v>
      </c>
      <c r="M43" s="20">
        <v>1287.9000000000001</v>
      </c>
      <c r="N43" s="19"/>
      <c r="O43" s="19">
        <v>1146.0999999999999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7961.6281755196324</v>
      </c>
      <c r="H44" s="27">
        <f t="shared" si="5"/>
        <v>7510.8545034641984</v>
      </c>
      <c r="I44" s="27">
        <f t="shared" si="5"/>
        <v>7501.1547344110859</v>
      </c>
      <c r="J44" s="27">
        <f t="shared" si="5"/>
        <v>7939.228637413391</v>
      </c>
      <c r="K44" s="27">
        <f t="shared" si="5"/>
        <v>8385.1270207852176</v>
      </c>
      <c r="L44" s="27">
        <f t="shared" si="5"/>
        <v>7633.9122401847562</v>
      </c>
      <c r="M44" s="27">
        <f t="shared" si="5"/>
        <v>7733.3487297921529</v>
      </c>
      <c r="N44" s="27">
        <f t="shared" si="5"/>
        <v>0</v>
      </c>
      <c r="O44" s="27">
        <f t="shared" si="5"/>
        <v>7940.6466512702073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0.47</v>
      </c>
      <c r="H45" s="20">
        <v>0.46</v>
      </c>
      <c r="I45" s="20">
        <v>0.47</v>
      </c>
      <c r="J45" s="19">
        <v>0.46</v>
      </c>
      <c r="K45" s="19">
        <v>0.46</v>
      </c>
      <c r="L45" s="20">
        <v>0.47</v>
      </c>
      <c r="M45" s="20">
        <v>0.47</v>
      </c>
      <c r="N45" s="19"/>
      <c r="O45" s="19">
        <v>0.46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20</v>
      </c>
      <c r="H46" s="20">
        <v>19.7</v>
      </c>
      <c r="I46" s="20">
        <v>20</v>
      </c>
      <c r="J46" s="19">
        <v>19.5</v>
      </c>
      <c r="K46" s="19">
        <v>19.7</v>
      </c>
      <c r="L46" s="20">
        <v>20</v>
      </c>
      <c r="M46" s="20">
        <v>19.899999999999999</v>
      </c>
      <c r="N46" s="19"/>
      <c r="O46" s="19">
        <v>19.600000000000001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211.4</v>
      </c>
      <c r="H47" s="20">
        <v>130.4</v>
      </c>
      <c r="I47" s="20">
        <v>122.8</v>
      </c>
      <c r="J47" s="19">
        <v>208</v>
      </c>
      <c r="K47" s="19">
        <v>207</v>
      </c>
      <c r="L47" s="20">
        <v>213.6</v>
      </c>
      <c r="M47" s="20">
        <v>206.5</v>
      </c>
      <c r="N47" s="19"/>
      <c r="O47" s="19">
        <v>160.30000000000001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46">
        <v>5.89</v>
      </c>
      <c r="F49" s="19"/>
      <c r="G49" s="19">
        <v>5.65</v>
      </c>
      <c r="H49" s="20">
        <v>5.5</v>
      </c>
      <c r="I49" s="20">
        <v>5.23</v>
      </c>
      <c r="J49" s="19">
        <v>5.7</v>
      </c>
      <c r="K49" s="19">
        <v>5.59</v>
      </c>
      <c r="L49" s="20">
        <v>5.49</v>
      </c>
      <c r="M49" s="20">
        <v>5.44</v>
      </c>
      <c r="N49" s="19"/>
      <c r="O49" s="19">
        <v>5.53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46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45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D558-18D8-4C6B-A4E2-2E2D4C08D6DE}">
  <dimension ref="B1:Q59"/>
  <sheetViews>
    <sheetView view="pageBreakPreview" topLeftCell="B28" zoomScale="85" zoomScaleNormal="60" zoomScaleSheetLayoutView="85" workbookViewId="0">
      <selection activeCell="O45" sqref="O45:O4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48" t="s">
        <v>18</v>
      </c>
      <c r="E10" s="15"/>
      <c r="F10" s="16" t="s">
        <v>19</v>
      </c>
      <c r="G10" s="16" t="s">
        <v>19</v>
      </c>
      <c r="H10" s="17"/>
      <c r="I10" s="17" t="s">
        <v>19</v>
      </c>
      <c r="J10" s="16" t="s">
        <v>19</v>
      </c>
      <c r="K10" s="16" t="s">
        <v>19</v>
      </c>
      <c r="L10" s="17"/>
      <c r="M10" s="17" t="s">
        <v>19</v>
      </c>
      <c r="N10" s="16" t="s">
        <v>19</v>
      </c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>
        <v>69.3</v>
      </c>
      <c r="G11" s="19">
        <v>71.099999999999994</v>
      </c>
      <c r="H11" s="20"/>
      <c r="I11" s="20">
        <v>81.599999999999994</v>
      </c>
      <c r="J11" s="19">
        <v>73.099999999999994</v>
      </c>
      <c r="K11" s="19">
        <v>73.2</v>
      </c>
      <c r="L11" s="20"/>
      <c r="M11" s="19">
        <v>72.400000000000006</v>
      </c>
      <c r="N11" s="19">
        <v>74.599999999999994</v>
      </c>
      <c r="O11" s="19">
        <v>76.099999999999994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>
        <v>0</v>
      </c>
      <c r="G12" s="19">
        <v>0</v>
      </c>
      <c r="H12" s="20"/>
      <c r="I12" s="20">
        <v>0</v>
      </c>
      <c r="J12" s="19">
        <v>0</v>
      </c>
      <c r="K12" s="19">
        <v>0</v>
      </c>
      <c r="L12" s="20"/>
      <c r="M12" s="19">
        <v>0.1</v>
      </c>
      <c r="N12" s="19">
        <v>0</v>
      </c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>
        <v>65.7</v>
      </c>
      <c r="G13" s="19">
        <v>65.599999999999994</v>
      </c>
      <c r="H13" s="20"/>
      <c r="I13" s="20">
        <v>77.400000000000006</v>
      </c>
      <c r="J13" s="19">
        <v>69.400000000000006</v>
      </c>
      <c r="K13" s="19">
        <v>69.400000000000006</v>
      </c>
      <c r="L13" s="20"/>
      <c r="M13" s="19">
        <v>68.7</v>
      </c>
      <c r="N13" s="19">
        <v>71</v>
      </c>
      <c r="O13" s="19">
        <v>71.3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>
        <v>66</v>
      </c>
      <c r="G14" s="19">
        <v>66.8</v>
      </c>
      <c r="H14" s="20"/>
      <c r="I14" s="20">
        <v>67.900000000000006</v>
      </c>
      <c r="J14" s="19">
        <v>63.3</v>
      </c>
      <c r="K14" s="19">
        <v>63.2</v>
      </c>
      <c r="L14" s="20"/>
      <c r="M14" s="19">
        <v>64.2</v>
      </c>
      <c r="N14" s="19">
        <v>72</v>
      </c>
      <c r="O14" s="19">
        <v>72.2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>
        <v>71.7</v>
      </c>
      <c r="G15" s="19">
        <v>71.5</v>
      </c>
      <c r="H15" s="20"/>
      <c r="I15" s="20">
        <v>50.9</v>
      </c>
      <c r="J15" s="19">
        <v>38</v>
      </c>
      <c r="K15" s="19">
        <v>35.9</v>
      </c>
      <c r="L15" s="20"/>
      <c r="M15" s="19">
        <v>29.3</v>
      </c>
      <c r="N15" s="19">
        <v>50.7</v>
      </c>
      <c r="O15" s="19">
        <v>51.7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>
        <v>6.6</v>
      </c>
      <c r="G16" s="19">
        <v>6.6</v>
      </c>
      <c r="H16" s="20"/>
      <c r="I16" s="19">
        <v>6.6</v>
      </c>
      <c r="J16" s="19">
        <v>6.6</v>
      </c>
      <c r="K16" s="19">
        <v>6.6</v>
      </c>
      <c r="L16" s="20"/>
      <c r="M16" s="19">
        <v>6.6</v>
      </c>
      <c r="N16" s="19">
        <v>6.6</v>
      </c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>
        <v>115.8</v>
      </c>
      <c r="G17" s="19">
        <v>118.9</v>
      </c>
      <c r="H17" s="20"/>
      <c r="I17" s="20">
        <v>119.9</v>
      </c>
      <c r="J17" s="19">
        <v>116.7</v>
      </c>
      <c r="K17" s="19">
        <v>118</v>
      </c>
      <c r="L17" s="20"/>
      <c r="M17" s="19">
        <v>115.9</v>
      </c>
      <c r="N17" s="19">
        <v>117</v>
      </c>
      <c r="O17" s="19">
        <v>120.6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>
        <v>1134</v>
      </c>
      <c r="G18" s="19">
        <v>1162</v>
      </c>
      <c r="H18" s="20"/>
      <c r="I18" s="20">
        <v>1214</v>
      </c>
      <c r="J18" s="19">
        <v>1200</v>
      </c>
      <c r="K18" s="19">
        <v>1196</v>
      </c>
      <c r="L18" s="20"/>
      <c r="M18" s="19">
        <v>1181</v>
      </c>
      <c r="N18" s="19">
        <v>1197</v>
      </c>
      <c r="O18" s="19">
        <v>1227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>
        <v>46649.1</v>
      </c>
      <c r="G19" s="19">
        <v>46641</v>
      </c>
      <c r="H19" s="20"/>
      <c r="I19" s="20">
        <v>47540.4</v>
      </c>
      <c r="J19" s="19">
        <v>45145.2</v>
      </c>
      <c r="K19" s="19">
        <v>45137.2</v>
      </c>
      <c r="L19" s="20"/>
      <c r="M19" s="20">
        <v>47444.1</v>
      </c>
      <c r="N19" s="19">
        <v>46759</v>
      </c>
      <c r="O19" s="19">
        <v>46750.9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>
        <v>58.1</v>
      </c>
      <c r="G22" s="19">
        <v>58.4</v>
      </c>
      <c r="H22" s="20"/>
      <c r="I22" s="20">
        <v>59.3</v>
      </c>
      <c r="J22" s="19">
        <v>57.7</v>
      </c>
      <c r="K22" s="19">
        <v>57.9</v>
      </c>
      <c r="L22" s="20"/>
      <c r="M22" s="20">
        <v>57.4</v>
      </c>
      <c r="N22" s="19">
        <v>45</v>
      </c>
      <c r="O22" s="19">
        <v>58.7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>
        <v>0.53</v>
      </c>
      <c r="G23" s="19">
        <v>0.53</v>
      </c>
      <c r="H23" s="20"/>
      <c r="I23" s="20">
        <v>0.49</v>
      </c>
      <c r="J23" s="19">
        <v>0.59</v>
      </c>
      <c r="K23" s="19">
        <v>0.59</v>
      </c>
      <c r="L23" s="20"/>
      <c r="M23" s="20">
        <v>0.52</v>
      </c>
      <c r="N23" s="19">
        <v>0.49</v>
      </c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>
        <v>44.7</v>
      </c>
      <c r="G25" s="19">
        <v>44.5</v>
      </c>
      <c r="H25" s="20"/>
      <c r="I25" s="20">
        <v>45.1</v>
      </c>
      <c r="J25" s="19">
        <v>44.9</v>
      </c>
      <c r="K25" s="20">
        <v>45.1</v>
      </c>
      <c r="L25" s="20"/>
      <c r="M25" s="20">
        <v>45.2</v>
      </c>
      <c r="N25" s="19">
        <v>45</v>
      </c>
      <c r="O25" s="19">
        <v>45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>
        <v>0.23</v>
      </c>
      <c r="G26" s="19">
        <v>0.23</v>
      </c>
      <c r="H26" s="20"/>
      <c r="I26" s="20">
        <v>0.22</v>
      </c>
      <c r="J26" s="19">
        <v>0.23</v>
      </c>
      <c r="K26" s="20">
        <v>0.23</v>
      </c>
      <c r="L26" s="20"/>
      <c r="M26" s="20">
        <v>0.22</v>
      </c>
      <c r="N26" s="19">
        <v>0.22</v>
      </c>
      <c r="O26" s="19">
        <v>0.23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>
        <v>4</v>
      </c>
      <c r="G27" s="19">
        <v>4.5999999999999996</v>
      </c>
      <c r="H27" s="20"/>
      <c r="I27" s="20">
        <v>3.3</v>
      </c>
      <c r="J27" s="19">
        <v>4.5</v>
      </c>
      <c r="K27" s="20">
        <v>4.2</v>
      </c>
      <c r="L27" s="20"/>
      <c r="M27" s="20">
        <v>3.8</v>
      </c>
      <c r="N27" s="19">
        <v>4.3</v>
      </c>
      <c r="O27" s="19">
        <v>4.5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>
        <v>3.7</v>
      </c>
      <c r="G28" s="19">
        <v>4</v>
      </c>
      <c r="H28" s="20"/>
      <c r="I28" s="20">
        <v>2.6</v>
      </c>
      <c r="J28" s="19">
        <v>3.6</v>
      </c>
      <c r="K28" s="20">
        <v>3.6</v>
      </c>
      <c r="L28" s="20"/>
      <c r="M28" s="20">
        <v>2.7</v>
      </c>
      <c r="N28" s="19">
        <v>3.3</v>
      </c>
      <c r="O28" s="19">
        <v>3.1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0.79999999999999982</v>
      </c>
      <c r="G29" s="26">
        <f t="shared" ref="G29:Q29" si="0">G32-G28</f>
        <v>1.0999999999999996</v>
      </c>
      <c r="H29" s="26">
        <f t="shared" si="0"/>
        <v>0</v>
      </c>
      <c r="I29" s="26">
        <f t="shared" si="0"/>
        <v>2.6</v>
      </c>
      <c r="J29" s="26">
        <f t="shared" si="0"/>
        <v>1.1999999999999997</v>
      </c>
      <c r="K29" s="26">
        <f t="shared" si="0"/>
        <v>0.69999999999999973</v>
      </c>
      <c r="L29" s="26">
        <f t="shared" si="0"/>
        <v>0</v>
      </c>
      <c r="M29" s="26">
        <f t="shared" si="0"/>
        <v>1.3999999999999995</v>
      </c>
      <c r="N29" s="26">
        <f t="shared" si="0"/>
        <v>0.79999999999999982</v>
      </c>
      <c r="O29" s="26">
        <f t="shared" si="0"/>
        <v>1.6999999999999997</v>
      </c>
      <c r="P29" s="26">
        <f t="shared" si="0"/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>
        <v>693.6</v>
      </c>
      <c r="G30" s="19">
        <v>680.8</v>
      </c>
      <c r="H30" s="20"/>
      <c r="I30" s="20">
        <v>665.3</v>
      </c>
      <c r="J30" s="19">
        <v>680.08</v>
      </c>
      <c r="K30" s="19">
        <v>644.27</v>
      </c>
      <c r="L30" s="20"/>
      <c r="M30" s="20">
        <v>658.1</v>
      </c>
      <c r="N30" s="19">
        <v>661.36</v>
      </c>
      <c r="O30" s="19">
        <v>660.7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>
        <v>12.7</v>
      </c>
      <c r="G31" s="19">
        <v>13.6</v>
      </c>
      <c r="H31" s="20"/>
      <c r="I31" s="20">
        <v>13.6</v>
      </c>
      <c r="J31" s="19">
        <v>13.3</v>
      </c>
      <c r="K31" s="19">
        <v>13.2</v>
      </c>
      <c r="L31" s="20"/>
      <c r="M31" s="20">
        <v>12.8</v>
      </c>
      <c r="N31" s="19">
        <v>12.7</v>
      </c>
      <c r="O31" s="19">
        <v>13.7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>
        <v>4.5</v>
      </c>
      <c r="G32" s="19">
        <v>5.0999999999999996</v>
      </c>
      <c r="H32" s="20"/>
      <c r="I32" s="20">
        <v>5.2</v>
      </c>
      <c r="J32" s="19">
        <v>4.8</v>
      </c>
      <c r="K32" s="19">
        <v>4.3</v>
      </c>
      <c r="L32" s="20"/>
      <c r="M32" s="20">
        <v>4.0999999999999996</v>
      </c>
      <c r="N32" s="19">
        <v>4.0999999999999996</v>
      </c>
      <c r="O32" s="19">
        <v>4.8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8.1999999999999993</v>
      </c>
      <c r="G33" s="26">
        <f t="shared" ref="G33:Q33" si="1">G31-G32</f>
        <v>8.5</v>
      </c>
      <c r="H33" s="26">
        <f t="shared" si="1"/>
        <v>0</v>
      </c>
      <c r="I33" s="26">
        <f t="shared" si="1"/>
        <v>8.3999999999999986</v>
      </c>
      <c r="J33" s="26">
        <f t="shared" si="1"/>
        <v>8.5</v>
      </c>
      <c r="K33" s="26">
        <f t="shared" si="1"/>
        <v>8.8999999999999986</v>
      </c>
      <c r="L33" s="26">
        <f t="shared" si="1"/>
        <v>0</v>
      </c>
      <c r="M33" s="26">
        <f t="shared" si="1"/>
        <v>8.7000000000000011</v>
      </c>
      <c r="N33" s="26">
        <f t="shared" si="1"/>
        <v>8.6</v>
      </c>
      <c r="O33" s="26">
        <f t="shared" si="1"/>
        <v>8.8999999999999986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6567.5750577367198</v>
      </c>
      <c r="G34" s="27">
        <f t="shared" ref="G34:Q34" si="2">(G33*G30)/0.866</f>
        <v>6682.2170900692836</v>
      </c>
      <c r="H34" s="27">
        <f t="shared" si="2"/>
        <v>0</v>
      </c>
      <c r="I34" s="27">
        <f t="shared" si="2"/>
        <v>6453.2563510392592</v>
      </c>
      <c r="J34" s="27">
        <f t="shared" si="2"/>
        <v>6675.1501154734415</v>
      </c>
      <c r="K34" s="27">
        <f t="shared" si="2"/>
        <v>6621.2505773672046</v>
      </c>
      <c r="L34" s="27">
        <f t="shared" si="2"/>
        <v>0</v>
      </c>
      <c r="M34" s="27">
        <f t="shared" si="2"/>
        <v>6611.3972286374146</v>
      </c>
      <c r="N34" s="27">
        <f t="shared" si="2"/>
        <v>6567.778290993072</v>
      </c>
      <c r="O34" s="27">
        <f t="shared" si="2"/>
        <v>6790.1039260969974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>
        <v>0.82</v>
      </c>
      <c r="G35" s="19">
        <v>0.84</v>
      </c>
      <c r="H35" s="20"/>
      <c r="I35" s="20">
        <v>0.87</v>
      </c>
      <c r="J35" s="19">
        <v>0.84</v>
      </c>
      <c r="K35" s="19">
        <v>0.85</v>
      </c>
      <c r="L35" s="20"/>
      <c r="M35" s="20">
        <v>0.85</v>
      </c>
      <c r="N35" s="19">
        <v>0.82</v>
      </c>
      <c r="O35" s="19">
        <v>0.84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>
        <v>35.9</v>
      </c>
      <c r="G36" s="19">
        <v>36.799999999999997</v>
      </c>
      <c r="H36" s="20"/>
      <c r="I36" s="20">
        <v>37.4</v>
      </c>
      <c r="J36" s="19">
        <v>36.4</v>
      </c>
      <c r="K36" s="19">
        <v>36.9</v>
      </c>
      <c r="L36" s="20"/>
      <c r="M36" s="20">
        <v>37.200000000000003</v>
      </c>
      <c r="N36" s="19">
        <v>36.299999999999997</v>
      </c>
      <c r="O36" s="19">
        <v>37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>
        <v>36.5</v>
      </c>
      <c r="G37" s="19">
        <v>37.299999999999997</v>
      </c>
      <c r="H37" s="20"/>
      <c r="I37" s="20">
        <v>38.799999999999997</v>
      </c>
      <c r="J37" s="19">
        <v>37.1</v>
      </c>
      <c r="K37" s="19">
        <v>37.6</v>
      </c>
      <c r="L37" s="20"/>
      <c r="M37" s="20">
        <v>37.700000000000003</v>
      </c>
      <c r="N37" s="19">
        <v>36.6</v>
      </c>
      <c r="O37" s="19">
        <v>37.4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3.2000000000000028</v>
      </c>
      <c r="G38" s="26">
        <f t="shared" ref="G38:Q38" si="3">G37-G41</f>
        <v>2.5999999999999943</v>
      </c>
      <c r="H38" s="26">
        <f t="shared" si="3"/>
        <v>0</v>
      </c>
      <c r="I38" s="26">
        <f t="shared" si="3"/>
        <v>4.7999999999999972</v>
      </c>
      <c r="J38" s="26">
        <f t="shared" si="3"/>
        <v>3.5</v>
      </c>
      <c r="K38" s="26">
        <f t="shared" si="3"/>
        <v>2.8000000000000043</v>
      </c>
      <c r="L38" s="26">
        <f t="shared" si="3"/>
        <v>0</v>
      </c>
      <c r="M38" s="26">
        <f t="shared" si="3"/>
        <v>3.5</v>
      </c>
      <c r="N38" s="26">
        <f t="shared" si="3"/>
        <v>3.2000000000000028</v>
      </c>
      <c r="O38" s="26">
        <f t="shared" si="3"/>
        <v>2.2999999999999972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>
        <v>28.2</v>
      </c>
      <c r="G40" s="19">
        <v>29.3</v>
      </c>
      <c r="H40" s="20"/>
      <c r="I40" s="20">
        <v>29.2</v>
      </c>
      <c r="J40" s="19">
        <v>28</v>
      </c>
      <c r="K40" s="19">
        <v>29.3</v>
      </c>
      <c r="L40" s="20"/>
      <c r="M40" s="20">
        <v>29.2</v>
      </c>
      <c r="N40" s="19">
        <v>28</v>
      </c>
      <c r="O40" s="19">
        <v>29.1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>
        <v>33.299999999999997</v>
      </c>
      <c r="G41" s="19">
        <v>34.700000000000003</v>
      </c>
      <c r="H41" s="20"/>
      <c r="I41" s="20">
        <v>34</v>
      </c>
      <c r="J41" s="19">
        <v>33.6</v>
      </c>
      <c r="K41" s="19">
        <v>34.799999999999997</v>
      </c>
      <c r="L41" s="20"/>
      <c r="M41" s="20">
        <v>34.200000000000003</v>
      </c>
      <c r="N41" s="19">
        <v>33.4</v>
      </c>
      <c r="O41" s="19">
        <v>35.1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5.0999999999999979</v>
      </c>
      <c r="G42" s="26">
        <f t="shared" ref="G42:Q42" si="4">G41-G40</f>
        <v>5.4000000000000021</v>
      </c>
      <c r="H42" s="26">
        <f t="shared" si="4"/>
        <v>0</v>
      </c>
      <c r="I42" s="26">
        <f t="shared" si="4"/>
        <v>4.8000000000000007</v>
      </c>
      <c r="J42" s="26">
        <f t="shared" si="4"/>
        <v>5.6000000000000014</v>
      </c>
      <c r="K42" s="26">
        <f t="shared" si="4"/>
        <v>5.4999999999999964</v>
      </c>
      <c r="L42" s="26">
        <f t="shared" si="4"/>
        <v>0</v>
      </c>
      <c r="M42" s="26">
        <f t="shared" si="4"/>
        <v>5.0000000000000036</v>
      </c>
      <c r="N42" s="26">
        <f t="shared" si="4"/>
        <v>5.3999999999999986</v>
      </c>
      <c r="O42" s="26">
        <f t="shared" si="4"/>
        <v>6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>
        <v>1291.08</v>
      </c>
      <c r="G43" s="19">
        <v>1286.5999999999999</v>
      </c>
      <c r="H43" s="20"/>
      <c r="I43" s="20">
        <v>1311.5</v>
      </c>
      <c r="J43" s="19">
        <v>1291.6400000000001</v>
      </c>
      <c r="K43" s="19">
        <v>1304.4000000000001</v>
      </c>
      <c r="L43" s="20"/>
      <c r="M43" s="20">
        <v>1299.2</v>
      </c>
      <c r="N43" s="19">
        <v>1183.42</v>
      </c>
      <c r="O43" s="19">
        <v>1140.5999999999999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7603.3579676674335</v>
      </c>
      <c r="G44" s="27">
        <f t="shared" ref="G44:Q44" si="5">G42*G43/0.866</f>
        <v>8022.6789838337208</v>
      </c>
      <c r="H44" s="27">
        <f t="shared" si="5"/>
        <v>0</v>
      </c>
      <c r="I44" s="27">
        <f t="shared" si="5"/>
        <v>7269.2840646651275</v>
      </c>
      <c r="J44" s="27">
        <f t="shared" si="5"/>
        <v>8352.4064665127044</v>
      </c>
      <c r="K44" s="27">
        <f t="shared" si="5"/>
        <v>8284.2956120092331</v>
      </c>
      <c r="L44" s="27">
        <f t="shared" si="5"/>
        <v>0</v>
      </c>
      <c r="M44" s="27">
        <f t="shared" si="5"/>
        <v>7501.1547344110904</v>
      </c>
      <c r="N44" s="27">
        <f t="shared" si="5"/>
        <v>7379.2933025404145</v>
      </c>
      <c r="O44" s="27">
        <f t="shared" si="5"/>
        <v>7902.5404157043877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>
        <v>0.47</v>
      </c>
      <c r="G45" s="19">
        <v>0.48</v>
      </c>
      <c r="H45" s="20"/>
      <c r="I45" s="20">
        <v>0.46</v>
      </c>
      <c r="J45" s="19">
        <v>0.46</v>
      </c>
      <c r="K45" s="19">
        <v>0.47</v>
      </c>
      <c r="L45" s="20"/>
      <c r="M45" s="20">
        <v>0.47</v>
      </c>
      <c r="N45" s="19">
        <v>0.46</v>
      </c>
      <c r="O45" s="19">
        <v>0.47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>
        <v>20</v>
      </c>
      <c r="G46" s="19">
        <v>20.5</v>
      </c>
      <c r="H46" s="20"/>
      <c r="I46" s="20">
        <v>19.8</v>
      </c>
      <c r="J46" s="19">
        <v>19.5</v>
      </c>
      <c r="K46" s="19">
        <v>20.2</v>
      </c>
      <c r="L46" s="20"/>
      <c r="M46" s="20">
        <v>20.3</v>
      </c>
      <c r="N46" s="19">
        <v>19.600000000000001</v>
      </c>
      <c r="O46" s="19">
        <v>20.100000000000001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>
        <v>219.5</v>
      </c>
      <c r="G47" s="19">
        <v>216.1</v>
      </c>
      <c r="H47" s="20"/>
      <c r="I47" s="20">
        <v>122.1</v>
      </c>
      <c r="J47" s="19">
        <v>204.4</v>
      </c>
      <c r="K47" s="19">
        <v>216.4</v>
      </c>
      <c r="L47" s="20"/>
      <c r="M47" s="20">
        <v>212.8</v>
      </c>
      <c r="N47" s="19">
        <v>161.9</v>
      </c>
      <c r="O47" s="19">
        <v>152.30000000000001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48">
        <v>5.89</v>
      </c>
      <c r="F49" s="19">
        <v>5.49</v>
      </c>
      <c r="G49" s="19">
        <v>5.42</v>
      </c>
      <c r="H49" s="20"/>
      <c r="I49" s="20">
        <v>5.29</v>
      </c>
      <c r="J49" s="19">
        <v>5.41</v>
      </c>
      <c r="K49" s="19">
        <v>5.59</v>
      </c>
      <c r="L49" s="20"/>
      <c r="M49" s="20">
        <v>5.49</v>
      </c>
      <c r="N49" s="19">
        <v>5.4</v>
      </c>
      <c r="O49" s="19">
        <v>5.44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48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47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EB90-289F-4639-8DA1-6A4D6FB960CE}">
  <dimension ref="B1:Q59"/>
  <sheetViews>
    <sheetView view="pageBreakPreview" topLeftCell="B1" zoomScale="85" zoomScaleNormal="60" zoomScaleSheetLayoutView="85" workbookViewId="0">
      <selection activeCell="N49" sqref="N4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50" t="s">
        <v>18</v>
      </c>
      <c r="E10" s="15"/>
      <c r="F10" s="16" t="s">
        <v>19</v>
      </c>
      <c r="G10" s="16" t="s">
        <v>19</v>
      </c>
      <c r="H10" s="17" t="s">
        <v>19</v>
      </c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 t="s">
        <v>19</v>
      </c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69.099999999999994</v>
      </c>
      <c r="H11" s="20">
        <v>76.7</v>
      </c>
      <c r="I11" s="20">
        <v>76.7</v>
      </c>
      <c r="J11" s="19"/>
      <c r="K11" s="19">
        <v>74.3</v>
      </c>
      <c r="L11" s="20">
        <v>74.3</v>
      </c>
      <c r="M11" s="19">
        <v>74.3</v>
      </c>
      <c r="N11" s="19">
        <v>74.599999999999994</v>
      </c>
      <c r="O11" s="19">
        <v>74.599999999999994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</v>
      </c>
      <c r="H12" s="20">
        <v>0</v>
      </c>
      <c r="I12" s="20">
        <v>0</v>
      </c>
      <c r="J12" s="19"/>
      <c r="K12" s="19">
        <v>0</v>
      </c>
      <c r="L12" s="20">
        <v>0</v>
      </c>
      <c r="M12" s="19">
        <v>0</v>
      </c>
      <c r="N12" s="19">
        <v>0</v>
      </c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65.7</v>
      </c>
      <c r="H13" s="20">
        <v>72.3</v>
      </c>
      <c r="I13" s="20">
        <v>72.400000000000006</v>
      </c>
      <c r="J13" s="19"/>
      <c r="K13" s="19">
        <v>69.2</v>
      </c>
      <c r="L13" s="20">
        <v>69.599999999999994</v>
      </c>
      <c r="M13" s="19">
        <v>69.599999999999994</v>
      </c>
      <c r="N13" s="19">
        <v>71</v>
      </c>
      <c r="O13" s="19">
        <v>71.3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67.3</v>
      </c>
      <c r="H14" s="20">
        <v>66.599999999999994</v>
      </c>
      <c r="I14" s="20">
        <v>68.8</v>
      </c>
      <c r="J14" s="19"/>
      <c r="K14" s="19">
        <v>63.8</v>
      </c>
      <c r="L14" s="20">
        <v>64.8</v>
      </c>
      <c r="M14" s="19">
        <v>65</v>
      </c>
      <c r="N14" s="19">
        <v>71.099999999999994</v>
      </c>
      <c r="O14" s="19">
        <v>71.8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64.3</v>
      </c>
      <c r="H15" s="20">
        <v>50.1</v>
      </c>
      <c r="I15" s="20">
        <v>51.8</v>
      </c>
      <c r="J15" s="19"/>
      <c r="K15" s="19">
        <v>38.1</v>
      </c>
      <c r="L15" s="20">
        <v>34.9</v>
      </c>
      <c r="M15" s="19">
        <v>30.9</v>
      </c>
      <c r="N15" s="19">
        <v>53.1</v>
      </c>
      <c r="O15" s="19">
        <v>51.4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>
        <v>6.6</v>
      </c>
      <c r="I16" s="19">
        <v>6.6</v>
      </c>
      <c r="J16" s="19"/>
      <c r="K16" s="19">
        <v>6.6</v>
      </c>
      <c r="L16" s="20">
        <v>6.6</v>
      </c>
      <c r="M16" s="19">
        <v>6.6</v>
      </c>
      <c r="N16" s="19">
        <v>6.6</v>
      </c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115.6</v>
      </c>
      <c r="H17" s="20">
        <v>115.1</v>
      </c>
      <c r="I17" s="20">
        <v>116.4</v>
      </c>
      <c r="J17" s="19"/>
      <c r="K17" s="19">
        <v>117.2</v>
      </c>
      <c r="L17" s="20">
        <v>118.1</v>
      </c>
      <c r="M17" s="19">
        <v>117.3</v>
      </c>
      <c r="N17" s="19">
        <v>119.1</v>
      </c>
      <c r="O17" s="19">
        <v>118.7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1147</v>
      </c>
      <c r="H18" s="20">
        <v>1175</v>
      </c>
      <c r="I18" s="20">
        <v>1186</v>
      </c>
      <c r="J18" s="19"/>
      <c r="K18" s="19">
        <v>1208</v>
      </c>
      <c r="L18" s="20">
        <v>1186</v>
      </c>
      <c r="M18" s="19">
        <v>1191</v>
      </c>
      <c r="N18" s="19">
        <v>1194</v>
      </c>
      <c r="O18" s="19">
        <v>1207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46664.5</v>
      </c>
      <c r="H19" s="20">
        <v>47557.9</v>
      </c>
      <c r="I19" s="20">
        <v>47549.5</v>
      </c>
      <c r="J19" s="19"/>
      <c r="K19" s="19">
        <v>45160.6</v>
      </c>
      <c r="L19" s="20">
        <v>47461</v>
      </c>
      <c r="M19" s="20">
        <v>47453.4</v>
      </c>
      <c r="N19" s="19">
        <v>46782</v>
      </c>
      <c r="O19" s="19">
        <v>46774.400000000001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58.4</v>
      </c>
      <c r="H22" s="20">
        <v>59</v>
      </c>
      <c r="I22" s="20">
        <v>59.1</v>
      </c>
      <c r="J22" s="19"/>
      <c r="K22" s="19">
        <v>57.9</v>
      </c>
      <c r="L22" s="20">
        <v>57.2</v>
      </c>
      <c r="M22" s="20">
        <v>57.5</v>
      </c>
      <c r="N22" s="19">
        <v>58.6</v>
      </c>
      <c r="O22" s="19">
        <v>58.7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0.53</v>
      </c>
      <c r="H23" s="20">
        <v>0.49</v>
      </c>
      <c r="I23" s="20">
        <v>0.49</v>
      </c>
      <c r="J23" s="19"/>
      <c r="K23" s="19">
        <v>0.59</v>
      </c>
      <c r="L23" s="20">
        <v>0.52</v>
      </c>
      <c r="M23" s="20">
        <v>0.52</v>
      </c>
      <c r="N23" s="19">
        <v>0.48</v>
      </c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44.9</v>
      </c>
      <c r="H25" s="20">
        <v>45</v>
      </c>
      <c r="I25" s="20">
        <v>45</v>
      </c>
      <c r="J25" s="19"/>
      <c r="K25" s="20">
        <v>44.9</v>
      </c>
      <c r="L25" s="20">
        <v>45.1</v>
      </c>
      <c r="M25" s="20">
        <v>45</v>
      </c>
      <c r="N25" s="19">
        <v>45</v>
      </c>
      <c r="O25" s="19">
        <v>44.9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>
        <v>0.22</v>
      </c>
      <c r="I26" s="20">
        <v>0.22</v>
      </c>
      <c r="J26" s="19"/>
      <c r="K26" s="20">
        <v>0.23</v>
      </c>
      <c r="L26" s="20">
        <v>0.22</v>
      </c>
      <c r="M26" s="20">
        <v>0.22</v>
      </c>
      <c r="N26" s="19">
        <v>0.22</v>
      </c>
      <c r="O26" s="19">
        <v>0.22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4.3</v>
      </c>
      <c r="H27" s="20">
        <v>3.6</v>
      </c>
      <c r="I27" s="20">
        <v>3.6</v>
      </c>
      <c r="J27" s="19"/>
      <c r="K27" s="20">
        <v>4.4000000000000004</v>
      </c>
      <c r="L27" s="20">
        <v>4</v>
      </c>
      <c r="M27" s="20">
        <v>3.9</v>
      </c>
      <c r="N27" s="19">
        <v>4.0999999999999996</v>
      </c>
      <c r="O27" s="19">
        <v>4.3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3.8</v>
      </c>
      <c r="H28" s="20">
        <v>2.6</v>
      </c>
      <c r="I28" s="20">
        <v>2.8</v>
      </c>
      <c r="J28" s="19"/>
      <c r="K28" s="20">
        <v>3.6</v>
      </c>
      <c r="L28" s="20">
        <v>2.9</v>
      </c>
      <c r="M28" s="20">
        <v>2.9</v>
      </c>
      <c r="N28" s="19">
        <v>3.6</v>
      </c>
      <c r="O28" s="19">
        <v>3.2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1</v>
      </c>
      <c r="H29" s="26">
        <f t="shared" si="0"/>
        <v>1.9999999999999996</v>
      </c>
      <c r="I29" s="26">
        <f t="shared" si="0"/>
        <v>2.1000000000000005</v>
      </c>
      <c r="J29" s="26">
        <f t="shared" si="0"/>
        <v>0</v>
      </c>
      <c r="K29" s="26">
        <f t="shared" si="0"/>
        <v>0.60000000000000009</v>
      </c>
      <c r="L29" s="26">
        <f t="shared" si="0"/>
        <v>1.1000000000000001</v>
      </c>
      <c r="M29" s="26">
        <f t="shared" si="0"/>
        <v>1.1999999999999997</v>
      </c>
      <c r="N29" s="26">
        <f t="shared" si="0"/>
        <v>0.60000000000000009</v>
      </c>
      <c r="O29" s="26">
        <f t="shared" si="0"/>
        <v>1.2999999999999998</v>
      </c>
      <c r="P29" s="26">
        <f t="shared" si="0"/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683</v>
      </c>
      <c r="H30" s="20">
        <v>674.24</v>
      </c>
      <c r="I30" s="20">
        <v>662.9</v>
      </c>
      <c r="J30" s="19"/>
      <c r="K30" s="19">
        <v>648.20000000000005</v>
      </c>
      <c r="L30" s="20">
        <v>640.20000000000005</v>
      </c>
      <c r="M30" s="20">
        <v>656.3</v>
      </c>
      <c r="N30" s="19">
        <v>662.88</v>
      </c>
      <c r="O30" s="19">
        <v>650.4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13.3</v>
      </c>
      <c r="H31" s="20">
        <v>12.6</v>
      </c>
      <c r="I31" s="20">
        <v>13.4</v>
      </c>
      <c r="J31" s="19"/>
      <c r="K31" s="19">
        <v>13.2</v>
      </c>
      <c r="L31" s="20">
        <v>13</v>
      </c>
      <c r="M31" s="20">
        <v>12.9</v>
      </c>
      <c r="N31" s="19">
        <v>12.8</v>
      </c>
      <c r="O31" s="19">
        <v>13.4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4.8</v>
      </c>
      <c r="H32" s="20">
        <v>4.5999999999999996</v>
      </c>
      <c r="I32" s="20">
        <v>4.9000000000000004</v>
      </c>
      <c r="J32" s="19"/>
      <c r="K32" s="19">
        <v>4.2</v>
      </c>
      <c r="L32" s="20">
        <v>4</v>
      </c>
      <c r="M32" s="20">
        <v>4.0999999999999996</v>
      </c>
      <c r="N32" s="19">
        <v>4.2</v>
      </c>
      <c r="O32" s="19">
        <v>4.5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8.5</v>
      </c>
      <c r="H33" s="26">
        <f t="shared" si="1"/>
        <v>8</v>
      </c>
      <c r="I33" s="26">
        <f t="shared" si="1"/>
        <v>8.5</v>
      </c>
      <c r="J33" s="26">
        <f t="shared" si="1"/>
        <v>0</v>
      </c>
      <c r="K33" s="26">
        <f t="shared" si="1"/>
        <v>9</v>
      </c>
      <c r="L33" s="26">
        <f t="shared" si="1"/>
        <v>9</v>
      </c>
      <c r="M33" s="26">
        <f t="shared" si="1"/>
        <v>8.8000000000000007</v>
      </c>
      <c r="N33" s="26">
        <f t="shared" si="1"/>
        <v>8.6000000000000014</v>
      </c>
      <c r="O33" s="26">
        <f t="shared" si="1"/>
        <v>8.9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6703.810623556582</v>
      </c>
      <c r="H34" s="27">
        <f t="shared" si="2"/>
        <v>6228.5450346420321</v>
      </c>
      <c r="I34" s="27">
        <f t="shared" si="2"/>
        <v>6506.5242494226322</v>
      </c>
      <c r="J34" s="27">
        <f t="shared" si="2"/>
        <v>0</v>
      </c>
      <c r="K34" s="27">
        <f t="shared" si="2"/>
        <v>6736.4896073903001</v>
      </c>
      <c r="L34" s="27">
        <f t="shared" si="2"/>
        <v>6653.3487297921483</v>
      </c>
      <c r="M34" s="27">
        <f t="shared" si="2"/>
        <v>6669.0993071593539</v>
      </c>
      <c r="N34" s="27">
        <f t="shared" si="2"/>
        <v>6582.8729792147815</v>
      </c>
      <c r="O34" s="27">
        <f t="shared" si="2"/>
        <v>6684.2494226327954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0.83</v>
      </c>
      <c r="H35" s="20">
        <v>0.85</v>
      </c>
      <c r="I35" s="20">
        <v>0.86</v>
      </c>
      <c r="J35" s="19"/>
      <c r="K35" s="19">
        <v>0.84</v>
      </c>
      <c r="L35" s="20">
        <v>0.83</v>
      </c>
      <c r="M35" s="20">
        <v>0.84</v>
      </c>
      <c r="N35" s="19">
        <v>0.81</v>
      </c>
      <c r="O35" s="19">
        <v>0.83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36.4</v>
      </c>
      <c r="H36" s="20">
        <v>36.799999999999997</v>
      </c>
      <c r="I36" s="20">
        <v>37</v>
      </c>
      <c r="J36" s="19"/>
      <c r="K36" s="19">
        <v>36.6</v>
      </c>
      <c r="L36" s="20">
        <v>36.6</v>
      </c>
      <c r="M36" s="20">
        <v>37</v>
      </c>
      <c r="N36" s="19">
        <v>35.9</v>
      </c>
      <c r="O36" s="19">
        <v>36.700000000000003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36.799999999999997</v>
      </c>
      <c r="H37" s="20">
        <v>37.6</v>
      </c>
      <c r="I37" s="20">
        <v>37.9</v>
      </c>
      <c r="J37" s="19"/>
      <c r="K37" s="19">
        <v>37.4</v>
      </c>
      <c r="L37" s="20">
        <v>37</v>
      </c>
      <c r="M37" s="20">
        <v>37.5</v>
      </c>
      <c r="N37" s="19">
        <v>36.299999999999997</v>
      </c>
      <c r="O37" s="19">
        <v>37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2.5</v>
      </c>
      <c r="H38" s="26">
        <f t="shared" si="3"/>
        <v>4.3000000000000043</v>
      </c>
      <c r="I38" s="26">
        <f t="shared" si="3"/>
        <v>4.1999999999999957</v>
      </c>
      <c r="J38" s="26">
        <f t="shared" si="3"/>
        <v>0</v>
      </c>
      <c r="K38" s="26">
        <f t="shared" si="3"/>
        <v>2.8999999999999986</v>
      </c>
      <c r="L38" s="26">
        <f t="shared" si="3"/>
        <v>3.5</v>
      </c>
      <c r="M38" s="26">
        <f t="shared" si="3"/>
        <v>3.5</v>
      </c>
      <c r="N38" s="26">
        <f t="shared" si="3"/>
        <v>2.3999999999999986</v>
      </c>
      <c r="O38" s="26">
        <f t="shared" si="3"/>
        <v>2.2000000000000028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28.9</v>
      </c>
      <c r="H40" s="20">
        <v>28.5</v>
      </c>
      <c r="I40" s="20">
        <v>28.8</v>
      </c>
      <c r="J40" s="19"/>
      <c r="K40" s="19">
        <v>28.9</v>
      </c>
      <c r="L40" s="20">
        <v>28.4</v>
      </c>
      <c r="M40" s="20">
        <v>28.8</v>
      </c>
      <c r="N40" s="19">
        <v>28.2</v>
      </c>
      <c r="O40" s="19">
        <v>28.7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34.299999999999997</v>
      </c>
      <c r="H41" s="20">
        <v>33.299999999999997</v>
      </c>
      <c r="I41" s="20">
        <v>33.700000000000003</v>
      </c>
      <c r="J41" s="19"/>
      <c r="K41" s="19">
        <v>34.5</v>
      </c>
      <c r="L41" s="20">
        <v>33.5</v>
      </c>
      <c r="M41" s="20">
        <v>34</v>
      </c>
      <c r="N41" s="19">
        <v>33.9</v>
      </c>
      <c r="O41" s="19">
        <v>34.799999999999997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5.3999999999999986</v>
      </c>
      <c r="H42" s="26">
        <f t="shared" si="4"/>
        <v>4.7999999999999972</v>
      </c>
      <c r="I42" s="26">
        <f t="shared" si="4"/>
        <v>4.9000000000000021</v>
      </c>
      <c r="J42" s="26">
        <f t="shared" si="4"/>
        <v>0</v>
      </c>
      <c r="K42" s="26">
        <f t="shared" si="4"/>
        <v>5.6000000000000014</v>
      </c>
      <c r="L42" s="26">
        <f t="shared" si="4"/>
        <v>5.1000000000000014</v>
      </c>
      <c r="M42" s="26">
        <f t="shared" si="4"/>
        <v>5.1999999999999993</v>
      </c>
      <c r="N42" s="26">
        <f t="shared" si="4"/>
        <v>5.6999999999999993</v>
      </c>
      <c r="O42" s="26">
        <f t="shared" si="4"/>
        <v>6.0999999999999979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1300.4000000000001</v>
      </c>
      <c r="H43" s="20">
        <v>1298.92</v>
      </c>
      <c r="I43" s="20">
        <v>1299.3</v>
      </c>
      <c r="J43" s="19"/>
      <c r="K43" s="19">
        <v>1291.2</v>
      </c>
      <c r="L43" s="20">
        <v>1297.5</v>
      </c>
      <c r="M43" s="20">
        <v>1291.4000000000001</v>
      </c>
      <c r="N43" s="19">
        <v>1195.7</v>
      </c>
      <c r="O43" s="19">
        <v>1136.7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8108.7297921478048</v>
      </c>
      <c r="H44" s="27">
        <f t="shared" si="5"/>
        <v>7199.5565819861395</v>
      </c>
      <c r="I44" s="27">
        <f t="shared" si="5"/>
        <v>7351.6974595842985</v>
      </c>
      <c r="J44" s="27">
        <f t="shared" si="5"/>
        <v>0</v>
      </c>
      <c r="K44" s="27">
        <f t="shared" si="5"/>
        <v>8349.5612009237902</v>
      </c>
      <c r="L44" s="27">
        <f t="shared" si="5"/>
        <v>7641.1662817551987</v>
      </c>
      <c r="M44" s="27">
        <f t="shared" si="5"/>
        <v>7754.3648960739029</v>
      </c>
      <c r="N44" s="27">
        <f t="shared" si="5"/>
        <v>7870.0808314087762</v>
      </c>
      <c r="O44" s="27">
        <f t="shared" si="5"/>
        <v>8006.7782909930693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0.47</v>
      </c>
      <c r="H45" s="20">
        <v>0.46</v>
      </c>
      <c r="I45" s="20">
        <v>0.47</v>
      </c>
      <c r="J45" s="19"/>
      <c r="K45" s="19">
        <v>0.46</v>
      </c>
      <c r="L45" s="20">
        <v>0.47</v>
      </c>
      <c r="M45" s="20">
        <v>0.47</v>
      </c>
      <c r="N45" s="19">
        <v>0.45</v>
      </c>
      <c r="O45" s="19">
        <v>0.46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20.2</v>
      </c>
      <c r="H46" s="20">
        <v>19.600000000000001</v>
      </c>
      <c r="I46" s="20">
        <v>20</v>
      </c>
      <c r="J46" s="19"/>
      <c r="K46" s="19">
        <v>19.600000000000001</v>
      </c>
      <c r="L46" s="20">
        <v>19.8</v>
      </c>
      <c r="M46" s="20">
        <v>20.100000000000001</v>
      </c>
      <c r="N46" s="19">
        <v>36.299999999999997</v>
      </c>
      <c r="O46" s="19">
        <v>19.7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224.1</v>
      </c>
      <c r="H47" s="20">
        <v>126.4</v>
      </c>
      <c r="I47" s="20">
        <v>123.9</v>
      </c>
      <c r="J47" s="19"/>
      <c r="K47" s="19">
        <v>208.8</v>
      </c>
      <c r="L47" s="20">
        <v>206.5</v>
      </c>
      <c r="M47" s="20">
        <v>205.6</v>
      </c>
      <c r="N47" s="19">
        <v>156.30000000000001</v>
      </c>
      <c r="O47" s="19">
        <v>157.80000000000001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50">
        <v>5.89</v>
      </c>
      <c r="F49" s="19"/>
      <c r="G49" s="19">
        <v>5.59</v>
      </c>
      <c r="H49" s="20">
        <v>5.29</v>
      </c>
      <c r="I49" s="20">
        <v>5.22</v>
      </c>
      <c r="J49" s="19"/>
      <c r="K49" s="19">
        <v>5.51</v>
      </c>
      <c r="L49" s="20">
        <v>5.61</v>
      </c>
      <c r="M49" s="20">
        <v>5.42</v>
      </c>
      <c r="N49" s="19">
        <v>5.5</v>
      </c>
      <c r="O49" s="19">
        <v>5.42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50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49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48E6-E7BB-4721-90E0-86F56995F478}">
  <dimension ref="B1:Q59"/>
  <sheetViews>
    <sheetView view="pageBreakPreview" topLeftCell="B1" zoomScale="85" zoomScaleNormal="60" zoomScaleSheetLayoutView="85" workbookViewId="0">
      <selection activeCell="F19" sqref="F1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52" t="s">
        <v>18</v>
      </c>
      <c r="E10" s="15"/>
      <c r="F10" s="16" t="s">
        <v>19</v>
      </c>
      <c r="G10" s="16" t="s">
        <v>19</v>
      </c>
      <c r="H10" s="17" t="s">
        <v>19</v>
      </c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 t="s">
        <v>19</v>
      </c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>
        <v>72.099999999999994</v>
      </c>
      <c r="G11" s="19">
        <v>72.099999999999994</v>
      </c>
      <c r="H11" s="20"/>
      <c r="I11" s="20">
        <v>80.5</v>
      </c>
      <c r="J11" s="19">
        <v>73.5</v>
      </c>
      <c r="K11" s="19">
        <v>72.099999999999994</v>
      </c>
      <c r="L11" s="20"/>
      <c r="M11" s="19">
        <v>73.099999999999994</v>
      </c>
      <c r="N11" s="19">
        <v>74.2</v>
      </c>
      <c r="O11" s="19">
        <v>74.3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>
        <v>0.4</v>
      </c>
      <c r="G12" s="19">
        <v>0.4</v>
      </c>
      <c r="H12" s="20"/>
      <c r="I12" s="20">
        <v>0</v>
      </c>
      <c r="J12" s="19">
        <v>0</v>
      </c>
      <c r="K12" s="19">
        <v>0</v>
      </c>
      <c r="L12" s="20"/>
      <c r="M12" s="19">
        <v>0</v>
      </c>
      <c r="N12" s="19">
        <v>0</v>
      </c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>
        <v>65.8</v>
      </c>
      <c r="G13" s="19">
        <v>65.8</v>
      </c>
      <c r="H13" s="20"/>
      <c r="I13" s="20">
        <v>76.7</v>
      </c>
      <c r="J13" s="19">
        <v>68.8</v>
      </c>
      <c r="K13" s="19">
        <v>66.3</v>
      </c>
      <c r="L13" s="20"/>
      <c r="M13" s="19">
        <v>69.5</v>
      </c>
      <c r="N13" s="19">
        <v>68.599999999999994</v>
      </c>
      <c r="O13" s="19">
        <v>68.599999999999994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>
        <v>69.2</v>
      </c>
      <c r="G14" s="19">
        <v>68</v>
      </c>
      <c r="H14" s="20"/>
      <c r="I14" s="20">
        <v>69</v>
      </c>
      <c r="J14" s="19">
        <v>64.2</v>
      </c>
      <c r="K14" s="19">
        <v>63.7</v>
      </c>
      <c r="L14" s="20"/>
      <c r="M14" s="19">
        <v>65</v>
      </c>
      <c r="N14" s="19">
        <v>75.099999999999994</v>
      </c>
      <c r="O14" s="19">
        <v>73.400000000000006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>
        <v>49.1</v>
      </c>
      <c r="G15" s="19">
        <v>58.2</v>
      </c>
      <c r="H15" s="20"/>
      <c r="I15" s="20">
        <v>47.9</v>
      </c>
      <c r="J15" s="19">
        <v>41.3</v>
      </c>
      <c r="K15" s="19">
        <v>38.200000000000003</v>
      </c>
      <c r="L15" s="20"/>
      <c r="M15" s="19">
        <v>33.200000000000003</v>
      </c>
      <c r="N15" s="19">
        <v>50.9</v>
      </c>
      <c r="O15" s="19">
        <v>47.7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>
        <v>6.6</v>
      </c>
      <c r="G16" s="19">
        <v>6.6</v>
      </c>
      <c r="H16" s="20"/>
      <c r="I16" s="19">
        <v>6.6</v>
      </c>
      <c r="J16" s="19">
        <v>6.6</v>
      </c>
      <c r="K16" s="19">
        <v>6.6</v>
      </c>
      <c r="L16" s="20"/>
      <c r="M16" s="19">
        <v>6.6</v>
      </c>
      <c r="N16" s="19">
        <v>6.6</v>
      </c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>
        <v>118</v>
      </c>
      <c r="G17" s="19">
        <v>119.1</v>
      </c>
      <c r="H17" s="20"/>
      <c r="I17" s="20">
        <v>119.5</v>
      </c>
      <c r="J17" s="19">
        <v>116.5</v>
      </c>
      <c r="K17" s="19">
        <v>116.2</v>
      </c>
      <c r="L17" s="20"/>
      <c r="M17" s="19">
        <v>116.7</v>
      </c>
      <c r="N17" s="19">
        <v>118.1</v>
      </c>
      <c r="O17" s="19">
        <v>118.5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>
        <v>1154</v>
      </c>
      <c r="G18" s="19">
        <v>1165</v>
      </c>
      <c r="H18" s="20"/>
      <c r="I18" s="20">
        <v>1205</v>
      </c>
      <c r="J18" s="19">
        <v>1173</v>
      </c>
      <c r="K18" s="19">
        <v>1175</v>
      </c>
      <c r="L18" s="20"/>
      <c r="M18" s="19">
        <v>1185</v>
      </c>
      <c r="N18" s="19">
        <v>1189</v>
      </c>
      <c r="O18" s="19">
        <v>1205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>
        <v>46682.2</v>
      </c>
      <c r="G19" s="19">
        <v>46674.2</v>
      </c>
      <c r="H19" s="20"/>
      <c r="I19" s="20">
        <v>47573.599999999999</v>
      </c>
      <c r="J19" s="19">
        <v>45178.5</v>
      </c>
      <c r="K19" s="19">
        <v>45170.5</v>
      </c>
      <c r="L19" s="20"/>
      <c r="M19" s="20">
        <v>474777.5</v>
      </c>
      <c r="N19" s="19">
        <v>46804</v>
      </c>
      <c r="O19" s="19">
        <v>46796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>
        <v>58</v>
      </c>
      <c r="G22" s="19">
        <v>58.8</v>
      </c>
      <c r="H22" s="20"/>
      <c r="I22" s="20">
        <v>59.3</v>
      </c>
      <c r="J22" s="19">
        <v>57.5</v>
      </c>
      <c r="K22" s="19">
        <v>57.6</v>
      </c>
      <c r="L22" s="20"/>
      <c r="M22" s="20">
        <v>57.5</v>
      </c>
      <c r="N22" s="19">
        <v>58.6</v>
      </c>
      <c r="O22" s="19">
        <v>58.8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>
        <v>0.53</v>
      </c>
      <c r="G23" s="19">
        <v>0.53</v>
      </c>
      <c r="H23" s="20"/>
      <c r="I23" s="20">
        <v>0.49</v>
      </c>
      <c r="J23" s="19">
        <v>0.59</v>
      </c>
      <c r="K23" s="19">
        <v>0.59</v>
      </c>
      <c r="L23" s="20"/>
      <c r="M23" s="20">
        <v>0.52</v>
      </c>
      <c r="N23" s="19">
        <v>0.48</v>
      </c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>
        <v>44.9</v>
      </c>
      <c r="G25" s="19">
        <v>44.8</v>
      </c>
      <c r="H25" s="20"/>
      <c r="I25" s="20">
        <v>45</v>
      </c>
      <c r="J25" s="19">
        <v>44.8</v>
      </c>
      <c r="K25" s="20">
        <v>44.8</v>
      </c>
      <c r="L25" s="20"/>
      <c r="M25" s="20">
        <v>45</v>
      </c>
      <c r="N25" s="19">
        <v>44.8</v>
      </c>
      <c r="O25" s="19">
        <v>44.9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>
        <v>0.23</v>
      </c>
      <c r="G26" s="19">
        <v>0.23</v>
      </c>
      <c r="H26" s="20"/>
      <c r="I26" s="20">
        <v>0.22</v>
      </c>
      <c r="J26" s="19">
        <v>0.22</v>
      </c>
      <c r="K26" s="20">
        <v>0.23</v>
      </c>
      <c r="L26" s="20"/>
      <c r="M26" s="20">
        <v>0.22</v>
      </c>
      <c r="N26" s="19">
        <v>0.22</v>
      </c>
      <c r="O26" s="19">
        <v>0.23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>
        <v>4.5999999999999996</v>
      </c>
      <c r="G27" s="19">
        <v>4.4000000000000004</v>
      </c>
      <c r="H27" s="20"/>
      <c r="I27" s="20">
        <v>3.4</v>
      </c>
      <c r="J27" s="19">
        <v>4.0999999999999996</v>
      </c>
      <c r="K27" s="20">
        <v>4.4000000000000004</v>
      </c>
      <c r="L27" s="20"/>
      <c r="M27" s="20">
        <v>3.8</v>
      </c>
      <c r="N27" s="19">
        <v>4.4000000000000004</v>
      </c>
      <c r="O27" s="19">
        <v>4.5999999999999996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>
        <v>4.0999999999999996</v>
      </c>
      <c r="G28" s="19">
        <v>3.9</v>
      </c>
      <c r="H28" s="20"/>
      <c r="I28" s="20">
        <v>2.5</v>
      </c>
      <c r="J28" s="19">
        <v>3.3</v>
      </c>
      <c r="K28" s="20">
        <v>3.6</v>
      </c>
      <c r="L28" s="20"/>
      <c r="M28" s="20">
        <v>2.7</v>
      </c>
      <c r="N28" s="19">
        <v>3.5</v>
      </c>
      <c r="O28" s="19">
        <v>3.5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0.80000000000000071</v>
      </c>
      <c r="G29" s="26">
        <f t="shared" ref="G29:Q29" si="0">G32-G28</f>
        <v>1.1000000000000001</v>
      </c>
      <c r="H29" s="26">
        <f t="shared" si="0"/>
        <v>0</v>
      </c>
      <c r="I29" s="26">
        <f t="shared" si="0"/>
        <v>2.5</v>
      </c>
      <c r="J29" s="26">
        <f t="shared" si="0"/>
        <v>0.70000000000000018</v>
      </c>
      <c r="K29" s="26">
        <f t="shared" si="0"/>
        <v>0.69999999999999973</v>
      </c>
      <c r="L29" s="26">
        <f t="shared" si="0"/>
        <v>0</v>
      </c>
      <c r="M29" s="26">
        <f t="shared" si="0"/>
        <v>1.2999999999999998</v>
      </c>
      <c r="N29" s="26">
        <f t="shared" si="0"/>
        <v>1.0999999999999996</v>
      </c>
      <c r="O29" s="26">
        <f t="shared" si="0"/>
        <v>1.2000000000000002</v>
      </c>
      <c r="P29" s="26">
        <f t="shared" si="0"/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>
        <v>656.2</v>
      </c>
      <c r="G30" s="19">
        <v>680.9</v>
      </c>
      <c r="H30" s="20"/>
      <c r="I30" s="20">
        <v>661.2</v>
      </c>
      <c r="J30" s="19">
        <v>638.55999999999995</v>
      </c>
      <c r="K30" s="19">
        <v>633.5</v>
      </c>
      <c r="L30" s="20"/>
      <c r="M30" s="20">
        <v>642.29999999999995</v>
      </c>
      <c r="N30" s="19">
        <v>649.1</v>
      </c>
      <c r="O30" s="19">
        <v>649.4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>
        <v>14.2</v>
      </c>
      <c r="G31" s="19">
        <v>13.4</v>
      </c>
      <c r="H31" s="20"/>
      <c r="I31" s="20">
        <v>13.6</v>
      </c>
      <c r="J31" s="19">
        <v>13.1</v>
      </c>
      <c r="K31" s="19">
        <v>13.3</v>
      </c>
      <c r="L31" s="20"/>
      <c r="M31" s="20">
        <v>12.8</v>
      </c>
      <c r="N31" s="19">
        <v>14.1</v>
      </c>
      <c r="O31" s="19">
        <v>13.7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>
        <v>4.9000000000000004</v>
      </c>
      <c r="G32" s="19">
        <v>5</v>
      </c>
      <c r="H32" s="20"/>
      <c r="I32" s="20">
        <v>5</v>
      </c>
      <c r="J32" s="19">
        <v>4</v>
      </c>
      <c r="K32" s="19">
        <v>4.3</v>
      </c>
      <c r="L32" s="20"/>
      <c r="M32" s="20">
        <v>4</v>
      </c>
      <c r="N32" s="19">
        <v>4.5999999999999996</v>
      </c>
      <c r="O32" s="19">
        <v>4.7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9.2999999999999989</v>
      </c>
      <c r="G33" s="26">
        <f t="shared" ref="G33:Q33" si="1">G31-G32</f>
        <v>8.4</v>
      </c>
      <c r="H33" s="26">
        <f t="shared" si="1"/>
        <v>0</v>
      </c>
      <c r="I33" s="26">
        <f t="shared" si="1"/>
        <v>8.6</v>
      </c>
      <c r="J33" s="26">
        <f t="shared" si="1"/>
        <v>9.1</v>
      </c>
      <c r="K33" s="26">
        <f t="shared" si="1"/>
        <v>9</v>
      </c>
      <c r="L33" s="26">
        <f t="shared" si="1"/>
        <v>0</v>
      </c>
      <c r="M33" s="26">
        <f t="shared" si="1"/>
        <v>8.8000000000000007</v>
      </c>
      <c r="N33" s="26">
        <f t="shared" si="1"/>
        <v>9.5</v>
      </c>
      <c r="O33" s="26">
        <f t="shared" si="1"/>
        <v>9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7046.9515011547346</v>
      </c>
      <c r="G34" s="27">
        <f t="shared" ref="G34:Q34" si="2">(G33*G30)/0.866</f>
        <v>6604.5727482678985</v>
      </c>
      <c r="H34" s="27">
        <f t="shared" si="2"/>
        <v>0</v>
      </c>
      <c r="I34" s="27">
        <f t="shared" si="2"/>
        <v>6566.189376443418</v>
      </c>
      <c r="J34" s="27">
        <f t="shared" si="2"/>
        <v>6710.0415704387988</v>
      </c>
      <c r="K34" s="27">
        <f t="shared" si="2"/>
        <v>6583.7182448036956</v>
      </c>
      <c r="L34" s="27">
        <f t="shared" si="2"/>
        <v>0</v>
      </c>
      <c r="M34" s="27">
        <f t="shared" si="2"/>
        <v>6526.8360277136253</v>
      </c>
      <c r="N34" s="27">
        <f t="shared" si="2"/>
        <v>7120.6120092378751</v>
      </c>
      <c r="O34" s="27">
        <f t="shared" si="2"/>
        <v>6748.9607390300225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>
        <v>0.81</v>
      </c>
      <c r="G35" s="19">
        <v>0.83</v>
      </c>
      <c r="H35" s="20"/>
      <c r="I35" s="20">
        <v>0.86</v>
      </c>
      <c r="J35" s="19">
        <v>0.82</v>
      </c>
      <c r="K35" s="19">
        <v>0.84</v>
      </c>
      <c r="L35" s="20"/>
      <c r="M35" s="20">
        <v>0.85</v>
      </c>
      <c r="N35" s="19">
        <v>0.81</v>
      </c>
      <c r="O35" s="19">
        <v>0.84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>
        <v>35.700000000000003</v>
      </c>
      <c r="G36" s="19">
        <v>36.6</v>
      </c>
      <c r="H36" s="20"/>
      <c r="I36" s="20">
        <v>37.299999999999997</v>
      </c>
      <c r="J36" s="19">
        <v>35.799999999999997</v>
      </c>
      <c r="K36" s="19">
        <v>36.700000000000003</v>
      </c>
      <c r="L36" s="20"/>
      <c r="M36" s="20">
        <v>37.1</v>
      </c>
      <c r="N36" s="19">
        <v>35.700000000000003</v>
      </c>
      <c r="O36" s="19">
        <v>36.9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>
        <v>36.799999999999997</v>
      </c>
      <c r="G37" s="19">
        <v>37.1</v>
      </c>
      <c r="H37" s="20"/>
      <c r="I37" s="20">
        <v>38.200000000000003</v>
      </c>
      <c r="J37" s="19">
        <v>36.6</v>
      </c>
      <c r="K37" s="19">
        <v>37.4</v>
      </c>
      <c r="L37" s="20"/>
      <c r="M37" s="20">
        <v>37.5</v>
      </c>
      <c r="N37" s="19">
        <v>36.200000000000003</v>
      </c>
      <c r="O37" s="19">
        <v>37.200000000000003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3.1999999999999957</v>
      </c>
      <c r="G38" s="26">
        <f t="shared" ref="G38:Q38" si="3">G37-G41</f>
        <v>2.5</v>
      </c>
      <c r="H38" s="26">
        <f t="shared" si="3"/>
        <v>0</v>
      </c>
      <c r="I38" s="26">
        <f t="shared" si="3"/>
        <v>4.3000000000000043</v>
      </c>
      <c r="J38" s="26">
        <f t="shared" si="3"/>
        <v>2.8999999999999986</v>
      </c>
      <c r="K38" s="26">
        <f t="shared" si="3"/>
        <v>2.7999999999999972</v>
      </c>
      <c r="L38" s="26">
        <f t="shared" si="3"/>
        <v>0</v>
      </c>
      <c r="M38" s="26">
        <f t="shared" si="3"/>
        <v>3.3999999999999986</v>
      </c>
      <c r="N38" s="26">
        <f t="shared" si="3"/>
        <v>2.5</v>
      </c>
      <c r="O38" s="26">
        <f t="shared" si="3"/>
        <v>2.3000000000000043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>
        <v>28.2</v>
      </c>
      <c r="G40" s="19">
        <v>29</v>
      </c>
      <c r="H40" s="20"/>
      <c r="I40" s="20">
        <v>29</v>
      </c>
      <c r="J40" s="19">
        <v>28.2</v>
      </c>
      <c r="K40" s="19">
        <v>29.1</v>
      </c>
      <c r="L40" s="20"/>
      <c r="M40" s="20">
        <v>29</v>
      </c>
      <c r="N40" s="19">
        <v>28</v>
      </c>
      <c r="O40" s="19">
        <v>28.9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>
        <v>33.6</v>
      </c>
      <c r="G41" s="19">
        <v>34.6</v>
      </c>
      <c r="H41" s="20"/>
      <c r="I41" s="20">
        <v>33.9</v>
      </c>
      <c r="J41" s="19">
        <v>33.700000000000003</v>
      </c>
      <c r="K41" s="19">
        <v>34.6</v>
      </c>
      <c r="L41" s="20"/>
      <c r="M41" s="20">
        <v>34.1</v>
      </c>
      <c r="N41" s="19">
        <v>33.700000000000003</v>
      </c>
      <c r="O41" s="19">
        <v>34.9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5.4000000000000021</v>
      </c>
      <c r="G42" s="26">
        <f t="shared" ref="G42:Q42" si="4">G41-G40</f>
        <v>5.6000000000000014</v>
      </c>
      <c r="H42" s="26">
        <f t="shared" si="4"/>
        <v>0</v>
      </c>
      <c r="I42" s="26">
        <f t="shared" si="4"/>
        <v>4.8999999999999986</v>
      </c>
      <c r="J42" s="26">
        <f t="shared" si="4"/>
        <v>5.5000000000000036</v>
      </c>
      <c r="K42" s="26">
        <f t="shared" si="4"/>
        <v>5.5</v>
      </c>
      <c r="L42" s="26">
        <f t="shared" si="4"/>
        <v>0</v>
      </c>
      <c r="M42" s="26">
        <f t="shared" si="4"/>
        <v>5.1000000000000014</v>
      </c>
      <c r="N42" s="26">
        <f t="shared" si="4"/>
        <v>5.7000000000000028</v>
      </c>
      <c r="O42" s="26">
        <f t="shared" si="4"/>
        <v>6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>
        <v>1298.0999999999999</v>
      </c>
      <c r="G43" s="19">
        <v>1296.4000000000001</v>
      </c>
      <c r="H43" s="20"/>
      <c r="I43" s="20">
        <v>1306.5999999999999</v>
      </c>
      <c r="J43" s="19">
        <v>1286.9000000000001</v>
      </c>
      <c r="K43" s="19">
        <v>1300.4000000000001</v>
      </c>
      <c r="L43" s="20"/>
      <c r="M43" s="20">
        <v>1298</v>
      </c>
      <c r="N43" s="19">
        <v>1140</v>
      </c>
      <c r="O43" s="19">
        <v>1137.8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8094.3879907621276</v>
      </c>
      <c r="G44" s="27">
        <f t="shared" ref="G44:Q44" si="5">G42*G43/0.866</f>
        <v>8383.1870669745986</v>
      </c>
      <c r="H44" s="27">
        <f t="shared" si="5"/>
        <v>0</v>
      </c>
      <c r="I44" s="27">
        <f t="shared" si="5"/>
        <v>7393.0023094688195</v>
      </c>
      <c r="J44" s="27">
        <f t="shared" si="5"/>
        <v>8173.1524249422691</v>
      </c>
      <c r="K44" s="27">
        <f t="shared" si="5"/>
        <v>8258.8914549653582</v>
      </c>
      <c r="L44" s="27">
        <f t="shared" si="5"/>
        <v>0</v>
      </c>
      <c r="M44" s="27">
        <f t="shared" si="5"/>
        <v>7644.1108545034667</v>
      </c>
      <c r="N44" s="27">
        <f t="shared" si="5"/>
        <v>7503.4642032332604</v>
      </c>
      <c r="O44" s="27">
        <f t="shared" si="5"/>
        <v>7883.1408775981517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>
        <v>0.46</v>
      </c>
      <c r="G45" s="19">
        <v>0.48</v>
      </c>
      <c r="H45" s="20"/>
      <c r="I45" s="20">
        <v>0.46</v>
      </c>
      <c r="J45" s="19">
        <v>0.46</v>
      </c>
      <c r="K45" s="19">
        <v>0.47</v>
      </c>
      <c r="L45" s="20"/>
      <c r="M45" s="20">
        <v>0.47</v>
      </c>
      <c r="N45" s="19">
        <v>0.46</v>
      </c>
      <c r="O45" s="19">
        <v>0.47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>
        <v>19.7</v>
      </c>
      <c r="G46" s="19">
        <v>20.5</v>
      </c>
      <c r="H46" s="20"/>
      <c r="I46" s="20">
        <v>19.8</v>
      </c>
      <c r="J46" s="19">
        <v>19.399999999999999</v>
      </c>
      <c r="K46" s="19">
        <v>20.2</v>
      </c>
      <c r="L46" s="20"/>
      <c r="M46" s="20">
        <v>20</v>
      </c>
      <c r="N46" s="19">
        <v>19.399999999999999</v>
      </c>
      <c r="O46" s="19">
        <v>20.2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>
        <v>171.1</v>
      </c>
      <c r="G47" s="19">
        <v>210.6</v>
      </c>
      <c r="H47" s="20"/>
      <c r="I47" s="20">
        <v>123.8</v>
      </c>
      <c r="J47" s="19">
        <v>199.2</v>
      </c>
      <c r="K47" s="19">
        <v>208.2</v>
      </c>
      <c r="L47" s="20"/>
      <c r="M47" s="20">
        <v>211.2</v>
      </c>
      <c r="N47" s="19">
        <v>165.3</v>
      </c>
      <c r="O47" s="19">
        <v>164.3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52">
        <v>5.89</v>
      </c>
      <c r="F49" s="19">
        <v>5.97</v>
      </c>
      <c r="G49" s="19">
        <v>5.36</v>
      </c>
      <c r="H49" s="20"/>
      <c r="I49" s="20">
        <v>5.36</v>
      </c>
      <c r="J49" s="19">
        <v>5.73</v>
      </c>
      <c r="K49" s="19">
        <v>5.67</v>
      </c>
      <c r="L49" s="20"/>
      <c r="M49" s="20">
        <v>5.42</v>
      </c>
      <c r="N49" s="19">
        <v>5.9</v>
      </c>
      <c r="O49" s="19">
        <v>5.52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52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51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7337-1AC9-4574-BBBC-5833DA140430}">
  <dimension ref="B1:Q59"/>
  <sheetViews>
    <sheetView view="pageBreakPreview" topLeftCell="B1" zoomScale="85" zoomScaleNormal="60" zoomScaleSheetLayoutView="85" workbookViewId="0">
      <selection activeCell="F20" sqref="F20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54" t="s">
        <v>18</v>
      </c>
      <c r="E10" s="15"/>
      <c r="F10" s="16" t="s">
        <v>19</v>
      </c>
      <c r="G10" s="16" t="s">
        <v>19</v>
      </c>
      <c r="H10" s="17" t="s">
        <v>19</v>
      </c>
      <c r="I10" s="17" t="s">
        <v>19</v>
      </c>
      <c r="J10" s="16"/>
      <c r="K10" s="16" t="s">
        <v>19</v>
      </c>
      <c r="L10" s="17" t="s">
        <v>19</v>
      </c>
      <c r="M10" s="17" t="s">
        <v>19</v>
      </c>
      <c r="N10" s="16" t="s">
        <v>19</v>
      </c>
      <c r="O10" s="16" t="s">
        <v>19</v>
      </c>
      <c r="P10" s="16" t="s">
        <v>19</v>
      </c>
      <c r="Q10" s="17" t="s">
        <v>19</v>
      </c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71.2</v>
      </c>
      <c r="H11" s="20">
        <v>83.8</v>
      </c>
      <c r="I11" s="20">
        <v>77.7</v>
      </c>
      <c r="J11" s="19"/>
      <c r="K11" s="19">
        <v>70.400000000000006</v>
      </c>
      <c r="L11" s="20">
        <v>73.8</v>
      </c>
      <c r="M11" s="20">
        <v>73.3</v>
      </c>
      <c r="N11" s="19">
        <v>75.599999999999994</v>
      </c>
      <c r="O11" s="19">
        <v>74.3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</v>
      </c>
      <c r="H12" s="20">
        <v>0</v>
      </c>
      <c r="I12" s="20">
        <v>0</v>
      </c>
      <c r="J12" s="19"/>
      <c r="K12" s="19">
        <v>0</v>
      </c>
      <c r="L12" s="20">
        <v>0.2</v>
      </c>
      <c r="M12" s="20">
        <v>0</v>
      </c>
      <c r="N12" s="19">
        <v>0</v>
      </c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65.2</v>
      </c>
      <c r="H13" s="20">
        <v>80.3</v>
      </c>
      <c r="I13" s="20">
        <v>72.8</v>
      </c>
      <c r="J13" s="19"/>
      <c r="K13" s="19">
        <v>66.099999999999994</v>
      </c>
      <c r="L13" s="20">
        <v>70.2</v>
      </c>
      <c r="M13" s="20">
        <v>70.599999999999994</v>
      </c>
      <c r="N13" s="19">
        <v>70.5</v>
      </c>
      <c r="O13" s="19">
        <v>69.7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64.7</v>
      </c>
      <c r="H14" s="20">
        <v>67.3</v>
      </c>
      <c r="I14" s="20">
        <v>67.2</v>
      </c>
      <c r="J14" s="19"/>
      <c r="K14" s="19">
        <v>63.6</v>
      </c>
      <c r="L14" s="20">
        <v>65.7</v>
      </c>
      <c r="M14" s="20">
        <v>63.5</v>
      </c>
      <c r="N14" s="19">
        <v>72.099999999999994</v>
      </c>
      <c r="O14" s="19">
        <v>68.099999999999994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56</v>
      </c>
      <c r="H15" s="20">
        <v>53.1</v>
      </c>
      <c r="I15" s="20">
        <v>51.3</v>
      </c>
      <c r="J15" s="19"/>
      <c r="K15" s="19">
        <v>38.700000000000003</v>
      </c>
      <c r="L15" s="20">
        <v>34.5</v>
      </c>
      <c r="M15" s="20">
        <v>30.9</v>
      </c>
      <c r="N15" s="19">
        <v>56.6</v>
      </c>
      <c r="O15" s="19">
        <v>50.4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>
        <v>6.6</v>
      </c>
      <c r="I16" s="20">
        <v>6.6</v>
      </c>
      <c r="J16" s="19"/>
      <c r="K16" s="19">
        <v>6.6</v>
      </c>
      <c r="L16" s="20">
        <v>6.6</v>
      </c>
      <c r="M16" s="20">
        <v>6.6</v>
      </c>
      <c r="N16" s="19">
        <v>6.6</v>
      </c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116.6</v>
      </c>
      <c r="H17" s="20">
        <v>117.5</v>
      </c>
      <c r="I17" s="20">
        <v>117.7</v>
      </c>
      <c r="J17" s="19"/>
      <c r="K17" s="19">
        <v>116.4</v>
      </c>
      <c r="L17" s="20">
        <v>116.2</v>
      </c>
      <c r="M17" s="20">
        <v>118</v>
      </c>
      <c r="N17" s="19">
        <v>116.9</v>
      </c>
      <c r="O17" s="19">
        <v>116.9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1132</v>
      </c>
      <c r="H18" s="20">
        <v>1201</v>
      </c>
      <c r="I18" s="20">
        <v>1186</v>
      </c>
      <c r="J18" s="19"/>
      <c r="K18" s="19">
        <v>1176</v>
      </c>
      <c r="L18" s="20">
        <v>1167</v>
      </c>
      <c r="M18" s="20">
        <v>1194</v>
      </c>
      <c r="N18" s="19">
        <v>1179</v>
      </c>
      <c r="O18" s="19">
        <v>1185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46697.2</v>
      </c>
      <c r="H19" s="20">
        <v>47591.3</v>
      </c>
      <c r="I19" s="20">
        <v>47599.8</v>
      </c>
      <c r="J19" s="19"/>
      <c r="K19" s="19">
        <v>45193.5</v>
      </c>
      <c r="L19" s="20">
        <v>47495.5</v>
      </c>
      <c r="M19" s="20">
        <v>47504</v>
      </c>
      <c r="N19" s="19">
        <v>46825.5</v>
      </c>
      <c r="O19" s="19">
        <v>46834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58.1</v>
      </c>
      <c r="H22" s="20">
        <v>58.9</v>
      </c>
      <c r="I22" s="20">
        <v>59.3</v>
      </c>
      <c r="J22" s="19"/>
      <c r="K22" s="19">
        <v>57.7</v>
      </c>
      <c r="L22" s="20">
        <v>57.3</v>
      </c>
      <c r="M22" s="20">
        <v>57.3</v>
      </c>
      <c r="N22" s="19">
        <v>58.3</v>
      </c>
      <c r="O22" s="19">
        <v>58.5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0.53</v>
      </c>
      <c r="H23" s="20">
        <v>0.48</v>
      </c>
      <c r="I23" s="20">
        <v>0.49</v>
      </c>
      <c r="J23" s="19"/>
      <c r="K23" s="19">
        <v>0.59</v>
      </c>
      <c r="L23" s="20">
        <v>0.52</v>
      </c>
      <c r="M23" s="20">
        <v>0.52</v>
      </c>
      <c r="N23" s="19">
        <v>0.47</v>
      </c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45</v>
      </c>
      <c r="H25" s="20">
        <v>45.1</v>
      </c>
      <c r="I25" s="20">
        <v>44.8</v>
      </c>
      <c r="J25" s="19"/>
      <c r="K25" s="19">
        <v>45.1</v>
      </c>
      <c r="L25" s="20">
        <v>45.1</v>
      </c>
      <c r="M25" s="20">
        <v>45</v>
      </c>
      <c r="N25" s="19">
        <v>45.1</v>
      </c>
      <c r="O25" s="19">
        <v>44.8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>
        <v>0.21</v>
      </c>
      <c r="I26" s="20">
        <v>0.22</v>
      </c>
      <c r="J26" s="19"/>
      <c r="K26" s="19">
        <v>0.23</v>
      </c>
      <c r="L26" s="20">
        <v>0.22</v>
      </c>
      <c r="M26" s="20">
        <v>0.22</v>
      </c>
      <c r="N26" s="19">
        <v>0.22</v>
      </c>
      <c r="O26" s="19">
        <v>0.22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</v>
      </c>
      <c r="H27" s="20">
        <v>3</v>
      </c>
      <c r="I27" s="20">
        <v>3.6</v>
      </c>
      <c r="J27" s="19"/>
      <c r="K27" s="19">
        <v>4.3</v>
      </c>
      <c r="L27" s="20">
        <v>3.5</v>
      </c>
      <c r="M27" s="20">
        <v>4.0999999999999996</v>
      </c>
      <c r="N27" s="19">
        <v>4.0999999999999996</v>
      </c>
      <c r="O27" s="19">
        <v>3.9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3.7</v>
      </c>
      <c r="H28" s="20">
        <v>2</v>
      </c>
      <c r="I28" s="20">
        <v>2.7</v>
      </c>
      <c r="J28" s="19"/>
      <c r="K28" s="19">
        <v>3.6</v>
      </c>
      <c r="L28" s="20">
        <v>2.7</v>
      </c>
      <c r="M28" s="20">
        <v>2.9</v>
      </c>
      <c r="N28" s="19">
        <v>2.9</v>
      </c>
      <c r="O28" s="19">
        <v>2.7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1</v>
      </c>
      <c r="H29" s="26">
        <f t="shared" si="0"/>
        <v>2.4000000000000004</v>
      </c>
      <c r="I29" s="26">
        <f t="shared" si="0"/>
        <v>2.2999999999999998</v>
      </c>
      <c r="J29" s="26">
        <f t="shared" si="0"/>
        <v>0</v>
      </c>
      <c r="K29" s="26">
        <f t="shared" si="0"/>
        <v>0.69999999999999973</v>
      </c>
      <c r="L29" s="26">
        <f t="shared" si="0"/>
        <v>1.1999999999999997</v>
      </c>
      <c r="M29" s="26">
        <f t="shared" si="0"/>
        <v>1.3000000000000003</v>
      </c>
      <c r="N29" s="26">
        <f>N32-N28</f>
        <v>1.1999999999999997</v>
      </c>
      <c r="O29" s="26">
        <f t="shared" si="0"/>
        <v>1.1999999999999997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669.2</v>
      </c>
      <c r="H30" s="20">
        <v>669.3</v>
      </c>
      <c r="I30" s="20">
        <v>650.29999999999995</v>
      </c>
      <c r="J30" s="19"/>
      <c r="K30" s="19">
        <v>648.9</v>
      </c>
      <c r="L30" s="20">
        <v>651.79999999999995</v>
      </c>
      <c r="M30" s="20">
        <v>653.5</v>
      </c>
      <c r="N30" s="19">
        <v>661.9</v>
      </c>
      <c r="O30" s="19">
        <v>638.1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13.4</v>
      </c>
      <c r="H31" s="20">
        <v>13.2</v>
      </c>
      <c r="I31" s="20">
        <v>13.3</v>
      </c>
      <c r="J31" s="19"/>
      <c r="K31" s="19">
        <v>13.1</v>
      </c>
      <c r="L31" s="20">
        <v>12.8</v>
      </c>
      <c r="M31" s="20">
        <v>12.9</v>
      </c>
      <c r="N31" s="19">
        <v>13.1</v>
      </c>
      <c r="O31" s="19">
        <v>12.8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4.7</v>
      </c>
      <c r="H32" s="20">
        <v>4.4000000000000004</v>
      </c>
      <c r="I32" s="20">
        <v>5</v>
      </c>
      <c r="J32" s="19"/>
      <c r="K32" s="19">
        <v>4.3</v>
      </c>
      <c r="L32" s="20">
        <v>3.9</v>
      </c>
      <c r="M32" s="20">
        <v>4.2</v>
      </c>
      <c r="N32" s="19">
        <v>4.0999999999999996</v>
      </c>
      <c r="O32" s="19">
        <v>3.9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8.6999999999999993</v>
      </c>
      <c r="H33" s="26">
        <f t="shared" si="1"/>
        <v>8.7999999999999989</v>
      </c>
      <c r="I33" s="26">
        <f t="shared" si="1"/>
        <v>8.3000000000000007</v>
      </c>
      <c r="J33" s="26">
        <f t="shared" si="1"/>
        <v>0</v>
      </c>
      <c r="K33" s="26">
        <f t="shared" si="1"/>
        <v>8.8000000000000007</v>
      </c>
      <c r="L33" s="26">
        <f t="shared" si="1"/>
        <v>8.9</v>
      </c>
      <c r="M33" s="26">
        <f t="shared" si="1"/>
        <v>8.6999999999999993</v>
      </c>
      <c r="N33" s="26">
        <f t="shared" si="1"/>
        <v>9</v>
      </c>
      <c r="O33" s="26">
        <f t="shared" si="1"/>
        <v>8.9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6722.9099307159349</v>
      </c>
      <c r="H34" s="27">
        <f t="shared" si="2"/>
        <v>6801.2009237875282</v>
      </c>
      <c r="I34" s="27">
        <f t="shared" si="2"/>
        <v>6232.6674364896071</v>
      </c>
      <c r="J34" s="27">
        <f t="shared" si="2"/>
        <v>0</v>
      </c>
      <c r="K34" s="27">
        <f t="shared" si="2"/>
        <v>6593.9030023094692</v>
      </c>
      <c r="L34" s="27">
        <f t="shared" si="2"/>
        <v>6698.6374133949184</v>
      </c>
      <c r="M34" s="27">
        <f t="shared" si="2"/>
        <v>6565.1847575057736</v>
      </c>
      <c r="N34" s="27">
        <f t="shared" si="2"/>
        <v>6878.8683602771353</v>
      </c>
      <c r="O34" s="27">
        <f t="shared" si="2"/>
        <v>6557.8406466512706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0.83</v>
      </c>
      <c r="H35" s="20">
        <v>0.83</v>
      </c>
      <c r="I35" s="20">
        <v>0.86</v>
      </c>
      <c r="J35" s="19"/>
      <c r="K35" s="19">
        <v>0.84</v>
      </c>
      <c r="L35" s="20">
        <v>0.84</v>
      </c>
      <c r="M35" s="20">
        <v>0.85</v>
      </c>
      <c r="N35" s="19">
        <v>0.8</v>
      </c>
      <c r="O35" s="19">
        <v>0.82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36.4</v>
      </c>
      <c r="H36" s="20">
        <v>36</v>
      </c>
      <c r="I36" s="20">
        <v>37.1</v>
      </c>
      <c r="J36" s="19"/>
      <c r="K36" s="19">
        <v>36.6</v>
      </c>
      <c r="L36" s="20">
        <v>35.5</v>
      </c>
      <c r="M36" s="20">
        <v>37.200000000000003</v>
      </c>
      <c r="N36" s="19">
        <v>34.9</v>
      </c>
      <c r="O36" s="19">
        <v>36.700000000000003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37</v>
      </c>
      <c r="H37" s="20">
        <v>36.9</v>
      </c>
      <c r="I37" s="20">
        <v>38</v>
      </c>
      <c r="J37" s="19"/>
      <c r="K37" s="19">
        <v>37.299999999999997</v>
      </c>
      <c r="L37" s="20">
        <v>36</v>
      </c>
      <c r="M37" s="20">
        <v>37.6</v>
      </c>
      <c r="N37" s="19">
        <v>35.4</v>
      </c>
      <c r="O37" s="19">
        <v>37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2.6000000000000014</v>
      </c>
      <c r="H38" s="26">
        <f t="shared" si="3"/>
        <v>4.6000000000000014</v>
      </c>
      <c r="I38" s="26">
        <f t="shared" si="3"/>
        <v>4.1000000000000014</v>
      </c>
      <c r="J38" s="26">
        <f t="shared" si="3"/>
        <v>0</v>
      </c>
      <c r="K38" s="26">
        <f t="shared" si="3"/>
        <v>2.7999999999999972</v>
      </c>
      <c r="L38" s="26">
        <f t="shared" si="3"/>
        <v>3.5</v>
      </c>
      <c r="M38" s="26">
        <f t="shared" si="3"/>
        <v>3.5</v>
      </c>
      <c r="N38" s="26">
        <f t="shared" si="3"/>
        <v>2.5</v>
      </c>
      <c r="O38" s="26">
        <f t="shared" si="3"/>
        <v>2.2000000000000028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29.1</v>
      </c>
      <c r="H40" s="20">
        <v>27.4</v>
      </c>
      <c r="I40" s="20">
        <v>28.8</v>
      </c>
      <c r="J40" s="19"/>
      <c r="K40" s="19">
        <v>29</v>
      </c>
      <c r="L40" s="20">
        <v>27.3</v>
      </c>
      <c r="M40" s="20">
        <v>28.9</v>
      </c>
      <c r="N40" s="19">
        <v>27.2</v>
      </c>
      <c r="O40" s="19">
        <v>28.8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34.4</v>
      </c>
      <c r="H41" s="20">
        <v>32.299999999999997</v>
      </c>
      <c r="I41" s="20">
        <v>33.9</v>
      </c>
      <c r="J41" s="19"/>
      <c r="K41" s="19">
        <v>34.5</v>
      </c>
      <c r="L41" s="20">
        <v>32.5</v>
      </c>
      <c r="M41" s="20">
        <v>34.1</v>
      </c>
      <c r="N41" s="19">
        <v>32.9</v>
      </c>
      <c r="O41" s="19">
        <v>34.799999999999997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5.2999999999999972</v>
      </c>
      <c r="H42" s="26">
        <f t="shared" si="4"/>
        <v>4.8999999999999986</v>
      </c>
      <c r="I42" s="26">
        <f t="shared" si="4"/>
        <v>5.0999999999999979</v>
      </c>
      <c r="J42" s="26">
        <f t="shared" si="4"/>
        <v>0</v>
      </c>
      <c r="K42" s="26">
        <f t="shared" si="4"/>
        <v>5.5</v>
      </c>
      <c r="L42" s="26">
        <f t="shared" si="4"/>
        <v>5.1999999999999993</v>
      </c>
      <c r="M42" s="26">
        <f t="shared" si="4"/>
        <v>5.2000000000000028</v>
      </c>
      <c r="N42" s="26">
        <f t="shared" si="4"/>
        <v>5.6999999999999993</v>
      </c>
      <c r="O42" s="26">
        <f t="shared" si="4"/>
        <v>5.9999999999999964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1297.3</v>
      </c>
      <c r="H43" s="20">
        <v>1312.7</v>
      </c>
      <c r="I43" s="20">
        <v>1300.9000000000001</v>
      </c>
      <c r="J43" s="19"/>
      <c r="K43" s="19">
        <v>1303.2</v>
      </c>
      <c r="L43" s="20">
        <v>1305.7</v>
      </c>
      <c r="M43" s="19">
        <v>1289.9000000000001</v>
      </c>
      <c r="N43" s="19">
        <v>1202.7</v>
      </c>
      <c r="O43" s="19">
        <v>1110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7939.5958429561151</v>
      </c>
      <c r="H44" s="27">
        <f t="shared" si="5"/>
        <v>7427.5173210161647</v>
      </c>
      <c r="I44" s="27">
        <f t="shared" si="5"/>
        <v>7661.1893764434153</v>
      </c>
      <c r="J44" s="27">
        <f t="shared" si="5"/>
        <v>0</v>
      </c>
      <c r="K44" s="27">
        <f t="shared" si="5"/>
        <v>8276.6743648960746</v>
      </c>
      <c r="L44" s="27">
        <f t="shared" si="5"/>
        <v>7840.2309468822168</v>
      </c>
      <c r="M44" s="27">
        <f t="shared" si="5"/>
        <v>7745.3579676674417</v>
      </c>
      <c r="N44" s="27">
        <f t="shared" si="5"/>
        <v>7916.154734411085</v>
      </c>
      <c r="O44" s="27">
        <f t="shared" si="5"/>
        <v>7690.5311778290952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0.47</v>
      </c>
      <c r="H45" s="20">
        <v>0.44</v>
      </c>
      <c r="I45" s="20">
        <v>0.47</v>
      </c>
      <c r="J45" s="19"/>
      <c r="K45" s="19">
        <v>0.46</v>
      </c>
      <c r="L45" s="20">
        <v>0.45</v>
      </c>
      <c r="M45" s="20">
        <v>0.47</v>
      </c>
      <c r="N45" s="19">
        <v>0.44</v>
      </c>
      <c r="O45" s="19">
        <v>0.46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20.100000000000001</v>
      </c>
      <c r="H46" s="20">
        <v>18.7</v>
      </c>
      <c r="I46" s="20">
        <v>19.899999999999999</v>
      </c>
      <c r="J46" s="19"/>
      <c r="K46" s="19">
        <v>19.8</v>
      </c>
      <c r="L46" s="20">
        <v>19.2</v>
      </c>
      <c r="M46" s="20">
        <v>20.100000000000001</v>
      </c>
      <c r="N46" s="19">
        <v>18.600000000000001</v>
      </c>
      <c r="O46" s="19">
        <v>19.600000000000001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229.9</v>
      </c>
      <c r="H47" s="20">
        <v>116.5</v>
      </c>
      <c r="I47" s="20">
        <v>120.8</v>
      </c>
      <c r="J47" s="19"/>
      <c r="K47" s="19">
        <v>207.3</v>
      </c>
      <c r="L47" s="20">
        <v>208.6</v>
      </c>
      <c r="M47" s="20">
        <v>203.6</v>
      </c>
      <c r="N47" s="19">
        <v>168</v>
      </c>
      <c r="O47" s="19">
        <v>159.4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54">
        <v>5.89</v>
      </c>
      <c r="F49" s="19"/>
      <c r="G49" s="19">
        <v>5.74</v>
      </c>
      <c r="H49" s="20">
        <v>5.4</v>
      </c>
      <c r="I49" s="20">
        <v>5.18</v>
      </c>
      <c r="J49" s="19"/>
      <c r="K49" s="19">
        <v>5.52</v>
      </c>
      <c r="L49" s="20">
        <v>5.67</v>
      </c>
      <c r="M49" s="20">
        <v>5.39</v>
      </c>
      <c r="N49" s="19">
        <v>5.59</v>
      </c>
      <c r="O49" s="19">
        <v>5.54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54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53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EB3E-FD2A-4774-AA7C-1CF6930F313C}">
  <dimension ref="B1:Q59"/>
  <sheetViews>
    <sheetView view="pageBreakPreview" zoomScale="85" zoomScaleNormal="60" zoomScaleSheetLayoutView="85" workbookViewId="0">
      <selection activeCell="Q10" sqref="Q10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56" t="s">
        <v>18</v>
      </c>
      <c r="E10" s="15"/>
      <c r="F10" s="16" t="s">
        <v>19</v>
      </c>
      <c r="G10" s="16" t="s">
        <v>19</v>
      </c>
      <c r="H10" s="17"/>
      <c r="I10" s="17" t="s">
        <v>19</v>
      </c>
      <c r="J10" s="16" t="s">
        <v>19</v>
      </c>
      <c r="K10" s="16" t="s">
        <v>19</v>
      </c>
      <c r="L10" s="17"/>
      <c r="M10" s="17" t="s">
        <v>19</v>
      </c>
      <c r="N10" s="16" t="s">
        <v>19</v>
      </c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>
        <v>72</v>
      </c>
      <c r="G11" s="19">
        <v>72</v>
      </c>
      <c r="H11" s="20"/>
      <c r="I11" s="20">
        <v>75.3</v>
      </c>
      <c r="J11" s="19">
        <v>73.3</v>
      </c>
      <c r="K11" s="19">
        <v>70.8</v>
      </c>
      <c r="L11" s="20"/>
      <c r="M11" s="20">
        <v>73.5</v>
      </c>
      <c r="N11" s="19">
        <v>75.099999999999994</v>
      </c>
      <c r="O11" s="19">
        <v>73.400000000000006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>
        <v>0</v>
      </c>
      <c r="G12" s="19">
        <v>0</v>
      </c>
      <c r="H12" s="20"/>
      <c r="I12" s="20">
        <v>0</v>
      </c>
      <c r="J12" s="19">
        <v>0</v>
      </c>
      <c r="K12" s="19">
        <v>0</v>
      </c>
      <c r="L12" s="20"/>
      <c r="M12" s="20">
        <v>0.1</v>
      </c>
      <c r="N12" s="19">
        <v>0</v>
      </c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>
        <v>65.8</v>
      </c>
      <c r="G13" s="19">
        <v>65.8</v>
      </c>
      <c r="H13" s="20"/>
      <c r="I13" s="20">
        <v>70.3</v>
      </c>
      <c r="J13" s="19">
        <v>68.400000000000006</v>
      </c>
      <c r="K13" s="19">
        <v>67.8</v>
      </c>
      <c r="L13" s="20"/>
      <c r="M13" s="20">
        <v>68.7</v>
      </c>
      <c r="N13" s="19">
        <v>70.7</v>
      </c>
      <c r="O13" s="19">
        <v>68.5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>
        <v>69</v>
      </c>
      <c r="G14" s="19">
        <v>66.7</v>
      </c>
      <c r="H14" s="20"/>
      <c r="I14" s="20">
        <v>68.7</v>
      </c>
      <c r="J14" s="19">
        <v>63.9</v>
      </c>
      <c r="K14" s="19">
        <v>62.8</v>
      </c>
      <c r="L14" s="20"/>
      <c r="M14" s="20">
        <v>65.400000000000006</v>
      </c>
      <c r="N14" s="19">
        <v>73.8</v>
      </c>
      <c r="O14" s="19">
        <v>72.400000000000006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>
        <v>51.1</v>
      </c>
      <c r="G15" s="19">
        <v>69.099999999999994</v>
      </c>
      <c r="H15" s="20"/>
      <c r="I15" s="20">
        <v>51.1</v>
      </c>
      <c r="J15" s="19">
        <v>41.7</v>
      </c>
      <c r="K15" s="19">
        <v>36.799999999999997</v>
      </c>
      <c r="L15" s="20"/>
      <c r="M15" s="20">
        <v>30.6</v>
      </c>
      <c r="N15" s="19">
        <v>32.799999999999997</v>
      </c>
      <c r="O15" s="19">
        <v>48.7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>
        <v>6.6</v>
      </c>
      <c r="G16" s="19">
        <v>6.6</v>
      </c>
      <c r="H16" s="20">
        <v>6.6</v>
      </c>
      <c r="I16" s="20">
        <v>6.6</v>
      </c>
      <c r="J16" s="19">
        <v>6.6</v>
      </c>
      <c r="K16" s="19">
        <v>6.6</v>
      </c>
      <c r="L16" s="20">
        <v>6.6</v>
      </c>
      <c r="M16" s="20">
        <v>6.6</v>
      </c>
      <c r="N16" s="19">
        <v>6.6</v>
      </c>
      <c r="O16" s="19">
        <v>6.6</v>
      </c>
      <c r="P16" s="20">
        <v>6.6</v>
      </c>
      <c r="Q16" s="20">
        <v>6.6</v>
      </c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>
        <v>115.2</v>
      </c>
      <c r="G17" s="19">
        <v>117.5</v>
      </c>
      <c r="H17" s="20"/>
      <c r="I17" s="20">
        <v>116.7</v>
      </c>
      <c r="J17" s="19">
        <v>114.1</v>
      </c>
      <c r="K17" s="19">
        <v>115.8</v>
      </c>
      <c r="L17" s="20"/>
      <c r="M17" s="20">
        <v>115.5</v>
      </c>
      <c r="N17" s="19">
        <v>116.6</v>
      </c>
      <c r="O17" s="19">
        <v>117.2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>
        <v>1138</v>
      </c>
      <c r="G18" s="19">
        <v>1153</v>
      </c>
      <c r="H18" s="20"/>
      <c r="I18" s="20">
        <v>1177</v>
      </c>
      <c r="J18" s="19">
        <v>1168</v>
      </c>
      <c r="K18" s="19">
        <v>1172</v>
      </c>
      <c r="L18" s="20"/>
      <c r="M18" s="20">
        <v>1177</v>
      </c>
      <c r="N18" s="19">
        <v>1188</v>
      </c>
      <c r="O18" s="19">
        <v>1196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>
        <v>46710.6</v>
      </c>
      <c r="G19" s="19">
        <v>46701.7</v>
      </c>
      <c r="H19" s="20"/>
      <c r="I19" s="20">
        <v>47603.5</v>
      </c>
      <c r="J19" s="19">
        <v>45208.2</v>
      </c>
      <c r="K19" s="19">
        <v>45199.199999999997</v>
      </c>
      <c r="L19" s="20"/>
      <c r="M19" s="20">
        <v>47510.400000000001</v>
      </c>
      <c r="N19" s="19">
        <v>46843.6</v>
      </c>
      <c r="O19" s="19">
        <v>46834.7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>
        <v>58.8</v>
      </c>
      <c r="G22" s="19">
        <v>58.8</v>
      </c>
      <c r="H22" s="20"/>
      <c r="I22" s="20">
        <v>58.9</v>
      </c>
      <c r="J22" s="19">
        <v>57.3</v>
      </c>
      <c r="K22" s="19">
        <v>57.7</v>
      </c>
      <c r="L22" s="20"/>
      <c r="M22" s="20">
        <v>57.6</v>
      </c>
      <c r="N22" s="19">
        <v>58.5</v>
      </c>
      <c r="O22" s="19">
        <v>58.6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>
        <v>0.52</v>
      </c>
      <c r="G23" s="19">
        <v>0.53</v>
      </c>
      <c r="H23" s="20"/>
      <c r="I23" s="20">
        <v>0.49</v>
      </c>
      <c r="J23" s="19">
        <v>0.59</v>
      </c>
      <c r="K23" s="19">
        <v>0.59</v>
      </c>
      <c r="L23" s="20"/>
      <c r="M23" s="20">
        <v>0.52</v>
      </c>
      <c r="N23" s="19">
        <v>0.48</v>
      </c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>
        <v>45.1</v>
      </c>
      <c r="G25" s="19">
        <v>44.6</v>
      </c>
      <c r="H25" s="20"/>
      <c r="I25" s="20">
        <v>45.2</v>
      </c>
      <c r="J25" s="19">
        <v>45.1</v>
      </c>
      <c r="K25" s="19">
        <v>45</v>
      </c>
      <c r="L25" s="20"/>
      <c r="M25" s="20">
        <v>44.9</v>
      </c>
      <c r="N25" s="19">
        <v>45</v>
      </c>
      <c r="O25" s="19">
        <v>45.2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>
        <v>0.23</v>
      </c>
      <c r="G26" s="19">
        <v>0.23</v>
      </c>
      <c r="H26" s="20"/>
      <c r="I26" s="20">
        <v>0.22</v>
      </c>
      <c r="J26" s="19">
        <v>0.22</v>
      </c>
      <c r="K26" s="19">
        <v>0.23</v>
      </c>
      <c r="L26" s="20"/>
      <c r="M26" s="20">
        <v>0.22</v>
      </c>
      <c r="N26" s="19">
        <v>0.22</v>
      </c>
      <c r="O26" s="19">
        <v>0.22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>
        <v>4.2</v>
      </c>
      <c r="G27" s="19">
        <v>4.2</v>
      </c>
      <c r="H27" s="20"/>
      <c r="I27" s="20">
        <v>3.8</v>
      </c>
      <c r="J27" s="19">
        <v>4.0999999999999996</v>
      </c>
      <c r="K27" s="19">
        <v>4.2</v>
      </c>
      <c r="L27" s="20"/>
      <c r="M27" s="20">
        <v>3.9</v>
      </c>
      <c r="N27" s="19">
        <v>4.3</v>
      </c>
      <c r="O27" s="19">
        <v>4.3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>
        <v>3.7</v>
      </c>
      <c r="G28" s="19">
        <v>3.8</v>
      </c>
      <c r="H28" s="20"/>
      <c r="I28" s="20">
        <v>3</v>
      </c>
      <c r="J28" s="19">
        <v>3.4</v>
      </c>
      <c r="K28" s="19">
        <v>3.6</v>
      </c>
      <c r="L28" s="20"/>
      <c r="M28" s="20">
        <v>2.8</v>
      </c>
      <c r="N28" s="19">
        <v>3.3</v>
      </c>
      <c r="O28" s="19">
        <v>3.3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1.2000000000000002</v>
      </c>
      <c r="G29" s="26">
        <f t="shared" ref="G29:Q29" si="0">G32-G28</f>
        <v>1.1000000000000005</v>
      </c>
      <c r="H29" s="26">
        <f t="shared" si="0"/>
        <v>0</v>
      </c>
      <c r="I29" s="26">
        <f t="shared" si="0"/>
        <v>1.7999999999999998</v>
      </c>
      <c r="J29" s="26">
        <f t="shared" si="0"/>
        <v>0.60000000000000009</v>
      </c>
      <c r="K29" s="26">
        <f t="shared" si="0"/>
        <v>0.69999999999999973</v>
      </c>
      <c r="L29" s="26">
        <f t="shared" si="0"/>
        <v>0</v>
      </c>
      <c r="M29" s="26">
        <f t="shared" si="0"/>
        <v>1.2000000000000002</v>
      </c>
      <c r="N29" s="26">
        <f>N32-N28</f>
        <v>1.1000000000000005</v>
      </c>
      <c r="O29" s="26">
        <f t="shared" si="0"/>
        <v>1.2000000000000002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>
        <v>691.5</v>
      </c>
      <c r="G30" s="19">
        <v>686</v>
      </c>
      <c r="H30" s="20"/>
      <c r="I30" s="20">
        <v>670.5</v>
      </c>
      <c r="J30" s="19">
        <v>655.20000000000005</v>
      </c>
      <c r="K30" s="19">
        <v>651.1</v>
      </c>
      <c r="L30" s="20"/>
      <c r="M30" s="20">
        <v>653.79999999999995</v>
      </c>
      <c r="N30" s="19">
        <v>664.5</v>
      </c>
      <c r="O30" s="19">
        <v>658.6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>
        <v>13.3</v>
      </c>
      <c r="G31" s="19">
        <v>13.3</v>
      </c>
      <c r="H31" s="20"/>
      <c r="I31" s="20">
        <v>13.5</v>
      </c>
      <c r="J31" s="19">
        <v>12.9</v>
      </c>
      <c r="K31" s="19">
        <v>13.3</v>
      </c>
      <c r="L31" s="20"/>
      <c r="M31" s="20">
        <v>12.8</v>
      </c>
      <c r="N31" s="19">
        <v>13.3</v>
      </c>
      <c r="O31" s="19">
        <v>13.5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>
        <v>4.9000000000000004</v>
      </c>
      <c r="G32" s="19">
        <v>4.9000000000000004</v>
      </c>
      <c r="H32" s="20"/>
      <c r="I32" s="20">
        <v>4.8</v>
      </c>
      <c r="J32" s="19">
        <v>4</v>
      </c>
      <c r="K32" s="19">
        <v>4.3</v>
      </c>
      <c r="L32" s="20"/>
      <c r="M32" s="20">
        <v>4</v>
      </c>
      <c r="N32" s="19">
        <v>4.4000000000000004</v>
      </c>
      <c r="O32" s="19">
        <v>4.5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8.4</v>
      </c>
      <c r="G33" s="26">
        <f t="shared" ref="G33:Q33" si="1">G31-G32</f>
        <v>8.4</v>
      </c>
      <c r="H33" s="26">
        <f t="shared" si="1"/>
        <v>0</v>
      </c>
      <c r="I33" s="26">
        <f t="shared" si="1"/>
        <v>8.6999999999999993</v>
      </c>
      <c r="J33" s="26">
        <f t="shared" si="1"/>
        <v>8.9</v>
      </c>
      <c r="K33" s="26">
        <f t="shared" si="1"/>
        <v>9</v>
      </c>
      <c r="L33" s="26">
        <f t="shared" si="1"/>
        <v>0</v>
      </c>
      <c r="M33" s="26">
        <f t="shared" si="1"/>
        <v>8.8000000000000007</v>
      </c>
      <c r="N33" s="26">
        <f t="shared" si="1"/>
        <v>8.9</v>
      </c>
      <c r="O33" s="26">
        <f t="shared" si="1"/>
        <v>9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6707.3903002309471</v>
      </c>
      <c r="G34" s="27">
        <f t="shared" ref="G34:Q34" si="2">(G33*G30)/0.866</f>
        <v>6654.0415704387997</v>
      </c>
      <c r="H34" s="27">
        <f t="shared" si="2"/>
        <v>0</v>
      </c>
      <c r="I34" s="27">
        <f t="shared" si="2"/>
        <v>6735.9699769053113</v>
      </c>
      <c r="J34" s="27">
        <f t="shared" si="2"/>
        <v>6733.5796766743661</v>
      </c>
      <c r="K34" s="27">
        <f t="shared" si="2"/>
        <v>6766.6281755196314</v>
      </c>
      <c r="L34" s="27">
        <f t="shared" si="2"/>
        <v>0</v>
      </c>
      <c r="M34" s="27">
        <f t="shared" si="2"/>
        <v>6643.6951501154745</v>
      </c>
      <c r="N34" s="27">
        <f t="shared" si="2"/>
        <v>6829.1570438799081</v>
      </c>
      <c r="O34" s="27">
        <f t="shared" si="2"/>
        <v>6844.5727482678994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>
        <v>0.8</v>
      </c>
      <c r="G35" s="19">
        <v>0.82</v>
      </c>
      <c r="H35" s="20"/>
      <c r="I35" s="20">
        <v>0.84</v>
      </c>
      <c r="J35" s="19">
        <v>81</v>
      </c>
      <c r="K35" s="19">
        <v>0.84</v>
      </c>
      <c r="L35" s="20"/>
      <c r="M35" s="20">
        <v>0.84</v>
      </c>
      <c r="N35" s="19">
        <v>0.81</v>
      </c>
      <c r="O35" s="19">
        <v>0.83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>
        <v>35.200000000000003</v>
      </c>
      <c r="G36" s="19">
        <v>36</v>
      </c>
      <c r="H36" s="20"/>
      <c r="I36" s="20">
        <v>36.4</v>
      </c>
      <c r="J36" s="19">
        <v>35.4</v>
      </c>
      <c r="K36" s="19">
        <v>36.5</v>
      </c>
      <c r="L36" s="20"/>
      <c r="M36" s="20">
        <v>36.9</v>
      </c>
      <c r="N36" s="19">
        <v>35.299999999999997</v>
      </c>
      <c r="O36" s="19">
        <v>36.6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>
        <v>35.700000000000003</v>
      </c>
      <c r="G37" s="19">
        <v>36.4</v>
      </c>
      <c r="H37" s="20"/>
      <c r="I37" s="20">
        <v>37.4</v>
      </c>
      <c r="J37" s="19">
        <v>36.1</v>
      </c>
      <c r="K37" s="19">
        <v>37.200000000000003</v>
      </c>
      <c r="L37" s="20"/>
      <c r="M37" s="20">
        <v>37.4</v>
      </c>
      <c r="N37" s="19">
        <v>35.700000000000003</v>
      </c>
      <c r="O37" s="19">
        <v>37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2.6000000000000014</v>
      </c>
      <c r="G38" s="26">
        <f t="shared" ref="G38:Q38" si="3">G37-G41</f>
        <v>2.5</v>
      </c>
      <c r="H38" s="26">
        <f t="shared" si="3"/>
        <v>0</v>
      </c>
      <c r="I38" s="26">
        <f t="shared" si="3"/>
        <v>4.2999999999999972</v>
      </c>
      <c r="J38" s="26">
        <f t="shared" si="3"/>
        <v>3</v>
      </c>
      <c r="K38" s="26">
        <f t="shared" si="3"/>
        <v>2.8000000000000043</v>
      </c>
      <c r="L38" s="26">
        <f t="shared" si="3"/>
        <v>0</v>
      </c>
      <c r="M38" s="26">
        <f t="shared" si="3"/>
        <v>3.5</v>
      </c>
      <c r="N38" s="26">
        <f t="shared" si="3"/>
        <v>2.5</v>
      </c>
      <c r="O38" s="26">
        <f t="shared" si="3"/>
        <v>2.2999999999999972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>
        <v>27.4</v>
      </c>
      <c r="G40" s="19">
        <v>28.3</v>
      </c>
      <c r="H40" s="20"/>
      <c r="I40" s="20">
        <v>28.3</v>
      </c>
      <c r="J40" s="19">
        <v>27.6</v>
      </c>
      <c r="K40" s="19">
        <v>28.9</v>
      </c>
      <c r="L40" s="20"/>
      <c r="M40" s="20">
        <v>28.8</v>
      </c>
      <c r="N40" s="19">
        <v>27.4</v>
      </c>
      <c r="O40" s="19">
        <v>28.7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>
        <v>33.1</v>
      </c>
      <c r="G41" s="19">
        <v>33.9</v>
      </c>
      <c r="H41" s="20"/>
      <c r="I41" s="20">
        <v>33.1</v>
      </c>
      <c r="J41" s="19">
        <v>33.1</v>
      </c>
      <c r="K41" s="19">
        <v>34.4</v>
      </c>
      <c r="L41" s="20"/>
      <c r="M41" s="20">
        <v>33.9</v>
      </c>
      <c r="N41" s="19">
        <v>33.200000000000003</v>
      </c>
      <c r="O41" s="19">
        <v>34.700000000000003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5.7000000000000028</v>
      </c>
      <c r="G42" s="26">
        <f t="shared" ref="G42:Q42" si="4">G41-G40</f>
        <v>5.5999999999999979</v>
      </c>
      <c r="H42" s="26">
        <f t="shared" si="4"/>
        <v>0</v>
      </c>
      <c r="I42" s="26">
        <f t="shared" si="4"/>
        <v>4.8000000000000007</v>
      </c>
      <c r="J42" s="26">
        <f t="shared" si="4"/>
        <v>5.5</v>
      </c>
      <c r="K42" s="26">
        <f t="shared" si="4"/>
        <v>5.5</v>
      </c>
      <c r="L42" s="26">
        <f t="shared" si="4"/>
        <v>0</v>
      </c>
      <c r="M42" s="26">
        <f t="shared" si="4"/>
        <v>5.0999999999999979</v>
      </c>
      <c r="N42" s="26">
        <f t="shared" si="4"/>
        <v>5.8000000000000043</v>
      </c>
      <c r="O42" s="26">
        <f t="shared" si="4"/>
        <v>6.0000000000000036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>
        <v>1293.2</v>
      </c>
      <c r="G43" s="19">
        <v>1293.5</v>
      </c>
      <c r="H43" s="20"/>
      <c r="I43" s="20">
        <v>1303.0999999999999</v>
      </c>
      <c r="J43" s="19">
        <v>1301.9000000000001</v>
      </c>
      <c r="K43" s="19">
        <v>1298.3</v>
      </c>
      <c r="L43" s="20"/>
      <c r="M43" s="19">
        <v>1299.5999999999999</v>
      </c>
      <c r="N43" s="19">
        <v>1188.8</v>
      </c>
      <c r="O43" s="19">
        <v>1146.9000000000001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8511.8244803695197</v>
      </c>
      <c r="G44" s="27">
        <f t="shared" ref="G44:Q44" si="5">G42*G43/0.866</f>
        <v>8364.4341801385654</v>
      </c>
      <c r="H44" s="27">
        <f t="shared" si="5"/>
        <v>0</v>
      </c>
      <c r="I44" s="27">
        <f t="shared" si="5"/>
        <v>7222.7251732101622</v>
      </c>
      <c r="J44" s="27">
        <f t="shared" si="5"/>
        <v>8268.4180138568136</v>
      </c>
      <c r="K44" s="27">
        <f t="shared" si="5"/>
        <v>8245.55427251732</v>
      </c>
      <c r="L44" s="27">
        <f t="shared" si="5"/>
        <v>0</v>
      </c>
      <c r="M44" s="27">
        <f t="shared" si="5"/>
        <v>7653.5334872979174</v>
      </c>
      <c r="N44" s="27">
        <f t="shared" si="5"/>
        <v>7961.939953810629</v>
      </c>
      <c r="O44" s="27">
        <f t="shared" si="5"/>
        <v>7946.1893764434226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>
        <v>0.46</v>
      </c>
      <c r="G45" s="19">
        <v>0.47</v>
      </c>
      <c r="H45" s="20"/>
      <c r="I45" s="20">
        <v>0.47</v>
      </c>
      <c r="J45" s="19">
        <v>0.45</v>
      </c>
      <c r="K45" s="19">
        <v>0.46</v>
      </c>
      <c r="L45" s="20"/>
      <c r="M45" s="20">
        <v>0.47</v>
      </c>
      <c r="N45" s="19">
        <v>0.45</v>
      </c>
      <c r="O45" s="19">
        <v>0.47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>
        <v>19.5</v>
      </c>
      <c r="G46" s="19">
        <v>20</v>
      </c>
      <c r="H46" s="20"/>
      <c r="I46" s="20">
        <v>19.7</v>
      </c>
      <c r="J46" s="19"/>
      <c r="K46" s="19">
        <v>19.3</v>
      </c>
      <c r="L46" s="20"/>
      <c r="M46" s="20">
        <v>20.100000000000001</v>
      </c>
      <c r="N46" s="19">
        <v>18.899999999999999</v>
      </c>
      <c r="O46" s="19">
        <v>19.899999999999999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>
        <v>214.2</v>
      </c>
      <c r="G47" s="19">
        <v>223.7</v>
      </c>
      <c r="H47" s="20"/>
      <c r="I47" s="20">
        <v>131.6</v>
      </c>
      <c r="J47" s="19">
        <v>194.7</v>
      </c>
      <c r="K47" s="19">
        <v>203.9</v>
      </c>
      <c r="L47" s="20"/>
      <c r="M47" s="20">
        <v>207.3</v>
      </c>
      <c r="N47" s="19">
        <v>156.9</v>
      </c>
      <c r="O47" s="19">
        <v>169.6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56">
        <v>5.89</v>
      </c>
      <c r="F49" s="19">
        <v>5.65</v>
      </c>
      <c r="G49" s="19">
        <v>5.43</v>
      </c>
      <c r="H49" s="20"/>
      <c r="I49" s="20">
        <v>5.3</v>
      </c>
      <c r="J49" s="19">
        <v>5.67</v>
      </c>
      <c r="K49" s="19">
        <v>5.52</v>
      </c>
      <c r="L49" s="20"/>
      <c r="M49" s="20">
        <v>5.53</v>
      </c>
      <c r="N49" s="19">
        <v>5.49</v>
      </c>
      <c r="O49" s="19">
        <v>5.46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56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55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D9A4-FD39-4463-A3B1-A4FEBD479EDB}">
  <dimension ref="B1:Q59"/>
  <sheetViews>
    <sheetView view="pageBreakPreview" zoomScale="85" zoomScaleNormal="60" zoomScaleSheetLayoutView="85" workbookViewId="0">
      <selection activeCell="K11" sqref="K11:K4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58" t="s">
        <v>18</v>
      </c>
      <c r="E10" s="15"/>
      <c r="F10" s="16"/>
      <c r="G10" s="16" t="s">
        <v>19</v>
      </c>
      <c r="H10" s="17"/>
      <c r="I10" s="17" t="s">
        <v>19</v>
      </c>
      <c r="J10" s="16"/>
      <c r="K10" s="16" t="s">
        <v>19</v>
      </c>
      <c r="L10" s="17"/>
      <c r="M10" s="17" t="s">
        <v>19</v>
      </c>
      <c r="N10" s="16"/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72.599999999999994</v>
      </c>
      <c r="H11" s="20"/>
      <c r="I11" s="20">
        <v>74.599999999999994</v>
      </c>
      <c r="J11" s="19"/>
      <c r="K11" s="19">
        <v>72.5</v>
      </c>
      <c r="L11" s="20"/>
      <c r="M11" s="20">
        <v>74.8</v>
      </c>
      <c r="N11" s="19"/>
      <c r="O11" s="19">
        <v>75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</v>
      </c>
      <c r="H12" s="20"/>
      <c r="I12" s="20">
        <v>0</v>
      </c>
      <c r="J12" s="19"/>
      <c r="K12" s="19">
        <v>0</v>
      </c>
      <c r="L12" s="20"/>
      <c r="M12" s="20">
        <v>0.2</v>
      </c>
      <c r="N12" s="19"/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66.900000000000006</v>
      </c>
      <c r="H13" s="20"/>
      <c r="I13" s="20">
        <v>69</v>
      </c>
      <c r="J13" s="19"/>
      <c r="K13" s="19">
        <v>68.400000000000006</v>
      </c>
      <c r="L13" s="20"/>
      <c r="M13" s="20">
        <v>69.599999999999994</v>
      </c>
      <c r="N13" s="19"/>
      <c r="O13" s="19">
        <v>70.7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68.099999999999994</v>
      </c>
      <c r="H14" s="20"/>
      <c r="I14" s="20">
        <v>69.900000000000006</v>
      </c>
      <c r="J14" s="19"/>
      <c r="K14" s="19">
        <v>63.9</v>
      </c>
      <c r="L14" s="20"/>
      <c r="M14" s="20">
        <v>65.5</v>
      </c>
      <c r="N14" s="19"/>
      <c r="O14" s="19">
        <v>74.2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70.099999999999994</v>
      </c>
      <c r="H15" s="20"/>
      <c r="I15" s="20">
        <v>49.6</v>
      </c>
      <c r="J15" s="19"/>
      <c r="K15" s="19">
        <v>37.1</v>
      </c>
      <c r="L15" s="20"/>
      <c r="M15" s="20">
        <v>69.599999999999994</v>
      </c>
      <c r="N15" s="19"/>
      <c r="O15" s="19">
        <v>49.5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/>
      <c r="I16" s="20">
        <v>6.6</v>
      </c>
      <c r="J16" s="19"/>
      <c r="K16" s="19">
        <v>6.6</v>
      </c>
      <c r="L16" s="20"/>
      <c r="M16" s="20">
        <v>6.6</v>
      </c>
      <c r="N16" s="19"/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119.4</v>
      </c>
      <c r="H17" s="20"/>
      <c r="I17" s="20">
        <v>116.9</v>
      </c>
      <c r="J17" s="19"/>
      <c r="K17" s="19">
        <v>117.4</v>
      </c>
      <c r="L17" s="20"/>
      <c r="M17" s="20">
        <v>116.5</v>
      </c>
      <c r="N17" s="19"/>
      <c r="O17" s="19">
        <v>120.3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1169</v>
      </c>
      <c r="H18" s="20"/>
      <c r="I18" s="20">
        <v>1177</v>
      </c>
      <c r="J18" s="19"/>
      <c r="K18" s="19">
        <v>1189</v>
      </c>
      <c r="L18" s="20"/>
      <c r="M18" s="20">
        <v>1183</v>
      </c>
      <c r="N18" s="19"/>
      <c r="O18" s="19">
        <v>1221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46720</v>
      </c>
      <c r="H19" s="20"/>
      <c r="I19" s="20">
        <v>47613</v>
      </c>
      <c r="J19" s="19"/>
      <c r="K19" s="19">
        <v>45223</v>
      </c>
      <c r="L19" s="20"/>
      <c r="M19" s="20">
        <v>47520</v>
      </c>
      <c r="N19" s="19"/>
      <c r="O19" s="19">
        <v>46858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58.4</v>
      </c>
      <c r="H22" s="20"/>
      <c r="I22" s="20">
        <v>59.2</v>
      </c>
      <c r="J22" s="19"/>
      <c r="K22" s="19">
        <v>57.9</v>
      </c>
      <c r="L22" s="20"/>
      <c r="M22" s="20">
        <v>57.5</v>
      </c>
      <c r="N22" s="19"/>
      <c r="O22" s="19">
        <v>58.7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0.53</v>
      </c>
      <c r="H23" s="20"/>
      <c r="I23" s="20">
        <v>0.5</v>
      </c>
      <c r="J23" s="19"/>
      <c r="K23" s="19">
        <v>0.59</v>
      </c>
      <c r="L23" s="20"/>
      <c r="M23" s="20">
        <v>0.52</v>
      </c>
      <c r="N23" s="19"/>
      <c r="O23" s="19">
        <v>0.5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44.6</v>
      </c>
      <c r="H25" s="20"/>
      <c r="I25" s="20">
        <v>45.2</v>
      </c>
      <c r="J25" s="19"/>
      <c r="K25" s="19">
        <v>45.1</v>
      </c>
      <c r="L25" s="20"/>
      <c r="M25" s="20">
        <v>44.9</v>
      </c>
      <c r="N25" s="19"/>
      <c r="O25" s="19">
        <v>44.6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0.24</v>
      </c>
      <c r="H26" s="20"/>
      <c r="I26" s="20">
        <v>0.23</v>
      </c>
      <c r="J26" s="19"/>
      <c r="K26" s="19">
        <v>0.23</v>
      </c>
      <c r="L26" s="20"/>
      <c r="M26" s="20">
        <v>0.22</v>
      </c>
      <c r="N26" s="19"/>
      <c r="O26" s="19">
        <v>0.23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4.4000000000000004</v>
      </c>
      <c r="H27" s="20"/>
      <c r="I27" s="20">
        <v>4.0999999999999996</v>
      </c>
      <c r="J27" s="19"/>
      <c r="K27" s="19">
        <v>4.5</v>
      </c>
      <c r="L27" s="20"/>
      <c r="M27" s="20">
        <v>3.8</v>
      </c>
      <c r="N27" s="19"/>
      <c r="O27" s="19">
        <v>4.7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4.0999999999999996</v>
      </c>
      <c r="H28" s="20"/>
      <c r="I28" s="20">
        <v>3.1</v>
      </c>
      <c r="J28" s="19"/>
      <c r="K28" s="19">
        <v>3.4</v>
      </c>
      <c r="L28" s="20"/>
      <c r="M28" s="20">
        <v>2.7</v>
      </c>
      <c r="N28" s="19"/>
      <c r="O28" s="19">
        <v>3.4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0.60000000000000053</v>
      </c>
      <c r="H29" s="26">
        <f t="shared" si="0"/>
        <v>0</v>
      </c>
      <c r="I29" s="26">
        <f t="shared" si="0"/>
        <v>1.9</v>
      </c>
      <c r="J29" s="26">
        <f t="shared" si="0"/>
        <v>0</v>
      </c>
      <c r="K29" s="26">
        <f t="shared" si="0"/>
        <v>1.1000000000000001</v>
      </c>
      <c r="L29" s="26">
        <f t="shared" si="0"/>
        <v>0</v>
      </c>
      <c r="M29" s="26">
        <f t="shared" si="0"/>
        <v>1.0999999999999996</v>
      </c>
      <c r="N29" s="26">
        <f>N32-N28</f>
        <v>0</v>
      </c>
      <c r="O29" s="26">
        <f t="shared" si="0"/>
        <v>1.1000000000000001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679.84</v>
      </c>
      <c r="H30" s="20"/>
      <c r="I30" s="20">
        <v>660.24</v>
      </c>
      <c r="J30" s="19"/>
      <c r="K30" s="19">
        <v>628.64</v>
      </c>
      <c r="L30" s="20"/>
      <c r="M30" s="20">
        <v>652.55999999999995</v>
      </c>
      <c r="N30" s="19"/>
      <c r="O30" s="19">
        <v>652.72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13.1</v>
      </c>
      <c r="H31" s="20"/>
      <c r="I31" s="20">
        <v>13.2</v>
      </c>
      <c r="J31" s="19"/>
      <c r="K31" s="19">
        <v>13.5</v>
      </c>
      <c r="L31" s="20"/>
      <c r="M31" s="20">
        <v>12.8</v>
      </c>
      <c r="N31" s="19"/>
      <c r="O31" s="19">
        <v>13.2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4.7</v>
      </c>
      <c r="H32" s="20"/>
      <c r="I32" s="20">
        <v>5</v>
      </c>
      <c r="J32" s="19"/>
      <c r="K32" s="19">
        <v>4.5</v>
      </c>
      <c r="L32" s="20"/>
      <c r="M32" s="20">
        <v>3.8</v>
      </c>
      <c r="N32" s="19"/>
      <c r="O32" s="19">
        <v>4.5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8.3999999999999986</v>
      </c>
      <c r="H33" s="26">
        <f t="shared" si="1"/>
        <v>0</v>
      </c>
      <c r="I33" s="26">
        <f t="shared" si="1"/>
        <v>8.1999999999999993</v>
      </c>
      <c r="J33" s="26">
        <f t="shared" si="1"/>
        <v>0</v>
      </c>
      <c r="K33" s="26">
        <f t="shared" si="1"/>
        <v>9</v>
      </c>
      <c r="L33" s="26">
        <f t="shared" si="1"/>
        <v>0</v>
      </c>
      <c r="M33" s="26">
        <f t="shared" si="1"/>
        <v>9</v>
      </c>
      <c r="N33" s="26">
        <f t="shared" si="1"/>
        <v>0</v>
      </c>
      <c r="O33" s="26">
        <f t="shared" si="1"/>
        <v>8.6999999999999993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6594.2909930715923</v>
      </c>
      <c r="H34" s="27">
        <f t="shared" si="2"/>
        <v>0</v>
      </c>
      <c r="I34" s="27">
        <f t="shared" si="2"/>
        <v>6251.6951501154736</v>
      </c>
      <c r="J34" s="27">
        <f t="shared" si="2"/>
        <v>0</v>
      </c>
      <c r="K34" s="27">
        <f t="shared" si="2"/>
        <v>6533.2101616628179</v>
      </c>
      <c r="L34" s="27">
        <f t="shared" si="2"/>
        <v>0</v>
      </c>
      <c r="M34" s="27">
        <f t="shared" si="2"/>
        <v>6781.8013856812922</v>
      </c>
      <c r="N34" s="27">
        <f t="shared" si="2"/>
        <v>0</v>
      </c>
      <c r="O34" s="27">
        <f t="shared" si="2"/>
        <v>6557.3487297921474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0.83</v>
      </c>
      <c r="H35" s="20"/>
      <c r="I35" s="20">
        <v>0.86</v>
      </c>
      <c r="J35" s="19"/>
      <c r="K35" s="19">
        <v>0.84</v>
      </c>
      <c r="L35" s="20"/>
      <c r="M35" s="20">
        <v>0.84</v>
      </c>
      <c r="N35" s="19"/>
      <c r="O35" s="19">
        <v>0.83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36.6</v>
      </c>
      <c r="H36" s="20"/>
      <c r="I36" s="20">
        <v>37</v>
      </c>
      <c r="J36" s="19"/>
      <c r="K36" s="19">
        <v>36.6</v>
      </c>
      <c r="L36" s="20"/>
      <c r="M36" s="20">
        <v>37</v>
      </c>
      <c r="N36" s="19"/>
      <c r="O36" s="19">
        <v>36.799999999999997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36.9</v>
      </c>
      <c r="H37" s="20"/>
      <c r="I37" s="20">
        <v>37.799999999999997</v>
      </c>
      <c r="J37" s="19"/>
      <c r="K37" s="19">
        <v>37.1</v>
      </c>
      <c r="L37" s="20"/>
      <c r="M37" s="20">
        <v>37.4</v>
      </c>
      <c r="N37" s="19"/>
      <c r="O37" s="19">
        <v>36.9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3.3999999999999986</v>
      </c>
      <c r="H38" s="26">
        <f t="shared" si="3"/>
        <v>0</v>
      </c>
      <c r="I38" s="26">
        <f t="shared" si="3"/>
        <v>4.6999999999999957</v>
      </c>
      <c r="J38" s="26">
        <f t="shared" si="3"/>
        <v>0</v>
      </c>
      <c r="K38" s="26">
        <f t="shared" si="3"/>
        <v>3.6000000000000014</v>
      </c>
      <c r="L38" s="26">
        <f t="shared" si="3"/>
        <v>0</v>
      </c>
      <c r="M38" s="26">
        <f t="shared" si="3"/>
        <v>4.1999999999999957</v>
      </c>
      <c r="N38" s="26">
        <f t="shared" si="3"/>
        <v>0</v>
      </c>
      <c r="O38" s="26">
        <f t="shared" si="3"/>
        <v>3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28.3</v>
      </c>
      <c r="H40" s="20"/>
      <c r="I40" s="20">
        <v>28.1</v>
      </c>
      <c r="J40" s="19"/>
      <c r="K40" s="19">
        <v>28.2</v>
      </c>
      <c r="L40" s="20"/>
      <c r="M40" s="20">
        <v>28.1</v>
      </c>
      <c r="N40" s="19"/>
      <c r="O40" s="19">
        <v>28.2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33.5</v>
      </c>
      <c r="H41" s="20"/>
      <c r="I41" s="20">
        <v>33.1</v>
      </c>
      <c r="J41" s="19"/>
      <c r="K41" s="19">
        <v>33.5</v>
      </c>
      <c r="L41" s="20"/>
      <c r="M41" s="20">
        <v>33.200000000000003</v>
      </c>
      <c r="N41" s="19"/>
      <c r="O41" s="19">
        <v>33.9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5.1999999999999993</v>
      </c>
      <c r="H42" s="26">
        <f t="shared" si="4"/>
        <v>0</v>
      </c>
      <c r="I42" s="26">
        <f t="shared" si="4"/>
        <v>5</v>
      </c>
      <c r="J42" s="26">
        <f t="shared" si="4"/>
        <v>0</v>
      </c>
      <c r="K42" s="26">
        <f t="shared" si="4"/>
        <v>5.3000000000000007</v>
      </c>
      <c r="L42" s="26">
        <f t="shared" si="4"/>
        <v>0</v>
      </c>
      <c r="M42" s="26">
        <f t="shared" si="4"/>
        <v>5.1000000000000014</v>
      </c>
      <c r="N42" s="26">
        <f t="shared" si="4"/>
        <v>0</v>
      </c>
      <c r="O42" s="26">
        <f t="shared" si="4"/>
        <v>5.6999999999999993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1300.5999999999999</v>
      </c>
      <c r="H43" s="20"/>
      <c r="I43" s="20">
        <v>1297.24</v>
      </c>
      <c r="J43" s="19"/>
      <c r="K43" s="19">
        <v>1293.8800000000001</v>
      </c>
      <c r="L43" s="20"/>
      <c r="M43" s="19">
        <v>1294.44</v>
      </c>
      <c r="N43" s="19"/>
      <c r="O43" s="19">
        <v>1142.82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7809.6073903002298</v>
      </c>
      <c r="H44" s="27">
        <f t="shared" si="5"/>
        <v>0</v>
      </c>
      <c r="I44" s="27">
        <f t="shared" si="5"/>
        <v>7489.8383371824475</v>
      </c>
      <c r="J44" s="27">
        <f t="shared" si="5"/>
        <v>0</v>
      </c>
      <c r="K44" s="27">
        <f t="shared" si="5"/>
        <v>7918.6651270207867</v>
      </c>
      <c r="L44" s="27">
        <f t="shared" si="5"/>
        <v>0</v>
      </c>
      <c r="M44" s="27">
        <f t="shared" si="5"/>
        <v>7623.1454965357989</v>
      </c>
      <c r="N44" s="27">
        <f t="shared" si="5"/>
        <v>0</v>
      </c>
      <c r="O44" s="27">
        <f t="shared" si="5"/>
        <v>7522.0254041570424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0.48</v>
      </c>
      <c r="H45" s="20"/>
      <c r="I45" s="20">
        <v>0.47</v>
      </c>
      <c r="J45" s="19"/>
      <c r="K45" s="19">
        <v>0.46</v>
      </c>
      <c r="L45" s="20"/>
      <c r="M45" s="20">
        <v>0.47</v>
      </c>
      <c r="N45" s="19"/>
      <c r="O45" s="19">
        <v>0.47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20.2</v>
      </c>
      <c r="H46" s="20"/>
      <c r="I46" s="20">
        <v>20.399999999999999</v>
      </c>
      <c r="J46" s="19"/>
      <c r="K46" s="19">
        <v>19.3</v>
      </c>
      <c r="L46" s="20"/>
      <c r="M46" s="20">
        <v>20</v>
      </c>
      <c r="N46" s="19"/>
      <c r="O46" s="19">
        <v>20.100000000000001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245.9</v>
      </c>
      <c r="H47" s="20"/>
      <c r="I47" s="20">
        <v>127.9</v>
      </c>
      <c r="J47" s="19"/>
      <c r="K47" s="19">
        <v>208.2</v>
      </c>
      <c r="L47" s="20"/>
      <c r="M47" s="20">
        <v>208.6</v>
      </c>
      <c r="N47" s="19"/>
      <c r="O47" s="19">
        <v>161.6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58">
        <v>5.89</v>
      </c>
      <c r="F49" s="19"/>
      <c r="G49" s="19">
        <v>5.4</v>
      </c>
      <c r="H49" s="20"/>
      <c r="I49" s="20">
        <v>5.36</v>
      </c>
      <c r="J49" s="19"/>
      <c r="K49" s="19">
        <v>5.54</v>
      </c>
      <c r="L49" s="20"/>
      <c r="M49" s="20">
        <v>5.5</v>
      </c>
      <c r="N49" s="19"/>
      <c r="O49" s="19">
        <v>5.45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58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57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3673-D75F-42C6-B925-359CEE33D2D7}">
  <dimension ref="B1:Q59"/>
  <sheetViews>
    <sheetView view="pageBreakPreview" topLeftCell="A25" zoomScale="85" zoomScaleNormal="60" zoomScaleSheetLayoutView="85" workbookViewId="0">
      <selection activeCell="H45" sqref="H45:H4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60" t="s">
        <v>18</v>
      </c>
      <c r="E10" s="15"/>
      <c r="F10" s="16"/>
      <c r="G10" s="16" t="s">
        <v>19</v>
      </c>
      <c r="H10" s="17" t="s">
        <v>19</v>
      </c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/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72.599999999999994</v>
      </c>
      <c r="H11" s="20">
        <v>80</v>
      </c>
      <c r="I11" s="20">
        <v>74.099999999999994</v>
      </c>
      <c r="J11" s="19">
        <v>72.7</v>
      </c>
      <c r="K11" s="19">
        <v>73.3</v>
      </c>
      <c r="L11" s="20">
        <v>75.099999999999994</v>
      </c>
      <c r="M11" s="20">
        <v>73.900000000000006</v>
      </c>
      <c r="N11" s="19"/>
      <c r="O11" s="19">
        <v>73.7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</v>
      </c>
      <c r="H12" s="20">
        <v>0</v>
      </c>
      <c r="I12" s="20">
        <v>0</v>
      </c>
      <c r="J12" s="19">
        <v>0</v>
      </c>
      <c r="K12" s="19">
        <v>0</v>
      </c>
      <c r="L12" s="20">
        <v>0.2</v>
      </c>
      <c r="M12" s="20">
        <v>0.2</v>
      </c>
      <c r="N12" s="19"/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67</v>
      </c>
      <c r="H13" s="20">
        <v>75.5</v>
      </c>
      <c r="I13" s="20">
        <v>69.099999999999994</v>
      </c>
      <c r="J13" s="19">
        <v>67.8</v>
      </c>
      <c r="K13" s="19">
        <v>67.8</v>
      </c>
      <c r="L13" s="20">
        <v>70</v>
      </c>
      <c r="M13" s="20">
        <v>69.599999999999994</v>
      </c>
      <c r="N13" s="19"/>
      <c r="O13" s="19">
        <v>67.5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67.5</v>
      </c>
      <c r="H14" s="20">
        <v>64.5</v>
      </c>
      <c r="I14" s="20">
        <v>69.7</v>
      </c>
      <c r="J14" s="19">
        <v>61.4</v>
      </c>
      <c r="K14" s="19">
        <v>64.400000000000006</v>
      </c>
      <c r="L14" s="20">
        <v>62.7</v>
      </c>
      <c r="M14" s="20">
        <v>65.7</v>
      </c>
      <c r="N14" s="19"/>
      <c r="O14" s="19">
        <v>74.2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58.5</v>
      </c>
      <c r="H15" s="20">
        <v>49.2</v>
      </c>
      <c r="I15" s="20">
        <v>53.7</v>
      </c>
      <c r="J15" s="19">
        <v>39.5</v>
      </c>
      <c r="K15" s="19">
        <v>40.200000000000003</v>
      </c>
      <c r="L15" s="20">
        <v>34.5</v>
      </c>
      <c r="M15" s="20">
        <v>31.7</v>
      </c>
      <c r="N15" s="19"/>
      <c r="O15" s="19">
        <v>49.5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>
        <v>6.6</v>
      </c>
      <c r="I16" s="20">
        <v>6.6</v>
      </c>
      <c r="J16" s="19">
        <v>6.6</v>
      </c>
      <c r="K16" s="19">
        <v>6.6</v>
      </c>
      <c r="L16" s="20">
        <v>6.6</v>
      </c>
      <c r="M16" s="20">
        <v>6.6</v>
      </c>
      <c r="N16" s="19"/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119</v>
      </c>
      <c r="H17" s="20">
        <v>116.5</v>
      </c>
      <c r="I17" s="20">
        <v>115.8</v>
      </c>
      <c r="J17" s="19">
        <v>115.8</v>
      </c>
      <c r="K17" s="19">
        <v>116.3</v>
      </c>
      <c r="L17" s="20">
        <v>119.2</v>
      </c>
      <c r="M17" s="20">
        <v>115.9</v>
      </c>
      <c r="N17" s="19"/>
      <c r="O17" s="19">
        <v>117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1164</v>
      </c>
      <c r="H18" s="20">
        <v>1182</v>
      </c>
      <c r="I18" s="20">
        <v>1169</v>
      </c>
      <c r="J18" s="19">
        <v>1180</v>
      </c>
      <c r="K18" s="19">
        <v>1178</v>
      </c>
      <c r="L18" s="20">
        <v>1208</v>
      </c>
      <c r="M18" s="20">
        <v>1178</v>
      </c>
      <c r="N18" s="19"/>
      <c r="O18" s="19">
        <v>1189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46744.800000000003</v>
      </c>
      <c r="H19" s="20">
        <v>47643</v>
      </c>
      <c r="I19" s="20">
        <v>47633</v>
      </c>
      <c r="J19" s="19">
        <v>45243.4</v>
      </c>
      <c r="K19" s="19">
        <v>45233.4</v>
      </c>
      <c r="L19" s="20">
        <v>47554.6</v>
      </c>
      <c r="M19" s="20">
        <v>47544.6</v>
      </c>
      <c r="N19" s="19"/>
      <c r="O19" s="19">
        <v>46868.800000000003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58.3</v>
      </c>
      <c r="H22" s="20">
        <v>59.2</v>
      </c>
      <c r="I22" s="20">
        <v>59.2</v>
      </c>
      <c r="J22" s="19">
        <v>57.8</v>
      </c>
      <c r="K22" s="19">
        <v>57.7</v>
      </c>
      <c r="L22" s="20">
        <v>57.4</v>
      </c>
      <c r="M22" s="20">
        <v>57.3</v>
      </c>
      <c r="N22" s="19"/>
      <c r="O22" s="19">
        <v>44.8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0.53</v>
      </c>
      <c r="H23" s="20">
        <v>0.49</v>
      </c>
      <c r="I23" s="20">
        <v>0.49</v>
      </c>
      <c r="J23" s="19">
        <v>0.59</v>
      </c>
      <c r="K23" s="19">
        <v>0.59</v>
      </c>
      <c r="L23" s="20">
        <v>0.53</v>
      </c>
      <c r="M23" s="20">
        <v>0.52</v>
      </c>
      <c r="N23" s="19"/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44.8</v>
      </c>
      <c r="H25" s="20">
        <v>44.8</v>
      </c>
      <c r="I25" s="20">
        <v>44.9</v>
      </c>
      <c r="J25" s="19">
        <v>45</v>
      </c>
      <c r="K25" s="19">
        <v>44.9</v>
      </c>
      <c r="L25" s="20">
        <v>45.1</v>
      </c>
      <c r="M25" s="20">
        <v>45</v>
      </c>
      <c r="N25" s="19"/>
      <c r="O25" s="19">
        <v>44.8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>
        <v>0.21</v>
      </c>
      <c r="I26" s="20">
        <v>0.22</v>
      </c>
      <c r="J26" s="19">
        <v>0.23</v>
      </c>
      <c r="K26" s="19">
        <v>0.23</v>
      </c>
      <c r="L26" s="20">
        <v>0.22</v>
      </c>
      <c r="M26" s="20">
        <v>0.22</v>
      </c>
      <c r="N26" s="19"/>
      <c r="O26" s="19">
        <v>0.2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4.8</v>
      </c>
      <c r="H27" s="20">
        <v>3</v>
      </c>
      <c r="I27" s="20">
        <v>4.0999999999999996</v>
      </c>
      <c r="J27" s="19">
        <v>4.3</v>
      </c>
      <c r="K27" s="19">
        <v>4.3</v>
      </c>
      <c r="L27" s="20">
        <v>4.4000000000000004</v>
      </c>
      <c r="M27" s="20">
        <v>3.8</v>
      </c>
      <c r="N27" s="19"/>
      <c r="O27" s="19">
        <v>4.5999999999999996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4.2</v>
      </c>
      <c r="H28" s="20">
        <v>2.1</v>
      </c>
      <c r="I28" s="20">
        <v>3.1</v>
      </c>
      <c r="J28" s="19">
        <v>3.4</v>
      </c>
      <c r="K28" s="19">
        <v>3.5</v>
      </c>
      <c r="L28" s="20">
        <v>3.4</v>
      </c>
      <c r="M28" s="20">
        <v>2.7</v>
      </c>
      <c r="N28" s="19"/>
      <c r="O28" s="19">
        <v>3.4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0.29999999999999982</v>
      </c>
      <c r="H29" s="26">
        <f t="shared" si="0"/>
        <v>2.4</v>
      </c>
      <c r="I29" s="26">
        <f t="shared" si="0"/>
        <v>1.6999999999999997</v>
      </c>
      <c r="J29" s="26">
        <f t="shared" si="0"/>
        <v>0.69999999999999973</v>
      </c>
      <c r="K29" s="26">
        <f t="shared" si="0"/>
        <v>1.0999999999999996</v>
      </c>
      <c r="L29" s="26">
        <f t="shared" si="0"/>
        <v>1.3000000000000003</v>
      </c>
      <c r="M29" s="26">
        <f t="shared" si="0"/>
        <v>1.1999999999999997</v>
      </c>
      <c r="N29" s="26">
        <f>N32-N28</f>
        <v>0</v>
      </c>
      <c r="O29" s="26">
        <f t="shared" si="0"/>
        <v>1.0000000000000004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670.24</v>
      </c>
      <c r="H30" s="20">
        <v>675.8</v>
      </c>
      <c r="I30" s="20">
        <v>656.64</v>
      </c>
      <c r="J30" s="19">
        <v>680.8</v>
      </c>
      <c r="K30" s="19">
        <v>647.52</v>
      </c>
      <c r="L30" s="20">
        <v>745.5</v>
      </c>
      <c r="M30" s="20">
        <v>645.84</v>
      </c>
      <c r="N30" s="19"/>
      <c r="O30" s="19">
        <v>649.44000000000005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13.1</v>
      </c>
      <c r="H31" s="20">
        <v>12.5</v>
      </c>
      <c r="I31" s="20">
        <v>13.2</v>
      </c>
      <c r="J31" s="19">
        <v>12.6</v>
      </c>
      <c r="K31" s="19">
        <v>13.5</v>
      </c>
      <c r="L31" s="20">
        <v>12.7</v>
      </c>
      <c r="M31" s="20">
        <v>13.1</v>
      </c>
      <c r="N31" s="19"/>
      <c r="O31" s="19">
        <v>13.2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4.5</v>
      </c>
      <c r="H32" s="20">
        <v>4.5</v>
      </c>
      <c r="I32" s="20">
        <v>4.8</v>
      </c>
      <c r="J32" s="19">
        <v>4.0999999999999996</v>
      </c>
      <c r="K32" s="19">
        <v>4.5999999999999996</v>
      </c>
      <c r="L32" s="20">
        <v>4.7</v>
      </c>
      <c r="M32" s="20">
        <v>3.9</v>
      </c>
      <c r="N32" s="19"/>
      <c r="O32" s="19">
        <v>4.4000000000000004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8.6</v>
      </c>
      <c r="H33" s="26">
        <f t="shared" si="1"/>
        <v>8</v>
      </c>
      <c r="I33" s="26">
        <f t="shared" si="1"/>
        <v>8.3999999999999986</v>
      </c>
      <c r="J33" s="26">
        <f t="shared" si="1"/>
        <v>8.5</v>
      </c>
      <c r="K33" s="26">
        <f t="shared" si="1"/>
        <v>8.9</v>
      </c>
      <c r="L33" s="26">
        <f t="shared" si="1"/>
        <v>7.9999999999999991</v>
      </c>
      <c r="M33" s="26">
        <f t="shared" si="1"/>
        <v>9.1999999999999993</v>
      </c>
      <c r="N33" s="26">
        <f t="shared" si="1"/>
        <v>0</v>
      </c>
      <c r="O33" s="26">
        <f t="shared" si="1"/>
        <v>8.7999999999999989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6655.9630484988447</v>
      </c>
      <c r="H34" s="27">
        <f t="shared" si="2"/>
        <v>6242.9561200923781</v>
      </c>
      <c r="I34" s="27">
        <f t="shared" si="2"/>
        <v>6369.2563510392602</v>
      </c>
      <c r="J34" s="27">
        <f t="shared" si="2"/>
        <v>6682.2170900692836</v>
      </c>
      <c r="K34" s="27">
        <f t="shared" si="2"/>
        <v>6654.6512702078517</v>
      </c>
      <c r="L34" s="27">
        <f t="shared" si="2"/>
        <v>6886.8360277136253</v>
      </c>
      <c r="M34" s="27">
        <f t="shared" si="2"/>
        <v>6861.1177829099306</v>
      </c>
      <c r="N34" s="27">
        <f t="shared" si="2"/>
        <v>0</v>
      </c>
      <c r="O34" s="27">
        <f t="shared" si="2"/>
        <v>6599.3903002309471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0.82</v>
      </c>
      <c r="H35" s="20">
        <v>0.84</v>
      </c>
      <c r="I35" s="20">
        <v>0.84</v>
      </c>
      <c r="J35" s="19">
        <v>0.83</v>
      </c>
      <c r="K35" s="19">
        <v>0.83</v>
      </c>
      <c r="L35" s="20">
        <v>0.84</v>
      </c>
      <c r="M35" s="20">
        <v>0.83</v>
      </c>
      <c r="N35" s="19"/>
      <c r="O35" s="19">
        <v>0.82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35.799999999999997</v>
      </c>
      <c r="H36" s="20">
        <v>36.700000000000003</v>
      </c>
      <c r="I36" s="20">
        <v>36.5</v>
      </c>
      <c r="J36" s="19">
        <v>36.200000000000003</v>
      </c>
      <c r="K36" s="19">
        <v>36</v>
      </c>
      <c r="L36" s="20">
        <v>36.9</v>
      </c>
      <c r="M36" s="20">
        <v>36.4</v>
      </c>
      <c r="N36" s="19"/>
      <c r="O36" s="19">
        <v>36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36.299999999999997</v>
      </c>
      <c r="H37" s="20">
        <v>37.5</v>
      </c>
      <c r="I37" s="20">
        <v>37.299999999999997</v>
      </c>
      <c r="J37" s="19">
        <v>36.9</v>
      </c>
      <c r="K37" s="19">
        <v>36.700000000000003</v>
      </c>
      <c r="L37" s="20">
        <v>37.4</v>
      </c>
      <c r="M37" s="20">
        <v>36.9</v>
      </c>
      <c r="N37" s="19"/>
      <c r="O37" s="19">
        <v>36.299999999999997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3.2999999999999972</v>
      </c>
      <c r="H38" s="26">
        <f t="shared" si="3"/>
        <v>4.2999999999999972</v>
      </c>
      <c r="I38" s="26">
        <f t="shared" si="3"/>
        <v>4.7999999999999972</v>
      </c>
      <c r="J38" s="26">
        <f t="shared" si="3"/>
        <v>2.8999999999999986</v>
      </c>
      <c r="K38" s="26">
        <f t="shared" si="3"/>
        <v>3.7000000000000028</v>
      </c>
      <c r="L38" s="26">
        <f t="shared" si="3"/>
        <v>3.6000000000000014</v>
      </c>
      <c r="M38" s="26">
        <f t="shared" si="3"/>
        <v>4.3999999999999986</v>
      </c>
      <c r="N38" s="26">
        <f t="shared" si="3"/>
        <v>0</v>
      </c>
      <c r="O38" s="26">
        <f t="shared" si="3"/>
        <v>3.0999999999999943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27.9</v>
      </c>
      <c r="H40" s="20">
        <v>28.3</v>
      </c>
      <c r="I40" s="20">
        <v>27.5</v>
      </c>
      <c r="J40" s="19">
        <v>28.5</v>
      </c>
      <c r="K40" s="19">
        <v>27.6</v>
      </c>
      <c r="L40" s="20">
        <v>28.5</v>
      </c>
      <c r="M40" s="20">
        <v>27.5</v>
      </c>
      <c r="N40" s="19"/>
      <c r="O40" s="19">
        <v>27.5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33</v>
      </c>
      <c r="H41" s="20">
        <v>33.200000000000003</v>
      </c>
      <c r="I41" s="20">
        <v>32.5</v>
      </c>
      <c r="J41" s="19">
        <v>34</v>
      </c>
      <c r="K41" s="19">
        <v>33</v>
      </c>
      <c r="L41" s="20">
        <v>33.799999999999997</v>
      </c>
      <c r="M41" s="20">
        <v>32.5</v>
      </c>
      <c r="N41" s="19"/>
      <c r="O41" s="19">
        <v>33.200000000000003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5.1000000000000014</v>
      </c>
      <c r="H42" s="26">
        <f t="shared" si="4"/>
        <v>4.9000000000000021</v>
      </c>
      <c r="I42" s="26">
        <f t="shared" si="4"/>
        <v>5</v>
      </c>
      <c r="J42" s="26">
        <f t="shared" si="4"/>
        <v>5.5</v>
      </c>
      <c r="K42" s="26">
        <f t="shared" si="4"/>
        <v>5.3999999999999986</v>
      </c>
      <c r="L42" s="26">
        <f t="shared" si="4"/>
        <v>5.2999999999999972</v>
      </c>
      <c r="M42" s="26">
        <f t="shared" si="4"/>
        <v>5</v>
      </c>
      <c r="N42" s="26">
        <f t="shared" si="4"/>
        <v>0</v>
      </c>
      <c r="O42" s="26">
        <f t="shared" si="4"/>
        <v>5.7000000000000028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1297.52</v>
      </c>
      <c r="H43" s="20">
        <v>1295.7</v>
      </c>
      <c r="I43" s="20">
        <v>1304.3800000000001</v>
      </c>
      <c r="J43" s="19">
        <v>1298.8</v>
      </c>
      <c r="K43" s="19">
        <v>1287.1600000000001</v>
      </c>
      <c r="L43" s="20">
        <v>1266</v>
      </c>
      <c r="M43" s="19">
        <v>1299.9000000000001</v>
      </c>
      <c r="N43" s="19"/>
      <c r="O43" s="19">
        <v>1139.04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7641.2840646651293</v>
      </c>
      <c r="H44" s="27">
        <f t="shared" si="5"/>
        <v>7331.3279445727521</v>
      </c>
      <c r="I44" s="27">
        <f t="shared" si="5"/>
        <v>7531.0623556581995</v>
      </c>
      <c r="J44" s="27">
        <f t="shared" si="5"/>
        <v>8248.7297921478057</v>
      </c>
      <c r="K44" s="27">
        <f t="shared" si="5"/>
        <v>8026.1709006928395</v>
      </c>
      <c r="L44" s="27">
        <f t="shared" si="5"/>
        <v>7748.0369515011507</v>
      </c>
      <c r="M44" s="27">
        <f t="shared" si="5"/>
        <v>7505.1963048498847</v>
      </c>
      <c r="N44" s="27">
        <f t="shared" si="5"/>
        <v>0</v>
      </c>
      <c r="O44" s="27">
        <f t="shared" si="5"/>
        <v>7497.1454965358007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0.46</v>
      </c>
      <c r="H45" s="20">
        <v>0.45</v>
      </c>
      <c r="I45" s="20">
        <v>0.47</v>
      </c>
      <c r="J45" s="19">
        <v>0.46</v>
      </c>
      <c r="K45" s="19">
        <v>0.46</v>
      </c>
      <c r="L45" s="20">
        <v>0.47</v>
      </c>
      <c r="M45" s="20">
        <v>0.45</v>
      </c>
      <c r="N45" s="19"/>
      <c r="O45" s="19">
        <v>0.46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19.5</v>
      </c>
      <c r="H46" s="20">
        <v>19.2</v>
      </c>
      <c r="I46" s="20">
        <v>19.7</v>
      </c>
      <c r="J46" s="19">
        <v>19.5</v>
      </c>
      <c r="K46" s="19">
        <v>19.8</v>
      </c>
      <c r="L46" s="20">
        <v>20.3</v>
      </c>
      <c r="M46" s="20">
        <v>19.7</v>
      </c>
      <c r="N46" s="19"/>
      <c r="O46" s="19">
        <v>19.7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144.30000000000001</v>
      </c>
      <c r="H47" s="20">
        <v>117.8</v>
      </c>
      <c r="I47" s="20">
        <v>130.4</v>
      </c>
      <c r="J47" s="19">
        <v>205.2</v>
      </c>
      <c r="K47" s="19">
        <v>208.3</v>
      </c>
      <c r="L47" s="20">
        <v>215.7</v>
      </c>
      <c r="M47" s="20">
        <v>208.1</v>
      </c>
      <c r="N47" s="19"/>
      <c r="O47" s="19">
        <v>163.19999999999999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60">
        <v>5.89</v>
      </c>
      <c r="F49" s="19"/>
      <c r="G49" s="19">
        <v>5.56</v>
      </c>
      <c r="H49" s="20">
        <v>5.18</v>
      </c>
      <c r="I49" s="20">
        <v>5.33</v>
      </c>
      <c r="J49" s="19">
        <v>5.29</v>
      </c>
      <c r="K49" s="19">
        <v>5.69</v>
      </c>
      <c r="L49" s="20">
        <v>4.8600000000000003</v>
      </c>
      <c r="M49" s="20">
        <v>5.64</v>
      </c>
      <c r="N49" s="19"/>
      <c r="O49" s="19">
        <v>5.55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60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59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3453-79C9-46AE-8AD5-191717010E01}">
  <dimension ref="B1:Q59"/>
  <sheetViews>
    <sheetView view="pageBreakPreview" topLeftCell="A28" zoomScale="85" zoomScaleNormal="60" zoomScaleSheetLayoutView="85" workbookViewId="0">
      <selection activeCell="P27" sqref="P27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62" t="s">
        <v>18</v>
      </c>
      <c r="E10" s="15"/>
      <c r="F10" s="16" t="s">
        <v>19</v>
      </c>
      <c r="G10" s="16" t="s">
        <v>19</v>
      </c>
      <c r="H10" s="17"/>
      <c r="I10" s="17" t="s">
        <v>19</v>
      </c>
      <c r="J10" s="16"/>
      <c r="K10" s="16" t="s">
        <v>19</v>
      </c>
      <c r="L10" s="17" t="s">
        <v>19</v>
      </c>
      <c r="M10" s="17" t="s">
        <v>19</v>
      </c>
      <c r="N10" s="17" t="s">
        <v>19</v>
      </c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>
        <v>69.900000000000006</v>
      </c>
      <c r="G11" s="19">
        <v>69.900000000000006</v>
      </c>
      <c r="H11" s="20"/>
      <c r="I11" s="20">
        <v>74.599999999999994</v>
      </c>
      <c r="J11" s="19"/>
      <c r="K11" s="19">
        <v>71.3</v>
      </c>
      <c r="L11" s="20">
        <v>73.7</v>
      </c>
      <c r="M11" s="20">
        <v>73.5</v>
      </c>
      <c r="N11" s="19">
        <v>69.8</v>
      </c>
      <c r="O11" s="19">
        <v>74.5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>
        <v>0.8</v>
      </c>
      <c r="G12" s="19">
        <v>0.8</v>
      </c>
      <c r="H12" s="20"/>
      <c r="I12" s="20">
        <v>0</v>
      </c>
      <c r="J12" s="19"/>
      <c r="K12" s="19">
        <v>0</v>
      </c>
      <c r="L12" s="20">
        <v>0.1</v>
      </c>
      <c r="M12" s="20">
        <v>0.2</v>
      </c>
      <c r="N12" s="19">
        <v>0</v>
      </c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>
        <v>64.099999999999994</v>
      </c>
      <c r="G13" s="19">
        <v>64.099999999999994</v>
      </c>
      <c r="H13" s="20"/>
      <c r="I13" s="20">
        <v>69.3</v>
      </c>
      <c r="J13" s="19"/>
      <c r="K13" s="19">
        <v>68.400000000000006</v>
      </c>
      <c r="L13" s="20">
        <v>70</v>
      </c>
      <c r="M13" s="20">
        <v>68.7</v>
      </c>
      <c r="N13" s="19">
        <v>65.900000000000006</v>
      </c>
      <c r="O13" s="19">
        <v>68.5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>
        <v>62</v>
      </c>
      <c r="G14" s="19">
        <v>68</v>
      </c>
      <c r="H14" s="20"/>
      <c r="I14" s="20">
        <v>69.400000000000006</v>
      </c>
      <c r="J14" s="19"/>
      <c r="K14" s="19">
        <v>63</v>
      </c>
      <c r="L14" s="20">
        <v>62.7</v>
      </c>
      <c r="M14" s="20">
        <v>65</v>
      </c>
      <c r="N14" s="19">
        <v>67.900000000000006</v>
      </c>
      <c r="O14" s="19">
        <v>73.599999999999994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>
        <v>68.8</v>
      </c>
      <c r="G15" s="19">
        <v>59</v>
      </c>
      <c r="H15" s="20"/>
      <c r="I15" s="20">
        <v>54.8</v>
      </c>
      <c r="J15" s="19"/>
      <c r="K15" s="19">
        <v>39.299999999999997</v>
      </c>
      <c r="L15" s="20">
        <v>35</v>
      </c>
      <c r="M15" s="20">
        <v>33.9</v>
      </c>
      <c r="N15" s="19">
        <v>43.1</v>
      </c>
      <c r="O15" s="19">
        <v>52.4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>
        <v>6.6</v>
      </c>
      <c r="G16" s="19">
        <v>6.6</v>
      </c>
      <c r="H16" s="20"/>
      <c r="I16" s="20">
        <v>6.6</v>
      </c>
      <c r="J16" s="19"/>
      <c r="K16" s="19">
        <v>6.6</v>
      </c>
      <c r="L16" s="19">
        <v>6.6</v>
      </c>
      <c r="M16" s="20">
        <v>6.6</v>
      </c>
      <c r="N16" s="19">
        <v>6.6</v>
      </c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>
        <v>113.4</v>
      </c>
      <c r="G17" s="19">
        <v>117.6</v>
      </c>
      <c r="H17" s="20"/>
      <c r="I17" s="20">
        <v>117</v>
      </c>
      <c r="J17" s="19"/>
      <c r="K17" s="19">
        <v>116.4</v>
      </c>
      <c r="L17" s="20">
        <v>118</v>
      </c>
      <c r="M17" s="20">
        <v>115.6</v>
      </c>
      <c r="N17" s="19">
        <v>112.7</v>
      </c>
      <c r="O17" s="19">
        <v>118.7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>
        <v>1109</v>
      </c>
      <c r="G18" s="19">
        <v>1147</v>
      </c>
      <c r="H18" s="20"/>
      <c r="I18" s="20">
        <v>1181</v>
      </c>
      <c r="J18" s="19"/>
      <c r="K18" s="19">
        <v>1186</v>
      </c>
      <c r="L18" s="20">
        <v>1196</v>
      </c>
      <c r="M18" s="20">
        <v>1176</v>
      </c>
      <c r="N18" s="19">
        <v>1144</v>
      </c>
      <c r="O18" s="19">
        <v>1205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>
        <v>46764</v>
      </c>
      <c r="G19" s="19">
        <v>46754</v>
      </c>
      <c r="H19" s="20"/>
      <c r="I19" s="20">
        <v>47655</v>
      </c>
      <c r="J19" s="19"/>
      <c r="K19" s="19">
        <v>45257</v>
      </c>
      <c r="L19" s="20">
        <v>47578</v>
      </c>
      <c r="M19" s="20">
        <v>47568</v>
      </c>
      <c r="N19" s="19">
        <v>46888</v>
      </c>
      <c r="O19" s="19">
        <v>46878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>
        <v>58</v>
      </c>
      <c r="G22" s="19">
        <v>58.1</v>
      </c>
      <c r="H22" s="20"/>
      <c r="I22" s="20">
        <v>59</v>
      </c>
      <c r="J22" s="19"/>
      <c r="K22" s="19">
        <v>57.8</v>
      </c>
      <c r="L22" s="20">
        <v>57.3</v>
      </c>
      <c r="M22" s="20">
        <v>57.4</v>
      </c>
      <c r="N22" s="19">
        <v>58.5</v>
      </c>
      <c r="O22" s="19">
        <v>58.7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>
        <v>0.52</v>
      </c>
      <c r="G23" s="19">
        <v>0.53</v>
      </c>
      <c r="H23" s="20"/>
      <c r="I23" s="20">
        <v>0.5</v>
      </c>
      <c r="J23" s="19"/>
      <c r="K23" s="19">
        <v>0.59</v>
      </c>
      <c r="L23" s="20">
        <v>0.52</v>
      </c>
      <c r="M23" s="20">
        <v>0.52</v>
      </c>
      <c r="N23" s="19">
        <v>0.48</v>
      </c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>
        <v>45.2</v>
      </c>
      <c r="G25" s="19">
        <v>45.1</v>
      </c>
      <c r="H25" s="20"/>
      <c r="I25" s="20">
        <v>44.7</v>
      </c>
      <c r="J25" s="19"/>
      <c r="K25" s="19">
        <v>44.9</v>
      </c>
      <c r="L25" s="20">
        <v>45</v>
      </c>
      <c r="M25" s="20">
        <v>45</v>
      </c>
      <c r="N25" s="19">
        <v>45.1</v>
      </c>
      <c r="O25" s="19">
        <v>45.6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>
        <v>0.23</v>
      </c>
      <c r="G26" s="19">
        <v>0.23</v>
      </c>
      <c r="H26" s="20"/>
      <c r="I26" s="20">
        <v>0.22</v>
      </c>
      <c r="J26" s="19"/>
      <c r="K26" s="19">
        <v>0.24</v>
      </c>
      <c r="L26" s="20">
        <v>0.23</v>
      </c>
      <c r="M26" s="20">
        <v>0.22</v>
      </c>
      <c r="N26" s="19">
        <v>0.22</v>
      </c>
      <c r="O26" s="19">
        <v>0.23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>
        <v>3.4</v>
      </c>
      <c r="G27" s="19">
        <v>4.7</v>
      </c>
      <c r="H27" s="20"/>
      <c r="I27" s="20">
        <v>4.2</v>
      </c>
      <c r="J27" s="19"/>
      <c r="K27" s="19">
        <v>4.2</v>
      </c>
      <c r="L27" s="20">
        <v>4.0999999999999996</v>
      </c>
      <c r="M27" s="20">
        <v>3.8</v>
      </c>
      <c r="N27" s="19">
        <v>3.7</v>
      </c>
      <c r="O27" s="19">
        <v>4.5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>
        <v>3.5</v>
      </c>
      <c r="G28" s="19">
        <v>4.2</v>
      </c>
      <c r="H28" s="20"/>
      <c r="I28" s="20">
        <v>3.2</v>
      </c>
      <c r="J28" s="19"/>
      <c r="K28" s="19">
        <v>3.4</v>
      </c>
      <c r="L28" s="20">
        <v>3.3</v>
      </c>
      <c r="M28" s="20">
        <v>3.7</v>
      </c>
      <c r="N28" s="19">
        <v>2.8</v>
      </c>
      <c r="O28" s="19">
        <v>3.5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0.70000000000000018</v>
      </c>
      <c r="G29" s="26">
        <f t="shared" ref="G29:Q29" si="0">G32-G28</f>
        <v>0.59999999999999964</v>
      </c>
      <c r="H29" s="26">
        <f t="shared" si="0"/>
        <v>0</v>
      </c>
      <c r="I29" s="26">
        <f t="shared" si="0"/>
        <v>1.7999999999999998</v>
      </c>
      <c r="J29" s="26">
        <f t="shared" si="0"/>
        <v>0</v>
      </c>
      <c r="K29" s="26">
        <f t="shared" si="0"/>
        <v>1.3000000000000003</v>
      </c>
      <c r="L29" s="26">
        <f t="shared" si="0"/>
        <v>1.2999999999999998</v>
      </c>
      <c r="M29" s="26">
        <f t="shared" si="0"/>
        <v>0.19999999999999973</v>
      </c>
      <c r="N29" s="26">
        <f>N32-N28</f>
        <v>1.1000000000000001</v>
      </c>
      <c r="O29" s="26">
        <f t="shared" si="0"/>
        <v>1.0999999999999996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>
        <v>695.2</v>
      </c>
      <c r="G30" s="19">
        <v>682</v>
      </c>
      <c r="H30" s="20"/>
      <c r="I30" s="20">
        <v>663.4</v>
      </c>
      <c r="J30" s="19"/>
      <c r="K30" s="19">
        <v>635.6</v>
      </c>
      <c r="L30" s="20">
        <v>747.52</v>
      </c>
      <c r="M30" s="20">
        <v>637.6</v>
      </c>
      <c r="N30" s="19">
        <v>666.96</v>
      </c>
      <c r="O30" s="19">
        <v>654.9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>
        <v>12.2</v>
      </c>
      <c r="G31" s="19">
        <v>13.2</v>
      </c>
      <c r="H31" s="20"/>
      <c r="I31" s="20">
        <v>13.4</v>
      </c>
      <c r="J31" s="19"/>
      <c r="K31" s="19">
        <v>13.7</v>
      </c>
      <c r="L31" s="20">
        <v>12.5</v>
      </c>
      <c r="M31" s="20">
        <v>13.1</v>
      </c>
      <c r="N31" s="19">
        <v>12.1</v>
      </c>
      <c r="O31" s="19">
        <v>13.3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>
        <v>4.2</v>
      </c>
      <c r="G32" s="19">
        <v>4.8</v>
      </c>
      <c r="H32" s="20"/>
      <c r="I32" s="20">
        <v>5</v>
      </c>
      <c r="J32" s="19"/>
      <c r="K32" s="19">
        <v>4.7</v>
      </c>
      <c r="L32" s="20">
        <v>4.5999999999999996</v>
      </c>
      <c r="M32" s="20">
        <v>3.9</v>
      </c>
      <c r="N32" s="19">
        <v>3.9</v>
      </c>
      <c r="O32" s="19">
        <v>4.5999999999999996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7.9999999999999991</v>
      </c>
      <c r="G33" s="26">
        <f t="shared" ref="G33:Q33" si="1">G31-G32</f>
        <v>8.3999999999999986</v>
      </c>
      <c r="H33" s="26">
        <f t="shared" si="1"/>
        <v>0</v>
      </c>
      <c r="I33" s="26">
        <f t="shared" si="1"/>
        <v>8.4</v>
      </c>
      <c r="J33" s="26">
        <f t="shared" si="1"/>
        <v>0</v>
      </c>
      <c r="K33" s="26">
        <f t="shared" si="1"/>
        <v>9</v>
      </c>
      <c r="L33" s="26">
        <f t="shared" si="1"/>
        <v>7.9</v>
      </c>
      <c r="M33" s="26">
        <f t="shared" si="1"/>
        <v>9.1999999999999993</v>
      </c>
      <c r="N33" s="26">
        <f t="shared" si="1"/>
        <v>8.1999999999999993</v>
      </c>
      <c r="O33" s="26">
        <f t="shared" si="1"/>
        <v>8.7000000000000011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6422.1709006928404</v>
      </c>
      <c r="G34" s="27">
        <f t="shared" ref="G34:Q34" si="2">(G33*G30)/0.866</f>
        <v>6615.2424942263269</v>
      </c>
      <c r="H34" s="27">
        <f t="shared" si="2"/>
        <v>0</v>
      </c>
      <c r="I34" s="27">
        <f t="shared" si="2"/>
        <v>6434.8267898383374</v>
      </c>
      <c r="J34" s="27">
        <f t="shared" si="2"/>
        <v>0</v>
      </c>
      <c r="K34" s="27">
        <f t="shared" si="2"/>
        <v>6605.5427251732108</v>
      </c>
      <c r="L34" s="27">
        <f t="shared" si="2"/>
        <v>6819.1778290993079</v>
      </c>
      <c r="M34" s="27">
        <f t="shared" si="2"/>
        <v>6773.5796766743651</v>
      </c>
      <c r="N34" s="27">
        <f t="shared" si="2"/>
        <v>6315.3256351039263</v>
      </c>
      <c r="O34" s="27">
        <f t="shared" si="2"/>
        <v>6579.2494226327944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>
        <v>0.82</v>
      </c>
      <c r="G35" s="19">
        <v>0.83</v>
      </c>
      <c r="H35" s="20"/>
      <c r="I35" s="20">
        <v>0.85</v>
      </c>
      <c r="J35" s="19"/>
      <c r="K35" s="19">
        <v>0.83</v>
      </c>
      <c r="L35" s="20">
        <v>0.84</v>
      </c>
      <c r="M35" s="20">
        <v>0.84</v>
      </c>
      <c r="N35" s="19">
        <v>0.81</v>
      </c>
      <c r="O35" s="19">
        <v>0.84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>
        <v>35.4</v>
      </c>
      <c r="G36" s="19">
        <v>36.200000000000003</v>
      </c>
      <c r="H36" s="20"/>
      <c r="I36" s="20">
        <v>37</v>
      </c>
      <c r="J36" s="19"/>
      <c r="K36" s="19">
        <v>36.4</v>
      </c>
      <c r="L36" s="20">
        <v>36.5</v>
      </c>
      <c r="M36" s="20">
        <v>36.9</v>
      </c>
      <c r="N36" s="19">
        <v>35.5</v>
      </c>
      <c r="O36" s="19">
        <v>36.5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>
        <v>36.299999999999997</v>
      </c>
      <c r="G37" s="19">
        <v>36.799999999999997</v>
      </c>
      <c r="H37" s="20"/>
      <c r="I37" s="20">
        <v>37.799999999999997</v>
      </c>
      <c r="J37" s="19"/>
      <c r="K37" s="19">
        <v>37.1</v>
      </c>
      <c r="L37" s="20">
        <v>37.299999999999997</v>
      </c>
      <c r="M37" s="20">
        <v>37.299999999999997</v>
      </c>
      <c r="N37" s="19">
        <v>36.200000000000003</v>
      </c>
      <c r="O37" s="19">
        <v>37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3.2999999999999972</v>
      </c>
      <c r="G38" s="26">
        <f t="shared" ref="G38:Q38" si="3">G37-G41</f>
        <v>2.6999999999999957</v>
      </c>
      <c r="H38" s="26">
        <f t="shared" si="3"/>
        <v>0</v>
      </c>
      <c r="I38" s="26">
        <f t="shared" si="3"/>
        <v>4.2999999999999972</v>
      </c>
      <c r="J38" s="26">
        <f t="shared" si="3"/>
        <v>0</v>
      </c>
      <c r="K38" s="26">
        <f t="shared" si="3"/>
        <v>2.8999999999999986</v>
      </c>
      <c r="L38" s="26">
        <f t="shared" si="3"/>
        <v>4.3999999999999986</v>
      </c>
      <c r="M38" s="26">
        <f t="shared" si="3"/>
        <v>3.5999999999999943</v>
      </c>
      <c r="N38" s="26">
        <f t="shared" si="3"/>
        <v>3.2000000000000028</v>
      </c>
      <c r="O38" s="26">
        <f t="shared" si="3"/>
        <v>2.3999999999999986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>
        <v>27.9</v>
      </c>
      <c r="G40" s="19">
        <v>28.8</v>
      </c>
      <c r="H40" s="20"/>
      <c r="I40" s="20">
        <v>28.6</v>
      </c>
      <c r="J40" s="19"/>
      <c r="K40" s="19">
        <v>28.5</v>
      </c>
      <c r="L40" s="20">
        <v>27.8</v>
      </c>
      <c r="M40" s="20">
        <v>28.8</v>
      </c>
      <c r="N40" s="19">
        <v>27.8</v>
      </c>
      <c r="O40" s="19">
        <v>28.6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>
        <v>33</v>
      </c>
      <c r="G41" s="19">
        <v>34.1</v>
      </c>
      <c r="H41" s="20"/>
      <c r="I41" s="20">
        <v>33.5</v>
      </c>
      <c r="J41" s="19"/>
      <c r="K41" s="19">
        <v>34.200000000000003</v>
      </c>
      <c r="L41" s="20">
        <v>32.9</v>
      </c>
      <c r="M41" s="20">
        <v>33.700000000000003</v>
      </c>
      <c r="N41" s="19">
        <v>33</v>
      </c>
      <c r="O41" s="19">
        <v>34.6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5.1000000000000014</v>
      </c>
      <c r="G42" s="26">
        <f t="shared" ref="G42:Q42" si="4">G41-G40</f>
        <v>5.3000000000000007</v>
      </c>
      <c r="H42" s="26">
        <f t="shared" si="4"/>
        <v>0</v>
      </c>
      <c r="I42" s="26">
        <f t="shared" si="4"/>
        <v>4.8999999999999986</v>
      </c>
      <c r="J42" s="26">
        <f t="shared" si="4"/>
        <v>0</v>
      </c>
      <c r="K42" s="26">
        <f t="shared" si="4"/>
        <v>5.7000000000000028</v>
      </c>
      <c r="L42" s="26">
        <f t="shared" si="4"/>
        <v>5.0999999999999979</v>
      </c>
      <c r="M42" s="26">
        <f t="shared" si="4"/>
        <v>4.9000000000000021</v>
      </c>
      <c r="N42" s="26">
        <f t="shared" si="4"/>
        <v>5.1999999999999993</v>
      </c>
      <c r="O42" s="26">
        <f t="shared" si="4"/>
        <v>6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>
        <v>1297.0999999999999</v>
      </c>
      <c r="G43" s="19">
        <v>1293.0999999999999</v>
      </c>
      <c r="H43" s="20"/>
      <c r="I43" s="20">
        <v>1307.8</v>
      </c>
      <c r="J43" s="19"/>
      <c r="K43" s="19">
        <v>1302.0999999999999</v>
      </c>
      <c r="L43" s="20">
        <v>1290.94</v>
      </c>
      <c r="M43" s="19">
        <v>1296.8</v>
      </c>
      <c r="N43" s="19">
        <v>1201.06</v>
      </c>
      <c r="O43" s="19">
        <v>1140.7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7638.8106235565829</v>
      </c>
      <c r="G44" s="27">
        <f t="shared" ref="G44:Q44" si="5">G42*G43/0.866</f>
        <v>7913.8914549653582</v>
      </c>
      <c r="H44" s="27">
        <f t="shared" si="5"/>
        <v>0</v>
      </c>
      <c r="I44" s="27">
        <f t="shared" si="5"/>
        <v>7399.7921478060016</v>
      </c>
      <c r="J44" s="27">
        <f t="shared" si="5"/>
        <v>0</v>
      </c>
      <c r="K44" s="27">
        <f t="shared" si="5"/>
        <v>8570.404157043884</v>
      </c>
      <c r="L44" s="27">
        <f t="shared" si="5"/>
        <v>7602.5334872979183</v>
      </c>
      <c r="M44" s="27">
        <f t="shared" si="5"/>
        <v>7337.5519630485014</v>
      </c>
      <c r="N44" s="27">
        <f t="shared" si="5"/>
        <v>7211.9076212471118</v>
      </c>
      <c r="O44" s="27">
        <f t="shared" si="5"/>
        <v>7903.2332563510399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>
        <v>0.46</v>
      </c>
      <c r="G45" s="19">
        <v>0.47</v>
      </c>
      <c r="H45" s="20"/>
      <c r="I45" s="20">
        <v>0.47</v>
      </c>
      <c r="J45" s="19"/>
      <c r="K45" s="19">
        <v>0.46</v>
      </c>
      <c r="L45" s="20">
        <v>0.47</v>
      </c>
      <c r="M45" s="20">
        <v>0.47</v>
      </c>
      <c r="N45" s="19">
        <v>0.45</v>
      </c>
      <c r="O45" s="19">
        <v>0.47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>
        <v>19.3</v>
      </c>
      <c r="G46" s="19">
        <v>20.100000000000001</v>
      </c>
      <c r="H46" s="20"/>
      <c r="I46" s="20">
        <v>20.100000000000001</v>
      </c>
      <c r="J46" s="19"/>
      <c r="K46" s="19">
        <v>19.399999999999999</v>
      </c>
      <c r="L46" s="20">
        <v>19.8</v>
      </c>
      <c r="M46" s="20">
        <v>20</v>
      </c>
      <c r="N46" s="19">
        <v>19.600000000000001</v>
      </c>
      <c r="O46" s="19">
        <v>20.100000000000001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>
        <v>213.1</v>
      </c>
      <c r="G47" s="19">
        <v>175.9</v>
      </c>
      <c r="H47" s="20"/>
      <c r="I47" s="20">
        <v>119.1</v>
      </c>
      <c r="J47" s="19"/>
      <c r="K47" s="19">
        <v>203.4</v>
      </c>
      <c r="L47" s="20">
        <v>214.3</v>
      </c>
      <c r="M47" s="20">
        <v>202.8</v>
      </c>
      <c r="N47" s="19">
        <v>156.19999999999999</v>
      </c>
      <c r="O47" s="19">
        <v>167.8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62">
        <v>5.89</v>
      </c>
      <c r="F49" s="19">
        <v>5.59</v>
      </c>
      <c r="G49" s="19">
        <v>5.68</v>
      </c>
      <c r="H49" s="20"/>
      <c r="I49" s="20">
        <v>5.34</v>
      </c>
      <c r="J49" s="19"/>
      <c r="K49" s="19">
        <v>5.54</v>
      </c>
      <c r="L49" s="20">
        <v>4.7699999999999996</v>
      </c>
      <c r="M49" s="20">
        <v>5.69</v>
      </c>
      <c r="N49" s="19">
        <v>5.45</v>
      </c>
      <c r="O49" s="19">
        <v>5.52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62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61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141D0-EB60-4A79-9711-F05DEDBA867D}">
  <dimension ref="B1:Q59"/>
  <sheetViews>
    <sheetView view="pageBreakPreview" zoomScale="85" zoomScaleNormal="60" zoomScaleSheetLayoutView="85" workbookViewId="0">
      <selection activeCell="L11" sqref="L11:L4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64" t="s">
        <v>18</v>
      </c>
      <c r="E10" s="15"/>
      <c r="F10" s="16"/>
      <c r="G10" s="16" t="s">
        <v>19</v>
      </c>
      <c r="H10" s="17" t="s">
        <v>19</v>
      </c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/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69.900000000000006</v>
      </c>
      <c r="H11" s="20">
        <v>76.400000000000006</v>
      </c>
      <c r="I11" s="20">
        <v>74.599999999999994</v>
      </c>
      <c r="J11" s="19">
        <v>69.2</v>
      </c>
      <c r="K11" s="19">
        <v>72.5</v>
      </c>
      <c r="L11" s="20">
        <v>71.8</v>
      </c>
      <c r="M11" s="20">
        <v>71.2</v>
      </c>
      <c r="N11" s="19"/>
      <c r="O11" s="19">
        <v>75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0.8</v>
      </c>
      <c r="H12" s="20">
        <v>0</v>
      </c>
      <c r="I12" s="20">
        <v>0</v>
      </c>
      <c r="J12" s="19">
        <v>0</v>
      </c>
      <c r="K12" s="19">
        <v>0</v>
      </c>
      <c r="L12" s="20">
        <v>0.1</v>
      </c>
      <c r="M12" s="20">
        <v>0.2</v>
      </c>
      <c r="N12" s="19"/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64.099999999999994</v>
      </c>
      <c r="H13" s="20">
        <v>71.7</v>
      </c>
      <c r="I13" s="20">
        <v>69</v>
      </c>
      <c r="J13" s="19">
        <v>65.5</v>
      </c>
      <c r="K13" s="19">
        <v>68.400000000000006</v>
      </c>
      <c r="L13" s="20">
        <v>69.099999999999994</v>
      </c>
      <c r="M13" s="20">
        <v>67.3</v>
      </c>
      <c r="N13" s="19"/>
      <c r="O13" s="19">
        <v>70.7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65.3</v>
      </c>
      <c r="H14" s="20">
        <v>66</v>
      </c>
      <c r="I14" s="20">
        <v>69.900000000000006</v>
      </c>
      <c r="J14" s="19">
        <v>62.7</v>
      </c>
      <c r="K14" s="19">
        <v>63.9</v>
      </c>
      <c r="L14" s="20">
        <v>64.400000000000006</v>
      </c>
      <c r="M14" s="20">
        <v>65.099999999999994</v>
      </c>
      <c r="N14" s="19"/>
      <c r="O14" s="19">
        <v>74.2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74.7</v>
      </c>
      <c r="H15" s="20">
        <v>49</v>
      </c>
      <c r="I15" s="20">
        <v>49.6</v>
      </c>
      <c r="J15" s="19">
        <v>37.200000000000003</v>
      </c>
      <c r="K15" s="19">
        <v>37.1</v>
      </c>
      <c r="L15" s="20">
        <v>33.700000000000003</v>
      </c>
      <c r="M15" s="20">
        <v>33</v>
      </c>
      <c r="N15" s="19"/>
      <c r="O15" s="19">
        <v>49.5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>
        <v>6.6</v>
      </c>
      <c r="I16" s="20">
        <v>6.6</v>
      </c>
      <c r="J16" s="19">
        <v>6.6</v>
      </c>
      <c r="K16" s="19">
        <v>6.6</v>
      </c>
      <c r="L16" s="20">
        <v>6.6</v>
      </c>
      <c r="M16" s="20">
        <v>6.6</v>
      </c>
      <c r="N16" s="19"/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115.3</v>
      </c>
      <c r="H17" s="20">
        <v>115</v>
      </c>
      <c r="I17" s="20">
        <v>116.9</v>
      </c>
      <c r="J17" s="19">
        <v>114.9</v>
      </c>
      <c r="K17" s="19">
        <v>117.4</v>
      </c>
      <c r="L17" s="20">
        <v>116.9</v>
      </c>
      <c r="M17" s="20">
        <v>114.3</v>
      </c>
      <c r="N17" s="19"/>
      <c r="O17" s="19">
        <v>120.3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1136</v>
      </c>
      <c r="H18" s="20">
        <v>1163</v>
      </c>
      <c r="I18" s="20">
        <v>1177</v>
      </c>
      <c r="J18" s="19">
        <v>1158</v>
      </c>
      <c r="K18" s="19">
        <v>1189</v>
      </c>
      <c r="L18" s="20">
        <v>1188</v>
      </c>
      <c r="M18" s="20">
        <v>1164</v>
      </c>
      <c r="N18" s="19"/>
      <c r="O18" s="19">
        <v>1221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46776.800000000003</v>
      </c>
      <c r="H19" s="20">
        <v>47674.5</v>
      </c>
      <c r="I19" s="20">
        <v>47664</v>
      </c>
      <c r="J19" s="19">
        <v>45276.2</v>
      </c>
      <c r="K19" s="19">
        <v>45265.8</v>
      </c>
      <c r="L19" s="20">
        <v>47604.800000000003</v>
      </c>
      <c r="M19" s="20">
        <v>47590.9</v>
      </c>
      <c r="N19" s="19"/>
      <c r="O19" s="19">
        <v>46900.800000000003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58.8</v>
      </c>
      <c r="H22" s="20">
        <v>59</v>
      </c>
      <c r="I22" s="20">
        <v>59.2</v>
      </c>
      <c r="J22" s="19">
        <v>57.4</v>
      </c>
      <c r="K22" s="19">
        <v>57.9</v>
      </c>
      <c r="L22" s="20">
        <v>57.4</v>
      </c>
      <c r="M22" s="20">
        <v>57.5</v>
      </c>
      <c r="N22" s="19"/>
      <c r="O22" s="19">
        <v>58.7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0.53</v>
      </c>
      <c r="H23" s="20">
        <v>0.49</v>
      </c>
      <c r="I23" s="20">
        <v>0.5</v>
      </c>
      <c r="J23" s="19">
        <v>0.59</v>
      </c>
      <c r="K23" s="19">
        <v>0.59</v>
      </c>
      <c r="L23" s="20">
        <v>0.52</v>
      </c>
      <c r="M23" s="20">
        <v>0.52</v>
      </c>
      <c r="N23" s="19"/>
      <c r="O23" s="19">
        <v>0.5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44.9</v>
      </c>
      <c r="H25" s="20">
        <v>45.1</v>
      </c>
      <c r="I25" s="20">
        <v>45.2</v>
      </c>
      <c r="J25" s="19">
        <v>45</v>
      </c>
      <c r="K25" s="19">
        <v>45.1</v>
      </c>
      <c r="L25" s="20">
        <v>44</v>
      </c>
      <c r="M25" s="20">
        <v>44.9</v>
      </c>
      <c r="N25" s="19"/>
      <c r="O25" s="19">
        <v>44.6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>
        <v>0.21</v>
      </c>
      <c r="I26" s="20">
        <v>0.23</v>
      </c>
      <c r="J26" s="19">
        <v>0.23</v>
      </c>
      <c r="K26" s="19">
        <v>0.23</v>
      </c>
      <c r="L26" s="20">
        <v>0.23</v>
      </c>
      <c r="M26" s="20">
        <v>0.22</v>
      </c>
      <c r="N26" s="19"/>
      <c r="O26" s="19">
        <v>0.23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4.2</v>
      </c>
      <c r="H27" s="20">
        <v>3.3</v>
      </c>
      <c r="I27" s="20">
        <v>4.0999999999999996</v>
      </c>
      <c r="J27" s="19">
        <v>4.2</v>
      </c>
      <c r="K27" s="19">
        <v>4.5</v>
      </c>
      <c r="L27" s="20">
        <v>4.2</v>
      </c>
      <c r="M27" s="20">
        <v>4</v>
      </c>
      <c r="N27" s="19"/>
      <c r="O27" s="19">
        <v>4.7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3.7</v>
      </c>
      <c r="H28" s="20">
        <v>2.4</v>
      </c>
      <c r="I28" s="20">
        <v>3.1</v>
      </c>
      <c r="J28" s="19">
        <v>3.4</v>
      </c>
      <c r="K28" s="19">
        <v>3.4</v>
      </c>
      <c r="L28" s="20">
        <v>3.2</v>
      </c>
      <c r="M28" s="20">
        <v>2.7</v>
      </c>
      <c r="N28" s="19"/>
      <c r="O28" s="19">
        <v>3.4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1</v>
      </c>
      <c r="H29" s="26">
        <f t="shared" si="0"/>
        <v>2.1999999999999997</v>
      </c>
      <c r="I29" s="26">
        <f t="shared" si="0"/>
        <v>1.9</v>
      </c>
      <c r="J29" s="26">
        <f t="shared" si="0"/>
        <v>1.4</v>
      </c>
      <c r="K29" s="26">
        <f t="shared" si="0"/>
        <v>1.1000000000000001</v>
      </c>
      <c r="L29" s="26">
        <f t="shared" si="0"/>
        <v>1.2999999999999998</v>
      </c>
      <c r="M29" s="26">
        <f t="shared" si="0"/>
        <v>1.5</v>
      </c>
      <c r="N29" s="26">
        <f>N32-N28</f>
        <v>0</v>
      </c>
      <c r="O29" s="26">
        <f t="shared" si="0"/>
        <v>1.1000000000000001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697.5</v>
      </c>
      <c r="H30" s="20">
        <v>674.56</v>
      </c>
      <c r="I30" s="20">
        <v>660.24</v>
      </c>
      <c r="J30" s="19">
        <v>679.92</v>
      </c>
      <c r="K30" s="19">
        <v>628.64</v>
      </c>
      <c r="L30" s="20">
        <v>719.92</v>
      </c>
      <c r="M30" s="20">
        <v>647.1</v>
      </c>
      <c r="N30" s="19"/>
      <c r="O30" s="19">
        <v>652.72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13.1</v>
      </c>
      <c r="H31" s="20">
        <v>12.5</v>
      </c>
      <c r="I31" s="20">
        <v>13.2</v>
      </c>
      <c r="J31" s="19">
        <v>13.2</v>
      </c>
      <c r="K31" s="19">
        <v>13.5</v>
      </c>
      <c r="L31" s="20">
        <v>12.8</v>
      </c>
      <c r="M31" s="20">
        <v>12.9</v>
      </c>
      <c r="N31" s="19"/>
      <c r="O31" s="19">
        <v>13.2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4.7</v>
      </c>
      <c r="H32" s="20">
        <v>4.5999999999999996</v>
      </c>
      <c r="I32" s="20">
        <v>5</v>
      </c>
      <c r="J32" s="19">
        <v>4.8</v>
      </c>
      <c r="K32" s="19">
        <v>4.5</v>
      </c>
      <c r="L32" s="20">
        <v>4.5</v>
      </c>
      <c r="M32" s="20">
        <v>4.2</v>
      </c>
      <c r="N32" s="19"/>
      <c r="O32" s="19">
        <v>4.5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8.3999999999999986</v>
      </c>
      <c r="H33" s="26">
        <f t="shared" si="1"/>
        <v>7.9</v>
      </c>
      <c r="I33" s="26">
        <f t="shared" si="1"/>
        <v>8.1999999999999993</v>
      </c>
      <c r="J33" s="26">
        <f t="shared" si="1"/>
        <v>8.3999999999999986</v>
      </c>
      <c r="K33" s="26">
        <f t="shared" si="1"/>
        <v>9</v>
      </c>
      <c r="L33" s="26">
        <f t="shared" si="1"/>
        <v>8.3000000000000007</v>
      </c>
      <c r="M33" s="26">
        <f t="shared" si="1"/>
        <v>8.6999999999999993</v>
      </c>
      <c r="N33" s="26">
        <f t="shared" si="1"/>
        <v>0</v>
      </c>
      <c r="O33" s="26">
        <f t="shared" si="1"/>
        <v>8.6999999999999993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6765.5889145496521</v>
      </c>
      <c r="H34" s="27">
        <f t="shared" si="2"/>
        <v>6153.6073903002307</v>
      </c>
      <c r="I34" s="27">
        <f t="shared" si="2"/>
        <v>6251.6951501154736</v>
      </c>
      <c r="J34" s="27">
        <f t="shared" si="2"/>
        <v>6595.0669745958412</v>
      </c>
      <c r="K34" s="27">
        <f t="shared" si="2"/>
        <v>6533.2101616628179</v>
      </c>
      <c r="L34" s="27">
        <f t="shared" si="2"/>
        <v>6899.9260969976913</v>
      </c>
      <c r="M34" s="27">
        <f t="shared" si="2"/>
        <v>6500.8891454965351</v>
      </c>
      <c r="N34" s="27">
        <f t="shared" si="2"/>
        <v>0</v>
      </c>
      <c r="O34" s="27">
        <f t="shared" si="2"/>
        <v>6557.3487297921474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0.83</v>
      </c>
      <c r="H35" s="20">
        <v>0.85</v>
      </c>
      <c r="I35" s="20">
        <v>0.86</v>
      </c>
      <c r="J35" s="19">
        <v>0.84</v>
      </c>
      <c r="K35" s="19">
        <v>0.84</v>
      </c>
      <c r="L35" s="20">
        <v>0.85</v>
      </c>
      <c r="M35" s="20">
        <v>0.81</v>
      </c>
      <c r="N35" s="19"/>
      <c r="O35" s="19">
        <v>0.83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36.6</v>
      </c>
      <c r="H36" s="20">
        <v>36.700000000000003</v>
      </c>
      <c r="I36" s="20">
        <v>37</v>
      </c>
      <c r="J36" s="19">
        <v>36.299999999999997</v>
      </c>
      <c r="K36" s="19">
        <v>36.6</v>
      </c>
      <c r="L36" s="20">
        <v>37</v>
      </c>
      <c r="M36" s="20">
        <v>37</v>
      </c>
      <c r="N36" s="19"/>
      <c r="O36" s="19">
        <v>36.799999999999997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36.9</v>
      </c>
      <c r="H37" s="20">
        <v>37.6</v>
      </c>
      <c r="I37" s="20">
        <v>37.799999999999997</v>
      </c>
      <c r="J37" s="19">
        <v>37</v>
      </c>
      <c r="K37" s="19">
        <v>37.1</v>
      </c>
      <c r="L37" s="20">
        <v>37.5</v>
      </c>
      <c r="M37" s="20">
        <v>37.4</v>
      </c>
      <c r="N37" s="19"/>
      <c r="O37" s="19">
        <v>36.9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3.3999999999999986</v>
      </c>
      <c r="H38" s="26">
        <f t="shared" si="3"/>
        <v>4.6000000000000014</v>
      </c>
      <c r="I38" s="26">
        <f t="shared" si="3"/>
        <v>4.6999999999999957</v>
      </c>
      <c r="J38" s="26">
        <f t="shared" si="3"/>
        <v>3.3999999999999986</v>
      </c>
      <c r="K38" s="26">
        <f t="shared" si="3"/>
        <v>3.6000000000000014</v>
      </c>
      <c r="L38" s="26">
        <f t="shared" si="3"/>
        <v>4.2999999999999972</v>
      </c>
      <c r="M38" s="26">
        <f t="shared" si="3"/>
        <v>3.3999999999999986</v>
      </c>
      <c r="N38" s="26">
        <f t="shared" si="3"/>
        <v>0</v>
      </c>
      <c r="O38" s="26">
        <f t="shared" si="3"/>
        <v>3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28.3</v>
      </c>
      <c r="H40" s="20">
        <v>28</v>
      </c>
      <c r="I40" s="20">
        <v>28.1</v>
      </c>
      <c r="J40" s="19">
        <v>28.2</v>
      </c>
      <c r="K40" s="19">
        <v>28.2</v>
      </c>
      <c r="L40" s="20">
        <v>27.9</v>
      </c>
      <c r="M40" s="20">
        <v>28.9</v>
      </c>
      <c r="N40" s="19"/>
      <c r="O40" s="19">
        <v>28.2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33.5</v>
      </c>
      <c r="H41" s="20">
        <v>33</v>
      </c>
      <c r="I41" s="20">
        <v>33.1</v>
      </c>
      <c r="J41" s="19">
        <v>33.6</v>
      </c>
      <c r="K41" s="19">
        <v>33.5</v>
      </c>
      <c r="L41" s="20">
        <v>33.200000000000003</v>
      </c>
      <c r="M41" s="20">
        <v>34</v>
      </c>
      <c r="N41" s="19"/>
      <c r="O41" s="19">
        <v>33.9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5.1999999999999993</v>
      </c>
      <c r="H42" s="26">
        <f t="shared" si="4"/>
        <v>5</v>
      </c>
      <c r="I42" s="26">
        <f t="shared" si="4"/>
        <v>5</v>
      </c>
      <c r="J42" s="26">
        <f t="shared" si="4"/>
        <v>5.4000000000000021</v>
      </c>
      <c r="K42" s="26">
        <f t="shared" si="4"/>
        <v>5.3000000000000007</v>
      </c>
      <c r="L42" s="26">
        <f t="shared" si="4"/>
        <v>5.3000000000000043</v>
      </c>
      <c r="M42" s="26">
        <f t="shared" si="4"/>
        <v>5.1000000000000014</v>
      </c>
      <c r="N42" s="26">
        <f t="shared" si="4"/>
        <v>0</v>
      </c>
      <c r="O42" s="26">
        <f t="shared" si="4"/>
        <v>5.6999999999999993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1306.8</v>
      </c>
      <c r="H43" s="20">
        <v>1299.3399999999999</v>
      </c>
      <c r="I43" s="20">
        <v>1297.24</v>
      </c>
      <c r="J43" s="19">
        <v>1297.94</v>
      </c>
      <c r="K43" s="19">
        <v>1293.8800000000001</v>
      </c>
      <c r="L43" s="20">
        <v>1272.32</v>
      </c>
      <c r="M43" s="19">
        <v>1302.2</v>
      </c>
      <c r="N43" s="19"/>
      <c r="O43" s="19">
        <v>1142.82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7846.8360277136244</v>
      </c>
      <c r="H44" s="27">
        <f t="shared" si="5"/>
        <v>7501.9630484988447</v>
      </c>
      <c r="I44" s="27">
        <f t="shared" si="5"/>
        <v>7489.8383371824475</v>
      </c>
      <c r="J44" s="27">
        <f t="shared" si="5"/>
        <v>8093.3903002309507</v>
      </c>
      <c r="K44" s="27">
        <f t="shared" si="5"/>
        <v>7918.6651270207867</v>
      </c>
      <c r="L44" s="27">
        <f t="shared" si="5"/>
        <v>7786.7159353348788</v>
      </c>
      <c r="M44" s="27">
        <f t="shared" si="5"/>
        <v>7668.8452655889168</v>
      </c>
      <c r="N44" s="27">
        <f t="shared" si="5"/>
        <v>0</v>
      </c>
      <c r="O44" s="27">
        <f t="shared" si="5"/>
        <v>7522.0254041570424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0.48</v>
      </c>
      <c r="H45" s="20">
        <v>0.46</v>
      </c>
      <c r="I45" s="20">
        <v>0.47</v>
      </c>
      <c r="J45" s="19">
        <v>0.47</v>
      </c>
      <c r="K45" s="19">
        <v>0.46</v>
      </c>
      <c r="L45" s="20">
        <v>0.47</v>
      </c>
      <c r="M45" s="20">
        <v>0.47</v>
      </c>
      <c r="N45" s="19"/>
      <c r="O45" s="19">
        <v>0.47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20.2</v>
      </c>
      <c r="H46" s="20">
        <v>19.600000000000001</v>
      </c>
      <c r="I46" s="20">
        <v>20.399999999999999</v>
      </c>
      <c r="J46" s="19">
        <v>19.899999999999999</v>
      </c>
      <c r="K46" s="19">
        <v>19.3</v>
      </c>
      <c r="L46" s="20">
        <v>20.2</v>
      </c>
      <c r="M46" s="20">
        <v>20</v>
      </c>
      <c r="N46" s="19"/>
      <c r="O46" s="19">
        <v>20.100000000000001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245.9</v>
      </c>
      <c r="H47" s="20">
        <v>126.4</v>
      </c>
      <c r="I47" s="20">
        <v>127.9</v>
      </c>
      <c r="J47" s="19">
        <v>206.4</v>
      </c>
      <c r="K47" s="19">
        <v>208.2</v>
      </c>
      <c r="L47" s="20">
        <v>214.5</v>
      </c>
      <c r="M47" s="20">
        <v>208.6</v>
      </c>
      <c r="N47" s="19"/>
      <c r="O47" s="19">
        <v>161.6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64">
        <v>5.89</v>
      </c>
      <c r="F49" s="19"/>
      <c r="G49" s="19">
        <v>5.4</v>
      </c>
      <c r="H49" s="20">
        <v>5.25</v>
      </c>
      <c r="I49" s="20">
        <v>5.36</v>
      </c>
      <c r="J49" s="19">
        <v>5.35</v>
      </c>
      <c r="K49" s="19">
        <v>5.54</v>
      </c>
      <c r="L49" s="20">
        <v>5.14</v>
      </c>
      <c r="M49" s="20">
        <v>5.42</v>
      </c>
      <c r="N49" s="19"/>
      <c r="O49" s="19">
        <v>5.45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64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63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BEF5-B484-4982-BB82-6C3AE153DD5F}">
  <dimension ref="B1:Q59"/>
  <sheetViews>
    <sheetView view="pageBreakPreview" zoomScale="85" zoomScaleNormal="60" zoomScaleSheetLayoutView="85" workbookViewId="0">
      <selection activeCell="L39" sqref="L3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66" t="s">
        <v>18</v>
      </c>
      <c r="E10" s="15"/>
      <c r="F10" s="16" t="s">
        <v>19</v>
      </c>
      <c r="G10" s="16" t="s">
        <v>19</v>
      </c>
      <c r="H10" s="17" t="s">
        <v>19</v>
      </c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 t="s">
        <v>19</v>
      </c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>
        <v>68.3</v>
      </c>
      <c r="G11" s="19">
        <v>71.3</v>
      </c>
      <c r="H11" s="20"/>
      <c r="I11" s="20">
        <v>78.400000000000006</v>
      </c>
      <c r="J11" s="19">
        <v>74.099999999999994</v>
      </c>
      <c r="K11" s="19">
        <v>71.099999999999994</v>
      </c>
      <c r="L11" s="20"/>
      <c r="M11" s="20">
        <v>72.3</v>
      </c>
      <c r="N11" s="19">
        <v>72.8</v>
      </c>
      <c r="O11" s="19">
        <v>74.3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>
        <v>0.1</v>
      </c>
      <c r="G12" s="19">
        <v>0.1</v>
      </c>
      <c r="H12" s="20"/>
      <c r="I12" s="20">
        <v>0</v>
      </c>
      <c r="J12" s="19">
        <v>0</v>
      </c>
      <c r="K12" s="19">
        <v>0</v>
      </c>
      <c r="L12" s="20"/>
      <c r="M12" s="20">
        <v>0.2</v>
      </c>
      <c r="N12" s="19">
        <v>0</v>
      </c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>
        <v>64.3</v>
      </c>
      <c r="G13" s="19">
        <v>66.2</v>
      </c>
      <c r="H13" s="20"/>
      <c r="I13" s="20">
        <v>76.2</v>
      </c>
      <c r="J13" s="19">
        <v>69.599999999999994</v>
      </c>
      <c r="K13" s="19">
        <v>67.2</v>
      </c>
      <c r="L13" s="20"/>
      <c r="M13" s="20">
        <v>69.2</v>
      </c>
      <c r="N13" s="19">
        <v>68.599999999999994</v>
      </c>
      <c r="O13" s="19">
        <v>68.599999999999994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>
        <v>68.8</v>
      </c>
      <c r="G14" s="19">
        <v>77.2</v>
      </c>
      <c r="H14" s="20"/>
      <c r="I14" s="20">
        <v>66.900000000000006</v>
      </c>
      <c r="J14" s="19">
        <v>62.8</v>
      </c>
      <c r="K14" s="19">
        <v>63</v>
      </c>
      <c r="L14" s="20"/>
      <c r="M14" s="20">
        <v>65</v>
      </c>
      <c r="N14" s="19">
        <v>75.8</v>
      </c>
      <c r="O14" s="19">
        <v>70.2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>
        <v>56.1</v>
      </c>
      <c r="G15" s="19">
        <v>65.400000000000006</v>
      </c>
      <c r="H15" s="20"/>
      <c r="I15" s="20">
        <v>50</v>
      </c>
      <c r="J15" s="19">
        <v>36.799999999999997</v>
      </c>
      <c r="K15" s="19">
        <v>38.200000000000003</v>
      </c>
      <c r="L15" s="20"/>
      <c r="M15" s="20">
        <v>30.7</v>
      </c>
      <c r="N15" s="19">
        <v>52.3</v>
      </c>
      <c r="O15" s="19">
        <v>48.6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>
        <v>6.6</v>
      </c>
      <c r="G16" s="19">
        <v>6.6</v>
      </c>
      <c r="H16" s="20"/>
      <c r="I16" s="20">
        <v>6.6</v>
      </c>
      <c r="J16" s="19">
        <v>6.6</v>
      </c>
      <c r="K16" s="19">
        <v>6.6</v>
      </c>
      <c r="L16" s="20"/>
      <c r="M16" s="20">
        <v>6.6</v>
      </c>
      <c r="N16" s="19">
        <v>6.6</v>
      </c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>
        <v>116</v>
      </c>
      <c r="G17" s="19">
        <v>116</v>
      </c>
      <c r="H17" s="20"/>
      <c r="I17" s="20">
        <v>116.4</v>
      </c>
      <c r="J17" s="19">
        <v>116.4</v>
      </c>
      <c r="K17" s="19">
        <v>115</v>
      </c>
      <c r="L17" s="20"/>
      <c r="M17" s="20">
        <v>116.6</v>
      </c>
      <c r="N17" s="19">
        <v>117.7</v>
      </c>
      <c r="O17" s="19">
        <v>116.6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>
        <v>1134</v>
      </c>
      <c r="G18" s="19">
        <v>1150</v>
      </c>
      <c r="H18" s="20"/>
      <c r="I18" s="20">
        <v>1187</v>
      </c>
      <c r="J18" s="19">
        <v>1190</v>
      </c>
      <c r="K18" s="19">
        <v>1186</v>
      </c>
      <c r="L18" s="20"/>
      <c r="M18" s="20">
        <v>1182</v>
      </c>
      <c r="N18" s="19">
        <v>1191</v>
      </c>
      <c r="O18" s="19">
        <v>1182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>
        <v>46796</v>
      </c>
      <c r="G19" s="19">
        <v>46788.5</v>
      </c>
      <c r="H19" s="20"/>
      <c r="I19" s="20">
        <v>47689.7</v>
      </c>
      <c r="J19" s="19">
        <v>45299.7</v>
      </c>
      <c r="K19" s="19">
        <v>45291.5</v>
      </c>
      <c r="L19" s="20"/>
      <c r="M19" s="20">
        <v>47617</v>
      </c>
      <c r="N19" s="19">
        <v>46920.800000000003</v>
      </c>
      <c r="O19" s="19">
        <v>46912.6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>
        <v>58.2</v>
      </c>
      <c r="G22" s="19">
        <v>58.2</v>
      </c>
      <c r="H22" s="20"/>
      <c r="I22" s="20">
        <v>59.3</v>
      </c>
      <c r="J22" s="19">
        <v>57.5</v>
      </c>
      <c r="K22" s="19">
        <v>57.9</v>
      </c>
      <c r="L22" s="20"/>
      <c r="M22" s="20">
        <v>57.3</v>
      </c>
      <c r="N22" s="19">
        <v>58.7</v>
      </c>
      <c r="O22" s="19">
        <v>58.7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>
        <v>0.53</v>
      </c>
      <c r="G23" s="19">
        <v>0.52</v>
      </c>
      <c r="H23" s="20"/>
      <c r="I23" s="20">
        <v>0.49</v>
      </c>
      <c r="J23" s="19">
        <v>0.59</v>
      </c>
      <c r="K23" s="19">
        <v>0.59</v>
      </c>
      <c r="L23" s="20"/>
      <c r="M23" s="20">
        <v>0.52</v>
      </c>
      <c r="N23" s="19">
        <v>0.48</v>
      </c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>
        <v>44.9</v>
      </c>
      <c r="G25" s="19">
        <v>44.7</v>
      </c>
      <c r="H25" s="20"/>
      <c r="I25" s="20">
        <v>44.8</v>
      </c>
      <c r="J25" s="19">
        <v>45.1</v>
      </c>
      <c r="K25" s="19">
        <v>45</v>
      </c>
      <c r="L25" s="20"/>
      <c r="M25" s="20">
        <v>44.9</v>
      </c>
      <c r="N25" s="19">
        <v>45.1</v>
      </c>
      <c r="O25" s="19">
        <v>44.9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>
        <v>0.25</v>
      </c>
      <c r="G26" s="19">
        <v>0.23</v>
      </c>
      <c r="H26" s="20"/>
      <c r="I26" s="20">
        <v>0.21</v>
      </c>
      <c r="J26" s="19">
        <v>0.23</v>
      </c>
      <c r="K26" s="19">
        <v>0.23</v>
      </c>
      <c r="L26" s="20"/>
      <c r="M26" s="20">
        <v>0.22</v>
      </c>
      <c r="N26" s="19">
        <v>0.23</v>
      </c>
      <c r="O26" s="19">
        <v>0.22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>
        <v>4.3</v>
      </c>
      <c r="G27" s="19">
        <v>4</v>
      </c>
      <c r="H27" s="20"/>
      <c r="I27" s="20">
        <v>3.1</v>
      </c>
      <c r="J27" s="19">
        <v>4.3</v>
      </c>
      <c r="K27" s="19">
        <v>4.5</v>
      </c>
      <c r="L27" s="20"/>
      <c r="M27" s="20">
        <v>3.9</v>
      </c>
      <c r="N27" s="19">
        <v>4.5999999999999996</v>
      </c>
      <c r="O27" s="19">
        <v>4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>
        <v>4</v>
      </c>
      <c r="G28" s="19">
        <v>3.5</v>
      </c>
      <c r="H28" s="20"/>
      <c r="I28" s="20">
        <v>2.2000000000000002</v>
      </c>
      <c r="J28" s="19">
        <v>3.5</v>
      </c>
      <c r="K28" s="19">
        <v>3.7</v>
      </c>
      <c r="L28" s="20"/>
      <c r="M28" s="20">
        <v>2.9</v>
      </c>
      <c r="N28" s="19">
        <v>3.5</v>
      </c>
      <c r="O28" s="19">
        <v>2.8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0.5</v>
      </c>
      <c r="G29" s="26">
        <f t="shared" ref="G29:Q29" si="0">G32-G28</f>
        <v>0.90000000000000036</v>
      </c>
      <c r="H29" s="26">
        <f t="shared" si="0"/>
        <v>0</v>
      </c>
      <c r="I29" s="26">
        <f t="shared" si="0"/>
        <v>2.3999999999999995</v>
      </c>
      <c r="J29" s="26">
        <f t="shared" si="0"/>
        <v>0.79999999999999982</v>
      </c>
      <c r="K29" s="26">
        <f t="shared" si="0"/>
        <v>0.59999999999999964</v>
      </c>
      <c r="L29" s="26">
        <f t="shared" si="0"/>
        <v>0</v>
      </c>
      <c r="M29" s="26">
        <f t="shared" si="0"/>
        <v>1.1999999999999997</v>
      </c>
      <c r="N29" s="26">
        <f>N32-N28</f>
        <v>0.79999999999999982</v>
      </c>
      <c r="O29" s="26">
        <f t="shared" si="0"/>
        <v>1.2000000000000002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>
        <v>652.4</v>
      </c>
      <c r="G30" s="19">
        <v>682.7</v>
      </c>
      <c r="H30" s="20"/>
      <c r="I30" s="20">
        <v>666.6</v>
      </c>
      <c r="J30" s="19">
        <v>641.9</v>
      </c>
      <c r="K30" s="19">
        <v>671.6</v>
      </c>
      <c r="L30" s="20"/>
      <c r="M30" s="20">
        <v>645.9</v>
      </c>
      <c r="N30" s="19">
        <v>635.9</v>
      </c>
      <c r="O30" s="19">
        <v>636.20000000000005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>
        <v>13.1</v>
      </c>
      <c r="G31" s="19">
        <v>12.8</v>
      </c>
      <c r="H31" s="20"/>
      <c r="I31" s="20">
        <v>12.9</v>
      </c>
      <c r="J31" s="19">
        <v>13.2</v>
      </c>
      <c r="K31" s="19">
        <v>12.9</v>
      </c>
      <c r="L31" s="20"/>
      <c r="M31" s="20">
        <v>13</v>
      </c>
      <c r="N31" s="19">
        <v>13</v>
      </c>
      <c r="O31" s="19">
        <v>12.9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>
        <v>4.5</v>
      </c>
      <c r="G32" s="19">
        <v>4.4000000000000004</v>
      </c>
      <c r="H32" s="20"/>
      <c r="I32" s="20">
        <v>4.5999999999999996</v>
      </c>
      <c r="J32" s="19">
        <v>4.3</v>
      </c>
      <c r="K32" s="19">
        <v>4.3</v>
      </c>
      <c r="L32" s="20"/>
      <c r="M32" s="20">
        <v>4.0999999999999996</v>
      </c>
      <c r="N32" s="19">
        <v>4.3</v>
      </c>
      <c r="O32" s="19">
        <v>4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8.6</v>
      </c>
      <c r="G33" s="26">
        <f t="shared" ref="G33:Q33" si="1">G31-G32</f>
        <v>8.4</v>
      </c>
      <c r="H33" s="26">
        <f t="shared" si="1"/>
        <v>0</v>
      </c>
      <c r="I33" s="26">
        <f t="shared" si="1"/>
        <v>8.3000000000000007</v>
      </c>
      <c r="J33" s="26">
        <f t="shared" si="1"/>
        <v>8.8999999999999986</v>
      </c>
      <c r="K33" s="26">
        <f t="shared" si="1"/>
        <v>8.6000000000000014</v>
      </c>
      <c r="L33" s="26">
        <f t="shared" si="1"/>
        <v>0</v>
      </c>
      <c r="M33" s="26">
        <f t="shared" si="1"/>
        <v>8.9</v>
      </c>
      <c r="N33" s="26">
        <f t="shared" si="1"/>
        <v>8.6999999999999993</v>
      </c>
      <c r="O33" s="26">
        <f t="shared" si="1"/>
        <v>8.9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6478.7990762124709</v>
      </c>
      <c r="G34" s="27">
        <f t="shared" ref="G34:Q34" si="2">(G33*G30)/0.866</f>
        <v>6622.0323325635109</v>
      </c>
      <c r="H34" s="27">
        <f t="shared" si="2"/>
        <v>0</v>
      </c>
      <c r="I34" s="27">
        <f t="shared" si="2"/>
        <v>6388.8914549653591</v>
      </c>
      <c r="J34" s="27">
        <f t="shared" si="2"/>
        <v>6596.8937644341786</v>
      </c>
      <c r="K34" s="27">
        <f t="shared" si="2"/>
        <v>6669.4688221709021</v>
      </c>
      <c r="L34" s="27">
        <f t="shared" si="2"/>
        <v>0</v>
      </c>
      <c r="M34" s="27">
        <f t="shared" si="2"/>
        <v>6638.0023094688222</v>
      </c>
      <c r="N34" s="27">
        <f t="shared" si="2"/>
        <v>6388.3718244803686</v>
      </c>
      <c r="O34" s="27">
        <f t="shared" si="2"/>
        <v>6538.3140877598153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>
        <v>0.82</v>
      </c>
      <c r="G35" s="19">
        <v>0.82</v>
      </c>
      <c r="H35" s="20"/>
      <c r="I35" s="20">
        <v>0.85</v>
      </c>
      <c r="J35" s="19">
        <v>0.84</v>
      </c>
      <c r="K35" s="19">
        <v>0.83</v>
      </c>
      <c r="L35" s="20"/>
      <c r="M35" s="20">
        <v>0.84</v>
      </c>
      <c r="N35" s="19">
        <v>0.82</v>
      </c>
      <c r="O35" s="19">
        <v>0.82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>
        <v>36</v>
      </c>
      <c r="G36" s="19">
        <v>36.200000000000003</v>
      </c>
      <c r="H36" s="20"/>
      <c r="I36" s="20">
        <v>36.799999999999997</v>
      </c>
      <c r="J36" s="19">
        <v>36.5</v>
      </c>
      <c r="K36" s="19">
        <v>36.4</v>
      </c>
      <c r="L36" s="20"/>
      <c r="M36" s="20">
        <v>36.799999999999997</v>
      </c>
      <c r="N36" s="19">
        <v>36.4</v>
      </c>
      <c r="O36" s="19">
        <v>36.299999999999997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>
        <v>36.6</v>
      </c>
      <c r="G37" s="19">
        <v>36.6</v>
      </c>
      <c r="H37" s="20"/>
      <c r="I37" s="20">
        <v>37.700000000000003</v>
      </c>
      <c r="J37" s="19">
        <v>37.200000000000003</v>
      </c>
      <c r="K37" s="19">
        <v>37.1</v>
      </c>
      <c r="L37" s="20"/>
      <c r="M37" s="20">
        <v>37.299999999999997</v>
      </c>
      <c r="N37" s="19">
        <v>36.700000000000003</v>
      </c>
      <c r="O37" s="19">
        <v>36.700000000000003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2.5</v>
      </c>
      <c r="G38" s="26">
        <f t="shared" ref="G38:Q38" si="3">G37-G41</f>
        <v>2.5</v>
      </c>
      <c r="H38" s="26">
        <f t="shared" si="3"/>
        <v>0</v>
      </c>
      <c r="I38" s="26">
        <f t="shared" si="3"/>
        <v>4.2000000000000028</v>
      </c>
      <c r="J38" s="26">
        <f t="shared" si="3"/>
        <v>2.9000000000000057</v>
      </c>
      <c r="K38" s="26">
        <f t="shared" si="3"/>
        <v>2.8999999999999986</v>
      </c>
      <c r="L38" s="26">
        <f t="shared" si="3"/>
        <v>0</v>
      </c>
      <c r="M38" s="26">
        <f t="shared" si="3"/>
        <v>3.5999999999999943</v>
      </c>
      <c r="N38" s="26">
        <f t="shared" si="3"/>
        <v>2.4000000000000057</v>
      </c>
      <c r="O38" s="26">
        <f t="shared" si="3"/>
        <v>2.3000000000000043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 t="s">
        <v>100</v>
      </c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>
        <v>28.8</v>
      </c>
      <c r="G40" s="19">
        <v>28.6</v>
      </c>
      <c r="H40" s="20"/>
      <c r="I40" s="20">
        <v>28.5</v>
      </c>
      <c r="J40" s="19">
        <v>28.9</v>
      </c>
      <c r="K40" s="19">
        <v>28.7</v>
      </c>
      <c r="L40" s="20"/>
      <c r="M40" s="20">
        <v>28.7</v>
      </c>
      <c r="N40" s="19">
        <v>28.6</v>
      </c>
      <c r="O40" s="19">
        <v>28.5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>
        <v>34.1</v>
      </c>
      <c r="G41" s="19">
        <v>34.1</v>
      </c>
      <c r="H41" s="20"/>
      <c r="I41" s="20">
        <v>33.5</v>
      </c>
      <c r="J41" s="19">
        <v>34.299999999999997</v>
      </c>
      <c r="K41" s="19">
        <v>34.200000000000003</v>
      </c>
      <c r="L41" s="20"/>
      <c r="M41" s="20">
        <v>33.700000000000003</v>
      </c>
      <c r="N41" s="19">
        <v>34.299999999999997</v>
      </c>
      <c r="O41" s="19">
        <v>34.4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5.3000000000000007</v>
      </c>
      <c r="G42" s="26">
        <f t="shared" ref="G42:Q42" si="4">G41-G40</f>
        <v>5.5</v>
      </c>
      <c r="H42" s="26">
        <f t="shared" si="4"/>
        <v>0</v>
      </c>
      <c r="I42" s="26">
        <f t="shared" si="4"/>
        <v>5</v>
      </c>
      <c r="J42" s="26">
        <f t="shared" si="4"/>
        <v>5.3999999999999986</v>
      </c>
      <c r="K42" s="26">
        <f t="shared" si="4"/>
        <v>5.5000000000000036</v>
      </c>
      <c r="L42" s="26">
        <f t="shared" si="4"/>
        <v>0</v>
      </c>
      <c r="M42" s="26">
        <f t="shared" si="4"/>
        <v>5.0000000000000036</v>
      </c>
      <c r="N42" s="26">
        <f t="shared" si="4"/>
        <v>5.6999999999999957</v>
      </c>
      <c r="O42" s="26">
        <f t="shared" si="4"/>
        <v>5.8999999999999986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>
        <v>1295.4000000000001</v>
      </c>
      <c r="G43" s="19">
        <v>1296.2</v>
      </c>
      <c r="H43" s="20"/>
      <c r="I43" s="20">
        <v>1297.2</v>
      </c>
      <c r="J43" s="19">
        <v>1292.7</v>
      </c>
      <c r="K43" s="19">
        <v>1302.3</v>
      </c>
      <c r="L43" s="20"/>
      <c r="M43" s="19">
        <v>1298.4000000000001</v>
      </c>
      <c r="N43" s="19">
        <v>1191.9000000000001</v>
      </c>
      <c r="O43" s="19">
        <v>1142.5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7927.9676674364919</v>
      </c>
      <c r="G44" s="27">
        <f t="shared" ref="G44:Q44" si="5">G42*G43/0.866</f>
        <v>8232.2170900692854</v>
      </c>
      <c r="H44" s="27">
        <f t="shared" si="5"/>
        <v>0</v>
      </c>
      <c r="I44" s="27">
        <f t="shared" si="5"/>
        <v>7489.6073903002307</v>
      </c>
      <c r="J44" s="27">
        <f t="shared" si="5"/>
        <v>8060.7159353348707</v>
      </c>
      <c r="K44" s="27">
        <f t="shared" si="5"/>
        <v>8270.9584295612058</v>
      </c>
      <c r="L44" s="27">
        <f t="shared" si="5"/>
        <v>0</v>
      </c>
      <c r="M44" s="27">
        <f t="shared" si="5"/>
        <v>7496.5357967667496</v>
      </c>
      <c r="N44" s="27">
        <f t="shared" si="5"/>
        <v>7845.0692840646598</v>
      </c>
      <c r="O44" s="27">
        <f t="shared" si="5"/>
        <v>7783.7759815242471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>
        <v>0.47</v>
      </c>
      <c r="G45" s="19">
        <v>0.47</v>
      </c>
      <c r="H45" s="20"/>
      <c r="I45" s="20">
        <v>0.46</v>
      </c>
      <c r="J45" s="19">
        <v>0.47</v>
      </c>
      <c r="K45" s="19">
        <v>0.46</v>
      </c>
      <c r="L45" s="20"/>
      <c r="M45" s="20">
        <v>0.47</v>
      </c>
      <c r="N45" s="19">
        <v>0.46</v>
      </c>
      <c r="O45" s="19">
        <v>0.46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>
        <v>20</v>
      </c>
      <c r="G46" s="19">
        <v>20</v>
      </c>
      <c r="H46" s="20"/>
      <c r="I46" s="20">
        <v>19.2</v>
      </c>
      <c r="J46" s="19">
        <v>19.899999999999999</v>
      </c>
      <c r="K46" s="19">
        <v>19.7</v>
      </c>
      <c r="L46" s="20"/>
      <c r="M46" s="20">
        <v>20</v>
      </c>
      <c r="N46" s="19">
        <v>19.8</v>
      </c>
      <c r="O46" s="19">
        <v>19.5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>
        <v>170.4</v>
      </c>
      <c r="G47" s="19">
        <v>196.4</v>
      </c>
      <c r="H47" s="20"/>
      <c r="I47" s="20">
        <v>127.6</v>
      </c>
      <c r="J47" s="19">
        <v>204.7</v>
      </c>
      <c r="K47" s="19">
        <v>193.6</v>
      </c>
      <c r="L47" s="20"/>
      <c r="M47" s="20">
        <v>208.1</v>
      </c>
      <c r="N47" s="19">
        <v>158.1</v>
      </c>
      <c r="O47" s="19">
        <v>159.1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66">
        <v>5.89</v>
      </c>
      <c r="F49" s="19">
        <v>5.8</v>
      </c>
      <c r="G49" s="19">
        <v>5.36</v>
      </c>
      <c r="H49" s="20"/>
      <c r="I49" s="20">
        <v>5.1100000000000003</v>
      </c>
      <c r="J49" s="19">
        <v>5.65</v>
      </c>
      <c r="K49" s="19">
        <v>5.35</v>
      </c>
      <c r="L49" s="20"/>
      <c r="M49" s="20">
        <v>5.48</v>
      </c>
      <c r="N49" s="19">
        <v>5.68</v>
      </c>
      <c r="O49" s="19">
        <v>5.65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66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65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6156-1D47-442D-B352-FDDAD161F9BD}">
  <dimension ref="B1:Q59"/>
  <sheetViews>
    <sheetView view="pageBreakPreview" topLeftCell="A10" zoomScale="85" zoomScaleNormal="60" zoomScaleSheetLayoutView="85" workbookViewId="0">
      <selection activeCell="L51" sqref="L51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68" t="s">
        <v>18</v>
      </c>
      <c r="E10" s="15"/>
      <c r="F10" s="16" t="s">
        <v>19</v>
      </c>
      <c r="G10" s="16" t="s">
        <v>19</v>
      </c>
      <c r="H10" s="17" t="s">
        <v>19</v>
      </c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 t="s">
        <v>19</v>
      </c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>
        <v>73.900000000000006</v>
      </c>
      <c r="G11" s="19">
        <v>74.099999999999994</v>
      </c>
      <c r="H11" s="20">
        <v>80.599999999999994</v>
      </c>
      <c r="I11" s="20">
        <v>80.599999999999994</v>
      </c>
      <c r="J11" s="19"/>
      <c r="K11" s="19">
        <v>72.400000000000006</v>
      </c>
      <c r="L11" s="20">
        <v>74.8</v>
      </c>
      <c r="M11" s="20">
        <v>75.400000000000006</v>
      </c>
      <c r="N11" s="19"/>
      <c r="O11" s="19">
        <v>76.7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>
        <v>0.8</v>
      </c>
      <c r="G12" s="19">
        <v>0.8</v>
      </c>
      <c r="H12" s="20">
        <v>0</v>
      </c>
      <c r="I12" s="20">
        <v>0</v>
      </c>
      <c r="J12" s="19"/>
      <c r="K12" s="19">
        <v>0</v>
      </c>
      <c r="L12" s="20">
        <v>0.1</v>
      </c>
      <c r="M12" s="20">
        <v>0.1</v>
      </c>
      <c r="N12" s="19"/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>
        <v>68.400000000000006</v>
      </c>
      <c r="G13" s="19">
        <v>68.400000000000006</v>
      </c>
      <c r="H13" s="20">
        <v>76.8</v>
      </c>
      <c r="I13" s="20">
        <v>76.3</v>
      </c>
      <c r="J13" s="19"/>
      <c r="K13" s="19">
        <v>69.2</v>
      </c>
      <c r="L13" s="20">
        <v>70.2</v>
      </c>
      <c r="M13" s="20">
        <v>70.400000000000006</v>
      </c>
      <c r="N13" s="19"/>
      <c r="O13" s="19">
        <v>72.5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>
        <v>61.4</v>
      </c>
      <c r="G14" s="19">
        <v>65.900000000000006</v>
      </c>
      <c r="H14" s="20">
        <v>63.9</v>
      </c>
      <c r="I14" s="20">
        <v>68.2</v>
      </c>
      <c r="J14" s="19"/>
      <c r="K14" s="19">
        <v>63.23</v>
      </c>
      <c r="L14" s="20">
        <v>62.5</v>
      </c>
      <c r="M14" s="20">
        <v>65.099999999999994</v>
      </c>
      <c r="N14" s="19"/>
      <c r="O14" s="19">
        <v>72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>
        <v>84.1</v>
      </c>
      <c r="G15" s="19">
        <v>67.5</v>
      </c>
      <c r="H15" s="20">
        <v>47.7</v>
      </c>
      <c r="I15" s="20">
        <v>50.1</v>
      </c>
      <c r="J15" s="19"/>
      <c r="K15" s="19">
        <v>39.4</v>
      </c>
      <c r="L15" s="20">
        <v>32.1</v>
      </c>
      <c r="M15" s="20">
        <v>31.2</v>
      </c>
      <c r="N15" s="19"/>
      <c r="O15" s="19">
        <v>49.8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>
        <v>6.6</v>
      </c>
      <c r="G16" s="19">
        <v>6.6</v>
      </c>
      <c r="H16" s="19">
        <v>6.6</v>
      </c>
      <c r="I16" s="19">
        <v>6.6</v>
      </c>
      <c r="J16" s="19">
        <v>6.6</v>
      </c>
      <c r="K16" s="19">
        <v>6.6</v>
      </c>
      <c r="L16" s="19">
        <v>6.6</v>
      </c>
      <c r="M16" s="19">
        <v>6.6</v>
      </c>
      <c r="N16" s="19">
        <v>6.6</v>
      </c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>
        <v>116.4</v>
      </c>
      <c r="G17" s="19">
        <v>119.1</v>
      </c>
      <c r="H17" s="20">
        <v>116.3</v>
      </c>
      <c r="I17" s="20">
        <v>117.6</v>
      </c>
      <c r="J17" s="19"/>
      <c r="K17" s="19">
        <v>115.1</v>
      </c>
      <c r="L17" s="20">
        <v>119.1</v>
      </c>
      <c r="M17" s="20">
        <v>117.1</v>
      </c>
      <c r="N17" s="19"/>
      <c r="O17" s="19">
        <v>120.6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>
        <v>1146</v>
      </c>
      <c r="G18" s="19">
        <v>1182</v>
      </c>
      <c r="H18" s="20">
        <v>1186</v>
      </c>
      <c r="I18" s="20">
        <v>1207</v>
      </c>
      <c r="J18" s="19"/>
      <c r="K18" s="19">
        <v>1186</v>
      </c>
      <c r="L18" s="20">
        <v>1203</v>
      </c>
      <c r="M18" s="20">
        <v>1199</v>
      </c>
      <c r="N18" s="19"/>
      <c r="O18" s="19">
        <v>1230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>
        <v>46816.3</v>
      </c>
      <c r="G19" s="19">
        <v>46807.1</v>
      </c>
      <c r="H19" s="20">
        <v>47708.5</v>
      </c>
      <c r="I19" s="20">
        <v>47699.3</v>
      </c>
      <c r="J19" s="19"/>
      <c r="K19" s="19">
        <v>45315.4</v>
      </c>
      <c r="L19" s="20">
        <v>47635.9</v>
      </c>
      <c r="M19" s="20">
        <v>47626.7</v>
      </c>
      <c r="N19" s="19"/>
      <c r="O19" s="19">
        <v>46936.5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>
        <v>58</v>
      </c>
      <c r="G22" s="19">
        <v>58.8</v>
      </c>
      <c r="H22" s="20">
        <v>59.1</v>
      </c>
      <c r="I22" s="20">
        <v>59.2</v>
      </c>
      <c r="J22" s="19"/>
      <c r="K22" s="19">
        <v>57.9</v>
      </c>
      <c r="L22" s="20">
        <v>57.3</v>
      </c>
      <c r="M22" s="20">
        <v>57.5</v>
      </c>
      <c r="N22" s="19"/>
      <c r="O22" s="19">
        <v>58.8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>
        <v>0.52</v>
      </c>
      <c r="G23" s="19">
        <v>0.53</v>
      </c>
      <c r="H23" s="20">
        <v>0.49</v>
      </c>
      <c r="I23" s="20">
        <v>0.49</v>
      </c>
      <c r="J23" s="19"/>
      <c r="K23" s="19">
        <v>0.59</v>
      </c>
      <c r="L23" s="20">
        <v>0.52</v>
      </c>
      <c r="M23" s="20">
        <v>0.52</v>
      </c>
      <c r="N23" s="19"/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>
        <v>45.2</v>
      </c>
      <c r="G25" s="19">
        <v>45</v>
      </c>
      <c r="H25" s="20">
        <v>45</v>
      </c>
      <c r="I25" s="20">
        <v>45</v>
      </c>
      <c r="J25" s="19"/>
      <c r="K25" s="19">
        <v>44.9</v>
      </c>
      <c r="L25" s="20">
        <v>45</v>
      </c>
      <c r="M25" s="20">
        <v>44.8</v>
      </c>
      <c r="N25" s="19"/>
      <c r="O25" s="19">
        <v>44.9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>
        <v>0.22</v>
      </c>
      <c r="G26" s="19">
        <v>0.23</v>
      </c>
      <c r="H26" s="20">
        <v>0.21</v>
      </c>
      <c r="I26" s="20">
        <v>0.22</v>
      </c>
      <c r="J26" s="19"/>
      <c r="K26" s="19">
        <v>0.23</v>
      </c>
      <c r="L26" s="20">
        <v>0.22</v>
      </c>
      <c r="M26" s="20">
        <v>0.22</v>
      </c>
      <c r="N26" s="19"/>
      <c r="O26" s="19">
        <v>0.22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>
        <v>3.7</v>
      </c>
      <c r="G27" s="19">
        <v>4.7</v>
      </c>
      <c r="H27" s="20">
        <v>3.1</v>
      </c>
      <c r="I27" s="20">
        <v>3.4</v>
      </c>
      <c r="J27" s="19"/>
      <c r="K27" s="19">
        <v>4.3</v>
      </c>
      <c r="L27" s="20">
        <v>4.4000000000000004</v>
      </c>
      <c r="M27" s="20">
        <v>4</v>
      </c>
      <c r="N27" s="19"/>
      <c r="O27" s="19">
        <v>4.5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>
        <v>3.1</v>
      </c>
      <c r="G28" s="19">
        <v>4.2</v>
      </c>
      <c r="H28" s="20">
        <v>2.1</v>
      </c>
      <c r="I28" s="20">
        <v>2.6</v>
      </c>
      <c r="J28" s="19"/>
      <c r="K28" s="19">
        <v>3.5</v>
      </c>
      <c r="L28" s="20">
        <v>3</v>
      </c>
      <c r="M28" s="20">
        <v>2.8</v>
      </c>
      <c r="N28" s="19"/>
      <c r="O28" s="19">
        <v>3.8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0.99999999999999956</v>
      </c>
      <c r="G29" s="26">
        <f t="shared" ref="G29:Q29" si="0">G32-G28</f>
        <v>0.59999999999999964</v>
      </c>
      <c r="H29" s="26">
        <f t="shared" si="0"/>
        <v>2.1999999999999997</v>
      </c>
      <c r="I29" s="26">
        <f t="shared" si="0"/>
        <v>2.1999999999999997</v>
      </c>
      <c r="J29" s="26">
        <f t="shared" si="0"/>
        <v>0</v>
      </c>
      <c r="K29" s="26">
        <f t="shared" si="0"/>
        <v>0.70000000000000018</v>
      </c>
      <c r="L29" s="26">
        <f t="shared" si="0"/>
        <v>1.5999999999999996</v>
      </c>
      <c r="M29" s="26">
        <f t="shared" si="0"/>
        <v>1.2999999999999998</v>
      </c>
      <c r="N29" s="26">
        <f>N32-N28</f>
        <v>0</v>
      </c>
      <c r="O29" s="26">
        <f t="shared" si="0"/>
        <v>1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>
        <v>692.7</v>
      </c>
      <c r="G30" s="19">
        <v>680</v>
      </c>
      <c r="H30" s="20">
        <v>673.6</v>
      </c>
      <c r="I30" s="20">
        <v>662.9</v>
      </c>
      <c r="J30" s="19"/>
      <c r="K30" s="19">
        <v>648.20000000000005</v>
      </c>
      <c r="L30" s="20">
        <v>749</v>
      </c>
      <c r="M30" s="20">
        <v>637.5</v>
      </c>
      <c r="N30" s="19"/>
      <c r="O30" s="19">
        <v>685.6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>
        <v>12.4</v>
      </c>
      <c r="G31" s="19">
        <v>13.4</v>
      </c>
      <c r="H31" s="20">
        <v>12.3</v>
      </c>
      <c r="I31" s="20">
        <v>13.5</v>
      </c>
      <c r="J31" s="19"/>
      <c r="K31" s="19">
        <v>13.2</v>
      </c>
      <c r="L31" s="20">
        <v>12.4</v>
      </c>
      <c r="M31" s="20">
        <v>13.1</v>
      </c>
      <c r="N31" s="19"/>
      <c r="O31" s="19">
        <v>13.5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>
        <v>4.0999999999999996</v>
      </c>
      <c r="G32" s="19">
        <v>4.8</v>
      </c>
      <c r="H32" s="20">
        <v>4.3</v>
      </c>
      <c r="I32" s="20">
        <v>4.8</v>
      </c>
      <c r="J32" s="19"/>
      <c r="K32" s="19">
        <v>4.2</v>
      </c>
      <c r="L32" s="20">
        <v>4.5999999999999996</v>
      </c>
      <c r="M32" s="20">
        <v>4.0999999999999996</v>
      </c>
      <c r="N32" s="19"/>
      <c r="O32" s="19">
        <v>4.8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8.3000000000000007</v>
      </c>
      <c r="G33" s="26">
        <f t="shared" ref="G33:Q33" si="1">G31-G32</f>
        <v>8.6000000000000014</v>
      </c>
      <c r="H33" s="26">
        <f t="shared" si="1"/>
        <v>8</v>
      </c>
      <c r="I33" s="26">
        <f t="shared" si="1"/>
        <v>8.6999999999999993</v>
      </c>
      <c r="J33" s="26">
        <f t="shared" si="1"/>
        <v>0</v>
      </c>
      <c r="K33" s="26">
        <f t="shared" si="1"/>
        <v>9</v>
      </c>
      <c r="L33" s="26">
        <f t="shared" si="1"/>
        <v>7.8000000000000007</v>
      </c>
      <c r="M33" s="26">
        <f t="shared" si="1"/>
        <v>9</v>
      </c>
      <c r="N33" s="26">
        <f t="shared" si="1"/>
        <v>0</v>
      </c>
      <c r="O33" s="26">
        <f t="shared" si="1"/>
        <v>8.6999999999999993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6639.0415704387997</v>
      </c>
      <c r="G34" s="27">
        <f t="shared" ref="G34:Q34" si="2">(G33*G30)/0.866</f>
        <v>6752.8868360277147</v>
      </c>
      <c r="H34" s="27">
        <f t="shared" si="2"/>
        <v>6222.6327944572749</v>
      </c>
      <c r="I34" s="27">
        <f t="shared" si="2"/>
        <v>6659.6189376443417</v>
      </c>
      <c r="J34" s="27">
        <f t="shared" si="2"/>
        <v>0</v>
      </c>
      <c r="K34" s="27">
        <f t="shared" si="2"/>
        <v>6736.4896073903001</v>
      </c>
      <c r="L34" s="27">
        <f t="shared" si="2"/>
        <v>6746.189376443419</v>
      </c>
      <c r="M34" s="27">
        <f t="shared" si="2"/>
        <v>6625.288683602771</v>
      </c>
      <c r="N34" s="27">
        <f t="shared" si="2"/>
        <v>0</v>
      </c>
      <c r="O34" s="27">
        <f t="shared" si="2"/>
        <v>6887.6674364896071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>
        <v>0.83</v>
      </c>
      <c r="G35" s="19">
        <v>0.82</v>
      </c>
      <c r="H35" s="20">
        <v>0.85</v>
      </c>
      <c r="I35" s="20">
        <v>0.85</v>
      </c>
      <c r="J35" s="19"/>
      <c r="K35" s="19">
        <v>0.83</v>
      </c>
      <c r="L35" s="20">
        <v>0.85</v>
      </c>
      <c r="M35" s="20">
        <v>0.81</v>
      </c>
      <c r="N35" s="19"/>
      <c r="O35" s="19">
        <v>0.82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>
        <v>36.5</v>
      </c>
      <c r="G36" s="19">
        <v>36.200000000000003</v>
      </c>
      <c r="H36" s="20">
        <v>37.1</v>
      </c>
      <c r="I36" s="20">
        <v>36.9</v>
      </c>
      <c r="J36" s="19"/>
      <c r="K36" s="19">
        <v>36.200000000000003</v>
      </c>
      <c r="L36" s="20">
        <v>37.4</v>
      </c>
      <c r="M36" s="20">
        <v>36.9</v>
      </c>
      <c r="N36" s="19"/>
      <c r="O36" s="19">
        <v>36.5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>
        <v>36.9</v>
      </c>
      <c r="G37" s="19">
        <v>36.700000000000003</v>
      </c>
      <c r="H37" s="20">
        <v>37.9</v>
      </c>
      <c r="I37" s="20">
        <v>37.799999999999997</v>
      </c>
      <c r="J37" s="19"/>
      <c r="K37" s="19">
        <v>37.1</v>
      </c>
      <c r="L37" s="20">
        <v>37.799999999999997</v>
      </c>
      <c r="M37" s="20">
        <v>37.299999999999997</v>
      </c>
      <c r="N37" s="19"/>
      <c r="O37" s="19">
        <v>36.9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2.5</v>
      </c>
      <c r="G38" s="26">
        <f t="shared" ref="G38:Q38" si="3">G37-G41</f>
        <v>2.6000000000000014</v>
      </c>
      <c r="H38" s="26">
        <f t="shared" si="3"/>
        <v>4.1000000000000014</v>
      </c>
      <c r="I38" s="26">
        <f t="shared" si="3"/>
        <v>4.2999999999999972</v>
      </c>
      <c r="J38" s="26">
        <f t="shared" si="3"/>
        <v>0</v>
      </c>
      <c r="K38" s="26">
        <f t="shared" si="3"/>
        <v>3</v>
      </c>
      <c r="L38" s="26">
        <f t="shared" si="3"/>
        <v>3.5</v>
      </c>
      <c r="M38" s="26">
        <f t="shared" si="3"/>
        <v>3.5999999999999943</v>
      </c>
      <c r="N38" s="26">
        <f t="shared" si="3"/>
        <v>0</v>
      </c>
      <c r="O38" s="26">
        <f t="shared" si="3"/>
        <v>2.2999999999999972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>
        <v>28.9</v>
      </c>
      <c r="G40" s="19">
        <v>28.6</v>
      </c>
      <c r="H40" s="20">
        <v>28.8</v>
      </c>
      <c r="I40" s="20">
        <v>28.5</v>
      </c>
      <c r="J40" s="19"/>
      <c r="K40" s="19">
        <v>28.6</v>
      </c>
      <c r="L40" s="20">
        <v>28</v>
      </c>
      <c r="M40" s="20">
        <v>28.5</v>
      </c>
      <c r="N40" s="19"/>
      <c r="O40" s="19">
        <v>28.4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>
        <v>34.4</v>
      </c>
      <c r="G41" s="19">
        <v>34.1</v>
      </c>
      <c r="H41" s="20">
        <v>33.799999999999997</v>
      </c>
      <c r="I41" s="20">
        <v>33.5</v>
      </c>
      <c r="J41" s="19"/>
      <c r="K41" s="19">
        <v>34.1</v>
      </c>
      <c r="L41" s="20">
        <v>34.299999999999997</v>
      </c>
      <c r="M41" s="20">
        <v>33.700000000000003</v>
      </c>
      <c r="N41" s="19"/>
      <c r="O41" s="19">
        <v>34.6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5.5</v>
      </c>
      <c r="G42" s="26">
        <f t="shared" ref="G42:Q42" si="4">G41-G40</f>
        <v>5.5</v>
      </c>
      <c r="H42" s="26">
        <f t="shared" si="4"/>
        <v>4.9999999999999964</v>
      </c>
      <c r="I42" s="26">
        <f t="shared" si="4"/>
        <v>5</v>
      </c>
      <c r="J42" s="26">
        <f t="shared" si="4"/>
        <v>0</v>
      </c>
      <c r="K42" s="26">
        <f t="shared" si="4"/>
        <v>5.5</v>
      </c>
      <c r="L42" s="26">
        <f t="shared" si="4"/>
        <v>6.2999999999999972</v>
      </c>
      <c r="M42" s="26">
        <f t="shared" si="4"/>
        <v>5.2000000000000028</v>
      </c>
      <c r="N42" s="26">
        <f t="shared" si="4"/>
        <v>0</v>
      </c>
      <c r="O42" s="26">
        <f t="shared" si="4"/>
        <v>6.2000000000000028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>
        <v>1243</v>
      </c>
      <c r="G43" s="19">
        <v>1293.7</v>
      </c>
      <c r="H43" s="20">
        <v>1270.2</v>
      </c>
      <c r="I43" s="20">
        <v>1305.4000000000001</v>
      </c>
      <c r="J43" s="19"/>
      <c r="K43" s="19">
        <v>1299.8</v>
      </c>
      <c r="L43" s="20">
        <v>1236.4000000000001</v>
      </c>
      <c r="M43" s="19">
        <v>1295.3</v>
      </c>
      <c r="N43" s="19"/>
      <c r="O43" s="19">
        <v>1147.4000000000001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7894.3418013856817</v>
      </c>
      <c r="G44" s="27">
        <f t="shared" ref="G44:Q44" si="5">G42*G43/0.866</f>
        <v>8216.3394919168604</v>
      </c>
      <c r="H44" s="27">
        <f t="shared" si="5"/>
        <v>7333.7182448036901</v>
      </c>
      <c r="I44" s="27">
        <f t="shared" si="5"/>
        <v>7536.9515011547346</v>
      </c>
      <c r="J44" s="27">
        <f t="shared" si="5"/>
        <v>0</v>
      </c>
      <c r="K44" s="27">
        <f t="shared" si="5"/>
        <v>8255.0808314087753</v>
      </c>
      <c r="L44" s="27">
        <f t="shared" si="5"/>
        <v>8994.595842956116</v>
      </c>
      <c r="M44" s="27">
        <f t="shared" si="5"/>
        <v>7777.7829099307201</v>
      </c>
      <c r="N44" s="27">
        <f t="shared" si="5"/>
        <v>0</v>
      </c>
      <c r="O44" s="27">
        <f t="shared" si="5"/>
        <v>8214.6420323325674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>
        <v>0.46</v>
      </c>
      <c r="G45" s="19">
        <v>0.46</v>
      </c>
      <c r="H45" s="20">
        <v>0.46</v>
      </c>
      <c r="I45" s="20">
        <v>0.46</v>
      </c>
      <c r="J45" s="19"/>
      <c r="K45" s="19">
        <v>0.46</v>
      </c>
      <c r="L45" s="20">
        <v>0.47</v>
      </c>
      <c r="M45" s="20">
        <v>0.47</v>
      </c>
      <c r="N45" s="19"/>
      <c r="O45" s="19">
        <v>0.46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>
        <v>19.8</v>
      </c>
      <c r="G46" s="19">
        <v>19.5</v>
      </c>
      <c r="H46" s="20">
        <v>19.5</v>
      </c>
      <c r="I46" s="20">
        <v>19.600000000000001</v>
      </c>
      <c r="J46" s="19"/>
      <c r="K46" s="19">
        <v>19.5</v>
      </c>
      <c r="L46" s="20">
        <v>20.399999999999999</v>
      </c>
      <c r="M46" s="20">
        <v>20.100000000000001</v>
      </c>
      <c r="N46" s="19"/>
      <c r="O46" s="19">
        <v>19.8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>
        <v>210</v>
      </c>
      <c r="G47" s="19">
        <v>121.7</v>
      </c>
      <c r="H47" s="20">
        <v>122</v>
      </c>
      <c r="I47" s="20">
        <v>127.7</v>
      </c>
      <c r="J47" s="19"/>
      <c r="K47" s="19">
        <v>206.8</v>
      </c>
      <c r="L47" s="20">
        <v>206</v>
      </c>
      <c r="M47" s="20">
        <v>208.2</v>
      </c>
      <c r="N47" s="19"/>
      <c r="O47" s="19">
        <v>154.4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68">
        <v>5.89</v>
      </c>
      <c r="F49" s="19">
        <v>5.38</v>
      </c>
      <c r="G49" s="19">
        <v>5.34</v>
      </c>
      <c r="H49" s="20">
        <v>4.99</v>
      </c>
      <c r="I49" s="20">
        <v>5.41</v>
      </c>
      <c r="J49" s="19"/>
      <c r="K49" s="19">
        <v>5.59</v>
      </c>
      <c r="L49" s="20">
        <v>4.8099999999999996</v>
      </c>
      <c r="M49" s="20">
        <v>5.6</v>
      </c>
      <c r="N49" s="19"/>
      <c r="O49" s="19">
        <v>5.31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68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67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3328-FF48-4A11-9064-7ECA6A177DA2}">
  <dimension ref="B1:Q59"/>
  <sheetViews>
    <sheetView view="pageBreakPreview" topLeftCell="A16" zoomScale="85" zoomScaleNormal="60" zoomScaleSheetLayoutView="85" workbookViewId="0">
      <selection activeCell="K39" sqref="K3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70" t="s">
        <v>18</v>
      </c>
      <c r="E10" s="15"/>
      <c r="F10" s="16" t="s">
        <v>19</v>
      </c>
      <c r="G10" s="16" t="s">
        <v>19</v>
      </c>
      <c r="H10" s="17" t="s">
        <v>19</v>
      </c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 t="s">
        <v>19</v>
      </c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>
        <v>62.8</v>
      </c>
      <c r="G11" s="19">
        <v>71.099999999999994</v>
      </c>
      <c r="H11" s="20"/>
      <c r="I11" s="20">
        <v>81.599999999999994</v>
      </c>
      <c r="J11" s="19">
        <v>61.7</v>
      </c>
      <c r="K11" s="19">
        <v>73.2</v>
      </c>
      <c r="L11" s="20"/>
      <c r="M11" s="20">
        <v>72.400000000000006</v>
      </c>
      <c r="N11" s="19">
        <v>66.2</v>
      </c>
      <c r="O11" s="19">
        <v>76.099999999999994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>
        <v>0.6</v>
      </c>
      <c r="G12" s="19">
        <v>0</v>
      </c>
      <c r="H12" s="20"/>
      <c r="I12" s="20">
        <v>0</v>
      </c>
      <c r="J12" s="19">
        <v>0</v>
      </c>
      <c r="K12" s="19">
        <v>0</v>
      </c>
      <c r="L12" s="20"/>
      <c r="M12" s="20">
        <v>0.1</v>
      </c>
      <c r="N12" s="19">
        <v>0</v>
      </c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>
        <v>55</v>
      </c>
      <c r="G13" s="19">
        <v>65.599999999999994</v>
      </c>
      <c r="H13" s="20"/>
      <c r="I13" s="20">
        <v>77.400000000000006</v>
      </c>
      <c r="J13" s="19">
        <v>54.4</v>
      </c>
      <c r="K13" s="19">
        <v>69.400000000000006</v>
      </c>
      <c r="L13" s="20"/>
      <c r="M13" s="20">
        <v>68.7</v>
      </c>
      <c r="N13" s="19">
        <v>60.3</v>
      </c>
      <c r="O13" s="19">
        <v>71.3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>
        <v>60.7</v>
      </c>
      <c r="G14" s="19">
        <v>66.8</v>
      </c>
      <c r="H14" s="20"/>
      <c r="I14" s="20">
        <v>67.900000000000006</v>
      </c>
      <c r="J14" s="19">
        <v>59.4</v>
      </c>
      <c r="K14" s="19">
        <v>63.2</v>
      </c>
      <c r="L14" s="20"/>
      <c r="M14" s="20">
        <v>64.2</v>
      </c>
      <c r="N14" s="19">
        <v>66.7</v>
      </c>
      <c r="O14" s="19">
        <v>72.2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>
        <v>76.5</v>
      </c>
      <c r="G15" s="19">
        <v>71.5</v>
      </c>
      <c r="H15" s="20"/>
      <c r="I15" s="20">
        <v>50.9</v>
      </c>
      <c r="J15" s="19">
        <v>38.6</v>
      </c>
      <c r="K15" s="19">
        <v>35.9</v>
      </c>
      <c r="L15" s="20"/>
      <c r="M15" s="20">
        <v>29.3</v>
      </c>
      <c r="N15" s="19">
        <v>48.1</v>
      </c>
      <c r="O15" s="19">
        <v>51.7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>
        <v>6.6</v>
      </c>
      <c r="G16" s="19">
        <v>6.6</v>
      </c>
      <c r="H16" s="19"/>
      <c r="I16" s="19">
        <v>6.6</v>
      </c>
      <c r="J16" s="19">
        <v>6.6</v>
      </c>
      <c r="K16" s="19">
        <v>6.6</v>
      </c>
      <c r="L16" s="19"/>
      <c r="M16" s="19">
        <v>6.6</v>
      </c>
      <c r="N16" s="19">
        <v>6.6</v>
      </c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>
        <v>104.4</v>
      </c>
      <c r="G17" s="19">
        <v>118.9</v>
      </c>
      <c r="H17" s="20"/>
      <c r="I17" s="20">
        <v>119.9</v>
      </c>
      <c r="J17" s="19">
        <v>104.8</v>
      </c>
      <c r="K17" s="19">
        <v>118</v>
      </c>
      <c r="L17" s="20"/>
      <c r="M17" s="20">
        <v>115.9</v>
      </c>
      <c r="N17" s="19">
        <v>108.5</v>
      </c>
      <c r="O17" s="19">
        <v>120.6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>
        <v>1027</v>
      </c>
      <c r="G18" s="19">
        <v>1162</v>
      </c>
      <c r="H18" s="20"/>
      <c r="I18" s="20">
        <v>1214</v>
      </c>
      <c r="J18" s="19">
        <v>1074</v>
      </c>
      <c r="K18" s="19">
        <v>1196</v>
      </c>
      <c r="L18" s="20"/>
      <c r="M18" s="20">
        <v>1181</v>
      </c>
      <c r="N18" s="19">
        <v>1101</v>
      </c>
      <c r="O18" s="19">
        <v>1227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>
        <v>46842.1</v>
      </c>
      <c r="G19" s="19">
        <v>46837.2</v>
      </c>
      <c r="H19" s="20"/>
      <c r="I19" s="20">
        <v>47540.4</v>
      </c>
      <c r="J19" s="19">
        <v>45336.2</v>
      </c>
      <c r="K19" s="19">
        <v>45329.2</v>
      </c>
      <c r="L19" s="20"/>
      <c r="M19" s="20">
        <v>47444.1</v>
      </c>
      <c r="N19" s="19">
        <v>46957.1</v>
      </c>
      <c r="O19" s="19">
        <v>46949.1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>
        <v>58.8</v>
      </c>
      <c r="G22" s="19">
        <v>58.4</v>
      </c>
      <c r="H22" s="20"/>
      <c r="I22" s="20">
        <v>59.3</v>
      </c>
      <c r="J22" s="19">
        <v>57.7</v>
      </c>
      <c r="K22" s="19">
        <v>57.9</v>
      </c>
      <c r="L22" s="20"/>
      <c r="M22" s="20">
        <v>57.4</v>
      </c>
      <c r="N22" s="19">
        <v>58.5</v>
      </c>
      <c r="O22" s="19">
        <v>58.7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>
        <v>0.51</v>
      </c>
      <c r="G23" s="19">
        <v>0.53</v>
      </c>
      <c r="H23" s="20"/>
      <c r="I23" s="20">
        <v>0.49</v>
      </c>
      <c r="J23" s="19">
        <v>0.59</v>
      </c>
      <c r="K23" s="19">
        <v>0.59</v>
      </c>
      <c r="L23" s="20"/>
      <c r="M23" s="20">
        <v>0.52</v>
      </c>
      <c r="N23" s="19">
        <v>0.47</v>
      </c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>
        <v>45</v>
      </c>
      <c r="G25" s="19">
        <v>44.5</v>
      </c>
      <c r="H25" s="20"/>
      <c r="I25" s="20">
        <v>45.1</v>
      </c>
      <c r="J25" s="19">
        <v>45.2</v>
      </c>
      <c r="K25" s="19">
        <v>45.1</v>
      </c>
      <c r="L25" s="20"/>
      <c r="M25" s="20">
        <v>45.2</v>
      </c>
      <c r="N25" s="19">
        <v>45</v>
      </c>
      <c r="O25" s="19">
        <v>45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>
        <v>0.22</v>
      </c>
      <c r="G26" s="19">
        <v>0.23</v>
      </c>
      <c r="H26" s="20"/>
      <c r="I26" s="20">
        <v>0.22</v>
      </c>
      <c r="J26" s="19">
        <v>0.22</v>
      </c>
      <c r="K26" s="19">
        <v>0.23</v>
      </c>
      <c r="L26" s="20"/>
      <c r="M26" s="20">
        <v>0.22</v>
      </c>
      <c r="N26" s="19">
        <v>0.22</v>
      </c>
      <c r="O26" s="19">
        <v>0.23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>
        <v>3.1</v>
      </c>
      <c r="G27" s="19">
        <v>4.5999999999999996</v>
      </c>
      <c r="H27" s="20"/>
      <c r="I27" s="20">
        <v>3.3</v>
      </c>
      <c r="J27" s="19">
        <v>4.2</v>
      </c>
      <c r="K27" s="19">
        <v>4.2</v>
      </c>
      <c r="L27" s="20"/>
      <c r="M27" s="20">
        <v>3.8</v>
      </c>
      <c r="N27" s="19">
        <v>3.9</v>
      </c>
      <c r="O27" s="19">
        <v>4.5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>
        <v>2.6</v>
      </c>
      <c r="G28" s="19">
        <v>4</v>
      </c>
      <c r="H28" s="20"/>
      <c r="I28" s="20">
        <v>2.6</v>
      </c>
      <c r="J28" s="19">
        <v>3.4</v>
      </c>
      <c r="K28" s="19">
        <v>3.6</v>
      </c>
      <c r="L28" s="20"/>
      <c r="M28" s="20">
        <v>2.7</v>
      </c>
      <c r="N28" s="19">
        <v>2.8</v>
      </c>
      <c r="O28" s="19">
        <v>3.1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1.8000000000000003</v>
      </c>
      <c r="G29" s="26">
        <f t="shared" ref="G29:Q29" si="0">G32-G28</f>
        <v>1.0999999999999996</v>
      </c>
      <c r="H29" s="26">
        <f t="shared" si="0"/>
        <v>0</v>
      </c>
      <c r="I29" s="26">
        <f t="shared" si="0"/>
        <v>2.6</v>
      </c>
      <c r="J29" s="26">
        <f t="shared" si="0"/>
        <v>0.69999999999999973</v>
      </c>
      <c r="K29" s="26">
        <f t="shared" si="0"/>
        <v>0.69999999999999973</v>
      </c>
      <c r="L29" s="26">
        <f t="shared" si="0"/>
        <v>0</v>
      </c>
      <c r="M29" s="26">
        <f t="shared" si="0"/>
        <v>1.3999999999999995</v>
      </c>
      <c r="N29" s="26">
        <f>N32-N28</f>
        <v>1.2000000000000002</v>
      </c>
      <c r="O29" s="26">
        <f t="shared" si="0"/>
        <v>1.6999999999999997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>
        <v>689.9</v>
      </c>
      <c r="G30" s="19">
        <v>680.8</v>
      </c>
      <c r="H30" s="20"/>
      <c r="I30" s="20">
        <v>665.3</v>
      </c>
      <c r="J30" s="19">
        <v>680.8</v>
      </c>
      <c r="K30" s="19">
        <v>644.27</v>
      </c>
      <c r="L30" s="20"/>
      <c r="M30" s="20">
        <v>658.1</v>
      </c>
      <c r="N30" s="19">
        <v>686.3</v>
      </c>
      <c r="O30" s="19">
        <v>660.7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>
        <v>12.1</v>
      </c>
      <c r="G31" s="19">
        <v>13.6</v>
      </c>
      <c r="H31" s="20"/>
      <c r="I31" s="20">
        <v>13.6</v>
      </c>
      <c r="J31" s="19">
        <v>12</v>
      </c>
      <c r="K31" s="19">
        <v>13.2</v>
      </c>
      <c r="L31" s="20"/>
      <c r="M31" s="20">
        <v>12.8</v>
      </c>
      <c r="N31" s="19">
        <v>12.1</v>
      </c>
      <c r="O31" s="19">
        <v>13.7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>
        <v>4.4000000000000004</v>
      </c>
      <c r="G32" s="19">
        <v>5.0999999999999996</v>
      </c>
      <c r="H32" s="20"/>
      <c r="I32" s="20">
        <v>5.2</v>
      </c>
      <c r="J32" s="19">
        <v>4.0999999999999996</v>
      </c>
      <c r="K32" s="19">
        <v>4.3</v>
      </c>
      <c r="L32" s="20"/>
      <c r="M32" s="20">
        <v>4.0999999999999996</v>
      </c>
      <c r="N32" s="19">
        <v>4</v>
      </c>
      <c r="O32" s="19">
        <v>4.8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7.6999999999999993</v>
      </c>
      <c r="G33" s="26">
        <f t="shared" ref="G33:Q33" si="1">G31-G32</f>
        <v>8.5</v>
      </c>
      <c r="H33" s="26">
        <f t="shared" si="1"/>
        <v>0</v>
      </c>
      <c r="I33" s="26">
        <f t="shared" si="1"/>
        <v>8.3999999999999986</v>
      </c>
      <c r="J33" s="26">
        <f t="shared" si="1"/>
        <v>7.9</v>
      </c>
      <c r="K33" s="26">
        <f t="shared" si="1"/>
        <v>8.8999999999999986</v>
      </c>
      <c r="L33" s="26">
        <f t="shared" si="1"/>
        <v>0</v>
      </c>
      <c r="M33" s="26">
        <f t="shared" si="1"/>
        <v>8.7000000000000011</v>
      </c>
      <c r="N33" s="26">
        <f t="shared" si="1"/>
        <v>8.1</v>
      </c>
      <c r="O33" s="26">
        <f t="shared" si="1"/>
        <v>8.8999999999999986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6134.2147806004614</v>
      </c>
      <c r="G34" s="27">
        <f t="shared" ref="G34:Q34" si="2">(G33*G30)/0.866</f>
        <v>6682.2170900692836</v>
      </c>
      <c r="H34" s="27">
        <f t="shared" si="2"/>
        <v>0</v>
      </c>
      <c r="I34" s="27">
        <f t="shared" si="2"/>
        <v>6453.2563510392592</v>
      </c>
      <c r="J34" s="27">
        <f t="shared" si="2"/>
        <v>6210.5311778290989</v>
      </c>
      <c r="K34" s="27">
        <f t="shared" si="2"/>
        <v>6621.2505773672046</v>
      </c>
      <c r="L34" s="27">
        <f t="shared" si="2"/>
        <v>0</v>
      </c>
      <c r="M34" s="27">
        <f t="shared" si="2"/>
        <v>6611.3972286374146</v>
      </c>
      <c r="N34" s="27">
        <f t="shared" si="2"/>
        <v>6419.2032332563504</v>
      </c>
      <c r="O34" s="27">
        <f t="shared" si="2"/>
        <v>6790.1039260969974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>
        <v>0.8</v>
      </c>
      <c r="G35" s="19">
        <v>0.84</v>
      </c>
      <c r="H35" s="20"/>
      <c r="I35" s="20">
        <v>0.87</v>
      </c>
      <c r="J35" s="19">
        <v>0.79</v>
      </c>
      <c r="K35" s="19">
        <v>0.85</v>
      </c>
      <c r="L35" s="20"/>
      <c r="M35" s="20">
        <v>0.85</v>
      </c>
      <c r="N35" s="19">
        <v>0.79</v>
      </c>
      <c r="O35" s="19">
        <v>0.84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>
        <v>34</v>
      </c>
      <c r="G36" s="19">
        <v>36.799999999999997</v>
      </c>
      <c r="H36" s="20"/>
      <c r="I36" s="20">
        <v>37.4</v>
      </c>
      <c r="J36" s="19">
        <v>34.6</v>
      </c>
      <c r="K36" s="19">
        <v>36.9</v>
      </c>
      <c r="L36" s="20"/>
      <c r="M36" s="20">
        <v>37.200000000000003</v>
      </c>
      <c r="N36" s="19">
        <v>34.6</v>
      </c>
      <c r="O36" s="19">
        <v>37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>
        <v>34.6</v>
      </c>
      <c r="G37" s="19">
        <v>37.299999999999997</v>
      </c>
      <c r="H37" s="20"/>
      <c r="I37" s="20">
        <v>38.799999999999997</v>
      </c>
      <c r="J37" s="19">
        <v>35.299999999999997</v>
      </c>
      <c r="K37" s="19">
        <v>37.6</v>
      </c>
      <c r="L37" s="20"/>
      <c r="M37" s="20">
        <v>37.700000000000003</v>
      </c>
      <c r="N37" s="19">
        <v>35</v>
      </c>
      <c r="O37" s="19">
        <v>37.4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 t="s">
        <v>100</v>
      </c>
      <c r="G38" s="26">
        <f t="shared" ref="G38:Q38" si="3">G37-G41</f>
        <v>2.5999999999999943</v>
      </c>
      <c r="H38" s="26">
        <f t="shared" si="3"/>
        <v>0</v>
      </c>
      <c r="I38" s="26">
        <f t="shared" si="3"/>
        <v>4.7999999999999972</v>
      </c>
      <c r="J38" s="26">
        <f t="shared" si="3"/>
        <v>2.8999999999999986</v>
      </c>
      <c r="K38" s="26">
        <f t="shared" si="3"/>
        <v>2.8000000000000043</v>
      </c>
      <c r="L38" s="26">
        <f t="shared" si="3"/>
        <v>0</v>
      </c>
      <c r="M38" s="26">
        <f t="shared" si="3"/>
        <v>3.5</v>
      </c>
      <c r="N38" s="26">
        <f t="shared" si="3"/>
        <v>2.3999999999999986</v>
      </c>
      <c r="O38" s="26">
        <f t="shared" si="3"/>
        <v>2.2999999999999972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>
        <v>27.3</v>
      </c>
      <c r="G40" s="19">
        <v>29.3</v>
      </c>
      <c r="H40" s="20"/>
      <c r="I40" s="20">
        <v>29.2</v>
      </c>
      <c r="J40" s="19">
        <v>27.3</v>
      </c>
      <c r="K40" s="19">
        <v>29.3</v>
      </c>
      <c r="L40" s="20"/>
      <c r="M40" s="20">
        <v>29.2</v>
      </c>
      <c r="N40" s="19">
        <v>27.2</v>
      </c>
      <c r="O40" s="19">
        <v>29.1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>
        <v>32.200000000000003</v>
      </c>
      <c r="G41" s="19">
        <v>34.700000000000003</v>
      </c>
      <c r="H41" s="20"/>
      <c r="I41" s="20">
        <v>34</v>
      </c>
      <c r="J41" s="19">
        <v>32.4</v>
      </c>
      <c r="K41" s="19">
        <v>34.799999999999997</v>
      </c>
      <c r="L41" s="20"/>
      <c r="M41" s="20">
        <v>34.200000000000003</v>
      </c>
      <c r="N41" s="19">
        <v>32.6</v>
      </c>
      <c r="O41" s="19">
        <v>35.1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4.9000000000000021</v>
      </c>
      <c r="G42" s="26">
        <f t="shared" ref="G42:Q42" si="4">G41-G40</f>
        <v>5.4000000000000021</v>
      </c>
      <c r="H42" s="26">
        <f t="shared" si="4"/>
        <v>0</v>
      </c>
      <c r="I42" s="26">
        <f t="shared" si="4"/>
        <v>4.8000000000000007</v>
      </c>
      <c r="J42" s="26">
        <f t="shared" si="4"/>
        <v>5.0999999999999979</v>
      </c>
      <c r="K42" s="26">
        <f t="shared" si="4"/>
        <v>5.4999999999999964</v>
      </c>
      <c r="L42" s="26">
        <f t="shared" si="4"/>
        <v>0</v>
      </c>
      <c r="M42" s="26">
        <f t="shared" si="4"/>
        <v>5.0000000000000036</v>
      </c>
      <c r="N42" s="26">
        <f t="shared" si="4"/>
        <v>5.4000000000000021</v>
      </c>
      <c r="O42" s="26">
        <f t="shared" si="4"/>
        <v>6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>
        <v>1298.2</v>
      </c>
      <c r="G43" s="19">
        <v>1286.5999999999999</v>
      </c>
      <c r="H43" s="20"/>
      <c r="I43" s="20">
        <v>1311.5</v>
      </c>
      <c r="J43" s="19">
        <v>1290.5999999999999</v>
      </c>
      <c r="K43" s="19">
        <v>1304.4000000000001</v>
      </c>
      <c r="L43" s="20"/>
      <c r="M43" s="19">
        <v>1299.2</v>
      </c>
      <c r="N43" s="19">
        <v>1189</v>
      </c>
      <c r="O43" s="19">
        <v>1140.5999999999999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7345.4734411085483</v>
      </c>
      <c r="G44" s="27">
        <f t="shared" ref="G44:Q44" si="5">G42*G43/0.866</f>
        <v>8022.6789838337208</v>
      </c>
      <c r="H44" s="27">
        <f t="shared" si="5"/>
        <v>0</v>
      </c>
      <c r="I44" s="27">
        <f t="shared" si="5"/>
        <v>7269.2840646651275</v>
      </c>
      <c r="J44" s="27">
        <f t="shared" si="5"/>
        <v>7600.5311778290952</v>
      </c>
      <c r="K44" s="27">
        <f t="shared" si="5"/>
        <v>8284.2956120092331</v>
      </c>
      <c r="L44" s="27">
        <f t="shared" si="5"/>
        <v>0</v>
      </c>
      <c r="M44" s="27">
        <f t="shared" si="5"/>
        <v>7501.1547344110904</v>
      </c>
      <c r="N44" s="27">
        <f t="shared" si="5"/>
        <v>7414.0877598152447</v>
      </c>
      <c r="O44" s="27">
        <f t="shared" si="5"/>
        <v>7902.5404157043877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>
        <v>0.45</v>
      </c>
      <c r="G45" s="19">
        <v>0.48</v>
      </c>
      <c r="H45" s="20"/>
      <c r="I45" s="20">
        <v>0.46</v>
      </c>
      <c r="J45" s="19">
        <v>0.45</v>
      </c>
      <c r="K45" s="19">
        <v>0.47</v>
      </c>
      <c r="L45" s="20"/>
      <c r="M45" s="20">
        <v>0.47</v>
      </c>
      <c r="N45" s="19">
        <v>0.45</v>
      </c>
      <c r="O45" s="19">
        <v>0.47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>
        <v>19.100000000000001</v>
      </c>
      <c r="G46" s="19">
        <v>20.5</v>
      </c>
      <c r="H46" s="20"/>
      <c r="I46" s="20">
        <v>19.8</v>
      </c>
      <c r="J46" s="19">
        <v>19.100000000000001</v>
      </c>
      <c r="K46" s="19">
        <v>20.2</v>
      </c>
      <c r="L46" s="20"/>
      <c r="M46" s="20">
        <v>20.3</v>
      </c>
      <c r="N46" s="19">
        <v>18.899999999999999</v>
      </c>
      <c r="O46" s="19">
        <v>20.100000000000001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>
        <v>291.39999999999998</v>
      </c>
      <c r="G47" s="19">
        <v>216.1</v>
      </c>
      <c r="H47" s="20"/>
      <c r="I47" s="20">
        <v>122.1</v>
      </c>
      <c r="J47" s="19">
        <v>203.1</v>
      </c>
      <c r="K47" s="19">
        <v>216.4</v>
      </c>
      <c r="L47" s="20"/>
      <c r="M47" s="20">
        <v>212.8</v>
      </c>
      <c r="N47" s="19">
        <v>165.8</v>
      </c>
      <c r="O47" s="19">
        <v>152.30000000000001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70">
        <v>5.89</v>
      </c>
      <c r="F49" s="19">
        <v>5.73</v>
      </c>
      <c r="G49" s="19">
        <v>5.42</v>
      </c>
      <c r="H49" s="20"/>
      <c r="I49" s="20">
        <v>5.29</v>
      </c>
      <c r="J49" s="19">
        <v>5.44</v>
      </c>
      <c r="K49" s="19">
        <v>5.59</v>
      </c>
      <c r="L49" s="20"/>
      <c r="M49" s="20">
        <v>5.49</v>
      </c>
      <c r="N49" s="19">
        <v>5.43</v>
      </c>
      <c r="O49" s="19">
        <v>5.44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70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69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A911-F0F9-435D-B462-F62713D5A043}">
  <dimension ref="B1:Q59"/>
  <sheetViews>
    <sheetView view="pageBreakPreview" zoomScale="85" zoomScaleNormal="60" zoomScaleSheetLayoutView="85" workbookViewId="0">
      <selection activeCell="L21" sqref="L21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72" t="s">
        <v>18</v>
      </c>
      <c r="E10" s="15"/>
      <c r="F10" s="16"/>
      <c r="G10" s="16" t="s">
        <v>19</v>
      </c>
      <c r="H10" s="17" t="s">
        <v>19</v>
      </c>
      <c r="I10" s="17" t="s">
        <v>19</v>
      </c>
      <c r="J10" s="17" t="s">
        <v>19</v>
      </c>
      <c r="K10" s="17" t="s">
        <v>19</v>
      </c>
      <c r="L10" s="17" t="s">
        <v>19</v>
      </c>
      <c r="M10" s="17" t="s">
        <v>19</v>
      </c>
      <c r="N10" s="16"/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71.400000000000006</v>
      </c>
      <c r="H11" s="20">
        <v>76.400000000000006</v>
      </c>
      <c r="I11" s="20">
        <v>76.7</v>
      </c>
      <c r="J11" s="19">
        <v>72.5</v>
      </c>
      <c r="K11" s="19">
        <v>70.8</v>
      </c>
      <c r="L11" s="20">
        <v>71.8</v>
      </c>
      <c r="M11" s="20">
        <v>73.5</v>
      </c>
      <c r="N11" s="19"/>
      <c r="O11" s="19">
        <v>73.400000000000006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0.1</v>
      </c>
      <c r="H12" s="20">
        <v>0</v>
      </c>
      <c r="I12" s="20">
        <v>0</v>
      </c>
      <c r="J12" s="19">
        <v>0</v>
      </c>
      <c r="K12" s="19">
        <v>0</v>
      </c>
      <c r="L12" s="20">
        <v>0.1</v>
      </c>
      <c r="M12" s="20">
        <v>0.1</v>
      </c>
      <c r="N12" s="19"/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66.2</v>
      </c>
      <c r="H13" s="20">
        <v>71.7</v>
      </c>
      <c r="I13" s="20">
        <v>71.400000000000006</v>
      </c>
      <c r="J13" s="19">
        <v>68.400000000000006</v>
      </c>
      <c r="K13" s="19">
        <v>67.8</v>
      </c>
      <c r="L13" s="20">
        <v>69.099999999999994</v>
      </c>
      <c r="M13" s="20">
        <v>68.7</v>
      </c>
      <c r="N13" s="19"/>
      <c r="O13" s="19">
        <v>68.5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66</v>
      </c>
      <c r="H14" s="20">
        <v>66</v>
      </c>
      <c r="I14" s="20">
        <v>68.8</v>
      </c>
      <c r="J14" s="19">
        <v>63.9</v>
      </c>
      <c r="K14" s="19">
        <v>62.8</v>
      </c>
      <c r="L14" s="20">
        <v>64.400000000000006</v>
      </c>
      <c r="M14" s="20">
        <v>65.400000000000006</v>
      </c>
      <c r="N14" s="19"/>
      <c r="O14" s="19">
        <v>72.400000000000006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44.8</v>
      </c>
      <c r="H15" s="20">
        <v>49</v>
      </c>
      <c r="I15" s="20">
        <v>48.8</v>
      </c>
      <c r="J15" s="19">
        <v>37.1</v>
      </c>
      <c r="K15" s="19">
        <v>36.799999999999997</v>
      </c>
      <c r="L15" s="20">
        <v>33.700000000000003</v>
      </c>
      <c r="M15" s="20">
        <v>30.6</v>
      </c>
      <c r="N15" s="19"/>
      <c r="O15" s="19">
        <v>48.7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>
        <v>6.6</v>
      </c>
      <c r="G16" s="19">
        <v>6.6</v>
      </c>
      <c r="H16" s="20">
        <v>6.6</v>
      </c>
      <c r="I16" s="20">
        <v>6.6</v>
      </c>
      <c r="J16" s="19">
        <v>6.6</v>
      </c>
      <c r="K16" s="19">
        <v>6.6</v>
      </c>
      <c r="L16" s="20">
        <v>6.6</v>
      </c>
      <c r="M16" s="20">
        <v>6.6</v>
      </c>
      <c r="N16" s="19">
        <v>6.6</v>
      </c>
      <c r="O16" s="19">
        <v>6.6</v>
      </c>
      <c r="P16" s="20">
        <v>6.6</v>
      </c>
      <c r="Q16" s="20">
        <v>6.6</v>
      </c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117.9</v>
      </c>
      <c r="H17" s="20">
        <v>115</v>
      </c>
      <c r="I17" s="20">
        <v>116.9</v>
      </c>
      <c r="J17" s="19">
        <v>117.4</v>
      </c>
      <c r="K17" s="19">
        <v>115.8</v>
      </c>
      <c r="L17" s="20">
        <v>116.9</v>
      </c>
      <c r="M17" s="20">
        <v>115.5</v>
      </c>
      <c r="N17" s="19"/>
      <c r="O17" s="19">
        <v>117.2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1164</v>
      </c>
      <c r="H18" s="20">
        <v>1163</v>
      </c>
      <c r="I18" s="20">
        <v>1184</v>
      </c>
      <c r="J18" s="19">
        <v>1189</v>
      </c>
      <c r="K18" s="19">
        <v>1172</v>
      </c>
      <c r="L18" s="20">
        <v>1188</v>
      </c>
      <c r="M18" s="20">
        <v>1177</v>
      </c>
      <c r="N18" s="19"/>
      <c r="O18" s="19">
        <v>1196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46848.6</v>
      </c>
      <c r="H19" s="20">
        <v>47741.7</v>
      </c>
      <c r="I19" s="20">
        <v>47731.9</v>
      </c>
      <c r="J19" s="19">
        <v>45355.3</v>
      </c>
      <c r="K19" s="19">
        <v>45345.4</v>
      </c>
      <c r="L19" s="20">
        <v>47669.3</v>
      </c>
      <c r="M19" s="20">
        <v>47659.5</v>
      </c>
      <c r="N19" s="19"/>
      <c r="O19" s="19">
        <v>46969.3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59.5</v>
      </c>
      <c r="H22" s="20">
        <v>59</v>
      </c>
      <c r="I22" s="20">
        <v>59</v>
      </c>
      <c r="J22" s="19">
        <v>57.9</v>
      </c>
      <c r="K22" s="19">
        <v>57.7</v>
      </c>
      <c r="L22" s="20">
        <v>57.4</v>
      </c>
      <c r="M22" s="20">
        <v>57.6</v>
      </c>
      <c r="N22" s="19"/>
      <c r="O22" s="19">
        <v>58.6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0.52</v>
      </c>
      <c r="H23" s="20">
        <v>0.49</v>
      </c>
      <c r="I23" s="20">
        <v>0.49</v>
      </c>
      <c r="J23" s="19">
        <v>0.59</v>
      </c>
      <c r="K23" s="19">
        <v>0.59</v>
      </c>
      <c r="L23" s="20">
        <v>0.52</v>
      </c>
      <c r="M23" s="20">
        <v>0.52</v>
      </c>
      <c r="N23" s="19"/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46</v>
      </c>
      <c r="H25" s="20">
        <v>45.1</v>
      </c>
      <c r="I25" s="20">
        <v>45.2</v>
      </c>
      <c r="J25" s="19">
        <v>45.1</v>
      </c>
      <c r="K25" s="19">
        <v>45</v>
      </c>
      <c r="L25" s="20">
        <v>44</v>
      </c>
      <c r="M25" s="20">
        <v>44.9</v>
      </c>
      <c r="N25" s="19"/>
      <c r="O25" s="19">
        <v>45.2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>
        <v>0.21</v>
      </c>
      <c r="I26" s="20">
        <v>0.22</v>
      </c>
      <c r="J26" s="19">
        <v>0.23</v>
      </c>
      <c r="K26" s="19">
        <v>0.23</v>
      </c>
      <c r="L26" s="20">
        <v>0.23</v>
      </c>
      <c r="M26" s="20">
        <v>0.22</v>
      </c>
      <c r="N26" s="19"/>
      <c r="O26" s="19">
        <v>0.22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4.3</v>
      </c>
      <c r="H27" s="20">
        <v>3.3</v>
      </c>
      <c r="I27" s="20">
        <v>3.6</v>
      </c>
      <c r="J27" s="19">
        <v>4.5</v>
      </c>
      <c r="K27" s="19">
        <v>4.2</v>
      </c>
      <c r="L27" s="20">
        <v>4.2</v>
      </c>
      <c r="M27" s="20">
        <v>3.9</v>
      </c>
      <c r="N27" s="19"/>
      <c r="O27" s="19">
        <v>4.3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3.8</v>
      </c>
      <c r="H28" s="20">
        <v>2.4</v>
      </c>
      <c r="I28" s="20">
        <v>2.8</v>
      </c>
      <c r="J28" s="19">
        <v>3.4</v>
      </c>
      <c r="K28" s="19">
        <v>3.6</v>
      </c>
      <c r="L28" s="20">
        <v>3.2</v>
      </c>
      <c r="M28" s="20">
        <v>2.8</v>
      </c>
      <c r="N28" s="19"/>
      <c r="O28" s="19">
        <v>3.3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0.79999999999999982</v>
      </c>
      <c r="H29" s="26">
        <v>2.1999999999999997</v>
      </c>
      <c r="I29" s="26">
        <f t="shared" si="0"/>
        <v>2</v>
      </c>
      <c r="J29" s="26">
        <v>1.1000000000000001</v>
      </c>
      <c r="K29" s="26">
        <f t="shared" si="0"/>
        <v>0.69999999999999973</v>
      </c>
      <c r="L29" s="26">
        <v>1.2999999999999998</v>
      </c>
      <c r="M29" s="26">
        <f t="shared" si="0"/>
        <v>1.2000000000000002</v>
      </c>
      <c r="N29" s="26">
        <f>N32-N28</f>
        <v>0</v>
      </c>
      <c r="O29" s="26">
        <f t="shared" si="0"/>
        <v>1.2000000000000002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671.9</v>
      </c>
      <c r="H30" s="20">
        <v>674.56</v>
      </c>
      <c r="I30" s="20">
        <v>654.54</v>
      </c>
      <c r="J30" s="19">
        <v>628.64</v>
      </c>
      <c r="K30" s="19">
        <v>633</v>
      </c>
      <c r="L30" s="20">
        <v>719.92</v>
      </c>
      <c r="M30" s="20">
        <v>649.9</v>
      </c>
      <c r="N30" s="19"/>
      <c r="O30" s="19">
        <v>647.70000000000005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13.4</v>
      </c>
      <c r="H31" s="20">
        <v>12.5</v>
      </c>
      <c r="I31" s="20">
        <v>13.5</v>
      </c>
      <c r="J31" s="19">
        <v>13.5</v>
      </c>
      <c r="K31" s="19">
        <v>13.3</v>
      </c>
      <c r="L31" s="20">
        <v>12.8</v>
      </c>
      <c r="M31" s="20">
        <v>12.8</v>
      </c>
      <c r="N31" s="19"/>
      <c r="O31" s="19">
        <v>13.5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4.5999999999999996</v>
      </c>
      <c r="H32" s="20">
        <v>4.5999999999999996</v>
      </c>
      <c r="I32" s="20">
        <v>4.8</v>
      </c>
      <c r="J32" s="19">
        <v>4.5</v>
      </c>
      <c r="K32" s="19">
        <v>4.3</v>
      </c>
      <c r="L32" s="20">
        <v>4.5</v>
      </c>
      <c r="M32" s="20">
        <v>4</v>
      </c>
      <c r="N32" s="19"/>
      <c r="O32" s="19">
        <v>4.5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8.8000000000000007</v>
      </c>
      <c r="H33" s="26">
        <v>7.9</v>
      </c>
      <c r="I33" s="26">
        <f t="shared" si="1"/>
        <v>8.6999999999999993</v>
      </c>
      <c r="J33" s="26">
        <v>9</v>
      </c>
      <c r="K33" s="26">
        <f t="shared" si="1"/>
        <v>9</v>
      </c>
      <c r="L33" s="26">
        <v>8.3000000000000007</v>
      </c>
      <c r="M33" s="26">
        <f t="shared" si="1"/>
        <v>8.8000000000000007</v>
      </c>
      <c r="N33" s="26">
        <f t="shared" si="1"/>
        <v>0</v>
      </c>
      <c r="O33" s="26">
        <f t="shared" si="1"/>
        <v>9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6827.6212471131639</v>
      </c>
      <c r="H34" s="27">
        <v>6153.6073903002307</v>
      </c>
      <c r="I34" s="27">
        <f t="shared" si="2"/>
        <v>6575.632794457274</v>
      </c>
      <c r="J34" s="27">
        <v>6533.2101616628179</v>
      </c>
      <c r="K34" s="27">
        <f t="shared" si="2"/>
        <v>6578.5219399538109</v>
      </c>
      <c r="L34" s="27">
        <v>6899.9260969976913</v>
      </c>
      <c r="M34" s="27">
        <f t="shared" si="2"/>
        <v>6604.0646651270208</v>
      </c>
      <c r="N34" s="27">
        <f t="shared" si="2"/>
        <v>0</v>
      </c>
      <c r="O34" s="27">
        <f t="shared" si="2"/>
        <v>6731.2933025404163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0.83</v>
      </c>
      <c r="H35" s="20">
        <v>0.85</v>
      </c>
      <c r="I35" s="20">
        <v>0.85</v>
      </c>
      <c r="J35" s="19">
        <v>0.84</v>
      </c>
      <c r="K35" s="19">
        <v>0.84</v>
      </c>
      <c r="L35" s="20">
        <v>0.85</v>
      </c>
      <c r="M35" s="20">
        <v>0.84</v>
      </c>
      <c r="N35" s="19"/>
      <c r="O35" s="19">
        <v>0.83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36.299999999999997</v>
      </c>
      <c r="H36" s="20">
        <v>36.700000000000003</v>
      </c>
      <c r="I36" s="20">
        <v>36.9</v>
      </c>
      <c r="J36" s="19">
        <v>36.6</v>
      </c>
      <c r="K36" s="19">
        <v>36.5</v>
      </c>
      <c r="L36" s="20">
        <v>37</v>
      </c>
      <c r="M36" s="20">
        <v>36.9</v>
      </c>
      <c r="N36" s="19"/>
      <c r="O36" s="19">
        <v>36.6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36.9</v>
      </c>
      <c r="H37" s="20">
        <v>37.6</v>
      </c>
      <c r="I37" s="20">
        <v>37.9</v>
      </c>
      <c r="J37" s="19">
        <v>37.1</v>
      </c>
      <c r="K37" s="19">
        <v>37.200000000000003</v>
      </c>
      <c r="L37" s="20">
        <v>37.5</v>
      </c>
      <c r="M37" s="20">
        <v>37.4</v>
      </c>
      <c r="N37" s="19"/>
      <c r="O37" s="19">
        <v>37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2.6999999999999957</v>
      </c>
      <c r="H38" s="26">
        <v>4.6000000000000014</v>
      </c>
      <c r="I38" s="26">
        <f t="shared" si="3"/>
        <v>4.3999999999999986</v>
      </c>
      <c r="J38" s="26">
        <v>3.6000000000000014</v>
      </c>
      <c r="K38" s="26">
        <f t="shared" si="3"/>
        <v>2.8000000000000043</v>
      </c>
      <c r="L38" s="26">
        <v>4.2999999999999972</v>
      </c>
      <c r="M38" s="26">
        <f t="shared" si="3"/>
        <v>3.5</v>
      </c>
      <c r="N38" s="26">
        <f t="shared" si="3"/>
        <v>0</v>
      </c>
      <c r="O38" s="26">
        <f t="shared" si="3"/>
        <v>2.2999999999999972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28.9</v>
      </c>
      <c r="H40" s="20">
        <v>28</v>
      </c>
      <c r="I40" s="20">
        <v>28.8</v>
      </c>
      <c r="J40" s="19">
        <v>28.2</v>
      </c>
      <c r="K40" s="19">
        <v>28.9</v>
      </c>
      <c r="L40" s="20">
        <v>27.9</v>
      </c>
      <c r="M40" s="20">
        <v>28.8</v>
      </c>
      <c r="N40" s="19"/>
      <c r="O40" s="19">
        <v>28.7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34.200000000000003</v>
      </c>
      <c r="H41" s="20">
        <v>33</v>
      </c>
      <c r="I41" s="20">
        <v>33.5</v>
      </c>
      <c r="J41" s="19">
        <v>33.5</v>
      </c>
      <c r="K41" s="19">
        <v>34.4</v>
      </c>
      <c r="L41" s="20">
        <v>33.200000000000003</v>
      </c>
      <c r="M41" s="20">
        <v>33.9</v>
      </c>
      <c r="N41" s="19"/>
      <c r="O41" s="19">
        <v>34.700000000000003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5.3000000000000043</v>
      </c>
      <c r="H42" s="26">
        <v>5</v>
      </c>
      <c r="I42" s="26">
        <f t="shared" si="4"/>
        <v>4.6999999999999993</v>
      </c>
      <c r="J42" s="26">
        <v>5.3000000000000007</v>
      </c>
      <c r="K42" s="26">
        <f t="shared" si="4"/>
        <v>5.5</v>
      </c>
      <c r="L42" s="26">
        <v>5.3000000000000043</v>
      </c>
      <c r="M42" s="26">
        <f t="shared" si="4"/>
        <v>5.0999999999999979</v>
      </c>
      <c r="N42" s="26">
        <f t="shared" si="4"/>
        <v>0</v>
      </c>
      <c r="O42" s="26">
        <f t="shared" si="4"/>
        <v>6.0000000000000036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1298.9000000000001</v>
      </c>
      <c r="H43" s="20">
        <v>1299.3399999999999</v>
      </c>
      <c r="I43" s="20">
        <v>1296.5</v>
      </c>
      <c r="J43" s="19">
        <v>1293.8800000000001</v>
      </c>
      <c r="K43" s="19">
        <v>1298.0999999999999</v>
      </c>
      <c r="L43" s="20">
        <v>1272.32</v>
      </c>
      <c r="M43" s="19">
        <v>1287.0999999999999</v>
      </c>
      <c r="N43" s="19"/>
      <c r="O43" s="19">
        <v>1110.7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7949.3879907621322</v>
      </c>
      <c r="H44" s="27">
        <v>7501.9630484988447</v>
      </c>
      <c r="I44" s="27">
        <f t="shared" si="5"/>
        <v>7036.431870669745</v>
      </c>
      <c r="J44" s="27">
        <v>7918.6651270207867</v>
      </c>
      <c r="K44" s="27">
        <f t="shared" si="5"/>
        <v>8244.2840646651257</v>
      </c>
      <c r="L44" s="27">
        <v>7786.7159353348788</v>
      </c>
      <c r="M44" s="27">
        <f t="shared" si="5"/>
        <v>7579.9191685912201</v>
      </c>
      <c r="N44" s="27">
        <f t="shared" si="5"/>
        <v>0</v>
      </c>
      <c r="O44" s="27">
        <f t="shared" si="5"/>
        <v>7695.3810623556637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0.47</v>
      </c>
      <c r="H45" s="20">
        <v>0.46</v>
      </c>
      <c r="I45" s="20">
        <v>0.47</v>
      </c>
      <c r="J45" s="19">
        <v>0.46</v>
      </c>
      <c r="K45" s="19">
        <v>0.47</v>
      </c>
      <c r="L45" s="20">
        <v>0.47</v>
      </c>
      <c r="M45" s="20">
        <v>0.47</v>
      </c>
      <c r="N45" s="19"/>
      <c r="O45" s="19">
        <v>0.47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20.100000000000001</v>
      </c>
      <c r="H46" s="20">
        <v>19.600000000000001</v>
      </c>
      <c r="I46" s="20">
        <v>19.899999999999999</v>
      </c>
      <c r="J46" s="19">
        <v>19.3</v>
      </c>
      <c r="K46" s="19">
        <v>20</v>
      </c>
      <c r="L46" s="20">
        <v>20.2</v>
      </c>
      <c r="M46" s="20">
        <v>20.100000000000001</v>
      </c>
      <c r="N46" s="19"/>
      <c r="O46" s="19">
        <v>19.899999999999999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173.4</v>
      </c>
      <c r="H47" s="20">
        <v>126.4</v>
      </c>
      <c r="I47" s="20">
        <v>129.80000000000001</v>
      </c>
      <c r="J47" s="19">
        <v>208.2</v>
      </c>
      <c r="K47" s="19">
        <v>202.2</v>
      </c>
      <c r="L47" s="20">
        <v>214.5</v>
      </c>
      <c r="M47" s="20">
        <v>207.3</v>
      </c>
      <c r="N47" s="19"/>
      <c r="O47" s="19">
        <v>155.19999999999999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72">
        <v>5.89</v>
      </c>
      <c r="F49" s="19"/>
      <c r="G49" s="19">
        <v>5.4</v>
      </c>
      <c r="H49" s="20">
        <v>5.25</v>
      </c>
      <c r="I49" s="20">
        <v>5.3</v>
      </c>
      <c r="J49" s="19">
        <v>5.54</v>
      </c>
      <c r="K49" s="19">
        <v>5.72</v>
      </c>
      <c r="L49" s="20">
        <v>5.14</v>
      </c>
      <c r="M49" s="20">
        <v>5.59</v>
      </c>
      <c r="N49" s="19"/>
      <c r="O49" s="19">
        <v>5.49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72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71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9924-1684-492B-89AC-107DFA536105}">
  <dimension ref="B1:Q59"/>
  <sheetViews>
    <sheetView view="pageBreakPreview" zoomScale="85" zoomScaleNormal="60" zoomScaleSheetLayoutView="85" workbookViewId="0">
      <selection activeCell="P26" sqref="P26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74" t="s">
        <v>18</v>
      </c>
      <c r="E10" s="15"/>
      <c r="F10" s="16"/>
      <c r="G10" s="16" t="s">
        <v>19</v>
      </c>
      <c r="H10" s="17"/>
      <c r="I10" s="17" t="s">
        <v>19</v>
      </c>
      <c r="J10" s="16"/>
      <c r="K10" s="16" t="s">
        <v>19</v>
      </c>
      <c r="L10" s="17"/>
      <c r="M10" s="17" t="s">
        <v>19</v>
      </c>
      <c r="N10" s="16"/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72.900000000000006</v>
      </c>
      <c r="H11" s="20"/>
      <c r="I11" s="20">
        <v>75.5</v>
      </c>
      <c r="J11" s="19"/>
      <c r="K11" s="19">
        <v>73.8</v>
      </c>
      <c r="L11" s="20"/>
      <c r="M11" s="20">
        <v>73.099999999999994</v>
      </c>
      <c r="N11" s="19"/>
      <c r="O11" s="19">
        <v>73.400000000000006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0.4</v>
      </c>
      <c r="H12" s="20"/>
      <c r="I12" s="20">
        <v>0</v>
      </c>
      <c r="J12" s="19"/>
      <c r="K12" s="19">
        <v>0</v>
      </c>
      <c r="L12" s="20"/>
      <c r="M12" s="20">
        <v>0.1</v>
      </c>
      <c r="N12" s="19"/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66.8</v>
      </c>
      <c r="H13" s="20"/>
      <c r="I13" s="20">
        <v>71.3</v>
      </c>
      <c r="J13" s="19"/>
      <c r="K13" s="19">
        <v>69</v>
      </c>
      <c r="L13" s="20"/>
      <c r="M13" s="20">
        <v>68.099999999999994</v>
      </c>
      <c r="N13" s="19"/>
      <c r="O13" s="19">
        <v>68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66.7</v>
      </c>
      <c r="H14" s="20"/>
      <c r="I14" s="20">
        <v>68.8</v>
      </c>
      <c r="J14" s="19"/>
      <c r="K14" s="19">
        <v>63.7</v>
      </c>
      <c r="L14" s="20"/>
      <c r="M14" s="20">
        <v>65.099999999999994</v>
      </c>
      <c r="N14" s="19"/>
      <c r="O14" s="19">
        <v>72.400000000000006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78.099999999999994</v>
      </c>
      <c r="H15" s="20"/>
      <c r="I15" s="20">
        <v>71.3</v>
      </c>
      <c r="J15" s="19"/>
      <c r="K15" s="19">
        <v>40.4</v>
      </c>
      <c r="L15" s="20"/>
      <c r="M15" s="20">
        <v>34.1</v>
      </c>
      <c r="N15" s="19"/>
      <c r="O15" s="19">
        <v>52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/>
      <c r="I16" s="20">
        <v>6.6</v>
      </c>
      <c r="J16" s="19"/>
      <c r="K16" s="19">
        <v>6.6</v>
      </c>
      <c r="L16" s="20"/>
      <c r="M16" s="20">
        <v>6.6</v>
      </c>
      <c r="N16" s="19"/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119.1</v>
      </c>
      <c r="H17" s="20"/>
      <c r="I17" s="20">
        <v>118.1</v>
      </c>
      <c r="J17" s="19"/>
      <c r="K17" s="19">
        <v>118.2</v>
      </c>
      <c r="L17" s="20"/>
      <c r="M17" s="20">
        <v>116.6</v>
      </c>
      <c r="N17" s="19"/>
      <c r="O17" s="19">
        <v>118.9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1161</v>
      </c>
      <c r="H18" s="20"/>
      <c r="I18" s="20">
        <v>1183</v>
      </c>
      <c r="J18" s="19"/>
      <c r="K18" s="19">
        <v>1183</v>
      </c>
      <c r="L18" s="20"/>
      <c r="M18" s="20">
        <v>1180</v>
      </c>
      <c r="N18" s="19"/>
      <c r="O18" s="19">
        <v>1200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46858</v>
      </c>
      <c r="H19" s="20"/>
      <c r="I19" s="20">
        <v>47749</v>
      </c>
      <c r="J19" s="19"/>
      <c r="K19" s="19">
        <v>45364</v>
      </c>
      <c r="L19" s="20"/>
      <c r="M19" s="20">
        <v>47683</v>
      </c>
      <c r="N19" s="19"/>
      <c r="O19" s="19">
        <v>46979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58.2</v>
      </c>
      <c r="H22" s="20"/>
      <c r="I22" s="20">
        <v>59.1</v>
      </c>
      <c r="J22" s="19"/>
      <c r="K22" s="19">
        <v>57.7</v>
      </c>
      <c r="L22" s="20"/>
      <c r="M22" s="20">
        <v>57.5</v>
      </c>
      <c r="N22" s="19"/>
      <c r="O22" s="19">
        <v>58.6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0.53</v>
      </c>
      <c r="H23" s="20"/>
      <c r="I23" s="20">
        <v>0.49</v>
      </c>
      <c r="J23" s="19"/>
      <c r="K23" s="19">
        <v>0.59</v>
      </c>
      <c r="L23" s="20"/>
      <c r="M23" s="20">
        <v>0.52</v>
      </c>
      <c r="N23" s="19"/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44.6</v>
      </c>
      <c r="H25" s="20"/>
      <c r="I25" s="20">
        <v>45.2</v>
      </c>
      <c r="J25" s="19"/>
      <c r="K25" s="19">
        <v>46</v>
      </c>
      <c r="L25" s="20"/>
      <c r="M25" s="20">
        <v>44.9</v>
      </c>
      <c r="N25" s="19"/>
      <c r="O25" s="19">
        <v>44.6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/>
      <c r="I26" s="20">
        <v>0.22</v>
      </c>
      <c r="J26" s="19"/>
      <c r="K26" s="19">
        <v>0.23</v>
      </c>
      <c r="L26" s="20"/>
      <c r="M26" s="20">
        <v>0.22</v>
      </c>
      <c r="N26" s="19"/>
      <c r="O26" s="19">
        <v>0.23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4.4000000000000004</v>
      </c>
      <c r="H27" s="20"/>
      <c r="I27" s="20">
        <v>3.8</v>
      </c>
      <c r="J27" s="19"/>
      <c r="K27" s="19">
        <v>4</v>
      </c>
      <c r="L27" s="20"/>
      <c r="M27" s="20">
        <v>4</v>
      </c>
      <c r="N27" s="19"/>
      <c r="O27" s="19">
        <v>4.7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3.6</v>
      </c>
      <c r="H28" s="20"/>
      <c r="I28" s="20">
        <v>2.5</v>
      </c>
      <c r="J28" s="19"/>
      <c r="K28" s="19">
        <v>3.3</v>
      </c>
      <c r="L28" s="20"/>
      <c r="M28" s="20">
        <v>3</v>
      </c>
      <c r="N28" s="19"/>
      <c r="O28" s="19">
        <v>3.6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0.80000000000000027</v>
      </c>
      <c r="H29" s="26">
        <f t="shared" si="0"/>
        <v>0</v>
      </c>
      <c r="I29" s="26">
        <f t="shared" si="0"/>
        <v>2.2000000000000002</v>
      </c>
      <c r="J29" s="26">
        <f t="shared" si="0"/>
        <v>0</v>
      </c>
      <c r="K29" s="26">
        <f t="shared" si="0"/>
        <v>1.1000000000000005</v>
      </c>
      <c r="L29" s="26">
        <f t="shared" si="0"/>
        <v>0</v>
      </c>
      <c r="M29" s="26">
        <f t="shared" si="0"/>
        <v>1</v>
      </c>
      <c r="N29" s="26">
        <f>N32-N28</f>
        <v>0</v>
      </c>
      <c r="O29" s="26">
        <f t="shared" si="0"/>
        <v>0.99999999999999956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677.68</v>
      </c>
      <c r="H30" s="20"/>
      <c r="I30" s="20">
        <v>656.64</v>
      </c>
      <c r="J30" s="19"/>
      <c r="K30" s="19">
        <v>629.04</v>
      </c>
      <c r="L30" s="20"/>
      <c r="M30" s="20">
        <v>639.44000000000005</v>
      </c>
      <c r="N30" s="19"/>
      <c r="O30" s="19">
        <v>671.28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12.9</v>
      </c>
      <c r="H31" s="20"/>
      <c r="I31" s="20">
        <v>13.1</v>
      </c>
      <c r="J31" s="19"/>
      <c r="K31" s="19">
        <v>13.4</v>
      </c>
      <c r="L31" s="20"/>
      <c r="M31" s="20">
        <v>13.2</v>
      </c>
      <c r="N31" s="19"/>
      <c r="O31" s="19">
        <v>13.2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4.4000000000000004</v>
      </c>
      <c r="H32" s="20"/>
      <c r="I32" s="20">
        <v>4.7</v>
      </c>
      <c r="J32" s="19"/>
      <c r="K32" s="19">
        <v>4.4000000000000004</v>
      </c>
      <c r="L32" s="20"/>
      <c r="M32" s="20">
        <v>4</v>
      </c>
      <c r="N32" s="19"/>
      <c r="O32" s="19">
        <v>4.5999999999999996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8.5</v>
      </c>
      <c r="H33" s="26">
        <f t="shared" si="1"/>
        <v>0</v>
      </c>
      <c r="I33" s="26">
        <f t="shared" si="1"/>
        <v>8.3999999999999986</v>
      </c>
      <c r="J33" s="26">
        <f t="shared" si="1"/>
        <v>0</v>
      </c>
      <c r="K33" s="26">
        <f t="shared" si="1"/>
        <v>9</v>
      </c>
      <c r="L33" s="26">
        <f t="shared" si="1"/>
        <v>0</v>
      </c>
      <c r="M33" s="26">
        <f t="shared" si="1"/>
        <v>9.1999999999999993</v>
      </c>
      <c r="N33" s="26">
        <f t="shared" si="1"/>
        <v>0</v>
      </c>
      <c r="O33" s="26">
        <f t="shared" si="1"/>
        <v>8.6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6651.5935334872975</v>
      </c>
      <c r="H34" s="27">
        <f t="shared" si="2"/>
        <v>0</v>
      </c>
      <c r="I34" s="27">
        <f t="shared" si="2"/>
        <v>6369.2563510392602</v>
      </c>
      <c r="J34" s="27">
        <f t="shared" si="2"/>
        <v>0</v>
      </c>
      <c r="K34" s="27">
        <f t="shared" si="2"/>
        <v>6537.3672055427251</v>
      </c>
      <c r="L34" s="27">
        <f t="shared" si="2"/>
        <v>0</v>
      </c>
      <c r="M34" s="27">
        <f t="shared" si="2"/>
        <v>6793.1270207852194</v>
      </c>
      <c r="N34" s="27">
        <f t="shared" si="2"/>
        <v>0</v>
      </c>
      <c r="O34" s="27">
        <f t="shared" si="2"/>
        <v>6666.2909930715932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0.83</v>
      </c>
      <c r="H35" s="20"/>
      <c r="I35" s="20">
        <v>0.86</v>
      </c>
      <c r="J35" s="19"/>
      <c r="K35" s="19">
        <v>0.85</v>
      </c>
      <c r="L35" s="20"/>
      <c r="M35" s="20">
        <v>0.85</v>
      </c>
      <c r="N35" s="19"/>
      <c r="O35" s="19">
        <v>0.84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36</v>
      </c>
      <c r="H36" s="20"/>
      <c r="I36" s="20">
        <v>36.5</v>
      </c>
      <c r="J36" s="19"/>
      <c r="K36" s="19">
        <v>36</v>
      </c>
      <c r="L36" s="20"/>
      <c r="M36" s="20">
        <v>36.4</v>
      </c>
      <c r="N36" s="19"/>
      <c r="O36" s="19">
        <v>36.1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36.9</v>
      </c>
      <c r="H37" s="20"/>
      <c r="I37" s="20">
        <v>38</v>
      </c>
      <c r="J37" s="19"/>
      <c r="K37" s="19">
        <v>37.4</v>
      </c>
      <c r="L37" s="20"/>
      <c r="M37" s="20">
        <v>37.5</v>
      </c>
      <c r="N37" s="19"/>
      <c r="O37" s="19">
        <v>37.1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3.2999999999999972</v>
      </c>
      <c r="H38" s="26">
        <f t="shared" si="3"/>
        <v>0</v>
      </c>
      <c r="I38" s="26">
        <f t="shared" si="3"/>
        <v>4.7000000000000028</v>
      </c>
      <c r="J38" s="26">
        <f t="shared" si="3"/>
        <v>0</v>
      </c>
      <c r="K38" s="26">
        <f t="shared" si="3"/>
        <v>3.6999999999999957</v>
      </c>
      <c r="L38" s="26">
        <f t="shared" si="3"/>
        <v>0</v>
      </c>
      <c r="M38" s="26">
        <f t="shared" si="3"/>
        <v>4</v>
      </c>
      <c r="N38" s="26">
        <f t="shared" si="3"/>
        <v>0</v>
      </c>
      <c r="O38" s="26">
        <f t="shared" si="3"/>
        <v>3.1000000000000014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28.4</v>
      </c>
      <c r="H40" s="20"/>
      <c r="I40" s="20">
        <v>28.3</v>
      </c>
      <c r="J40" s="19"/>
      <c r="K40" s="19">
        <v>28.3</v>
      </c>
      <c r="L40" s="20"/>
      <c r="M40" s="20">
        <v>28.3</v>
      </c>
      <c r="N40" s="19"/>
      <c r="O40" s="19">
        <v>28.3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33.6</v>
      </c>
      <c r="H41" s="20"/>
      <c r="I41" s="20">
        <v>33.299999999999997</v>
      </c>
      <c r="J41" s="19"/>
      <c r="K41" s="19">
        <v>33.700000000000003</v>
      </c>
      <c r="L41" s="20"/>
      <c r="M41" s="20">
        <v>33.5</v>
      </c>
      <c r="N41" s="19"/>
      <c r="O41" s="19">
        <v>34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5.2000000000000028</v>
      </c>
      <c r="H42" s="26">
        <f t="shared" si="4"/>
        <v>0</v>
      </c>
      <c r="I42" s="26">
        <f t="shared" si="4"/>
        <v>4.9999999999999964</v>
      </c>
      <c r="J42" s="26">
        <f t="shared" si="4"/>
        <v>0</v>
      </c>
      <c r="K42" s="26">
        <f t="shared" si="4"/>
        <v>5.4000000000000021</v>
      </c>
      <c r="L42" s="26">
        <f t="shared" si="4"/>
        <v>0</v>
      </c>
      <c r="M42" s="26">
        <f t="shared" si="4"/>
        <v>5.1999999999999993</v>
      </c>
      <c r="N42" s="26">
        <f t="shared" si="4"/>
        <v>0</v>
      </c>
      <c r="O42" s="26">
        <f t="shared" si="4"/>
        <v>5.6999999999999993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1293.74</v>
      </c>
      <c r="H43" s="20"/>
      <c r="I43" s="20">
        <v>1298.08</v>
      </c>
      <c r="J43" s="19"/>
      <c r="K43" s="19">
        <v>1293.74</v>
      </c>
      <c r="L43" s="20"/>
      <c r="M43" s="19">
        <v>1296.54</v>
      </c>
      <c r="N43" s="19"/>
      <c r="O43" s="19">
        <v>1136.94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7768.415704387995</v>
      </c>
      <c r="H44" s="27">
        <f t="shared" si="5"/>
        <v>0</v>
      </c>
      <c r="I44" s="27">
        <f t="shared" si="5"/>
        <v>7494.6882217090015</v>
      </c>
      <c r="J44" s="27">
        <f t="shared" si="5"/>
        <v>0</v>
      </c>
      <c r="K44" s="27">
        <f t="shared" si="5"/>
        <v>8067.2009237875318</v>
      </c>
      <c r="L44" s="27">
        <f t="shared" si="5"/>
        <v>0</v>
      </c>
      <c r="M44" s="27">
        <f t="shared" si="5"/>
        <v>7785.2286374133937</v>
      </c>
      <c r="N44" s="27">
        <f t="shared" si="5"/>
        <v>0</v>
      </c>
      <c r="O44" s="27">
        <f t="shared" si="5"/>
        <v>7483.3233256351032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0.47</v>
      </c>
      <c r="H45" s="20"/>
      <c r="I45" s="20">
        <v>0.46</v>
      </c>
      <c r="J45" s="19"/>
      <c r="K45" s="19">
        <v>0.46</v>
      </c>
      <c r="L45" s="20"/>
      <c r="M45" s="20">
        <v>0.47</v>
      </c>
      <c r="N45" s="19"/>
      <c r="O45" s="19">
        <v>0.47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19.899999999999999</v>
      </c>
      <c r="H46" s="20"/>
      <c r="I46" s="20">
        <v>19.7</v>
      </c>
      <c r="J46" s="19"/>
      <c r="K46" s="19">
        <v>19.600000000000001</v>
      </c>
      <c r="L46" s="20"/>
      <c r="M46" s="20">
        <v>20</v>
      </c>
      <c r="N46" s="19"/>
      <c r="O46" s="19">
        <v>19.600000000000001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218</v>
      </c>
      <c r="H47" s="20"/>
      <c r="I47" s="20">
        <v>124</v>
      </c>
      <c r="J47" s="19"/>
      <c r="K47" s="19">
        <v>207.2</v>
      </c>
      <c r="L47" s="20"/>
      <c r="M47" s="20">
        <v>224.5</v>
      </c>
      <c r="N47" s="19"/>
      <c r="O47" s="19">
        <v>162.5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74">
        <v>5.89</v>
      </c>
      <c r="F49" s="19"/>
      <c r="G49" s="19">
        <v>5.48</v>
      </c>
      <c r="H49" s="20"/>
      <c r="I49" s="20">
        <v>5.15</v>
      </c>
      <c r="J49" s="19"/>
      <c r="K49" s="19">
        <v>5.65</v>
      </c>
      <c r="L49" s="20"/>
      <c r="M49" s="20">
        <v>5.58</v>
      </c>
      <c r="N49" s="19"/>
      <c r="O49" s="19">
        <v>5.26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74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73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4EE1-75C4-48BB-B9A9-41E7E7A82C1A}">
  <dimension ref="B1:Q59"/>
  <sheetViews>
    <sheetView tabSelected="1" view="pageBreakPreview" topLeftCell="A19" zoomScale="85" zoomScaleNormal="60" zoomScaleSheetLayoutView="85" workbookViewId="0">
      <selection activeCell="N44" sqref="N44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76" t="s">
        <v>18</v>
      </c>
      <c r="E10" s="15"/>
      <c r="F10" s="16"/>
      <c r="G10" s="16" t="s">
        <v>19</v>
      </c>
      <c r="H10" s="17" t="s">
        <v>19</v>
      </c>
      <c r="I10" s="17" t="s">
        <v>19</v>
      </c>
      <c r="J10" s="16"/>
      <c r="K10" s="16" t="s">
        <v>19</v>
      </c>
      <c r="L10" s="17" t="s">
        <v>19</v>
      </c>
      <c r="M10" s="17" t="s">
        <v>19</v>
      </c>
      <c r="N10" s="16" t="s">
        <v>19</v>
      </c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72.599999999999994</v>
      </c>
      <c r="H11" s="20">
        <v>80</v>
      </c>
      <c r="I11" s="20">
        <v>78.599999999999994</v>
      </c>
      <c r="J11" s="19"/>
      <c r="K11" s="19">
        <v>74</v>
      </c>
      <c r="L11" s="20">
        <v>72.400000000000006</v>
      </c>
      <c r="M11" s="20">
        <v>76.099999999999994</v>
      </c>
      <c r="N11" s="19">
        <v>72.900000000000006</v>
      </c>
      <c r="O11" s="19">
        <v>77.099999999999994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0.4</v>
      </c>
      <c r="H12" s="20">
        <v>0</v>
      </c>
      <c r="I12" s="20">
        <v>0</v>
      </c>
      <c r="J12" s="19"/>
      <c r="K12" s="19">
        <v>0</v>
      </c>
      <c r="L12" s="20">
        <v>0</v>
      </c>
      <c r="M12" s="20">
        <v>0.2</v>
      </c>
      <c r="N12" s="19">
        <v>0</v>
      </c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67.900000000000006</v>
      </c>
      <c r="H13" s="20">
        <v>75.5</v>
      </c>
      <c r="I13" s="20">
        <v>74</v>
      </c>
      <c r="J13" s="19"/>
      <c r="K13" s="19">
        <v>68.900000000000006</v>
      </c>
      <c r="L13" s="20">
        <v>69.599999999999994</v>
      </c>
      <c r="M13" s="20">
        <v>71.2</v>
      </c>
      <c r="N13" s="19">
        <v>69.099999999999994</v>
      </c>
      <c r="O13" s="19">
        <v>73.099999999999994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62</v>
      </c>
      <c r="H14" s="20">
        <v>64.5</v>
      </c>
      <c r="I14" s="20">
        <v>65</v>
      </c>
      <c r="J14" s="19"/>
      <c r="K14" s="19">
        <v>59.4</v>
      </c>
      <c r="L14" s="20">
        <v>64.099999999999994</v>
      </c>
      <c r="M14" s="20">
        <v>63</v>
      </c>
      <c r="N14" s="19">
        <v>69.2</v>
      </c>
      <c r="O14" s="19">
        <v>68.099999999999994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88.1</v>
      </c>
      <c r="H15" s="20">
        <v>49.2</v>
      </c>
      <c r="I15" s="20">
        <v>55.1</v>
      </c>
      <c r="J15" s="19"/>
      <c r="K15" s="19">
        <v>40.700000000000003</v>
      </c>
      <c r="L15" s="20">
        <v>33.200000000000003</v>
      </c>
      <c r="M15" s="20">
        <v>36.9</v>
      </c>
      <c r="N15" s="19">
        <v>49.3</v>
      </c>
      <c r="O15" s="19">
        <v>52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>
        <v>6.6</v>
      </c>
      <c r="I16" s="20">
        <v>6.6</v>
      </c>
      <c r="J16" s="19"/>
      <c r="K16" s="19">
        <v>6.6</v>
      </c>
      <c r="L16" s="20">
        <v>6.6</v>
      </c>
      <c r="M16" s="20">
        <v>6.6</v>
      </c>
      <c r="N16" s="19">
        <v>6.6</v>
      </c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117.6</v>
      </c>
      <c r="H17" s="20">
        <v>116.5</v>
      </c>
      <c r="I17" s="20">
        <v>116.7</v>
      </c>
      <c r="J17" s="19"/>
      <c r="K17" s="19">
        <v>118.1</v>
      </c>
      <c r="L17" s="20">
        <v>118.8</v>
      </c>
      <c r="M17" s="20">
        <v>118.9</v>
      </c>
      <c r="N17" s="19">
        <v>116.5</v>
      </c>
      <c r="O17" s="19">
        <v>118.6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1151</v>
      </c>
      <c r="H18" s="20">
        <v>1182</v>
      </c>
      <c r="I18" s="20">
        <v>1178</v>
      </c>
      <c r="J18" s="19"/>
      <c r="K18" s="19">
        <v>1189</v>
      </c>
      <c r="L18" s="20">
        <v>1201</v>
      </c>
      <c r="M18" s="20">
        <v>1208</v>
      </c>
      <c r="N18" s="19">
        <v>1179</v>
      </c>
      <c r="O18" s="19">
        <v>1206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46882.7</v>
      </c>
      <c r="H19" s="20">
        <v>47770.8</v>
      </c>
      <c r="I19" s="20">
        <v>47759</v>
      </c>
      <c r="J19" s="19"/>
      <c r="K19" s="19">
        <v>45388.9</v>
      </c>
      <c r="L19" s="20">
        <v>47705.5</v>
      </c>
      <c r="M19" s="20">
        <v>47693.7</v>
      </c>
      <c r="N19" s="19">
        <v>47011.199999999997</v>
      </c>
      <c r="O19" s="19">
        <v>46999.4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58.2</v>
      </c>
      <c r="H22" s="20">
        <v>59.2</v>
      </c>
      <c r="I22" s="20">
        <v>59.1</v>
      </c>
      <c r="J22" s="19"/>
      <c r="K22" s="19">
        <v>57.6</v>
      </c>
      <c r="L22" s="20">
        <v>57.4</v>
      </c>
      <c r="M22" s="20">
        <v>57.4</v>
      </c>
      <c r="N22" s="19">
        <v>58.6</v>
      </c>
      <c r="O22" s="19">
        <v>58.6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0.52</v>
      </c>
      <c r="H23" s="20">
        <v>0.49</v>
      </c>
      <c r="I23" s="20">
        <v>0.49</v>
      </c>
      <c r="J23" s="19"/>
      <c r="K23" s="19">
        <v>0.59</v>
      </c>
      <c r="L23" s="20">
        <v>0.52</v>
      </c>
      <c r="M23" s="20">
        <v>0.59</v>
      </c>
      <c r="N23" s="19">
        <v>0.48</v>
      </c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44.7</v>
      </c>
      <c r="H25" s="20">
        <v>44.8</v>
      </c>
      <c r="I25" s="20">
        <v>44.7</v>
      </c>
      <c r="J25" s="19"/>
      <c r="K25" s="19">
        <v>45</v>
      </c>
      <c r="L25" s="20">
        <v>44.9</v>
      </c>
      <c r="M25" s="20">
        <v>45</v>
      </c>
      <c r="N25" s="19">
        <v>45</v>
      </c>
      <c r="O25" s="19">
        <v>44.8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0.22</v>
      </c>
      <c r="H26" s="20">
        <v>0.21</v>
      </c>
      <c r="I26" s="20">
        <v>0.21</v>
      </c>
      <c r="J26" s="19"/>
      <c r="K26" s="19">
        <v>0.23</v>
      </c>
      <c r="L26" s="20">
        <v>0.22</v>
      </c>
      <c r="M26" s="20">
        <v>0.22</v>
      </c>
      <c r="N26" s="19">
        <v>0.22</v>
      </c>
      <c r="O26" s="19">
        <v>0.22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</v>
      </c>
      <c r="H27" s="20">
        <v>3</v>
      </c>
      <c r="I27" s="20">
        <v>3.2</v>
      </c>
      <c r="J27" s="19"/>
      <c r="K27" s="19">
        <v>4</v>
      </c>
      <c r="L27" s="20">
        <v>4.5</v>
      </c>
      <c r="M27" s="20">
        <v>4.3</v>
      </c>
      <c r="N27" s="19">
        <v>3.9</v>
      </c>
      <c r="O27" s="19">
        <v>3.9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3.2</v>
      </c>
      <c r="H28" s="20">
        <v>2.1</v>
      </c>
      <c r="I28" s="20">
        <v>2.2999999999999998</v>
      </c>
      <c r="J28" s="19"/>
      <c r="K28" s="19">
        <v>3.3</v>
      </c>
      <c r="L28" s="20">
        <v>3.6</v>
      </c>
      <c r="M28" s="20">
        <v>3</v>
      </c>
      <c r="N28" s="19">
        <v>2.9</v>
      </c>
      <c r="O28" s="19">
        <v>2.8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0.89999999999999947</v>
      </c>
      <c r="H29" s="26">
        <f t="shared" si="0"/>
        <v>2.4</v>
      </c>
      <c r="I29" s="26">
        <f t="shared" si="0"/>
        <v>1.7999999999999998</v>
      </c>
      <c r="J29" s="26">
        <f t="shared" si="0"/>
        <v>0</v>
      </c>
      <c r="K29" s="26">
        <f t="shared" si="0"/>
        <v>1.2000000000000002</v>
      </c>
      <c r="L29" s="26">
        <f t="shared" si="0"/>
        <v>1.1999999999999997</v>
      </c>
      <c r="M29" s="26">
        <f t="shared" si="0"/>
        <v>1.2999999999999998</v>
      </c>
      <c r="N29" s="26">
        <f>N32-N28</f>
        <v>1.1999999999999997</v>
      </c>
      <c r="O29" s="26">
        <f t="shared" si="0"/>
        <v>1.1000000000000001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677.2</v>
      </c>
      <c r="H30" s="20">
        <v>675</v>
      </c>
      <c r="I30" s="20">
        <v>660.56</v>
      </c>
      <c r="J30" s="19"/>
      <c r="K30" s="19">
        <v>664.96</v>
      </c>
      <c r="L30" s="20">
        <v>733.9</v>
      </c>
      <c r="M30" s="20">
        <v>731.12</v>
      </c>
      <c r="N30" s="19">
        <v>685.4</v>
      </c>
      <c r="O30" s="19">
        <v>676.8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12.2</v>
      </c>
      <c r="H31" s="20">
        <v>12.5</v>
      </c>
      <c r="I31" s="20">
        <v>12.4</v>
      </c>
      <c r="J31" s="19"/>
      <c r="K31" s="19">
        <v>13</v>
      </c>
      <c r="L31" s="20">
        <v>12.7</v>
      </c>
      <c r="M31" s="20">
        <v>12.6</v>
      </c>
      <c r="N31" s="19">
        <v>12.8</v>
      </c>
      <c r="O31" s="19">
        <v>12.4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4.0999999999999996</v>
      </c>
      <c r="H32" s="20">
        <v>4.5</v>
      </c>
      <c r="I32" s="20">
        <v>4.0999999999999996</v>
      </c>
      <c r="J32" s="19"/>
      <c r="K32" s="19">
        <v>4.5</v>
      </c>
      <c r="L32" s="20">
        <v>4.8</v>
      </c>
      <c r="M32" s="20">
        <v>4.3</v>
      </c>
      <c r="N32" s="19">
        <v>4.0999999999999996</v>
      </c>
      <c r="O32" s="19">
        <v>3.9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8.1</v>
      </c>
      <c r="H33" s="26">
        <f t="shared" si="1"/>
        <v>8</v>
      </c>
      <c r="I33" s="26">
        <f t="shared" si="1"/>
        <v>8.3000000000000007</v>
      </c>
      <c r="J33" s="26">
        <f t="shared" si="1"/>
        <v>0</v>
      </c>
      <c r="K33" s="26">
        <f t="shared" si="1"/>
        <v>8.5</v>
      </c>
      <c r="L33" s="26">
        <f t="shared" si="1"/>
        <v>7.8999999999999995</v>
      </c>
      <c r="M33" s="26">
        <f t="shared" si="1"/>
        <v>8.3000000000000007</v>
      </c>
      <c r="N33" s="26">
        <f t="shared" si="1"/>
        <v>8.7000000000000011</v>
      </c>
      <c r="O33" s="26">
        <f t="shared" si="1"/>
        <v>8.5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6334.087759815242</v>
      </c>
      <c r="H34" s="27">
        <f t="shared" si="2"/>
        <v>6235.5658198614319</v>
      </c>
      <c r="I34" s="27">
        <f t="shared" si="2"/>
        <v>6331.0023094688222</v>
      </c>
      <c r="J34" s="27">
        <f t="shared" si="2"/>
        <v>0</v>
      </c>
      <c r="K34" s="27">
        <f t="shared" si="2"/>
        <v>6526.7436489607389</v>
      </c>
      <c r="L34" s="27">
        <f t="shared" si="2"/>
        <v>6694.9307159353348</v>
      </c>
      <c r="M34" s="27">
        <f t="shared" si="2"/>
        <v>7007.2702078521943</v>
      </c>
      <c r="N34" s="27">
        <f t="shared" si="2"/>
        <v>6885.6581986143192</v>
      </c>
      <c r="O34" s="27">
        <f t="shared" si="2"/>
        <v>6642.9561200923781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0.81</v>
      </c>
      <c r="H35" s="20">
        <v>0.84</v>
      </c>
      <c r="I35" s="20">
        <v>0.84</v>
      </c>
      <c r="J35" s="19"/>
      <c r="K35" s="19">
        <v>0.84</v>
      </c>
      <c r="L35" s="20">
        <v>0.84</v>
      </c>
      <c r="M35" s="20">
        <v>0.84</v>
      </c>
      <c r="N35" s="19">
        <v>0.83</v>
      </c>
      <c r="O35" s="19">
        <v>0.82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35.5</v>
      </c>
      <c r="H36" s="20">
        <v>36.700000000000003</v>
      </c>
      <c r="I36" s="20">
        <v>36.299999999999997</v>
      </c>
      <c r="J36" s="19"/>
      <c r="K36" s="19">
        <v>36.4</v>
      </c>
      <c r="L36" s="20">
        <v>36.9</v>
      </c>
      <c r="M36" s="20">
        <v>36.4</v>
      </c>
      <c r="N36" s="19">
        <v>36</v>
      </c>
      <c r="O36" s="19">
        <v>35.799999999999997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</v>
      </c>
      <c r="H37" s="20">
        <v>37.5</v>
      </c>
      <c r="I37" s="20">
        <v>37.200000000000003</v>
      </c>
      <c r="J37" s="19"/>
      <c r="K37" s="19">
        <v>37.299999999999997</v>
      </c>
      <c r="L37" s="20">
        <v>37.1</v>
      </c>
      <c r="M37" s="20">
        <v>37</v>
      </c>
      <c r="N37" s="19">
        <v>36.4</v>
      </c>
      <c r="O37" s="19">
        <v>36.299999999999997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3.2999999999999972</v>
      </c>
      <c r="H38" s="26">
        <f t="shared" si="3"/>
        <v>4.2999999999999972</v>
      </c>
      <c r="I38" s="26">
        <f t="shared" si="3"/>
        <v>4.8000000000000043</v>
      </c>
      <c r="J38" s="26">
        <f t="shared" si="3"/>
        <v>0</v>
      </c>
      <c r="K38" s="26">
        <f t="shared" si="3"/>
        <v>4.3999999999999986</v>
      </c>
      <c r="L38" s="26">
        <f t="shared" si="3"/>
        <v>3.3000000000000043</v>
      </c>
      <c r="M38" s="26">
        <f t="shared" si="3"/>
        <v>4.3999999999999986</v>
      </c>
      <c r="N38" s="26">
        <f t="shared" si="3"/>
        <v>2.3999999999999986</v>
      </c>
      <c r="O38" s="26">
        <f t="shared" si="3"/>
        <v>3.1999999999999957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27.7</v>
      </c>
      <c r="H40" s="20">
        <v>28.3</v>
      </c>
      <c r="I40" s="20">
        <v>27.5</v>
      </c>
      <c r="J40" s="19"/>
      <c r="K40" s="19">
        <v>27.5</v>
      </c>
      <c r="L40" s="20">
        <v>28.6</v>
      </c>
      <c r="M40" s="20">
        <v>27.3</v>
      </c>
      <c r="N40" s="19">
        <v>28.4</v>
      </c>
      <c r="O40" s="19">
        <v>27.4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32.700000000000003</v>
      </c>
      <c r="H41" s="20">
        <v>33.200000000000003</v>
      </c>
      <c r="I41" s="20">
        <v>32.4</v>
      </c>
      <c r="J41" s="19"/>
      <c r="K41" s="19">
        <v>32.9</v>
      </c>
      <c r="L41" s="20">
        <v>33.799999999999997</v>
      </c>
      <c r="M41" s="20">
        <v>32.6</v>
      </c>
      <c r="N41" s="19">
        <v>34</v>
      </c>
      <c r="O41" s="19">
        <v>33.1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5.0000000000000036</v>
      </c>
      <c r="H42" s="26">
        <f t="shared" si="4"/>
        <v>4.9000000000000021</v>
      </c>
      <c r="I42" s="26">
        <f t="shared" si="4"/>
        <v>4.8999999999999986</v>
      </c>
      <c r="J42" s="26">
        <f t="shared" si="4"/>
        <v>0</v>
      </c>
      <c r="K42" s="26">
        <f t="shared" si="4"/>
        <v>5.3999999999999986</v>
      </c>
      <c r="L42" s="26">
        <f t="shared" si="4"/>
        <v>5.1999999999999957</v>
      </c>
      <c r="M42" s="26">
        <f t="shared" si="4"/>
        <v>5.3000000000000007</v>
      </c>
      <c r="N42" s="26">
        <f t="shared" si="4"/>
        <v>5.6000000000000014</v>
      </c>
      <c r="O42" s="26">
        <f t="shared" si="4"/>
        <v>5.7000000000000028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1294.44</v>
      </c>
      <c r="H43" s="20">
        <v>1306.5999999999999</v>
      </c>
      <c r="I43" s="20">
        <v>1302.56</v>
      </c>
      <c r="J43" s="19"/>
      <c r="K43" s="19">
        <v>1296.68</v>
      </c>
      <c r="L43" s="20">
        <v>1299.2</v>
      </c>
      <c r="M43" s="19">
        <v>1295.7</v>
      </c>
      <c r="N43" s="19">
        <v>1198.3</v>
      </c>
      <c r="O43" s="19">
        <v>1141.1400000000001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7473.6720554272579</v>
      </c>
      <c r="H44" s="27">
        <f t="shared" si="5"/>
        <v>7393.0023094688249</v>
      </c>
      <c r="I44" s="27">
        <f t="shared" si="5"/>
        <v>7370.1431870669721</v>
      </c>
      <c r="J44" s="27">
        <f t="shared" si="5"/>
        <v>0</v>
      </c>
      <c r="K44" s="27">
        <f t="shared" si="5"/>
        <v>8085.5334872979192</v>
      </c>
      <c r="L44" s="27">
        <f t="shared" si="5"/>
        <v>7801.2009237875227</v>
      </c>
      <c r="M44" s="27">
        <f t="shared" si="5"/>
        <v>7929.8036951501163</v>
      </c>
      <c r="N44" s="27">
        <f t="shared" si="5"/>
        <v>7748.8221709006948</v>
      </c>
      <c r="O44" s="27">
        <f t="shared" si="5"/>
        <v>7510.9676674364946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0.45</v>
      </c>
      <c r="H45" s="20">
        <v>0.45</v>
      </c>
      <c r="I45" s="20">
        <v>0.45</v>
      </c>
      <c r="J45" s="19"/>
      <c r="K45" s="19">
        <v>0.46</v>
      </c>
      <c r="L45" s="20">
        <v>0.47</v>
      </c>
      <c r="M45" s="20">
        <v>0.47</v>
      </c>
      <c r="N45" s="19">
        <v>0.46</v>
      </c>
      <c r="O45" s="19">
        <v>0.45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19.7</v>
      </c>
      <c r="H46" s="20">
        <v>19.2</v>
      </c>
      <c r="I46" s="20">
        <v>19</v>
      </c>
      <c r="J46" s="19"/>
      <c r="K46" s="19">
        <v>19.7</v>
      </c>
      <c r="L46" s="20">
        <v>20.3</v>
      </c>
      <c r="M46" s="20">
        <v>19.899999999999999</v>
      </c>
      <c r="N46" s="19">
        <v>19.2</v>
      </c>
      <c r="O46" s="19">
        <v>18.899999999999999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164.7</v>
      </c>
      <c r="H47" s="20">
        <v>117.8</v>
      </c>
      <c r="I47" s="20">
        <v>131.69999999999999</v>
      </c>
      <c r="J47" s="19"/>
      <c r="K47" s="19">
        <v>203.9</v>
      </c>
      <c r="L47" s="20">
        <v>208.2</v>
      </c>
      <c r="M47" s="20">
        <v>213.3</v>
      </c>
      <c r="N47" s="19">
        <v>163.19999999999999</v>
      </c>
      <c r="O47" s="19">
        <v>163.5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76">
        <v>5.89</v>
      </c>
      <c r="F49" s="19"/>
      <c r="G49" s="19">
        <v>5.41</v>
      </c>
      <c r="H49" s="20">
        <v>5.18</v>
      </c>
      <c r="I49" s="20">
        <v>5.15</v>
      </c>
      <c r="J49" s="19"/>
      <c r="K49" s="19">
        <v>5.39</v>
      </c>
      <c r="L49" s="20">
        <v>4.8499999999999996</v>
      </c>
      <c r="M49" s="20">
        <v>5.07</v>
      </c>
      <c r="N49" s="19">
        <v>5.34</v>
      </c>
      <c r="O49" s="19">
        <v>5.27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76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75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3512-3583-407C-995E-879D561F67ED}">
  <dimension ref="B1:Q59"/>
  <sheetViews>
    <sheetView view="pageBreakPreview" zoomScale="85" zoomScaleNormal="60" zoomScaleSheetLayoutView="85" workbookViewId="0">
      <selection activeCell="L50" sqref="L50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78" t="s">
        <v>18</v>
      </c>
      <c r="E10" s="15"/>
      <c r="F10" s="16" t="s">
        <v>19</v>
      </c>
      <c r="G10" s="16" t="s">
        <v>19</v>
      </c>
      <c r="H10" s="17"/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/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>
        <v>67.900000000000006</v>
      </c>
      <c r="G11" s="19">
        <v>71.400000000000006</v>
      </c>
      <c r="H11" s="20"/>
      <c r="I11" s="20">
        <v>70.8</v>
      </c>
      <c r="J11" s="19">
        <v>75.2</v>
      </c>
      <c r="K11" s="19">
        <v>74.2</v>
      </c>
      <c r="L11" s="20">
        <v>67.400000000000006</v>
      </c>
      <c r="M11" s="20">
        <v>77</v>
      </c>
      <c r="N11" s="19"/>
      <c r="O11" s="19">
        <v>76.599999999999994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>
        <v>0.2</v>
      </c>
      <c r="G12" s="19">
        <v>0.2</v>
      </c>
      <c r="H12" s="20"/>
      <c r="I12" s="20">
        <v>0</v>
      </c>
      <c r="J12" s="19">
        <v>0</v>
      </c>
      <c r="K12" s="19">
        <v>0</v>
      </c>
      <c r="L12" s="20">
        <v>0.2</v>
      </c>
      <c r="M12" s="20">
        <v>0.2</v>
      </c>
      <c r="N12" s="19"/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>
        <v>64.5</v>
      </c>
      <c r="G13" s="19">
        <v>67.599999999999994</v>
      </c>
      <c r="H13" s="20"/>
      <c r="I13" s="20">
        <v>66.599999999999994</v>
      </c>
      <c r="J13" s="19">
        <v>69.599999999999994</v>
      </c>
      <c r="K13" s="19">
        <v>69.599999999999994</v>
      </c>
      <c r="L13" s="20">
        <v>64.099999999999994</v>
      </c>
      <c r="M13" s="20">
        <v>72.099999999999994</v>
      </c>
      <c r="N13" s="19"/>
      <c r="O13" s="19">
        <v>73.900000000000006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>
        <v>61.4</v>
      </c>
      <c r="G14" s="19">
        <v>64.3</v>
      </c>
      <c r="H14" s="20"/>
      <c r="I14" s="20">
        <v>65.900000000000006</v>
      </c>
      <c r="J14" s="19">
        <v>59.9</v>
      </c>
      <c r="K14" s="19">
        <v>61.9</v>
      </c>
      <c r="L14" s="20">
        <v>62.8</v>
      </c>
      <c r="M14" s="20">
        <v>64.7</v>
      </c>
      <c r="N14" s="19"/>
      <c r="O14" s="19">
        <v>69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>
        <v>87.3</v>
      </c>
      <c r="G15" s="19">
        <v>88</v>
      </c>
      <c r="H15" s="20"/>
      <c r="I15" s="20">
        <v>57.6</v>
      </c>
      <c r="J15" s="19">
        <v>38</v>
      </c>
      <c r="K15" s="19">
        <v>40.700000000000003</v>
      </c>
      <c r="L15" s="20">
        <v>29.2</v>
      </c>
      <c r="M15" s="20">
        <v>38.299999999999997</v>
      </c>
      <c r="N15" s="19"/>
      <c r="O15" s="19">
        <v>51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>
        <v>6.6</v>
      </c>
      <c r="G16" s="19">
        <v>6.6</v>
      </c>
      <c r="H16" s="20"/>
      <c r="I16" s="20">
        <v>6.6</v>
      </c>
      <c r="J16" s="19">
        <v>6.6</v>
      </c>
      <c r="K16" s="19">
        <v>6.6</v>
      </c>
      <c r="L16" s="20">
        <v>6.6</v>
      </c>
      <c r="M16" s="20">
        <v>6.6</v>
      </c>
      <c r="N16" s="19"/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>
        <v>111.6</v>
      </c>
      <c r="G17" s="19">
        <v>114.4</v>
      </c>
      <c r="H17" s="20"/>
      <c r="I17" s="20">
        <v>109.7</v>
      </c>
      <c r="J17" s="19">
        <v>115.3</v>
      </c>
      <c r="K17" s="19">
        <v>116.6</v>
      </c>
      <c r="L17" s="20">
        <v>110.8</v>
      </c>
      <c r="M17" s="20">
        <v>117.5</v>
      </c>
      <c r="N17" s="19"/>
      <c r="O17" s="19">
        <v>117.2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>
        <v>1098</v>
      </c>
      <c r="G18" s="19">
        <v>1131</v>
      </c>
      <c r="H18" s="20"/>
      <c r="I18" s="20">
        <v>1109</v>
      </c>
      <c r="J18" s="19">
        <v>1180</v>
      </c>
      <c r="K18" s="19">
        <v>1183</v>
      </c>
      <c r="L18" s="20">
        <v>1128</v>
      </c>
      <c r="M18" s="20">
        <v>1205</v>
      </c>
      <c r="N18" s="19"/>
      <c r="O18" s="19">
        <v>1199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>
        <v>46901.4</v>
      </c>
      <c r="G19" s="19">
        <v>46894</v>
      </c>
      <c r="H19" s="20"/>
      <c r="I19" s="20">
        <v>47785</v>
      </c>
      <c r="J19" s="19">
        <v>45407.6</v>
      </c>
      <c r="K19" s="19">
        <v>45400</v>
      </c>
      <c r="L19" s="20">
        <v>47726.8</v>
      </c>
      <c r="M19" s="20">
        <v>47719.7</v>
      </c>
      <c r="N19" s="19"/>
      <c r="O19" s="19">
        <v>47019.4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>
        <v>57.9</v>
      </c>
      <c r="G22" s="19">
        <v>58.1</v>
      </c>
      <c r="H22" s="20"/>
      <c r="I22" s="20">
        <v>58.8</v>
      </c>
      <c r="J22" s="19">
        <v>57.7</v>
      </c>
      <c r="K22" s="19">
        <v>57.5</v>
      </c>
      <c r="L22" s="20">
        <v>57.3</v>
      </c>
      <c r="M22" s="20">
        <v>57.3</v>
      </c>
      <c r="N22" s="19"/>
      <c r="O22" s="19">
        <v>58.3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>
        <v>0.52</v>
      </c>
      <c r="G23" s="19">
        <v>0.52</v>
      </c>
      <c r="H23" s="20"/>
      <c r="I23" s="20">
        <v>0.48</v>
      </c>
      <c r="J23" s="19">
        <v>0.57999999999999996</v>
      </c>
      <c r="K23" s="19">
        <v>0.59</v>
      </c>
      <c r="L23" s="20">
        <v>0.52</v>
      </c>
      <c r="M23" s="20">
        <v>0.52</v>
      </c>
      <c r="N23" s="19"/>
      <c r="O23" s="19">
        <v>0.47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>
        <v>45.7</v>
      </c>
      <c r="G25" s="19">
        <v>44.7</v>
      </c>
      <c r="H25" s="20"/>
      <c r="I25" s="20">
        <v>45</v>
      </c>
      <c r="J25" s="19">
        <v>45</v>
      </c>
      <c r="K25" s="19">
        <v>44.9</v>
      </c>
      <c r="L25" s="20">
        <v>45.3</v>
      </c>
      <c r="M25" s="20">
        <v>44.3</v>
      </c>
      <c r="N25" s="19"/>
      <c r="O25" s="19">
        <v>44.9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>
        <v>0.22</v>
      </c>
      <c r="G26" s="19">
        <v>0.22</v>
      </c>
      <c r="H26" s="20"/>
      <c r="I26" s="20">
        <v>0.21</v>
      </c>
      <c r="J26" s="19">
        <v>0.22</v>
      </c>
      <c r="K26" s="19">
        <v>0.22</v>
      </c>
      <c r="L26" s="20">
        <v>0.22</v>
      </c>
      <c r="M26" s="20">
        <v>0.22</v>
      </c>
      <c r="N26" s="19"/>
      <c r="O26" s="19">
        <v>0.22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>
        <v>3.3</v>
      </c>
      <c r="G27" s="19">
        <v>3.6</v>
      </c>
      <c r="H27" s="20"/>
      <c r="I27" s="20">
        <v>3.1</v>
      </c>
      <c r="J27" s="19">
        <v>3.8</v>
      </c>
      <c r="K27" s="19">
        <v>3.9</v>
      </c>
      <c r="L27" s="20">
        <v>3.7</v>
      </c>
      <c r="M27" s="20">
        <v>4.2</v>
      </c>
      <c r="N27" s="19"/>
      <c r="O27" s="19">
        <v>3.8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>
        <v>2.8</v>
      </c>
      <c r="G28" s="19">
        <v>2.8</v>
      </c>
      <c r="H28" s="20"/>
      <c r="I28" s="20">
        <v>2.4</v>
      </c>
      <c r="J28" s="19">
        <v>3</v>
      </c>
      <c r="K28" s="19">
        <v>3.2</v>
      </c>
      <c r="L28" s="20">
        <v>3</v>
      </c>
      <c r="M28" s="20">
        <v>3.4</v>
      </c>
      <c r="N28" s="19"/>
      <c r="O28" s="19">
        <v>2.2000000000000002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1.1000000000000001</v>
      </c>
      <c r="G29" s="26">
        <f t="shared" ref="G29:Q29" si="0">G32-G28</f>
        <v>1.2999999999999998</v>
      </c>
      <c r="H29" s="26">
        <f t="shared" si="0"/>
        <v>0</v>
      </c>
      <c r="I29" s="26">
        <f t="shared" si="0"/>
        <v>1.8000000000000003</v>
      </c>
      <c r="J29" s="26">
        <f t="shared" si="0"/>
        <v>0.70000000000000018</v>
      </c>
      <c r="K29" s="26">
        <f t="shared" si="0"/>
        <v>0.89999999999999947</v>
      </c>
      <c r="L29" s="26">
        <f t="shared" si="0"/>
        <v>1</v>
      </c>
      <c r="M29" s="26">
        <f t="shared" si="0"/>
        <v>0.80000000000000027</v>
      </c>
      <c r="N29" s="26">
        <f>N32-N28</f>
        <v>0</v>
      </c>
      <c r="O29" s="26">
        <f t="shared" si="0"/>
        <v>1.8999999999999995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>
        <v>690.4</v>
      </c>
      <c r="G30" s="19">
        <v>651.70000000000005</v>
      </c>
      <c r="H30" s="20"/>
      <c r="I30" s="20">
        <v>661.3</v>
      </c>
      <c r="J30" s="19">
        <v>681.84</v>
      </c>
      <c r="K30" s="19">
        <v>667.8</v>
      </c>
      <c r="L30" s="20">
        <v>686.7</v>
      </c>
      <c r="M30" s="20">
        <v>728.5</v>
      </c>
      <c r="N30" s="19"/>
      <c r="O30" s="19">
        <v>675.3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>
        <v>12.3</v>
      </c>
      <c r="G31" s="19">
        <v>12.5</v>
      </c>
      <c r="H31" s="20"/>
      <c r="I31" s="20">
        <v>12.3</v>
      </c>
      <c r="J31" s="19">
        <v>12.1</v>
      </c>
      <c r="K31" s="19">
        <v>12.8</v>
      </c>
      <c r="L31" s="20">
        <v>12.1</v>
      </c>
      <c r="M31" s="20">
        <v>12.5</v>
      </c>
      <c r="N31" s="19"/>
      <c r="O31" s="19">
        <v>12.6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>
        <v>3.9</v>
      </c>
      <c r="G32" s="19">
        <v>4.0999999999999996</v>
      </c>
      <c r="H32" s="20"/>
      <c r="I32" s="20">
        <v>4.2</v>
      </c>
      <c r="J32" s="19">
        <v>3.7</v>
      </c>
      <c r="K32" s="19">
        <v>4.0999999999999996</v>
      </c>
      <c r="L32" s="20">
        <v>4</v>
      </c>
      <c r="M32" s="20">
        <v>4.2</v>
      </c>
      <c r="N32" s="19"/>
      <c r="O32" s="19">
        <v>4.0999999999999996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8.4</v>
      </c>
      <c r="G33" s="26">
        <f t="shared" ref="G33:Q33" si="1">G31-G32</f>
        <v>8.4</v>
      </c>
      <c r="H33" s="26">
        <f t="shared" si="1"/>
        <v>0</v>
      </c>
      <c r="I33" s="26">
        <f t="shared" si="1"/>
        <v>8.1000000000000014</v>
      </c>
      <c r="J33" s="26">
        <f t="shared" si="1"/>
        <v>8.3999999999999986</v>
      </c>
      <c r="K33" s="26">
        <f t="shared" si="1"/>
        <v>8.7000000000000011</v>
      </c>
      <c r="L33" s="26">
        <f t="shared" si="1"/>
        <v>8.1</v>
      </c>
      <c r="M33" s="26">
        <f t="shared" si="1"/>
        <v>8.3000000000000007</v>
      </c>
      <c r="N33" s="26">
        <f t="shared" si="1"/>
        <v>0</v>
      </c>
      <c r="O33" s="26">
        <f t="shared" si="1"/>
        <v>8.5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6696.7205542725169</v>
      </c>
      <c r="G34" s="27">
        <f t="shared" ref="G34:Q34" si="2">(G33*G30)/0.866</f>
        <v>6321.3394919168595</v>
      </c>
      <c r="H34" s="27">
        <f t="shared" si="2"/>
        <v>0</v>
      </c>
      <c r="I34" s="27">
        <f t="shared" si="2"/>
        <v>6185.3695150115482</v>
      </c>
      <c r="J34" s="27">
        <f t="shared" si="2"/>
        <v>6613.6905311778282</v>
      </c>
      <c r="K34" s="27">
        <f t="shared" si="2"/>
        <v>6708.845265588915</v>
      </c>
      <c r="L34" s="27">
        <f t="shared" si="2"/>
        <v>6422.9445727482689</v>
      </c>
      <c r="M34" s="27">
        <f t="shared" si="2"/>
        <v>6982.1593533487303</v>
      </c>
      <c r="N34" s="27">
        <f t="shared" si="2"/>
        <v>0</v>
      </c>
      <c r="O34" s="27">
        <f t="shared" si="2"/>
        <v>6628.2332563510381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>
        <v>0.8</v>
      </c>
      <c r="G35" s="19">
        <v>0.79</v>
      </c>
      <c r="H35" s="20"/>
      <c r="I35" s="20">
        <v>0.8</v>
      </c>
      <c r="J35" s="19">
        <v>0.83</v>
      </c>
      <c r="K35" s="19">
        <v>0.87</v>
      </c>
      <c r="L35" s="20">
        <v>0.81</v>
      </c>
      <c r="M35" s="20">
        <v>0.81</v>
      </c>
      <c r="N35" s="19"/>
      <c r="O35" s="19">
        <v>0.7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>
        <v>35.1</v>
      </c>
      <c r="G36" s="19">
        <v>34.700000000000003</v>
      </c>
      <c r="H36" s="20"/>
      <c r="I36" s="20">
        <v>34.9</v>
      </c>
      <c r="J36" s="19">
        <v>36.299999999999997</v>
      </c>
      <c r="K36" s="19">
        <v>35.700000000000003</v>
      </c>
      <c r="L36" s="20">
        <v>35.799999999999997</v>
      </c>
      <c r="M36" s="20">
        <v>35.200000000000003</v>
      </c>
      <c r="N36" s="19"/>
      <c r="O36" s="19">
        <v>34.9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>
        <v>35.6</v>
      </c>
      <c r="G37" s="19">
        <v>35.1</v>
      </c>
      <c r="H37" s="20"/>
      <c r="I37" s="20">
        <v>35.9</v>
      </c>
      <c r="J37" s="19">
        <v>37</v>
      </c>
      <c r="K37" s="19">
        <v>36.5</v>
      </c>
      <c r="L37" s="20">
        <v>36.299999999999997</v>
      </c>
      <c r="M37" s="20">
        <v>36.1</v>
      </c>
      <c r="N37" s="19"/>
      <c r="O37" s="19">
        <v>35.5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2.5</v>
      </c>
      <c r="G38" s="26">
        <f t="shared" ref="G38:Q38" si="3">G37-G41</f>
        <v>2.5</v>
      </c>
      <c r="H38" s="26">
        <f t="shared" si="3"/>
        <v>0</v>
      </c>
      <c r="I38" s="26">
        <f t="shared" si="3"/>
        <v>4.1999999999999993</v>
      </c>
      <c r="J38" s="26">
        <f t="shared" si="3"/>
        <v>3.8999999999999986</v>
      </c>
      <c r="K38" s="26">
        <f t="shared" si="3"/>
        <v>4</v>
      </c>
      <c r="L38" s="26">
        <f t="shared" si="3"/>
        <v>3.5</v>
      </c>
      <c r="M38" s="26">
        <f t="shared" si="3"/>
        <v>3.6000000000000014</v>
      </c>
      <c r="N38" s="26">
        <f t="shared" si="3"/>
        <v>0</v>
      </c>
      <c r="O38" s="26">
        <f t="shared" si="3"/>
        <v>2.3999999999999986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>
        <v>27.9</v>
      </c>
      <c r="G40" s="19">
        <v>27.1</v>
      </c>
      <c r="H40" s="20"/>
      <c r="I40" s="20">
        <v>27</v>
      </c>
      <c r="J40" s="19">
        <v>27.8</v>
      </c>
      <c r="K40" s="19">
        <v>27.1</v>
      </c>
      <c r="L40" s="20">
        <v>27.8</v>
      </c>
      <c r="M40" s="20">
        <v>27.1</v>
      </c>
      <c r="N40" s="19"/>
      <c r="O40" s="19">
        <v>36.9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>
        <v>33.1</v>
      </c>
      <c r="G41" s="19">
        <v>32.6</v>
      </c>
      <c r="H41" s="20"/>
      <c r="I41" s="20">
        <v>31.7</v>
      </c>
      <c r="J41" s="19">
        <v>33.1</v>
      </c>
      <c r="K41" s="19">
        <v>32.5</v>
      </c>
      <c r="L41" s="20">
        <v>32.799999999999997</v>
      </c>
      <c r="M41" s="20">
        <v>32.5</v>
      </c>
      <c r="N41" s="19"/>
      <c r="O41" s="19">
        <v>33.1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5.2000000000000028</v>
      </c>
      <c r="G42" s="26">
        <f t="shared" ref="G42:Q42" si="4">G41-G40</f>
        <v>5.5</v>
      </c>
      <c r="H42" s="26">
        <f t="shared" si="4"/>
        <v>0</v>
      </c>
      <c r="I42" s="26">
        <f t="shared" si="4"/>
        <v>4.6999999999999993</v>
      </c>
      <c r="J42" s="26">
        <f t="shared" si="4"/>
        <v>5.3000000000000007</v>
      </c>
      <c r="K42" s="26">
        <f t="shared" si="4"/>
        <v>5.3999999999999986</v>
      </c>
      <c r="L42" s="26">
        <f t="shared" si="4"/>
        <v>4.9999999999999964</v>
      </c>
      <c r="M42" s="26">
        <f t="shared" si="4"/>
        <v>5.3999999999999986</v>
      </c>
      <c r="N42" s="26">
        <f t="shared" si="4"/>
        <v>0</v>
      </c>
      <c r="O42" s="26">
        <f t="shared" si="4"/>
        <v>-3.7999999999999972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>
        <v>1277.0999999999999</v>
      </c>
      <c r="G43" s="19">
        <v>1288.5999999999999</v>
      </c>
      <c r="H43" s="20"/>
      <c r="I43" s="20">
        <v>1298.3</v>
      </c>
      <c r="J43" s="19">
        <v>1310.0999999999999</v>
      </c>
      <c r="K43" s="19">
        <v>1291.3</v>
      </c>
      <c r="L43" s="20">
        <v>1266.4000000000001</v>
      </c>
      <c r="M43" s="19">
        <v>1289.8</v>
      </c>
      <c r="N43" s="19"/>
      <c r="O43" s="19">
        <v>1145.3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7668.4988452655925</v>
      </c>
      <c r="G44" s="27">
        <f t="shared" ref="G44:Q44" si="5">G42*G43/0.866</f>
        <v>8183.9491916859115</v>
      </c>
      <c r="H44" s="27">
        <f t="shared" si="5"/>
        <v>0</v>
      </c>
      <c r="I44" s="27">
        <f t="shared" si="5"/>
        <v>7046.2009237875282</v>
      </c>
      <c r="J44" s="27">
        <f t="shared" si="5"/>
        <v>8017.9330254041579</v>
      </c>
      <c r="K44" s="27">
        <f t="shared" si="5"/>
        <v>8051.986143187064</v>
      </c>
      <c r="L44" s="27">
        <f t="shared" si="5"/>
        <v>7311.7782909930675</v>
      </c>
      <c r="M44" s="27">
        <f t="shared" si="5"/>
        <v>8042.6327944572731</v>
      </c>
      <c r="N44" s="27">
        <f t="shared" si="5"/>
        <v>0</v>
      </c>
      <c r="O44" s="27">
        <f t="shared" si="5"/>
        <v>-5025.5658198614283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>
        <v>0.45</v>
      </c>
      <c r="G45" s="19">
        <v>0.45</v>
      </c>
      <c r="H45" s="20"/>
      <c r="I45" s="20">
        <v>0.44</v>
      </c>
      <c r="J45" s="19">
        <v>0.46</v>
      </c>
      <c r="K45" s="19">
        <v>0.46</v>
      </c>
      <c r="L45" s="20">
        <v>0.46</v>
      </c>
      <c r="M45" s="20">
        <v>0.46</v>
      </c>
      <c r="N45" s="19"/>
      <c r="O45" s="19">
        <v>0.44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>
        <v>19.7</v>
      </c>
      <c r="G46" s="19">
        <v>18.5</v>
      </c>
      <c r="H46" s="20"/>
      <c r="I46" s="20">
        <v>18.7</v>
      </c>
      <c r="J46" s="19">
        <v>19.399999999999999</v>
      </c>
      <c r="K46" s="19">
        <v>19.3</v>
      </c>
      <c r="L46" s="20">
        <v>19.5</v>
      </c>
      <c r="M46" s="20">
        <v>19.3</v>
      </c>
      <c r="N46" s="19"/>
      <c r="O46" s="19">
        <v>18.2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>
        <v>233.4</v>
      </c>
      <c r="G47" s="19">
        <v>206.8</v>
      </c>
      <c r="H47" s="20"/>
      <c r="I47" s="20">
        <v>120.5</v>
      </c>
      <c r="J47" s="19">
        <v>201.7</v>
      </c>
      <c r="K47" s="19">
        <v>199.7</v>
      </c>
      <c r="L47" s="20">
        <v>213.8</v>
      </c>
      <c r="M47" s="20">
        <v>212.7</v>
      </c>
      <c r="N47" s="19"/>
      <c r="O47" s="19">
        <v>153.6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78">
        <v>5.89</v>
      </c>
      <c r="F49" s="19">
        <v>5.66</v>
      </c>
      <c r="G49" s="19">
        <v>5.63</v>
      </c>
      <c r="H49" s="20"/>
      <c r="I49" s="20">
        <v>5.5</v>
      </c>
      <c r="J49" s="19">
        <v>5.24</v>
      </c>
      <c r="K49" s="19">
        <v>5.56</v>
      </c>
      <c r="L49" s="20">
        <v>5.37</v>
      </c>
      <c r="M49" s="20">
        <v>5.17</v>
      </c>
      <c r="N49" s="19"/>
      <c r="O49" s="19">
        <v>5.46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78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77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761F-DE8A-4597-9988-0F625D1339B5}">
  <dimension ref="B1:Q59"/>
  <sheetViews>
    <sheetView view="pageBreakPreview" zoomScale="85" zoomScaleNormal="60" zoomScaleSheetLayoutView="85" workbookViewId="0">
      <selection activeCell="O36" sqref="O36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80" t="s">
        <v>18</v>
      </c>
      <c r="E10" s="15"/>
      <c r="F10" s="16" t="s">
        <v>19</v>
      </c>
      <c r="G10" s="16" t="s">
        <v>19</v>
      </c>
      <c r="H10" s="17"/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/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>
        <v>68.599999999999994</v>
      </c>
      <c r="G11" s="19">
        <v>71.400000000000006</v>
      </c>
      <c r="H11" s="20"/>
      <c r="I11" s="20">
        <v>77.8</v>
      </c>
      <c r="J11" s="19">
        <v>68.5</v>
      </c>
      <c r="K11" s="19">
        <v>72</v>
      </c>
      <c r="L11" s="20">
        <v>75.2</v>
      </c>
      <c r="M11" s="20">
        <v>71</v>
      </c>
      <c r="N11" s="19"/>
      <c r="O11" s="19">
        <v>76.5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>
        <v>0.8</v>
      </c>
      <c r="G12" s="19">
        <v>0.8</v>
      </c>
      <c r="H12" s="20"/>
      <c r="I12" s="20">
        <v>0</v>
      </c>
      <c r="J12" s="19">
        <v>0</v>
      </c>
      <c r="K12" s="19">
        <v>0</v>
      </c>
      <c r="L12" s="20">
        <v>0.1</v>
      </c>
      <c r="M12" s="20">
        <v>0.2</v>
      </c>
      <c r="N12" s="19"/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>
        <v>65.2</v>
      </c>
      <c r="G13" s="19">
        <v>65.900000000000006</v>
      </c>
      <c r="H13" s="20"/>
      <c r="I13" s="20">
        <v>73.5</v>
      </c>
      <c r="J13" s="19">
        <v>63.7</v>
      </c>
      <c r="K13" s="19">
        <v>66</v>
      </c>
      <c r="L13" s="20">
        <v>70.8</v>
      </c>
      <c r="M13" s="20">
        <v>66.8</v>
      </c>
      <c r="N13" s="19"/>
      <c r="O13" s="19">
        <v>71.5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>
        <v>62.4</v>
      </c>
      <c r="G14" s="19">
        <v>65.8</v>
      </c>
      <c r="H14" s="20"/>
      <c r="I14" s="20">
        <v>67.900000000000006</v>
      </c>
      <c r="J14" s="19">
        <v>59.8</v>
      </c>
      <c r="K14" s="19">
        <v>63.7</v>
      </c>
      <c r="L14" s="20">
        <v>60</v>
      </c>
      <c r="M14" s="20">
        <v>66.2</v>
      </c>
      <c r="N14" s="19"/>
      <c r="O14" s="19">
        <v>71.7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>
        <v>87.6</v>
      </c>
      <c r="G15" s="19">
        <v>77.2</v>
      </c>
      <c r="H15" s="20"/>
      <c r="I15" s="20">
        <v>54.1</v>
      </c>
      <c r="J15" s="19">
        <v>39.299999999999997</v>
      </c>
      <c r="K15" s="19">
        <v>38.1</v>
      </c>
      <c r="L15" s="20">
        <v>33</v>
      </c>
      <c r="M15" s="20">
        <v>30.6</v>
      </c>
      <c r="N15" s="19"/>
      <c r="O15" s="19">
        <v>53.7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>
        <v>6.6</v>
      </c>
      <c r="G16" s="19">
        <v>6.6</v>
      </c>
      <c r="H16" s="20"/>
      <c r="I16" s="20">
        <v>6.6</v>
      </c>
      <c r="J16" s="19">
        <v>6.6</v>
      </c>
      <c r="K16" s="19">
        <v>6.6</v>
      </c>
      <c r="L16" s="20">
        <v>6.6</v>
      </c>
      <c r="M16" s="20">
        <v>6.6</v>
      </c>
      <c r="N16" s="19"/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>
        <v>112.3</v>
      </c>
      <c r="G17" s="19">
        <v>117.2</v>
      </c>
      <c r="H17" s="20"/>
      <c r="I17" s="20">
        <v>116.6</v>
      </c>
      <c r="J17" s="19">
        <v>110.3</v>
      </c>
      <c r="K17" s="19">
        <v>115.3</v>
      </c>
      <c r="L17" s="20">
        <v>116.6</v>
      </c>
      <c r="M17" s="20">
        <v>114.7</v>
      </c>
      <c r="N17" s="19"/>
      <c r="O17" s="19">
        <v>119.4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>
        <v>1107</v>
      </c>
      <c r="G18" s="19">
        <v>1144</v>
      </c>
      <c r="H18" s="20"/>
      <c r="I18" s="20">
        <v>1177</v>
      </c>
      <c r="J18" s="19">
        <v>1118</v>
      </c>
      <c r="K18" s="19">
        <v>1164</v>
      </c>
      <c r="L18" s="20">
        <v>1180</v>
      </c>
      <c r="M18" s="20">
        <v>1167</v>
      </c>
      <c r="N18" s="19"/>
      <c r="O18" s="19">
        <v>1214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>
        <v>46920.1</v>
      </c>
      <c r="G19" s="19">
        <v>46911</v>
      </c>
      <c r="H19" s="20"/>
      <c r="I19" s="20">
        <v>47793.7</v>
      </c>
      <c r="J19" s="19">
        <v>45426</v>
      </c>
      <c r="K19" s="19">
        <v>45416.800000000003</v>
      </c>
      <c r="L19" s="20">
        <v>47745.8</v>
      </c>
      <c r="M19" s="20">
        <v>47736.7</v>
      </c>
      <c r="N19" s="19"/>
      <c r="O19" s="19">
        <v>47028.1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>
        <v>58.8</v>
      </c>
      <c r="G22" s="19">
        <v>58</v>
      </c>
      <c r="H22" s="20"/>
      <c r="I22" s="20">
        <v>59.3</v>
      </c>
      <c r="J22" s="19">
        <v>57.5</v>
      </c>
      <c r="K22" s="19">
        <v>57.5</v>
      </c>
      <c r="L22" s="20">
        <v>57.3</v>
      </c>
      <c r="M22" s="20">
        <v>57.4</v>
      </c>
      <c r="N22" s="19"/>
      <c r="O22" s="19">
        <v>58.5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>
        <v>0.51</v>
      </c>
      <c r="G23" s="19">
        <v>0.53</v>
      </c>
      <c r="H23" s="20"/>
      <c r="I23" s="20">
        <v>0.49</v>
      </c>
      <c r="J23" s="19">
        <v>0.57999999999999996</v>
      </c>
      <c r="K23" s="19">
        <v>0.59</v>
      </c>
      <c r="L23" s="20">
        <v>0.52</v>
      </c>
      <c r="M23" s="20">
        <v>0.52</v>
      </c>
      <c r="N23" s="19"/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>
        <v>45.4</v>
      </c>
      <c r="G25" s="19">
        <v>44.7</v>
      </c>
      <c r="H25" s="20"/>
      <c r="I25" s="20">
        <v>44.7</v>
      </c>
      <c r="J25" s="19">
        <v>45.3</v>
      </c>
      <c r="K25" s="19">
        <v>44.8</v>
      </c>
      <c r="L25" s="20">
        <v>44.8</v>
      </c>
      <c r="M25" s="20">
        <v>44.9</v>
      </c>
      <c r="N25" s="19"/>
      <c r="O25" s="19">
        <v>44.9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>
        <v>0.23</v>
      </c>
      <c r="G26" s="19">
        <v>0.23</v>
      </c>
      <c r="H26" s="20"/>
      <c r="I26" s="20">
        <v>0.21</v>
      </c>
      <c r="J26" s="19">
        <v>0.23</v>
      </c>
      <c r="K26" s="19">
        <v>0.23</v>
      </c>
      <c r="L26" s="20">
        <v>0.22</v>
      </c>
      <c r="M26" s="20">
        <v>0.22</v>
      </c>
      <c r="N26" s="19"/>
      <c r="O26" s="19">
        <v>0.22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>
        <v>3.2</v>
      </c>
      <c r="G27" s="19">
        <v>4.4000000000000004</v>
      </c>
      <c r="H27" s="20"/>
      <c r="I27" s="20">
        <v>3.5</v>
      </c>
      <c r="J27" s="19">
        <v>3.6</v>
      </c>
      <c r="K27" s="19">
        <v>4.2</v>
      </c>
      <c r="L27" s="20">
        <v>3.7</v>
      </c>
      <c r="M27" s="20">
        <v>4.0999999999999996</v>
      </c>
      <c r="N27" s="19"/>
      <c r="O27" s="19">
        <v>4.4000000000000004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>
        <v>2.6</v>
      </c>
      <c r="G28" s="19">
        <v>3.8</v>
      </c>
      <c r="H28" s="20"/>
      <c r="I28" s="20">
        <v>2.5</v>
      </c>
      <c r="J28" s="19">
        <v>2.9</v>
      </c>
      <c r="K28" s="19">
        <v>3.5</v>
      </c>
      <c r="L28" s="20">
        <v>3.3</v>
      </c>
      <c r="M28" s="20">
        <v>3.3</v>
      </c>
      <c r="N28" s="19"/>
      <c r="O28" s="19">
        <v>3.7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 t="shared" ref="F29:Q29" si="0">F32-F28</f>
        <v>1.1999999999999997</v>
      </c>
      <c r="G29" s="26">
        <f t="shared" si="0"/>
        <v>0.79999999999999982</v>
      </c>
      <c r="H29" s="26">
        <f t="shared" si="0"/>
        <v>0</v>
      </c>
      <c r="I29" s="26">
        <f t="shared" si="0"/>
        <v>2.5</v>
      </c>
      <c r="J29" s="26">
        <f t="shared" si="0"/>
        <v>1.4</v>
      </c>
      <c r="K29" s="26">
        <f t="shared" si="0"/>
        <v>0.70000000000000018</v>
      </c>
      <c r="L29" s="26">
        <f t="shared" si="0"/>
        <v>0.30000000000000027</v>
      </c>
      <c r="M29" s="26">
        <f t="shared" si="0"/>
        <v>1.1000000000000005</v>
      </c>
      <c r="N29" s="26">
        <f t="shared" si="0"/>
        <v>0</v>
      </c>
      <c r="O29" s="26">
        <f t="shared" si="0"/>
        <v>0.89999999999999947</v>
      </c>
      <c r="P29" s="26">
        <f t="shared" si="0"/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>
        <v>688.16</v>
      </c>
      <c r="G30" s="19">
        <v>680.7</v>
      </c>
      <c r="H30" s="20"/>
      <c r="I30" s="20">
        <v>660.9</v>
      </c>
      <c r="J30" s="19">
        <v>677.84</v>
      </c>
      <c r="K30" s="19">
        <v>649.97</v>
      </c>
      <c r="L30" s="20">
        <v>741.84</v>
      </c>
      <c r="M30" s="20">
        <v>629.70000000000005</v>
      </c>
      <c r="N30" s="19"/>
      <c r="O30" s="19">
        <v>679.9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>
        <v>11.3</v>
      </c>
      <c r="G31" s="19">
        <v>13.4</v>
      </c>
      <c r="H31" s="20"/>
      <c r="I31" s="20">
        <v>13.4</v>
      </c>
      <c r="J31" s="19">
        <v>12</v>
      </c>
      <c r="K31" s="19">
        <v>13</v>
      </c>
      <c r="L31" s="20">
        <v>11.7</v>
      </c>
      <c r="M31" s="20">
        <v>13.3</v>
      </c>
      <c r="N31" s="19"/>
      <c r="O31" s="19">
        <v>13.6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>
        <v>3.8</v>
      </c>
      <c r="G32" s="19">
        <v>4.5999999999999996</v>
      </c>
      <c r="H32" s="20"/>
      <c r="I32" s="20">
        <v>5</v>
      </c>
      <c r="J32" s="19">
        <v>4.3</v>
      </c>
      <c r="K32" s="19">
        <v>4.2</v>
      </c>
      <c r="L32" s="20">
        <v>3.6</v>
      </c>
      <c r="M32" s="20">
        <v>4.4000000000000004</v>
      </c>
      <c r="N32" s="19"/>
      <c r="O32" s="19">
        <v>4.5999999999999996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 t="shared" ref="F33:Q33" si="1">F31-F32</f>
        <v>7.5000000000000009</v>
      </c>
      <c r="G33" s="26">
        <f t="shared" si="1"/>
        <v>8.8000000000000007</v>
      </c>
      <c r="H33" s="26">
        <f t="shared" si="1"/>
        <v>0</v>
      </c>
      <c r="I33" s="26">
        <f t="shared" si="1"/>
        <v>8.4</v>
      </c>
      <c r="J33" s="26">
        <f t="shared" si="1"/>
        <v>7.7</v>
      </c>
      <c r="K33" s="26">
        <f t="shared" si="1"/>
        <v>8.8000000000000007</v>
      </c>
      <c r="L33" s="26">
        <f t="shared" si="1"/>
        <v>8.1</v>
      </c>
      <c r="M33" s="26">
        <f t="shared" si="1"/>
        <v>8.9</v>
      </c>
      <c r="N33" s="26">
        <f t="shared" si="1"/>
        <v>0</v>
      </c>
      <c r="O33" s="26">
        <f t="shared" si="1"/>
        <v>9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 t="shared" ref="F34:Q34" si="2">(F33*F30)/0.866</f>
        <v>5959.8152424942273</v>
      </c>
      <c r="G34" s="27">
        <f t="shared" si="2"/>
        <v>6917.0438799076219</v>
      </c>
      <c r="H34" s="27">
        <f t="shared" si="2"/>
        <v>0</v>
      </c>
      <c r="I34" s="27">
        <f t="shared" si="2"/>
        <v>6410.5773672055429</v>
      </c>
      <c r="J34" s="27">
        <f t="shared" si="2"/>
        <v>6026.9838337182455</v>
      </c>
      <c r="K34" s="27">
        <f t="shared" si="2"/>
        <v>6604.7759815242507</v>
      </c>
      <c r="L34" s="27">
        <f t="shared" si="2"/>
        <v>6938.688221709006</v>
      </c>
      <c r="M34" s="27">
        <f t="shared" si="2"/>
        <v>6471.512702078523</v>
      </c>
      <c r="N34" s="27">
        <f t="shared" si="2"/>
        <v>0</v>
      </c>
      <c r="O34" s="27">
        <f t="shared" si="2"/>
        <v>7065.9353348729783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>
        <v>0.78</v>
      </c>
      <c r="G35" s="19">
        <v>0.81</v>
      </c>
      <c r="H35" s="20"/>
      <c r="I35" s="20">
        <v>0.84</v>
      </c>
      <c r="J35" s="19">
        <v>0.8</v>
      </c>
      <c r="K35" s="19">
        <v>0.83</v>
      </c>
      <c r="L35" s="20">
        <v>0.82</v>
      </c>
      <c r="M35" s="20">
        <v>0.82</v>
      </c>
      <c r="N35" s="19"/>
      <c r="O35" s="19">
        <v>0.81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>
        <v>34.700000000000003</v>
      </c>
      <c r="G36" s="19">
        <v>35.700000000000003</v>
      </c>
      <c r="H36" s="20"/>
      <c r="I36" s="20">
        <v>36.4</v>
      </c>
      <c r="J36" s="19">
        <v>35.6</v>
      </c>
      <c r="K36" s="19">
        <v>36.5</v>
      </c>
      <c r="L36" s="20">
        <v>35.799999999999997</v>
      </c>
      <c r="M36" s="20">
        <v>36.200000000000003</v>
      </c>
      <c r="N36" s="19"/>
      <c r="O36" s="19">
        <v>35.9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>
        <v>34.700000000000003</v>
      </c>
      <c r="G37" s="19">
        <v>36.1</v>
      </c>
      <c r="H37" s="20"/>
      <c r="I37" s="20">
        <v>37.200000000000003</v>
      </c>
      <c r="J37" s="19">
        <v>35.799999999999997</v>
      </c>
      <c r="K37" s="19">
        <v>37.1</v>
      </c>
      <c r="L37" s="20">
        <v>36.200000000000003</v>
      </c>
      <c r="M37" s="20">
        <v>36.6</v>
      </c>
      <c r="N37" s="19"/>
      <c r="O37" s="19">
        <v>36.4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 t="shared" ref="F38:Q38" si="3">F37-F41</f>
        <v>3.0000000000000036</v>
      </c>
      <c r="G38" s="26">
        <f t="shared" si="3"/>
        <v>2.6000000000000014</v>
      </c>
      <c r="H38" s="26">
        <f t="shared" si="3"/>
        <v>0</v>
      </c>
      <c r="I38" s="26">
        <f t="shared" si="3"/>
        <v>4.2000000000000028</v>
      </c>
      <c r="J38" s="26">
        <f t="shared" si="3"/>
        <v>4.0999999999999979</v>
      </c>
      <c r="K38" s="26">
        <f t="shared" si="3"/>
        <v>3.8000000000000043</v>
      </c>
      <c r="L38" s="26">
        <f t="shared" si="3"/>
        <v>4.3000000000000043</v>
      </c>
      <c r="M38" s="26">
        <f t="shared" si="3"/>
        <v>3.5</v>
      </c>
      <c r="N38" s="26">
        <f t="shared" si="3"/>
        <v>0</v>
      </c>
      <c r="O38" s="26">
        <f t="shared" si="3"/>
        <v>2.5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>
        <v>26.9</v>
      </c>
      <c r="G40" s="19">
        <v>28.2</v>
      </c>
      <c r="H40" s="20"/>
      <c r="I40" s="20">
        <v>28</v>
      </c>
      <c r="J40" s="19">
        <v>26.7</v>
      </c>
      <c r="K40" s="19">
        <v>28.1</v>
      </c>
      <c r="L40" s="20">
        <v>26.6</v>
      </c>
      <c r="M40" s="20">
        <v>27.9</v>
      </c>
      <c r="N40" s="19"/>
      <c r="O40" s="19">
        <v>27.9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>
        <v>31.7</v>
      </c>
      <c r="G41" s="19">
        <v>33.5</v>
      </c>
      <c r="H41" s="20"/>
      <c r="I41" s="20">
        <v>33</v>
      </c>
      <c r="J41" s="19">
        <v>31.7</v>
      </c>
      <c r="K41" s="19">
        <v>33.299999999999997</v>
      </c>
      <c r="L41" s="20">
        <v>31.9</v>
      </c>
      <c r="M41" s="20">
        <v>33.1</v>
      </c>
      <c r="N41" s="19"/>
      <c r="O41" s="19">
        <v>33.9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 t="shared" ref="F42:Q42" si="4">F41-F40</f>
        <v>4.8000000000000007</v>
      </c>
      <c r="G42" s="26">
        <f t="shared" si="4"/>
        <v>5.3000000000000007</v>
      </c>
      <c r="H42" s="26">
        <f t="shared" si="4"/>
        <v>0</v>
      </c>
      <c r="I42" s="26">
        <f t="shared" si="4"/>
        <v>5</v>
      </c>
      <c r="J42" s="26">
        <f t="shared" si="4"/>
        <v>5</v>
      </c>
      <c r="K42" s="26">
        <f t="shared" si="4"/>
        <v>5.1999999999999957</v>
      </c>
      <c r="L42" s="26">
        <f t="shared" si="4"/>
        <v>5.2999999999999972</v>
      </c>
      <c r="M42" s="26">
        <f t="shared" si="4"/>
        <v>5.2000000000000028</v>
      </c>
      <c r="N42" s="26">
        <f t="shared" si="4"/>
        <v>0</v>
      </c>
      <c r="O42" s="26">
        <f t="shared" si="4"/>
        <v>6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>
        <v>1268.26</v>
      </c>
      <c r="G43" s="19">
        <v>1305.4000000000001</v>
      </c>
      <c r="H43" s="20"/>
      <c r="I43" s="20">
        <v>1300.0999999999999</v>
      </c>
      <c r="J43" s="19">
        <v>1275.4000000000001</v>
      </c>
      <c r="K43" s="19">
        <v>1314.5</v>
      </c>
      <c r="L43" s="20">
        <v>1269.52</v>
      </c>
      <c r="M43" s="19">
        <v>1291.8</v>
      </c>
      <c r="N43" s="19"/>
      <c r="O43" s="19">
        <v>1141.0999999999999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 t="shared" ref="F44:Q44" si="5">F42*F43/0.866</f>
        <v>7029.6166281755213</v>
      </c>
      <c r="G44" s="27">
        <f t="shared" si="5"/>
        <v>7989.1685912240209</v>
      </c>
      <c r="H44" s="27">
        <f t="shared" si="5"/>
        <v>0</v>
      </c>
      <c r="I44" s="27">
        <f t="shared" si="5"/>
        <v>7506.3510392609696</v>
      </c>
      <c r="J44" s="27">
        <f t="shared" si="5"/>
        <v>7363.7413394919167</v>
      </c>
      <c r="K44" s="27">
        <f t="shared" si="5"/>
        <v>7893.0715935334811</v>
      </c>
      <c r="L44" s="27">
        <f t="shared" si="5"/>
        <v>7769.5796766743606</v>
      </c>
      <c r="M44" s="27">
        <f t="shared" si="5"/>
        <v>7756.7667436489646</v>
      </c>
      <c r="N44" s="27">
        <f t="shared" si="5"/>
        <v>0</v>
      </c>
      <c r="O44" s="27">
        <f t="shared" si="5"/>
        <v>7906.0046189376435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>
        <v>0.45</v>
      </c>
      <c r="G45" s="19">
        <v>0.46</v>
      </c>
      <c r="H45" s="20"/>
      <c r="I45" s="20">
        <v>0.46</v>
      </c>
      <c r="J45" s="19">
        <v>0.46</v>
      </c>
      <c r="K45" s="19">
        <v>0.47</v>
      </c>
      <c r="L45" s="20">
        <v>0.46</v>
      </c>
      <c r="M45" s="20">
        <v>0.46</v>
      </c>
      <c r="N45" s="19"/>
      <c r="O45" s="19">
        <v>0.46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>
        <v>18.8</v>
      </c>
      <c r="G46" s="19">
        <v>19.5</v>
      </c>
      <c r="H46" s="20"/>
      <c r="I46" s="20">
        <v>19.2</v>
      </c>
      <c r="J46" s="19">
        <v>19.100000000000001</v>
      </c>
      <c r="K46" s="19">
        <v>20</v>
      </c>
      <c r="L46" s="20">
        <v>19.8</v>
      </c>
      <c r="M46" s="20">
        <v>19.8</v>
      </c>
      <c r="N46" s="19"/>
      <c r="O46" s="19">
        <v>19.399999999999999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>
        <v>184</v>
      </c>
      <c r="G47" s="19">
        <v>180.7</v>
      </c>
      <c r="H47" s="20"/>
      <c r="I47" s="20">
        <v>134.4</v>
      </c>
      <c r="J47" s="19">
        <v>199.4</v>
      </c>
      <c r="K47" s="19">
        <v>209.6</v>
      </c>
      <c r="L47" s="20">
        <v>213</v>
      </c>
      <c r="M47" s="20">
        <v>218.4</v>
      </c>
      <c r="N47" s="19"/>
      <c r="O47" s="19">
        <v>170.6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80">
        <v>5.89</v>
      </c>
      <c r="F49" s="19">
        <v>5.39</v>
      </c>
      <c r="G49" s="19">
        <v>5.66</v>
      </c>
      <c r="H49" s="20"/>
      <c r="I49" s="20">
        <v>5.31</v>
      </c>
      <c r="J49" s="19">
        <v>5.41</v>
      </c>
      <c r="K49" s="19">
        <v>5.61</v>
      </c>
      <c r="L49" s="20">
        <v>4.8099999999999996</v>
      </c>
      <c r="M49" s="20">
        <v>5.64</v>
      </c>
      <c r="N49" s="19"/>
      <c r="O49" s="19">
        <v>5.48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80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79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C624-9AB5-4437-B657-130C9CEF6944}">
  <dimension ref="B1:Q59"/>
  <sheetViews>
    <sheetView view="pageBreakPreview" zoomScale="85" zoomScaleNormal="60" zoomScaleSheetLayoutView="85" workbookViewId="0">
      <selection activeCell="G19" sqref="G19:O1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82" t="s">
        <v>18</v>
      </c>
      <c r="E10" s="15"/>
      <c r="F10" s="16"/>
      <c r="G10" s="16" t="s">
        <v>19</v>
      </c>
      <c r="H10" s="17"/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 t="s">
        <v>19</v>
      </c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71</v>
      </c>
      <c r="H11" s="20"/>
      <c r="I11" s="20">
        <v>77</v>
      </c>
      <c r="J11" s="19">
        <v>75.3</v>
      </c>
      <c r="K11" s="19">
        <v>70.8</v>
      </c>
      <c r="L11" s="20">
        <v>71.400000000000006</v>
      </c>
      <c r="M11" s="20">
        <v>74.3</v>
      </c>
      <c r="N11" s="19">
        <v>74.099999999999994</v>
      </c>
      <c r="O11" s="19"/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0.8</v>
      </c>
      <c r="H12" s="20"/>
      <c r="I12" s="20">
        <v>0</v>
      </c>
      <c r="J12" s="19">
        <v>0</v>
      </c>
      <c r="K12" s="19">
        <v>0</v>
      </c>
      <c r="L12" s="20">
        <v>0.1</v>
      </c>
      <c r="M12" s="20">
        <v>0.1</v>
      </c>
      <c r="N12" s="19">
        <v>0</v>
      </c>
      <c r="O12" s="19"/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65.3</v>
      </c>
      <c r="H13" s="20"/>
      <c r="I13" s="20">
        <v>72.7</v>
      </c>
      <c r="J13" s="19">
        <v>70.8</v>
      </c>
      <c r="K13" s="19">
        <v>67</v>
      </c>
      <c r="L13" s="20">
        <v>66</v>
      </c>
      <c r="M13" s="20">
        <v>68.8</v>
      </c>
      <c r="N13" s="19">
        <v>69.2</v>
      </c>
      <c r="O13" s="19"/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67.5</v>
      </c>
      <c r="H14" s="20"/>
      <c r="I14" s="20">
        <v>70.400000000000006</v>
      </c>
      <c r="J14" s="19">
        <v>63.8</v>
      </c>
      <c r="K14" s="19">
        <v>63.6</v>
      </c>
      <c r="L14" s="20">
        <v>66.8</v>
      </c>
      <c r="M14" s="20">
        <v>65.599999999999994</v>
      </c>
      <c r="N14" s="19">
        <v>78.099999999999994</v>
      </c>
      <c r="O14" s="19"/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83.1</v>
      </c>
      <c r="H15" s="20"/>
      <c r="I15" s="20">
        <v>51.4</v>
      </c>
      <c r="J15" s="19">
        <v>41.7</v>
      </c>
      <c r="K15" s="19">
        <v>35</v>
      </c>
      <c r="L15" s="20">
        <v>32.799999999999997</v>
      </c>
      <c r="M15" s="20">
        <v>32</v>
      </c>
      <c r="N15" s="19">
        <v>58.8</v>
      </c>
      <c r="O15" s="19"/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/>
      <c r="I16" s="20">
        <v>6.6</v>
      </c>
      <c r="J16" s="19">
        <v>6.6</v>
      </c>
      <c r="K16" s="19">
        <v>6.6</v>
      </c>
      <c r="L16" s="20">
        <v>6.6</v>
      </c>
      <c r="M16" s="20">
        <v>6.6</v>
      </c>
      <c r="N16" s="19">
        <v>6.6</v>
      </c>
      <c r="O16" s="19"/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117.5</v>
      </c>
      <c r="H17" s="20"/>
      <c r="I17" s="20">
        <v>116.9</v>
      </c>
      <c r="J17" s="19">
        <v>116.9</v>
      </c>
      <c r="K17" s="19">
        <v>116.4</v>
      </c>
      <c r="L17" s="20">
        <v>112.9</v>
      </c>
      <c r="M17" s="20">
        <v>116.6</v>
      </c>
      <c r="N17" s="19">
        <v>115.8</v>
      </c>
      <c r="O17" s="19"/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1156</v>
      </c>
      <c r="H18" s="20"/>
      <c r="I18" s="20">
        <v>1186</v>
      </c>
      <c r="J18" s="19">
        <v>1183</v>
      </c>
      <c r="K18" s="19">
        <v>1190</v>
      </c>
      <c r="L18" s="20">
        <v>1140</v>
      </c>
      <c r="M18" s="20">
        <v>1189</v>
      </c>
      <c r="N18" s="19">
        <v>1171</v>
      </c>
      <c r="O18" s="19"/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46926.400000000001</v>
      </c>
      <c r="H19" s="20"/>
      <c r="I19" s="20">
        <v>47803.6</v>
      </c>
      <c r="J19" s="19">
        <v>45443</v>
      </c>
      <c r="K19" s="19">
        <v>45435</v>
      </c>
      <c r="L19" s="20">
        <v>47769</v>
      </c>
      <c r="M19" s="20">
        <v>47760.9</v>
      </c>
      <c r="N19" s="19">
        <v>47042</v>
      </c>
      <c r="O19" s="19"/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58.5</v>
      </c>
      <c r="H22" s="20"/>
      <c r="I22" s="20">
        <v>59.1</v>
      </c>
      <c r="J22" s="19">
        <v>57.9</v>
      </c>
      <c r="K22" s="19">
        <v>57.9</v>
      </c>
      <c r="L22" s="20">
        <v>57.3</v>
      </c>
      <c r="M22" s="20">
        <v>57.4</v>
      </c>
      <c r="N22" s="19">
        <v>58.5</v>
      </c>
      <c r="O22" s="19"/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0.53</v>
      </c>
      <c r="H23" s="20"/>
      <c r="I23" s="20">
        <v>0.49</v>
      </c>
      <c r="J23" s="19">
        <v>0.57999999999999996</v>
      </c>
      <c r="K23" s="19">
        <v>0.59</v>
      </c>
      <c r="L23" s="20">
        <v>0.52</v>
      </c>
      <c r="M23" s="20">
        <v>0.52</v>
      </c>
      <c r="N23" s="19">
        <v>0.47</v>
      </c>
      <c r="O23" s="19"/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44.9</v>
      </c>
      <c r="H25" s="20"/>
      <c r="I25" s="20">
        <v>45</v>
      </c>
      <c r="J25" s="19">
        <v>44.5</v>
      </c>
      <c r="K25" s="19">
        <v>45</v>
      </c>
      <c r="L25" s="20">
        <v>45</v>
      </c>
      <c r="M25" s="20">
        <v>45.1</v>
      </c>
      <c r="N25" s="19">
        <v>44.9</v>
      </c>
      <c r="O25" s="19"/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/>
      <c r="I26" s="20">
        <v>0.22</v>
      </c>
      <c r="J26" s="19">
        <v>0.22</v>
      </c>
      <c r="K26" s="19">
        <v>0.23</v>
      </c>
      <c r="L26" s="20">
        <v>0.22</v>
      </c>
      <c r="M26" s="20">
        <v>0.22</v>
      </c>
      <c r="N26" s="19">
        <v>0.22</v>
      </c>
      <c r="O26" s="19"/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4.5</v>
      </c>
      <c r="H27" s="20"/>
      <c r="I27" s="20">
        <v>3.8</v>
      </c>
      <c r="J27" s="19">
        <v>3.7</v>
      </c>
      <c r="K27" s="19">
        <v>4.5</v>
      </c>
      <c r="L27" s="20">
        <v>3.7</v>
      </c>
      <c r="M27" s="20">
        <v>3.9</v>
      </c>
      <c r="N27" s="19">
        <v>4.2</v>
      </c>
      <c r="O27" s="19"/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3.8</v>
      </c>
      <c r="H28" s="20"/>
      <c r="I28" s="20">
        <v>2.8</v>
      </c>
      <c r="J28" s="19">
        <v>3.1</v>
      </c>
      <c r="K28" s="19">
        <v>3.6</v>
      </c>
      <c r="L28" s="20">
        <v>2.8</v>
      </c>
      <c r="M28" s="20">
        <v>2.9</v>
      </c>
      <c r="N28" s="19">
        <v>3.2</v>
      </c>
      <c r="O28" s="19"/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 t="shared" ref="F29:Q29" si="0">F32-F28</f>
        <v>0</v>
      </c>
      <c r="G29" s="26">
        <f t="shared" si="0"/>
        <v>1.2000000000000002</v>
      </c>
      <c r="H29" s="26">
        <f t="shared" si="0"/>
        <v>0</v>
      </c>
      <c r="I29" s="26">
        <f t="shared" si="0"/>
        <v>2.4000000000000004</v>
      </c>
      <c r="J29" s="26">
        <f t="shared" si="0"/>
        <v>1.4999999999999996</v>
      </c>
      <c r="K29" s="26">
        <f t="shared" si="0"/>
        <v>0.69999999999999973</v>
      </c>
      <c r="L29" s="26">
        <f t="shared" si="0"/>
        <v>1.5</v>
      </c>
      <c r="M29" s="26">
        <f t="shared" si="0"/>
        <v>1.1999999999999997</v>
      </c>
      <c r="N29" s="26">
        <f t="shared" si="0"/>
        <v>0.89999999999999947</v>
      </c>
      <c r="O29" s="26">
        <f t="shared" si="0"/>
        <v>0</v>
      </c>
      <c r="P29" s="26">
        <f t="shared" si="0"/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647.5</v>
      </c>
      <c r="H30" s="20"/>
      <c r="I30" s="20">
        <v>639.5</v>
      </c>
      <c r="J30" s="19">
        <v>678.6</v>
      </c>
      <c r="K30" s="19">
        <v>644.6</v>
      </c>
      <c r="L30" s="20">
        <v>710.24</v>
      </c>
      <c r="M30" s="20">
        <v>641.79999999999995</v>
      </c>
      <c r="N30" s="19">
        <v>687.6</v>
      </c>
      <c r="O30" s="19"/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13.7</v>
      </c>
      <c r="H31" s="20"/>
      <c r="I31" s="20">
        <v>13.9</v>
      </c>
      <c r="J31" s="19">
        <v>13.2</v>
      </c>
      <c r="K31" s="19">
        <v>13</v>
      </c>
      <c r="L31" s="20">
        <v>12.9</v>
      </c>
      <c r="M31" s="20">
        <v>13.1</v>
      </c>
      <c r="N31" s="19">
        <v>12.6</v>
      </c>
      <c r="O31" s="19"/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5</v>
      </c>
      <c r="H32" s="20"/>
      <c r="I32" s="20">
        <v>5.2</v>
      </c>
      <c r="J32" s="19">
        <v>4.5999999999999996</v>
      </c>
      <c r="K32" s="19">
        <v>4.3</v>
      </c>
      <c r="L32" s="20">
        <v>4.3</v>
      </c>
      <c r="M32" s="20">
        <v>4.0999999999999996</v>
      </c>
      <c r="N32" s="19">
        <v>4.0999999999999996</v>
      </c>
      <c r="O32" s="19"/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 t="shared" ref="F33:Q33" si="1">F31-F32</f>
        <v>0</v>
      </c>
      <c r="G33" s="26">
        <f t="shared" si="1"/>
        <v>8.6999999999999993</v>
      </c>
      <c r="H33" s="26">
        <f t="shared" si="1"/>
        <v>0</v>
      </c>
      <c r="I33" s="26">
        <f t="shared" si="1"/>
        <v>8.6999999999999993</v>
      </c>
      <c r="J33" s="26">
        <f t="shared" si="1"/>
        <v>8.6</v>
      </c>
      <c r="K33" s="26">
        <f t="shared" si="1"/>
        <v>8.6999999999999993</v>
      </c>
      <c r="L33" s="26">
        <f t="shared" si="1"/>
        <v>8.6000000000000014</v>
      </c>
      <c r="M33" s="26">
        <f t="shared" si="1"/>
        <v>9</v>
      </c>
      <c r="N33" s="26">
        <f t="shared" si="1"/>
        <v>8.5</v>
      </c>
      <c r="O33" s="26">
        <f t="shared" si="1"/>
        <v>0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 t="shared" ref="F34:Q34" si="2">(F33*F30)/0.866</f>
        <v>0</v>
      </c>
      <c r="G34" s="27">
        <f t="shared" si="2"/>
        <v>6504.9076212471118</v>
      </c>
      <c r="H34" s="27">
        <f t="shared" si="2"/>
        <v>0</v>
      </c>
      <c r="I34" s="27">
        <f t="shared" si="2"/>
        <v>6424.5381062355655</v>
      </c>
      <c r="J34" s="27">
        <f t="shared" si="2"/>
        <v>6738.9838337182446</v>
      </c>
      <c r="K34" s="27">
        <f t="shared" si="2"/>
        <v>6475.7736720554267</v>
      </c>
      <c r="L34" s="27">
        <f t="shared" si="2"/>
        <v>7053.1916859122421</v>
      </c>
      <c r="M34" s="27">
        <f t="shared" si="2"/>
        <v>6669.976905311778</v>
      </c>
      <c r="N34" s="27">
        <f t="shared" si="2"/>
        <v>6748.9607390300234</v>
      </c>
      <c r="O34" s="27">
        <f t="shared" si="2"/>
        <v>0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0.83</v>
      </c>
      <c r="H35" s="20" t="s">
        <v>100</v>
      </c>
      <c r="I35" s="20">
        <v>0.85</v>
      </c>
      <c r="J35" s="19">
        <v>0.81</v>
      </c>
      <c r="K35" s="19">
        <v>0.85</v>
      </c>
      <c r="L35" s="20">
        <v>0.79</v>
      </c>
      <c r="M35" s="20">
        <v>0.84</v>
      </c>
      <c r="N35" s="19">
        <v>0.79</v>
      </c>
      <c r="O35" s="19"/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36.4</v>
      </c>
      <c r="H36" s="20"/>
      <c r="I36" s="20">
        <v>37</v>
      </c>
      <c r="J36" s="19">
        <v>35.4</v>
      </c>
      <c r="K36" s="19">
        <v>37.200000000000003</v>
      </c>
      <c r="L36" s="20">
        <v>35</v>
      </c>
      <c r="M36" s="20">
        <v>37</v>
      </c>
      <c r="N36" s="19">
        <v>34.4</v>
      </c>
      <c r="O36" s="19"/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36.799999999999997</v>
      </c>
      <c r="H37" s="26" t="e">
        <f>#REF!-H41</f>
        <v>#REF!</v>
      </c>
      <c r="I37" s="20">
        <v>37.799999999999997</v>
      </c>
      <c r="J37" s="19">
        <v>36.200000000000003</v>
      </c>
      <c r="K37" s="19">
        <v>37.799999999999997</v>
      </c>
      <c r="L37" s="20">
        <v>35.5</v>
      </c>
      <c r="M37" s="20">
        <v>37.5</v>
      </c>
      <c r="N37" s="19">
        <v>34.9</v>
      </c>
      <c r="O37" s="19"/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 t="shared" ref="F38:Q38" si="3">F37-F41</f>
        <v>0</v>
      </c>
      <c r="G38" s="26">
        <f t="shared" si="3"/>
        <v>2.3999999999999986</v>
      </c>
      <c r="I38" s="26">
        <f t="shared" si="3"/>
        <v>4.2999999999999972</v>
      </c>
      <c r="J38" s="26">
        <f t="shared" si="3"/>
        <v>3.9000000000000057</v>
      </c>
      <c r="K38" s="26">
        <f t="shared" si="3"/>
        <v>3.8999999999999986</v>
      </c>
      <c r="L38" s="26">
        <f t="shared" si="3"/>
        <v>3.6000000000000014</v>
      </c>
      <c r="M38" s="26">
        <f t="shared" si="3"/>
        <v>3.5</v>
      </c>
      <c r="N38" s="26">
        <f t="shared" si="3"/>
        <v>2.5</v>
      </c>
      <c r="O38" s="26">
        <f t="shared" si="3"/>
        <v>0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28.6</v>
      </c>
      <c r="H40" s="20"/>
      <c r="I40" s="20">
        <v>28.6</v>
      </c>
      <c r="J40" s="19">
        <v>36.799999999999997</v>
      </c>
      <c r="K40" s="19">
        <v>28.7</v>
      </c>
      <c r="L40" s="20">
        <v>26.8</v>
      </c>
      <c r="M40" s="20">
        <v>28.7</v>
      </c>
      <c r="N40" s="19">
        <v>26.7</v>
      </c>
      <c r="O40" s="19"/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34.4</v>
      </c>
      <c r="H41" s="20"/>
      <c r="I41" s="20">
        <v>33.5</v>
      </c>
      <c r="J41" s="19">
        <v>32.299999999999997</v>
      </c>
      <c r="K41" s="19">
        <v>33.9</v>
      </c>
      <c r="L41" s="20">
        <v>31.9</v>
      </c>
      <c r="M41" s="20">
        <v>34</v>
      </c>
      <c r="N41" s="19">
        <v>32.4</v>
      </c>
      <c r="O41" s="19"/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 t="shared" ref="F42:Q42" si="4">F41-F40</f>
        <v>0</v>
      </c>
      <c r="G42" s="26">
        <f t="shared" si="4"/>
        <v>5.7999999999999972</v>
      </c>
      <c r="H42" s="26">
        <f t="shared" si="4"/>
        <v>0</v>
      </c>
      <c r="I42" s="26">
        <f t="shared" si="4"/>
        <v>4.8999999999999986</v>
      </c>
      <c r="J42" s="26">
        <f t="shared" si="4"/>
        <v>-4.5</v>
      </c>
      <c r="K42" s="26">
        <f t="shared" si="4"/>
        <v>5.1999999999999993</v>
      </c>
      <c r="L42" s="26">
        <f t="shared" si="4"/>
        <v>5.0999999999999979</v>
      </c>
      <c r="M42" s="26">
        <f t="shared" si="4"/>
        <v>5.3000000000000007</v>
      </c>
      <c r="N42" s="26">
        <f t="shared" si="4"/>
        <v>5.6999999999999993</v>
      </c>
      <c r="O42" s="26">
        <f t="shared" si="4"/>
        <v>0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1253.0999999999999</v>
      </c>
      <c r="H43" s="20"/>
      <c r="I43" s="20">
        <v>1286.7</v>
      </c>
      <c r="J43" s="19">
        <v>1305.9000000000001</v>
      </c>
      <c r="K43" s="19">
        <v>1296.3</v>
      </c>
      <c r="L43" s="20">
        <v>1303.4000000000001</v>
      </c>
      <c r="M43" s="19">
        <v>1233.5</v>
      </c>
      <c r="N43" s="19">
        <v>1233.5</v>
      </c>
      <c r="O43" s="19"/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 t="shared" ref="F44:Q44" si="5">F42*F43/0.866</f>
        <v>0</v>
      </c>
      <c r="G44" s="27">
        <f t="shared" si="5"/>
        <v>8392.5866050808272</v>
      </c>
      <c r="H44" s="27">
        <f t="shared" si="5"/>
        <v>0</v>
      </c>
      <c r="I44" s="27">
        <f t="shared" si="5"/>
        <v>7280.4041570438776</v>
      </c>
      <c r="J44" s="27">
        <f t="shared" si="5"/>
        <v>-6785.8545034642038</v>
      </c>
      <c r="K44" s="27">
        <f t="shared" si="5"/>
        <v>7783.7875288683581</v>
      </c>
      <c r="L44" s="27">
        <f t="shared" si="5"/>
        <v>7675.9122401847544</v>
      </c>
      <c r="M44" s="27">
        <f t="shared" si="5"/>
        <v>7549.133949191687</v>
      </c>
      <c r="N44" s="27">
        <f t="shared" si="5"/>
        <v>8118.8799076212463</v>
      </c>
      <c r="O44" s="27">
        <f t="shared" si="5"/>
        <v>0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0.47</v>
      </c>
      <c r="H45" s="20"/>
      <c r="I45" s="20">
        <v>0.47</v>
      </c>
      <c r="J45" s="19">
        <v>0.45</v>
      </c>
      <c r="K45" s="19">
        <v>0.47</v>
      </c>
      <c r="L45" s="20">
        <v>0.45</v>
      </c>
      <c r="M45" s="20">
        <v>0.47</v>
      </c>
      <c r="N45" s="19">
        <v>0.44</v>
      </c>
      <c r="O45" s="19"/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20.3</v>
      </c>
      <c r="H46" s="20"/>
      <c r="I46" s="20">
        <v>20</v>
      </c>
      <c r="J46" s="19">
        <v>18.899999999999999</v>
      </c>
      <c r="K46" s="19">
        <v>20</v>
      </c>
      <c r="L46" s="20">
        <v>19.2</v>
      </c>
      <c r="M46" s="20">
        <v>20.2</v>
      </c>
      <c r="N46" s="19">
        <v>18.600000000000001</v>
      </c>
      <c r="O46" s="19"/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204.7</v>
      </c>
      <c r="H47" s="20"/>
      <c r="I47" s="20">
        <v>124</v>
      </c>
      <c r="J47" s="19">
        <v>212.3</v>
      </c>
      <c r="K47" s="19">
        <v>203.1</v>
      </c>
      <c r="L47" s="20">
        <v>206.4</v>
      </c>
      <c r="M47" s="20">
        <v>207.3</v>
      </c>
      <c r="N47" s="19">
        <v>158.9</v>
      </c>
      <c r="O47" s="19"/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82">
        <v>5.89</v>
      </c>
      <c r="F49" s="19"/>
      <c r="G49" s="19">
        <v>5.67</v>
      </c>
      <c r="H49" s="20"/>
      <c r="I49" s="20">
        <v>5.57</v>
      </c>
      <c r="J49" s="19">
        <v>5.75</v>
      </c>
      <c r="K49" s="19">
        <v>5.42</v>
      </c>
      <c r="L49" s="20">
        <v>5.85</v>
      </c>
      <c r="M49" s="20">
        <v>5.54</v>
      </c>
      <c r="N49" s="19" t="s">
        <v>100</v>
      </c>
      <c r="O49" s="19"/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82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81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DE5-AFCD-430B-A2CF-32C1B565EF4F}">
  <dimension ref="B1:Q59"/>
  <sheetViews>
    <sheetView view="pageBreakPreview" zoomScale="85" zoomScaleNormal="60" zoomScaleSheetLayoutView="85" workbookViewId="0">
      <selection activeCell="N52" sqref="N52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84" t="s">
        <v>18</v>
      </c>
      <c r="E10" s="15"/>
      <c r="F10" s="16" t="s">
        <v>19</v>
      </c>
      <c r="G10" s="16" t="s">
        <v>19</v>
      </c>
      <c r="H10" s="17" t="s">
        <v>19</v>
      </c>
      <c r="I10" s="17" t="s">
        <v>19</v>
      </c>
      <c r="J10" s="16"/>
      <c r="K10" s="16" t="s">
        <v>19</v>
      </c>
      <c r="L10" s="17"/>
      <c r="M10" s="17" t="s">
        <v>19</v>
      </c>
      <c r="N10" s="16">
        <v>47069.4</v>
      </c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>
        <v>77.3</v>
      </c>
      <c r="G11" s="19">
        <v>72</v>
      </c>
      <c r="H11" s="20">
        <v>69.3</v>
      </c>
      <c r="I11" s="20">
        <v>75.099999999999994</v>
      </c>
      <c r="J11" s="19"/>
      <c r="K11" s="19">
        <v>73.900000000000006</v>
      </c>
      <c r="L11" s="20"/>
      <c r="M11" s="19">
        <v>74.099999999999994</v>
      </c>
      <c r="N11" s="19">
        <v>74.599999999999994</v>
      </c>
      <c r="O11" s="19">
        <v>72.400000000000006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>
        <v>0</v>
      </c>
      <c r="G12" s="19">
        <v>0.6</v>
      </c>
      <c r="H12" s="20">
        <v>0</v>
      </c>
      <c r="I12" s="20">
        <v>0</v>
      </c>
      <c r="J12" s="19"/>
      <c r="K12" s="19">
        <v>0</v>
      </c>
      <c r="L12" s="20"/>
      <c r="M12" s="19">
        <v>0.1</v>
      </c>
      <c r="N12" s="19">
        <v>0</v>
      </c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>
        <v>72.400000000000006</v>
      </c>
      <c r="G13" s="19">
        <v>66.900000000000006</v>
      </c>
      <c r="H13" s="20">
        <v>65.400000000000006</v>
      </c>
      <c r="I13" s="20">
        <v>70.099999999999994</v>
      </c>
      <c r="J13" s="19"/>
      <c r="K13" s="19">
        <v>68.7</v>
      </c>
      <c r="L13" s="20"/>
      <c r="M13" s="19">
        <v>69.099999999999994</v>
      </c>
      <c r="N13" s="19">
        <v>70.099999999999994</v>
      </c>
      <c r="O13" s="19">
        <v>67.2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>
        <v>60.7</v>
      </c>
      <c r="G14" s="19">
        <v>64.2</v>
      </c>
      <c r="H14" s="20">
        <v>62.5</v>
      </c>
      <c r="I14" s="20">
        <v>66.099999999999994</v>
      </c>
      <c r="J14" s="19"/>
      <c r="K14" s="19">
        <v>63.1</v>
      </c>
      <c r="L14" s="20"/>
      <c r="M14" s="19">
        <v>63.8</v>
      </c>
      <c r="N14" s="19">
        <v>66.599999999999994</v>
      </c>
      <c r="O14" s="19">
        <v>69.099999999999994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>
        <v>100</v>
      </c>
      <c r="G15" s="19">
        <v>48.1</v>
      </c>
      <c r="H15" s="20">
        <v>50.4</v>
      </c>
      <c r="I15" s="20">
        <v>53.8</v>
      </c>
      <c r="J15" s="19"/>
      <c r="K15" s="19">
        <v>39.9</v>
      </c>
      <c r="L15" s="20"/>
      <c r="M15" s="19">
        <v>33.700000000000003</v>
      </c>
      <c r="N15" s="19">
        <v>53.2</v>
      </c>
      <c r="O15" s="19">
        <v>55.8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>
        <v>6.6</v>
      </c>
      <c r="G16" s="19">
        <v>6.6</v>
      </c>
      <c r="H16" s="20">
        <v>6.6</v>
      </c>
      <c r="I16" s="19">
        <v>6.6</v>
      </c>
      <c r="J16" s="19"/>
      <c r="K16" s="19">
        <v>6.6</v>
      </c>
      <c r="L16" s="20"/>
      <c r="M16" s="19">
        <v>6.6</v>
      </c>
      <c r="N16" s="19">
        <v>6.6</v>
      </c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>
        <v>114.7</v>
      </c>
      <c r="G17" s="19">
        <v>118.3</v>
      </c>
      <c r="H17" s="20">
        <v>109</v>
      </c>
      <c r="I17" s="20">
        <v>116.4</v>
      </c>
      <c r="J17" s="19"/>
      <c r="K17" s="19">
        <v>115.9</v>
      </c>
      <c r="L17" s="20"/>
      <c r="M17" s="19">
        <v>117.2</v>
      </c>
      <c r="N17" s="19">
        <v>116.8</v>
      </c>
      <c r="O17" s="19">
        <v>116.4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>
        <v>1129</v>
      </c>
      <c r="G18" s="19">
        <v>1156</v>
      </c>
      <c r="H18" s="20">
        <v>1111</v>
      </c>
      <c r="I18" s="20">
        <v>1176</v>
      </c>
      <c r="J18" s="19"/>
      <c r="K18" s="19">
        <v>1182</v>
      </c>
      <c r="L18" s="20"/>
      <c r="M18" s="19">
        <v>1201</v>
      </c>
      <c r="N18" s="19">
        <v>1183</v>
      </c>
      <c r="O18" s="19">
        <v>1192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>
        <v>46947.199999999997</v>
      </c>
      <c r="G19" s="19">
        <v>46935.9</v>
      </c>
      <c r="H19" s="20">
        <v>47824.6</v>
      </c>
      <c r="I19" s="20">
        <v>47813.1</v>
      </c>
      <c r="J19" s="19"/>
      <c r="K19" s="19">
        <v>45451.1</v>
      </c>
      <c r="L19" s="20"/>
      <c r="M19" s="20">
        <v>47778</v>
      </c>
      <c r="N19" s="19">
        <v>47069.4</v>
      </c>
      <c r="O19" s="19">
        <v>47050.8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>
        <v>58.6</v>
      </c>
      <c r="G22" s="19">
        <v>58</v>
      </c>
      <c r="H22" s="20">
        <v>58.9</v>
      </c>
      <c r="I22" s="20">
        <v>59.1</v>
      </c>
      <c r="J22" s="19"/>
      <c r="K22" s="19">
        <v>57.9</v>
      </c>
      <c r="L22" s="20"/>
      <c r="M22" s="20">
        <v>57.1</v>
      </c>
      <c r="N22" s="19">
        <v>58.6</v>
      </c>
      <c r="O22" s="19">
        <v>58.7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>
        <v>0.51</v>
      </c>
      <c r="G23" s="19">
        <v>0.52</v>
      </c>
      <c r="H23" s="20">
        <v>0.49</v>
      </c>
      <c r="I23" s="20">
        <v>0.49</v>
      </c>
      <c r="J23" s="19"/>
      <c r="K23" s="19">
        <v>0.59</v>
      </c>
      <c r="L23" s="20"/>
      <c r="M23" s="20">
        <v>0.53</v>
      </c>
      <c r="N23" s="19">
        <v>0.47</v>
      </c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>
        <v>45.6</v>
      </c>
      <c r="G25" s="19">
        <v>45.2</v>
      </c>
      <c r="H25" s="20">
        <v>45.1</v>
      </c>
      <c r="I25" s="20">
        <v>45.1</v>
      </c>
      <c r="J25" s="19"/>
      <c r="K25" s="20">
        <v>44.9</v>
      </c>
      <c r="L25" s="20"/>
      <c r="M25" s="20">
        <v>45.1</v>
      </c>
      <c r="N25" s="19">
        <v>45.1</v>
      </c>
      <c r="O25" s="19">
        <v>45.1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>
        <v>0.21</v>
      </c>
      <c r="G26" s="19">
        <v>0.23</v>
      </c>
      <c r="H26" s="20">
        <v>0.21</v>
      </c>
      <c r="I26" s="20">
        <v>0.21</v>
      </c>
      <c r="J26" s="19"/>
      <c r="K26" s="20">
        <v>0.23</v>
      </c>
      <c r="L26" s="20"/>
      <c r="M26" s="20">
        <v>0.23</v>
      </c>
      <c r="N26" s="19">
        <v>0.22</v>
      </c>
      <c r="O26" s="19">
        <v>0.23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>
        <v>2.1</v>
      </c>
      <c r="G27" s="19">
        <v>4.2</v>
      </c>
      <c r="H27" s="20">
        <v>3.3</v>
      </c>
      <c r="I27" s="20">
        <v>3.1</v>
      </c>
      <c r="J27" s="19"/>
      <c r="K27" s="20">
        <v>4.5999999999999996</v>
      </c>
      <c r="L27" s="20"/>
      <c r="M27" s="20">
        <v>4.4000000000000004</v>
      </c>
      <c r="N27" s="19">
        <v>3.8</v>
      </c>
      <c r="O27" s="19">
        <v>4.8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>
        <v>1.8</v>
      </c>
      <c r="G28" s="19">
        <v>3.8</v>
      </c>
      <c r="H28" s="20">
        <v>2.4</v>
      </c>
      <c r="I28" s="20">
        <v>2.4</v>
      </c>
      <c r="J28" s="19"/>
      <c r="K28" s="20">
        <v>3.6</v>
      </c>
      <c r="L28" s="20"/>
      <c r="M28" s="20">
        <v>3.5</v>
      </c>
      <c r="N28" s="19">
        <v>2.4</v>
      </c>
      <c r="O28" s="19">
        <v>3.8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2.2000000000000002</v>
      </c>
      <c r="G29" s="26">
        <f t="shared" ref="G29:Q29" si="0">G32-G28</f>
        <v>0.90000000000000036</v>
      </c>
      <c r="H29" s="26">
        <f t="shared" si="0"/>
        <v>1.9</v>
      </c>
      <c r="I29" s="26">
        <f t="shared" si="0"/>
        <v>2.4</v>
      </c>
      <c r="J29" s="26">
        <f t="shared" si="0"/>
        <v>0</v>
      </c>
      <c r="K29" s="26">
        <f t="shared" si="0"/>
        <v>0.60000000000000009</v>
      </c>
      <c r="L29" s="26">
        <f t="shared" si="0"/>
        <v>0</v>
      </c>
      <c r="M29" s="26">
        <f t="shared" si="0"/>
        <v>1.2999999999999998</v>
      </c>
      <c r="N29" s="26">
        <f>N32-N28</f>
        <v>1.5</v>
      </c>
      <c r="O29" s="26">
        <f t="shared" si="0"/>
        <v>1.2000000000000002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>
        <v>691.7</v>
      </c>
      <c r="G30" s="19">
        <v>710.5</v>
      </c>
      <c r="H30" s="20">
        <v>676.6</v>
      </c>
      <c r="I30" s="20">
        <v>686</v>
      </c>
      <c r="J30" s="19"/>
      <c r="K30" s="19">
        <v>660.5</v>
      </c>
      <c r="L30" s="20"/>
      <c r="M30" s="20">
        <v>712.4</v>
      </c>
      <c r="N30" s="19">
        <v>688.8</v>
      </c>
      <c r="O30" s="19">
        <v>717.9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>
        <v>12</v>
      </c>
      <c r="G31" s="19">
        <v>13.3</v>
      </c>
      <c r="H31" s="20">
        <v>12.2</v>
      </c>
      <c r="I31" s="20">
        <v>13.3</v>
      </c>
      <c r="J31" s="19"/>
      <c r="K31" s="19">
        <v>13.1</v>
      </c>
      <c r="L31" s="20"/>
      <c r="M31" s="20">
        <v>13.3</v>
      </c>
      <c r="N31" s="19">
        <v>12.1</v>
      </c>
      <c r="O31" s="19">
        <v>13.3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>
        <v>4</v>
      </c>
      <c r="G32" s="19">
        <v>4.7</v>
      </c>
      <c r="H32" s="20">
        <v>4.3</v>
      </c>
      <c r="I32" s="20">
        <v>4.8</v>
      </c>
      <c r="J32" s="19"/>
      <c r="K32" s="19">
        <v>4.2</v>
      </c>
      <c r="L32" s="20"/>
      <c r="M32" s="20">
        <v>4.8</v>
      </c>
      <c r="N32" s="19">
        <v>3.9</v>
      </c>
      <c r="O32" s="19">
        <v>5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8</v>
      </c>
      <c r="G33" s="26">
        <f t="shared" ref="G33:Q33" si="1">G31-G32</f>
        <v>8.6000000000000014</v>
      </c>
      <c r="H33" s="26">
        <f t="shared" si="1"/>
        <v>7.8999999999999995</v>
      </c>
      <c r="I33" s="26">
        <f t="shared" si="1"/>
        <v>8.5</v>
      </c>
      <c r="J33" s="26">
        <f t="shared" si="1"/>
        <v>0</v>
      </c>
      <c r="K33" s="26">
        <f t="shared" si="1"/>
        <v>8.8999999999999986</v>
      </c>
      <c r="L33" s="26">
        <f t="shared" si="1"/>
        <v>0</v>
      </c>
      <c r="M33" s="26">
        <f t="shared" si="1"/>
        <v>8.5</v>
      </c>
      <c r="N33" s="26">
        <f t="shared" si="1"/>
        <v>8.1999999999999993</v>
      </c>
      <c r="O33" s="26">
        <f t="shared" si="1"/>
        <v>8.3000000000000007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6389.8383371824484</v>
      </c>
      <c r="G34" s="27">
        <f t="shared" ref="G34:Q34" si="2">(G33*G30)/0.866</f>
        <v>7055.7736720554285</v>
      </c>
      <c r="H34" s="27">
        <f t="shared" si="2"/>
        <v>6172.2170900692836</v>
      </c>
      <c r="I34" s="27">
        <f t="shared" si="2"/>
        <v>6733.2563510392611</v>
      </c>
      <c r="J34" s="27">
        <f t="shared" si="2"/>
        <v>0</v>
      </c>
      <c r="K34" s="27">
        <f t="shared" si="2"/>
        <v>6788.0484988452645</v>
      </c>
      <c r="L34" s="27">
        <f t="shared" si="2"/>
        <v>0</v>
      </c>
      <c r="M34" s="27">
        <f t="shared" si="2"/>
        <v>6992.3787528868361</v>
      </c>
      <c r="N34" s="27">
        <f t="shared" si="2"/>
        <v>6522.1247113163963</v>
      </c>
      <c r="O34" s="27">
        <f t="shared" si="2"/>
        <v>6880.5658198614328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>
        <v>0.82</v>
      </c>
      <c r="G35" s="19">
        <v>0.8</v>
      </c>
      <c r="H35" s="20">
        <v>0.84</v>
      </c>
      <c r="I35" s="20">
        <v>0.84</v>
      </c>
      <c r="J35" s="19"/>
      <c r="K35" s="19">
        <v>0.82</v>
      </c>
      <c r="L35" s="20"/>
      <c r="M35" s="20">
        <v>0.83</v>
      </c>
      <c r="N35" s="19">
        <v>0.81</v>
      </c>
      <c r="O35" s="19">
        <v>0.82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>
        <v>35.799999999999997</v>
      </c>
      <c r="G36" s="19">
        <v>35.5</v>
      </c>
      <c r="H36" s="20">
        <v>36.4</v>
      </c>
      <c r="I36" s="20">
        <v>36.4</v>
      </c>
      <c r="J36" s="19"/>
      <c r="K36" s="19">
        <v>35.799999999999997</v>
      </c>
      <c r="L36" s="20"/>
      <c r="M36" s="20">
        <v>37.1</v>
      </c>
      <c r="N36" s="19">
        <v>36.5</v>
      </c>
      <c r="O36" s="19">
        <v>36.1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>
        <v>36.4</v>
      </c>
      <c r="G37" s="19">
        <v>36</v>
      </c>
      <c r="H37" s="20">
        <v>37.299999999999997</v>
      </c>
      <c r="I37" s="20">
        <v>37.4</v>
      </c>
      <c r="J37" s="19"/>
      <c r="K37" s="19">
        <v>36.5</v>
      </c>
      <c r="L37" s="20"/>
      <c r="M37" s="20">
        <v>37.1</v>
      </c>
      <c r="N37" s="19">
        <v>36.799999999999997</v>
      </c>
      <c r="O37" s="19">
        <v>36.5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2.2999999999999972</v>
      </c>
      <c r="G38" s="26">
        <f t="shared" ref="G38:Q38" si="3">G37-G41</f>
        <v>2.2000000000000028</v>
      </c>
      <c r="H38" s="26">
        <f t="shared" si="3"/>
        <v>4.0999999999999943</v>
      </c>
      <c r="I38" s="26">
        <f t="shared" si="3"/>
        <v>4.5</v>
      </c>
      <c r="J38" s="26">
        <f t="shared" si="3"/>
        <v>0</v>
      </c>
      <c r="K38" s="26">
        <f t="shared" si="3"/>
        <v>2.7999999999999972</v>
      </c>
      <c r="L38" s="26">
        <f t="shared" si="3"/>
        <v>0</v>
      </c>
      <c r="M38" s="26">
        <f t="shared" si="3"/>
        <v>3.5</v>
      </c>
      <c r="N38" s="26">
        <f t="shared" si="3"/>
        <v>2.2999999999999972</v>
      </c>
      <c r="O38" s="26">
        <f t="shared" si="3"/>
        <v>2.3999999999999986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>
        <v>28.8</v>
      </c>
      <c r="G40" s="19">
        <v>28.3</v>
      </c>
      <c r="H40" s="20">
        <v>28.8</v>
      </c>
      <c r="I40" s="20">
        <v>28.1</v>
      </c>
      <c r="J40" s="19"/>
      <c r="K40" s="19">
        <v>28.1</v>
      </c>
      <c r="L40" s="20"/>
      <c r="M40" s="20">
        <v>28.1</v>
      </c>
      <c r="N40" s="19">
        <v>28.7</v>
      </c>
      <c r="O40" s="19">
        <v>28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>
        <v>34.1</v>
      </c>
      <c r="G41" s="19">
        <v>33.799999999999997</v>
      </c>
      <c r="H41" s="20">
        <v>33.200000000000003</v>
      </c>
      <c r="I41" s="20">
        <v>32.9</v>
      </c>
      <c r="J41" s="19"/>
      <c r="K41" s="19">
        <v>33.700000000000003</v>
      </c>
      <c r="L41" s="20"/>
      <c r="M41" s="20">
        <v>33.6</v>
      </c>
      <c r="N41" s="19">
        <v>34.5</v>
      </c>
      <c r="O41" s="19">
        <v>34.1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5.3000000000000007</v>
      </c>
      <c r="G42" s="26">
        <f t="shared" ref="G42:Q42" si="4">G41-G40</f>
        <v>5.4999999999999964</v>
      </c>
      <c r="H42" s="26">
        <f t="shared" si="4"/>
        <v>4.4000000000000021</v>
      </c>
      <c r="I42" s="26">
        <f t="shared" si="4"/>
        <v>4.7999999999999972</v>
      </c>
      <c r="J42" s="26">
        <f t="shared" si="4"/>
        <v>0</v>
      </c>
      <c r="K42" s="26">
        <f t="shared" si="4"/>
        <v>5.6000000000000014</v>
      </c>
      <c r="L42" s="26">
        <f t="shared" si="4"/>
        <v>0</v>
      </c>
      <c r="M42" s="26">
        <f t="shared" si="4"/>
        <v>5.5</v>
      </c>
      <c r="N42" s="26">
        <f t="shared" si="4"/>
        <v>5.8000000000000007</v>
      </c>
      <c r="O42" s="26">
        <f t="shared" si="4"/>
        <v>6.1000000000000014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>
        <v>1296.4000000000001</v>
      </c>
      <c r="G43" s="19">
        <v>1263.2</v>
      </c>
      <c r="H43" s="20">
        <v>1302.2</v>
      </c>
      <c r="I43" s="20">
        <v>1309.7</v>
      </c>
      <c r="J43" s="19"/>
      <c r="K43" s="19">
        <v>1295.4000000000001</v>
      </c>
      <c r="L43" s="20"/>
      <c r="M43" s="20">
        <v>1241.5999999999999</v>
      </c>
      <c r="N43" s="19">
        <v>1135.5</v>
      </c>
      <c r="O43" s="19">
        <v>1079.4000000000001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7934.0877598152438</v>
      </c>
      <c r="G44" s="27">
        <f t="shared" ref="G44:Q44" si="5">G42*G43/0.866</f>
        <v>8022.6327944572704</v>
      </c>
      <c r="H44" s="27">
        <f t="shared" si="5"/>
        <v>6616.2586605080869</v>
      </c>
      <c r="I44" s="27">
        <f t="shared" si="5"/>
        <v>7259.307159353345</v>
      </c>
      <c r="J44" s="27">
        <f t="shared" si="5"/>
        <v>0</v>
      </c>
      <c r="K44" s="27">
        <f t="shared" si="5"/>
        <v>8376.7205542725205</v>
      </c>
      <c r="L44" s="27">
        <f t="shared" si="5"/>
        <v>0</v>
      </c>
      <c r="M44" s="27">
        <f t="shared" si="5"/>
        <v>7885.4503464203226</v>
      </c>
      <c r="N44" s="27">
        <f t="shared" si="5"/>
        <v>7604.9653579676678</v>
      </c>
      <c r="O44" s="27">
        <f t="shared" si="5"/>
        <v>7603.1639722863765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>
        <v>0.45</v>
      </c>
      <c r="G45" s="19">
        <v>0.46</v>
      </c>
      <c r="H45" s="20">
        <v>0.46</v>
      </c>
      <c r="I45" s="20">
        <v>0.45</v>
      </c>
      <c r="J45" s="19"/>
      <c r="K45" s="19">
        <v>0.45</v>
      </c>
      <c r="L45" s="20"/>
      <c r="M45" s="20">
        <v>0.47</v>
      </c>
      <c r="N45" s="19">
        <v>0.46</v>
      </c>
      <c r="O45" s="19">
        <v>0.47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>
        <v>18.899999999999999</v>
      </c>
      <c r="G46" s="19">
        <v>19.600000000000001</v>
      </c>
      <c r="H46" s="20">
        <v>19.600000000000001</v>
      </c>
      <c r="I46" s="20">
        <v>19.2</v>
      </c>
      <c r="J46" s="19"/>
      <c r="K46" s="19">
        <v>19.3</v>
      </c>
      <c r="L46" s="20"/>
      <c r="M46" s="20">
        <v>20.2</v>
      </c>
      <c r="N46" s="19">
        <v>19.3</v>
      </c>
      <c r="O46" s="19">
        <v>20.100000000000001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>
        <v>350</v>
      </c>
      <c r="G47" s="19">
        <v>192</v>
      </c>
      <c r="H47" s="20">
        <v>121.5</v>
      </c>
      <c r="I47" s="20">
        <v>127</v>
      </c>
      <c r="J47" s="19"/>
      <c r="K47" s="19">
        <v>204.5</v>
      </c>
      <c r="L47" s="20"/>
      <c r="M47" s="20">
        <v>199.1</v>
      </c>
      <c r="N47" s="19">
        <v>152.5</v>
      </c>
      <c r="O47" s="19">
        <v>151.80000000000001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84">
        <v>5.89</v>
      </c>
      <c r="F49" s="19">
        <v>5.25</v>
      </c>
      <c r="G49" s="19">
        <v>5.35</v>
      </c>
      <c r="H49" s="20">
        <v>5.21</v>
      </c>
      <c r="I49" s="20">
        <v>5.15</v>
      </c>
      <c r="J49" s="19"/>
      <c r="K49" s="19">
        <v>5.56</v>
      </c>
      <c r="L49" s="20"/>
      <c r="M49" s="20">
        <v>5.18</v>
      </c>
      <c r="N49" s="19">
        <v>5.12</v>
      </c>
      <c r="O49" s="19">
        <v>5.13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84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83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20D7-CF5C-4A84-AA40-1B7CFC3870ED}">
  <dimension ref="B1:Q59"/>
  <sheetViews>
    <sheetView view="pageBreakPreview" topLeftCell="B1" zoomScale="85" zoomScaleNormal="60" zoomScaleSheetLayoutView="85" workbookViewId="0">
      <selection activeCell="N23" sqref="N23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86" t="s">
        <v>18</v>
      </c>
      <c r="E10" s="15"/>
      <c r="F10" s="16" t="s">
        <v>19</v>
      </c>
      <c r="G10" s="16" t="s">
        <v>19</v>
      </c>
      <c r="H10" s="17"/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/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>
        <v>71.099999999999994</v>
      </c>
      <c r="G11" s="19">
        <v>72.099999999999994</v>
      </c>
      <c r="H11" s="20"/>
      <c r="I11" s="20">
        <v>80.5</v>
      </c>
      <c r="J11" s="19">
        <v>70</v>
      </c>
      <c r="K11" s="19">
        <v>72.099999999999994</v>
      </c>
      <c r="L11" s="20">
        <v>76.099999999999994</v>
      </c>
      <c r="M11" s="19">
        <v>73.099999999999994</v>
      </c>
      <c r="N11" s="19"/>
      <c r="O11" s="19">
        <v>74.3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>
        <v>0.8</v>
      </c>
      <c r="G12" s="19">
        <v>0.4</v>
      </c>
      <c r="H12" s="20"/>
      <c r="I12" s="20">
        <v>0</v>
      </c>
      <c r="J12" s="19">
        <v>0</v>
      </c>
      <c r="K12" s="19">
        <v>0</v>
      </c>
      <c r="L12" s="20">
        <v>0.1</v>
      </c>
      <c r="M12" s="19">
        <v>0</v>
      </c>
      <c r="N12" s="19"/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>
        <v>66.8</v>
      </c>
      <c r="G13" s="19">
        <v>65.8</v>
      </c>
      <c r="H13" s="20"/>
      <c r="I13" s="20">
        <v>76.7</v>
      </c>
      <c r="J13" s="19">
        <v>67</v>
      </c>
      <c r="K13" s="19">
        <v>66.3</v>
      </c>
      <c r="L13" s="20">
        <v>71.400000000000006</v>
      </c>
      <c r="M13" s="19">
        <v>69.5</v>
      </c>
      <c r="N13" s="19"/>
      <c r="O13" s="19">
        <v>68.599999999999994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>
        <v>61.4</v>
      </c>
      <c r="G14" s="19">
        <v>68</v>
      </c>
      <c r="H14" s="20"/>
      <c r="I14" s="20">
        <v>69</v>
      </c>
      <c r="J14" s="19">
        <v>59</v>
      </c>
      <c r="K14" s="19">
        <v>63.7</v>
      </c>
      <c r="L14" s="20">
        <v>60.2</v>
      </c>
      <c r="M14" s="19">
        <v>65</v>
      </c>
      <c r="N14" s="19"/>
      <c r="O14" s="19">
        <v>73.400000000000006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>
        <v>89</v>
      </c>
      <c r="G15" s="19">
        <v>58.2</v>
      </c>
      <c r="H15" s="20"/>
      <c r="I15" s="20">
        <v>47.9</v>
      </c>
      <c r="J15" s="19">
        <v>37.9</v>
      </c>
      <c r="K15" s="19">
        <v>38.200000000000003</v>
      </c>
      <c r="L15" s="20">
        <v>34.5</v>
      </c>
      <c r="M15" s="19">
        <v>33.200000000000003</v>
      </c>
      <c r="N15" s="19"/>
      <c r="O15" s="19">
        <v>47.7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>
        <v>6.6</v>
      </c>
      <c r="G16" s="19">
        <v>6.6</v>
      </c>
      <c r="H16" s="20"/>
      <c r="I16" s="19">
        <v>6.6</v>
      </c>
      <c r="J16" s="19">
        <v>6.6</v>
      </c>
      <c r="K16" s="19">
        <v>6.6</v>
      </c>
      <c r="L16" s="20">
        <v>6.6</v>
      </c>
      <c r="M16" s="19">
        <v>6.6</v>
      </c>
      <c r="N16" s="19"/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>
        <v>112.3</v>
      </c>
      <c r="G17" s="19">
        <v>119.1</v>
      </c>
      <c r="H17" s="20"/>
      <c r="I17" s="20">
        <v>119.5</v>
      </c>
      <c r="J17" s="19">
        <v>112</v>
      </c>
      <c r="K17" s="19">
        <v>116.2</v>
      </c>
      <c r="L17" s="20">
        <v>117</v>
      </c>
      <c r="M17" s="19">
        <v>116.7</v>
      </c>
      <c r="N17" s="19"/>
      <c r="O17" s="19">
        <v>118.5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>
        <v>1120</v>
      </c>
      <c r="G18" s="19">
        <v>1165</v>
      </c>
      <c r="H18" s="20"/>
      <c r="I18" s="20">
        <v>1205</v>
      </c>
      <c r="J18" s="19">
        <v>1140</v>
      </c>
      <c r="K18" s="19">
        <v>1175</v>
      </c>
      <c r="L18" s="20">
        <v>1188</v>
      </c>
      <c r="M18" s="19">
        <v>1185</v>
      </c>
      <c r="N18" s="19"/>
      <c r="O18" s="19">
        <v>1205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>
        <v>46964</v>
      </c>
      <c r="G19" s="19">
        <v>46674.2</v>
      </c>
      <c r="H19" s="20"/>
      <c r="I19" s="20">
        <v>47573.599999999999</v>
      </c>
      <c r="J19" s="19">
        <v>45475.9</v>
      </c>
      <c r="K19" s="19">
        <v>45170.5</v>
      </c>
      <c r="L19" s="20">
        <v>47797.7</v>
      </c>
      <c r="M19" s="20">
        <v>474777.5</v>
      </c>
      <c r="N19" s="19"/>
      <c r="O19" s="19">
        <v>46796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>
        <v>58.2</v>
      </c>
      <c r="G22" s="19">
        <v>58.8</v>
      </c>
      <c r="H22" s="20"/>
      <c r="I22" s="20">
        <v>59.3</v>
      </c>
      <c r="J22" s="19">
        <v>57.4</v>
      </c>
      <c r="K22" s="19">
        <v>57.6</v>
      </c>
      <c r="L22" s="20">
        <v>57.3</v>
      </c>
      <c r="M22" s="20">
        <v>57.5</v>
      </c>
      <c r="N22" s="19"/>
      <c r="O22" s="19">
        <v>58.8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>
        <v>0.52</v>
      </c>
      <c r="G23" s="19">
        <v>0.53</v>
      </c>
      <c r="H23" s="20"/>
      <c r="I23" s="20">
        <v>0.49</v>
      </c>
      <c r="J23" s="19">
        <v>0.57999999999999996</v>
      </c>
      <c r="K23" s="19">
        <v>0.59</v>
      </c>
      <c r="L23" s="20">
        <v>0.52</v>
      </c>
      <c r="M23" s="20">
        <v>0.52</v>
      </c>
      <c r="N23" s="19"/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>
        <v>11.8</v>
      </c>
      <c r="G25" s="19">
        <v>44.8</v>
      </c>
      <c r="H25" s="20"/>
      <c r="I25" s="20">
        <v>45</v>
      </c>
      <c r="J25" s="19">
        <v>45.6</v>
      </c>
      <c r="K25" s="20">
        <v>44.8</v>
      </c>
      <c r="L25" s="20">
        <v>45.1</v>
      </c>
      <c r="M25" s="20">
        <v>45</v>
      </c>
      <c r="N25" s="19"/>
      <c r="O25" s="19">
        <v>44.9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>
        <v>0.22</v>
      </c>
      <c r="G26" s="19">
        <v>0.23</v>
      </c>
      <c r="H26" s="20"/>
      <c r="I26" s="20">
        <v>0.22</v>
      </c>
      <c r="J26" s="19">
        <v>0.22</v>
      </c>
      <c r="K26" s="20">
        <v>0.23</v>
      </c>
      <c r="L26" s="20">
        <v>0.22</v>
      </c>
      <c r="M26" s="20">
        <v>0.22</v>
      </c>
      <c r="N26" s="19"/>
      <c r="O26" s="19">
        <v>0.23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>
        <v>3.3</v>
      </c>
      <c r="G27" s="19">
        <v>4.4000000000000004</v>
      </c>
      <c r="H27" s="20"/>
      <c r="I27" s="20">
        <v>3.4</v>
      </c>
      <c r="J27" s="19">
        <v>3.6</v>
      </c>
      <c r="K27" s="20">
        <v>4.4000000000000004</v>
      </c>
      <c r="L27" s="20">
        <v>3.7</v>
      </c>
      <c r="M27" s="20">
        <v>3.8</v>
      </c>
      <c r="N27" s="19"/>
      <c r="O27" s="19">
        <v>4.5999999999999996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>
        <v>2.5</v>
      </c>
      <c r="G28" s="19">
        <v>3.9</v>
      </c>
      <c r="H28" s="20"/>
      <c r="I28" s="20">
        <v>2.5</v>
      </c>
      <c r="J28" s="19">
        <v>2.9</v>
      </c>
      <c r="K28" s="20">
        <v>3.6</v>
      </c>
      <c r="L28" s="20">
        <v>2.7</v>
      </c>
      <c r="M28" s="20">
        <v>2.7</v>
      </c>
      <c r="N28" s="19"/>
      <c r="O28" s="19">
        <v>3.5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1.2000000000000002</v>
      </c>
      <c r="G29" s="26">
        <f t="shared" ref="G29:Q29" si="0">G32-G28</f>
        <v>1.1000000000000001</v>
      </c>
      <c r="H29" s="26">
        <f t="shared" si="0"/>
        <v>0</v>
      </c>
      <c r="I29" s="26">
        <f t="shared" si="0"/>
        <v>2.5</v>
      </c>
      <c r="J29" s="26">
        <f t="shared" si="0"/>
        <v>0.70000000000000018</v>
      </c>
      <c r="K29" s="26">
        <f t="shared" si="0"/>
        <v>0.69999999999999973</v>
      </c>
      <c r="L29" s="26">
        <f t="shared" si="0"/>
        <v>1.2999999999999998</v>
      </c>
      <c r="M29" s="26">
        <f t="shared" si="0"/>
        <v>1.2999999999999998</v>
      </c>
      <c r="N29" s="26">
        <f t="shared" si="0"/>
        <v>0</v>
      </c>
      <c r="O29" s="26">
        <f t="shared" si="0"/>
        <v>1.2000000000000002</v>
      </c>
      <c r="P29" s="26">
        <f t="shared" si="0"/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>
        <v>690.3</v>
      </c>
      <c r="G30" s="19">
        <v>680.9</v>
      </c>
      <c r="H30" s="20"/>
      <c r="I30" s="20">
        <v>661.2</v>
      </c>
      <c r="J30" s="19">
        <v>679.1</v>
      </c>
      <c r="K30" s="19">
        <v>633.5</v>
      </c>
      <c r="L30" s="20">
        <v>744.2</v>
      </c>
      <c r="M30" s="20">
        <v>642.29999999999995</v>
      </c>
      <c r="N30" s="19"/>
      <c r="O30" s="19">
        <v>649.4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>
        <v>11.9</v>
      </c>
      <c r="G31" s="19">
        <v>13.4</v>
      </c>
      <c r="H31" s="20"/>
      <c r="I31" s="20">
        <v>13.6</v>
      </c>
      <c r="J31" s="19">
        <v>11.8</v>
      </c>
      <c r="K31" s="19">
        <v>13.3</v>
      </c>
      <c r="L31" s="20">
        <v>11.9</v>
      </c>
      <c r="M31" s="20">
        <v>12.8</v>
      </c>
      <c r="N31" s="19"/>
      <c r="O31" s="19">
        <v>13.7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>
        <v>3.7</v>
      </c>
      <c r="G32" s="19">
        <v>5</v>
      </c>
      <c r="H32" s="20"/>
      <c r="I32" s="20">
        <v>5</v>
      </c>
      <c r="J32" s="19">
        <v>3.6</v>
      </c>
      <c r="K32" s="19">
        <v>4.3</v>
      </c>
      <c r="L32" s="20">
        <v>4</v>
      </c>
      <c r="M32" s="20">
        <v>4</v>
      </c>
      <c r="N32" s="19"/>
      <c r="O32" s="19">
        <v>4.7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8.1999999999999993</v>
      </c>
      <c r="G33" s="26">
        <f t="shared" ref="G33:Q33" si="1">G31-G32</f>
        <v>8.4</v>
      </c>
      <c r="H33" s="26">
        <f t="shared" si="1"/>
        <v>0</v>
      </c>
      <c r="I33" s="26">
        <f t="shared" si="1"/>
        <v>8.6</v>
      </c>
      <c r="J33" s="26">
        <f t="shared" si="1"/>
        <v>8.2000000000000011</v>
      </c>
      <c r="K33" s="26">
        <f t="shared" si="1"/>
        <v>9</v>
      </c>
      <c r="L33" s="26">
        <f t="shared" si="1"/>
        <v>7.9</v>
      </c>
      <c r="M33" s="26">
        <f t="shared" si="1"/>
        <v>8.8000000000000007</v>
      </c>
      <c r="N33" s="26">
        <f t="shared" si="1"/>
        <v>0</v>
      </c>
      <c r="O33" s="26">
        <f t="shared" si="1"/>
        <v>9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6536.3279445727476</v>
      </c>
      <c r="G34" s="27">
        <f t="shared" ref="G34:Q34" si="2">(G33*G30)/0.866</f>
        <v>6604.5727482678985</v>
      </c>
      <c r="H34" s="27">
        <f t="shared" si="2"/>
        <v>0</v>
      </c>
      <c r="I34" s="27">
        <f t="shared" si="2"/>
        <v>6566.189376443418</v>
      </c>
      <c r="J34" s="27">
        <f t="shared" si="2"/>
        <v>6430.2771362586618</v>
      </c>
      <c r="K34" s="27">
        <f t="shared" si="2"/>
        <v>6583.7182448036956</v>
      </c>
      <c r="L34" s="27">
        <f t="shared" si="2"/>
        <v>6788.8914549653582</v>
      </c>
      <c r="M34" s="27">
        <f t="shared" si="2"/>
        <v>6526.8360277136253</v>
      </c>
      <c r="N34" s="27">
        <f t="shared" si="2"/>
        <v>0</v>
      </c>
      <c r="O34" s="27">
        <f t="shared" si="2"/>
        <v>6748.9607390300225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>
        <v>0.79</v>
      </c>
      <c r="G35" s="19">
        <v>0.83</v>
      </c>
      <c r="H35" s="20"/>
      <c r="I35" s="20">
        <v>0.86</v>
      </c>
      <c r="J35" s="19">
        <v>0.82</v>
      </c>
      <c r="K35" s="19">
        <v>0.84</v>
      </c>
      <c r="L35" s="20">
        <v>0.82</v>
      </c>
      <c r="M35" s="20">
        <v>0.85</v>
      </c>
      <c r="N35" s="19"/>
      <c r="O35" s="19">
        <v>0.84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>
        <v>35.200000000000003</v>
      </c>
      <c r="G36" s="19">
        <v>36.6</v>
      </c>
      <c r="H36" s="20"/>
      <c r="I36" s="20">
        <v>37.299999999999997</v>
      </c>
      <c r="J36" s="19">
        <v>36</v>
      </c>
      <c r="K36" s="19">
        <v>36.700000000000003</v>
      </c>
      <c r="L36" s="20">
        <v>36</v>
      </c>
      <c r="M36" s="20">
        <v>37.1</v>
      </c>
      <c r="N36" s="19"/>
      <c r="O36" s="19">
        <v>36.9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>
        <v>35.5</v>
      </c>
      <c r="G37" s="19">
        <v>37.1</v>
      </c>
      <c r="H37" s="20"/>
      <c r="I37" s="20">
        <v>38.200000000000003</v>
      </c>
      <c r="J37" s="19">
        <v>36.6</v>
      </c>
      <c r="K37" s="19">
        <v>37.4</v>
      </c>
      <c r="L37" s="20">
        <v>36.5</v>
      </c>
      <c r="M37" s="20">
        <v>37.5</v>
      </c>
      <c r="N37" s="19"/>
      <c r="O37" s="19">
        <v>37.200000000000003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2.3999999999999986</v>
      </c>
      <c r="G38" s="26">
        <f t="shared" ref="G38:Q38" si="3">G37-G41</f>
        <v>2.5</v>
      </c>
      <c r="H38" s="26">
        <f t="shared" si="3"/>
        <v>0</v>
      </c>
      <c r="I38" s="26">
        <f t="shared" si="3"/>
        <v>4.3000000000000043</v>
      </c>
      <c r="J38" s="26">
        <f t="shared" si="3"/>
        <v>3.8000000000000043</v>
      </c>
      <c r="K38" s="26">
        <f t="shared" si="3"/>
        <v>2.7999999999999972</v>
      </c>
      <c r="L38" s="26">
        <f t="shared" si="3"/>
        <v>3.6000000000000014</v>
      </c>
      <c r="M38" s="26">
        <f t="shared" si="3"/>
        <v>3.3999999999999986</v>
      </c>
      <c r="N38" s="26">
        <f t="shared" si="3"/>
        <v>0</v>
      </c>
      <c r="O38" s="26">
        <f t="shared" si="3"/>
        <v>2.3000000000000043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>
        <v>27.5</v>
      </c>
      <c r="G40" s="19">
        <v>29</v>
      </c>
      <c r="H40" s="20"/>
      <c r="I40" s="20">
        <v>29</v>
      </c>
      <c r="J40" s="19">
        <v>27.6</v>
      </c>
      <c r="K40" s="19">
        <v>29.1</v>
      </c>
      <c r="L40" s="20">
        <v>27.7</v>
      </c>
      <c r="M40" s="20">
        <v>29</v>
      </c>
      <c r="N40" s="19"/>
      <c r="O40" s="19">
        <v>28.9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>
        <v>33.1</v>
      </c>
      <c r="G41" s="19">
        <v>34.6</v>
      </c>
      <c r="H41" s="20"/>
      <c r="I41" s="20">
        <v>33.9</v>
      </c>
      <c r="J41" s="19">
        <v>32.799999999999997</v>
      </c>
      <c r="K41" s="19">
        <v>34.6</v>
      </c>
      <c r="L41" s="20">
        <v>32.9</v>
      </c>
      <c r="M41" s="20">
        <v>34.1</v>
      </c>
      <c r="N41" s="19"/>
      <c r="O41" s="19">
        <v>34.9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5.6000000000000014</v>
      </c>
      <c r="G42" s="26">
        <f t="shared" ref="G42:Q42" si="4">G41-G40</f>
        <v>5.6000000000000014</v>
      </c>
      <c r="H42" s="26">
        <f t="shared" si="4"/>
        <v>0</v>
      </c>
      <c r="I42" s="26">
        <f t="shared" si="4"/>
        <v>4.8999999999999986</v>
      </c>
      <c r="J42" s="26">
        <f t="shared" si="4"/>
        <v>5.1999999999999957</v>
      </c>
      <c r="K42" s="26">
        <f t="shared" si="4"/>
        <v>5.5</v>
      </c>
      <c r="L42" s="26">
        <f t="shared" si="4"/>
        <v>5.1999999999999993</v>
      </c>
      <c r="M42" s="26">
        <f t="shared" si="4"/>
        <v>5.1000000000000014</v>
      </c>
      <c r="N42" s="26">
        <f t="shared" si="4"/>
        <v>0</v>
      </c>
      <c r="O42" s="26">
        <f t="shared" si="4"/>
        <v>6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>
        <v>1273.5999999999999</v>
      </c>
      <c r="G43" s="19">
        <v>1296.4000000000001</v>
      </c>
      <c r="H43" s="20"/>
      <c r="I43" s="20">
        <v>1306.5999999999999</v>
      </c>
      <c r="J43" s="19">
        <v>1298.3</v>
      </c>
      <c r="K43" s="19">
        <v>1300.4000000000001</v>
      </c>
      <c r="L43" s="20">
        <v>1262.0999999999999</v>
      </c>
      <c r="M43" s="20">
        <v>1298</v>
      </c>
      <c r="N43" s="19"/>
      <c r="O43" s="19">
        <v>1137.8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8235.7505773672074</v>
      </c>
      <c r="G44" s="27">
        <f t="shared" ref="G44:Q44" si="5">G42*G43/0.866</f>
        <v>8383.1870669745986</v>
      </c>
      <c r="H44" s="27">
        <f t="shared" si="5"/>
        <v>0</v>
      </c>
      <c r="I44" s="27">
        <f t="shared" si="5"/>
        <v>7393.0023094688195</v>
      </c>
      <c r="J44" s="27">
        <f t="shared" si="5"/>
        <v>7795.7967667436424</v>
      </c>
      <c r="K44" s="27">
        <f t="shared" si="5"/>
        <v>8258.8914549653582</v>
      </c>
      <c r="L44" s="27">
        <f t="shared" si="5"/>
        <v>7578.4295612009219</v>
      </c>
      <c r="M44" s="27">
        <f t="shared" si="5"/>
        <v>7644.1108545034667</v>
      </c>
      <c r="N44" s="27">
        <f t="shared" si="5"/>
        <v>0</v>
      </c>
      <c r="O44" s="27">
        <f t="shared" si="5"/>
        <v>7883.1408775981517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>
        <v>0.45</v>
      </c>
      <c r="G45" s="19">
        <v>0.48</v>
      </c>
      <c r="H45" s="20"/>
      <c r="I45" s="20">
        <v>0.46</v>
      </c>
      <c r="J45" s="19">
        <v>0.46</v>
      </c>
      <c r="K45" s="19">
        <v>0.47</v>
      </c>
      <c r="L45" s="20">
        <v>0.46</v>
      </c>
      <c r="M45" s="20">
        <v>0.47</v>
      </c>
      <c r="N45" s="19"/>
      <c r="O45" s="19">
        <v>0.47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>
        <v>18.899999999999999</v>
      </c>
      <c r="G46" s="19">
        <v>20.5</v>
      </c>
      <c r="H46" s="20"/>
      <c r="I46" s="20">
        <v>19.8</v>
      </c>
      <c r="J46" s="19">
        <v>19.399999999999999</v>
      </c>
      <c r="K46" s="19">
        <v>20.2</v>
      </c>
      <c r="L46" s="20">
        <v>19.399999999999999</v>
      </c>
      <c r="M46" s="20">
        <v>20</v>
      </c>
      <c r="N46" s="19"/>
      <c r="O46" s="19">
        <v>20.2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>
        <v>205.8</v>
      </c>
      <c r="G47" s="19">
        <v>210.6</v>
      </c>
      <c r="H47" s="20"/>
      <c r="I47" s="20">
        <v>123.8</v>
      </c>
      <c r="J47" s="19">
        <v>191.2</v>
      </c>
      <c r="K47" s="19">
        <v>208.2</v>
      </c>
      <c r="L47" s="20">
        <v>201.3</v>
      </c>
      <c r="M47" s="20">
        <v>211.2</v>
      </c>
      <c r="N47" s="19"/>
      <c r="O47" s="19">
        <v>164.3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86">
        <v>5.89</v>
      </c>
      <c r="F49" s="19">
        <v>5.4</v>
      </c>
      <c r="G49" s="19">
        <v>5.3</v>
      </c>
      <c r="H49" s="20"/>
      <c r="I49" s="20">
        <v>5.36</v>
      </c>
      <c r="J49" s="19">
        <v>5.32</v>
      </c>
      <c r="K49" s="19">
        <v>5.67</v>
      </c>
      <c r="L49" s="20">
        <v>4.8899999999999997</v>
      </c>
      <c r="M49" s="20">
        <v>5.42</v>
      </c>
      <c r="N49" s="19"/>
      <c r="O49" s="19">
        <v>5.52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86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85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780A-4053-44AC-B3B6-1BF9FB7559DF}">
  <dimension ref="B1:Q59"/>
  <sheetViews>
    <sheetView view="pageBreakPreview" topLeftCell="A7" zoomScale="85" zoomScaleNormal="60" zoomScaleSheetLayoutView="85" workbookViewId="0">
      <selection activeCell="P16" sqref="P16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88" t="s">
        <v>18</v>
      </c>
      <c r="E10" s="15"/>
      <c r="F10" s="16" t="s">
        <v>19</v>
      </c>
      <c r="G10" s="16" t="s">
        <v>19</v>
      </c>
      <c r="H10" s="17" t="s">
        <v>19</v>
      </c>
      <c r="I10" s="17" t="s">
        <v>19</v>
      </c>
      <c r="J10" s="16"/>
      <c r="K10" s="16" t="s">
        <v>19</v>
      </c>
      <c r="L10" s="17" t="s">
        <v>19</v>
      </c>
      <c r="M10" s="17" t="s">
        <v>19</v>
      </c>
      <c r="N10" s="16" t="s">
        <v>19</v>
      </c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71.400000000000006</v>
      </c>
      <c r="H11" s="20">
        <v>80.099999999999994</v>
      </c>
      <c r="I11" s="20">
        <v>76.7</v>
      </c>
      <c r="J11" s="19"/>
      <c r="K11" s="19">
        <v>70.8</v>
      </c>
      <c r="L11" s="20">
        <v>71.8</v>
      </c>
      <c r="M11" s="20">
        <v>73.5</v>
      </c>
      <c r="N11" s="19">
        <v>73.7</v>
      </c>
      <c r="O11" s="19">
        <v>73.400000000000006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0.1</v>
      </c>
      <c r="H12" s="20">
        <v>0</v>
      </c>
      <c r="I12" s="20">
        <v>0</v>
      </c>
      <c r="J12" s="19"/>
      <c r="K12" s="19">
        <v>0</v>
      </c>
      <c r="L12" s="20">
        <v>0.1</v>
      </c>
      <c r="M12" s="20">
        <v>0.1</v>
      </c>
      <c r="N12" s="19">
        <v>0</v>
      </c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66.2</v>
      </c>
      <c r="H13" s="20">
        <v>75.400000000000006</v>
      </c>
      <c r="I13" s="20">
        <v>71.400000000000006</v>
      </c>
      <c r="J13" s="19"/>
      <c r="K13" s="19">
        <v>67.8</v>
      </c>
      <c r="L13" s="20">
        <v>69.099999999999994</v>
      </c>
      <c r="M13" s="20">
        <v>68.7</v>
      </c>
      <c r="N13" s="19">
        <v>68.5</v>
      </c>
      <c r="O13" s="19">
        <v>68.5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66</v>
      </c>
      <c r="H14" s="20">
        <v>68.3</v>
      </c>
      <c r="I14" s="20">
        <v>68.8</v>
      </c>
      <c r="J14" s="19"/>
      <c r="K14" s="19">
        <v>62.8</v>
      </c>
      <c r="L14" s="20">
        <v>65</v>
      </c>
      <c r="M14" s="20">
        <v>65.400000000000006</v>
      </c>
      <c r="N14" s="19">
        <v>72.900000000000006</v>
      </c>
      <c r="O14" s="19">
        <v>72.400000000000006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44.8</v>
      </c>
      <c r="H15" s="20">
        <v>51.6</v>
      </c>
      <c r="I15" s="20">
        <v>48.8</v>
      </c>
      <c r="J15" s="19"/>
      <c r="K15" s="19">
        <v>36.799999999999997</v>
      </c>
      <c r="L15" s="20">
        <v>31.2</v>
      </c>
      <c r="M15" s="20">
        <v>30.6</v>
      </c>
      <c r="N15" s="19">
        <v>57.8</v>
      </c>
      <c r="O15" s="19">
        <v>48.7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>
        <v>6.6</v>
      </c>
      <c r="I16" s="20">
        <v>6.6</v>
      </c>
      <c r="J16" s="19"/>
      <c r="K16" s="19">
        <v>6.6</v>
      </c>
      <c r="L16" s="20">
        <v>6.6</v>
      </c>
      <c r="M16" s="20">
        <v>6.6</v>
      </c>
      <c r="N16" s="19">
        <v>6.6</v>
      </c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117.9</v>
      </c>
      <c r="H17" s="20">
        <v>116.4</v>
      </c>
      <c r="I17" s="20">
        <v>116.9</v>
      </c>
      <c r="J17" s="19"/>
      <c r="K17" s="19">
        <v>115.8</v>
      </c>
      <c r="L17" s="20">
        <v>115.3</v>
      </c>
      <c r="M17" s="20">
        <v>115.5</v>
      </c>
      <c r="N17" s="19">
        <v>117</v>
      </c>
      <c r="O17" s="19">
        <v>117.2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1164</v>
      </c>
      <c r="H18" s="20">
        <v>1193</v>
      </c>
      <c r="I18" s="20">
        <v>1184</v>
      </c>
      <c r="J18" s="19"/>
      <c r="K18" s="19">
        <v>1172</v>
      </c>
      <c r="L18" s="20">
        <v>1169</v>
      </c>
      <c r="M18" s="20">
        <v>1177</v>
      </c>
      <c r="N18" s="19">
        <v>1185</v>
      </c>
      <c r="O18" s="19">
        <v>1196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46974.2</v>
      </c>
      <c r="H19" s="20">
        <v>47855.5</v>
      </c>
      <c r="I19" s="20">
        <v>47846.6</v>
      </c>
      <c r="J19" s="19"/>
      <c r="K19" s="19">
        <v>45490.2</v>
      </c>
      <c r="L19" s="20">
        <v>47811.1</v>
      </c>
      <c r="M19" s="20">
        <v>47802.1</v>
      </c>
      <c r="N19" s="19">
        <v>47095.3</v>
      </c>
      <c r="O19" s="19">
        <v>47086.400000000001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59.5</v>
      </c>
      <c r="H22" s="20">
        <v>59.2</v>
      </c>
      <c r="I22" s="20">
        <v>59</v>
      </c>
      <c r="J22" s="19"/>
      <c r="K22" s="19">
        <v>57.7</v>
      </c>
      <c r="L22" s="20">
        <v>57.3</v>
      </c>
      <c r="M22" s="20">
        <v>57.6</v>
      </c>
      <c r="N22" s="19">
        <v>58.7</v>
      </c>
      <c r="O22" s="19">
        <v>58.6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0.52</v>
      </c>
      <c r="H23" s="20">
        <v>0.49</v>
      </c>
      <c r="I23" s="20">
        <v>0.49</v>
      </c>
      <c r="J23" s="19"/>
      <c r="K23" s="19">
        <v>0.59</v>
      </c>
      <c r="L23" s="20">
        <v>0.52</v>
      </c>
      <c r="M23" s="20">
        <v>0.52</v>
      </c>
      <c r="N23" s="19">
        <v>0.48</v>
      </c>
      <c r="O23" s="19">
        <v>0.48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46</v>
      </c>
      <c r="H25" s="20">
        <v>45</v>
      </c>
      <c r="I25" s="20">
        <v>45.2</v>
      </c>
      <c r="J25" s="19"/>
      <c r="K25" s="19">
        <v>45</v>
      </c>
      <c r="L25" s="20">
        <v>45</v>
      </c>
      <c r="M25" s="20">
        <v>44.9</v>
      </c>
      <c r="N25" s="19">
        <v>45.1</v>
      </c>
      <c r="O25" s="19">
        <v>45.2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>
        <v>0.21</v>
      </c>
      <c r="I26" s="20">
        <v>0.22</v>
      </c>
      <c r="J26" s="19"/>
      <c r="K26" s="19">
        <v>0.23</v>
      </c>
      <c r="L26" s="20">
        <v>0.22</v>
      </c>
      <c r="M26" s="20">
        <v>0.22</v>
      </c>
      <c r="N26" s="19">
        <v>0.22</v>
      </c>
      <c r="O26" s="19">
        <v>0.22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4.3</v>
      </c>
      <c r="H27" s="20">
        <v>3.5</v>
      </c>
      <c r="I27" s="20">
        <v>3.6</v>
      </c>
      <c r="J27" s="19"/>
      <c r="K27" s="19">
        <v>4.2</v>
      </c>
      <c r="L27" s="20">
        <v>4</v>
      </c>
      <c r="M27" s="20">
        <v>3.9</v>
      </c>
      <c r="N27" s="19">
        <v>4.5</v>
      </c>
      <c r="O27" s="19">
        <v>4.3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3.8</v>
      </c>
      <c r="H28" s="20">
        <v>2.5</v>
      </c>
      <c r="I28" s="20">
        <v>2.8</v>
      </c>
      <c r="J28" s="19"/>
      <c r="K28" s="19">
        <v>3.6</v>
      </c>
      <c r="L28" s="20">
        <v>2.9</v>
      </c>
      <c r="M28" s="20">
        <v>2.8</v>
      </c>
      <c r="N28" s="19">
        <v>3.6</v>
      </c>
      <c r="O28" s="19">
        <v>3.3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0.79999999999999982</v>
      </c>
      <c r="H29" s="26">
        <f t="shared" si="0"/>
        <v>2.2999999999999998</v>
      </c>
      <c r="I29" s="26">
        <f t="shared" si="0"/>
        <v>2</v>
      </c>
      <c r="J29" s="26">
        <f t="shared" si="0"/>
        <v>0</v>
      </c>
      <c r="K29" s="26">
        <f t="shared" si="0"/>
        <v>0.69999999999999973</v>
      </c>
      <c r="L29" s="26">
        <f t="shared" si="0"/>
        <v>1.1000000000000001</v>
      </c>
      <c r="M29" s="26">
        <f t="shared" si="0"/>
        <v>1.2000000000000002</v>
      </c>
      <c r="N29" s="26">
        <f>N32-N28</f>
        <v>1.1000000000000001</v>
      </c>
      <c r="O29" s="26">
        <f t="shared" si="0"/>
        <v>1.2000000000000002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678.8</v>
      </c>
      <c r="H30" s="20">
        <v>674.3</v>
      </c>
      <c r="I30" s="20">
        <v>664.3</v>
      </c>
      <c r="J30" s="19"/>
      <c r="K30" s="19">
        <v>668.1</v>
      </c>
      <c r="L30" s="20">
        <v>652.9</v>
      </c>
      <c r="M30" s="20">
        <v>675.9</v>
      </c>
      <c r="N30" s="19">
        <v>686.9</v>
      </c>
      <c r="O30" s="19">
        <v>678.5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13.4</v>
      </c>
      <c r="H31" s="20">
        <v>13.2</v>
      </c>
      <c r="I31" s="20">
        <v>13.5</v>
      </c>
      <c r="J31" s="19"/>
      <c r="K31" s="19">
        <v>13.3</v>
      </c>
      <c r="L31" s="20">
        <v>13</v>
      </c>
      <c r="M31" s="20">
        <v>12.8</v>
      </c>
      <c r="N31" s="19">
        <v>13.1</v>
      </c>
      <c r="O31" s="19">
        <v>13.5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4.5999999999999996</v>
      </c>
      <c r="H32" s="20">
        <v>4.8</v>
      </c>
      <c r="I32" s="20">
        <v>4.8</v>
      </c>
      <c r="J32" s="19"/>
      <c r="K32" s="19">
        <v>4.3</v>
      </c>
      <c r="L32" s="20">
        <v>4</v>
      </c>
      <c r="M32" s="20">
        <v>4</v>
      </c>
      <c r="N32" s="19">
        <v>4.7</v>
      </c>
      <c r="O32" s="19">
        <v>4.5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8.8000000000000007</v>
      </c>
      <c r="H33" s="26">
        <f t="shared" si="1"/>
        <v>8.3999999999999986</v>
      </c>
      <c r="I33" s="26">
        <f t="shared" si="1"/>
        <v>8.6999999999999993</v>
      </c>
      <c r="J33" s="26">
        <f t="shared" si="1"/>
        <v>0</v>
      </c>
      <c r="K33" s="26">
        <f t="shared" si="1"/>
        <v>9</v>
      </c>
      <c r="L33" s="26">
        <f t="shared" si="1"/>
        <v>9</v>
      </c>
      <c r="M33" s="26">
        <f t="shared" si="1"/>
        <v>8.8000000000000007</v>
      </c>
      <c r="N33" s="26">
        <f t="shared" si="1"/>
        <v>8.3999999999999986</v>
      </c>
      <c r="O33" s="26">
        <f t="shared" si="1"/>
        <v>9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6897.7367205542732</v>
      </c>
      <c r="H34" s="27">
        <f t="shared" si="2"/>
        <v>6540.55427251732</v>
      </c>
      <c r="I34" s="27">
        <f t="shared" si="2"/>
        <v>6673.6836027713616</v>
      </c>
      <c r="J34" s="27">
        <f t="shared" si="2"/>
        <v>0</v>
      </c>
      <c r="K34" s="27">
        <f t="shared" si="2"/>
        <v>6943.3025404157052</v>
      </c>
      <c r="L34" s="27">
        <f t="shared" si="2"/>
        <v>6785.3348729792142</v>
      </c>
      <c r="M34" s="27">
        <f t="shared" si="2"/>
        <v>6868.2678983833721</v>
      </c>
      <c r="N34" s="27">
        <f t="shared" si="2"/>
        <v>6662.7713625866045</v>
      </c>
      <c r="O34" s="27">
        <f t="shared" si="2"/>
        <v>7051.3856812933027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0.83</v>
      </c>
      <c r="H35" s="20">
        <v>0.85</v>
      </c>
      <c r="I35" s="20">
        <v>0.85</v>
      </c>
      <c r="J35" s="19"/>
      <c r="K35" s="19">
        <v>0.84</v>
      </c>
      <c r="L35" s="20">
        <v>0.83</v>
      </c>
      <c r="M35" s="20">
        <v>0.84</v>
      </c>
      <c r="N35" s="19">
        <v>0.84</v>
      </c>
      <c r="O35" s="19">
        <v>0.83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36.299999999999997</v>
      </c>
      <c r="H36" s="20">
        <v>36.700000000000003</v>
      </c>
      <c r="I36" s="20">
        <v>36.9</v>
      </c>
      <c r="J36" s="19"/>
      <c r="K36" s="19">
        <v>36.5</v>
      </c>
      <c r="L36" s="20">
        <v>36.4</v>
      </c>
      <c r="M36" s="20">
        <v>36.9</v>
      </c>
      <c r="N36" s="19">
        <v>35.700000000000003</v>
      </c>
      <c r="O36" s="19">
        <v>36.6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36.9</v>
      </c>
      <c r="H37" s="20">
        <v>37.5</v>
      </c>
      <c r="I37" s="20">
        <v>37.9</v>
      </c>
      <c r="J37" s="19"/>
      <c r="K37" s="19">
        <v>37.200000000000003</v>
      </c>
      <c r="L37" s="20">
        <v>36.799999999999997</v>
      </c>
      <c r="M37" s="20">
        <v>37.4</v>
      </c>
      <c r="N37" s="19">
        <v>36.200000000000003</v>
      </c>
      <c r="O37" s="19">
        <v>37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2.6999999999999957</v>
      </c>
      <c r="H38" s="26">
        <f t="shared" si="3"/>
        <v>4.3999999999999986</v>
      </c>
      <c r="I38" s="26">
        <f t="shared" si="3"/>
        <v>4.3999999999999986</v>
      </c>
      <c r="J38" s="26">
        <f t="shared" si="3"/>
        <v>0</v>
      </c>
      <c r="K38" s="26">
        <f t="shared" si="3"/>
        <v>2.8000000000000043</v>
      </c>
      <c r="L38" s="26">
        <f t="shared" si="3"/>
        <v>3.5999999999999943</v>
      </c>
      <c r="M38" s="26">
        <f t="shared" si="3"/>
        <v>3.5</v>
      </c>
      <c r="N38" s="26">
        <f t="shared" si="3"/>
        <v>2.4000000000000057</v>
      </c>
      <c r="O38" s="26">
        <f t="shared" si="3"/>
        <v>2.2999999999999972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28.9</v>
      </c>
      <c r="H40" s="20">
        <v>28.2</v>
      </c>
      <c r="I40" s="20">
        <v>28.8</v>
      </c>
      <c r="J40" s="19"/>
      <c r="K40" s="19">
        <v>28.9</v>
      </c>
      <c r="L40" s="20">
        <v>28.3</v>
      </c>
      <c r="M40" s="20">
        <v>28.8</v>
      </c>
      <c r="N40" s="19">
        <v>28</v>
      </c>
      <c r="O40" s="19">
        <v>28.7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34.200000000000003</v>
      </c>
      <c r="H41" s="20">
        <v>33.1</v>
      </c>
      <c r="I41" s="20">
        <v>33.5</v>
      </c>
      <c r="J41" s="19"/>
      <c r="K41" s="19">
        <v>34.4</v>
      </c>
      <c r="L41" s="20">
        <v>33.200000000000003</v>
      </c>
      <c r="M41" s="20">
        <v>33.9</v>
      </c>
      <c r="N41" s="19">
        <v>33.799999999999997</v>
      </c>
      <c r="O41" s="19">
        <v>34.700000000000003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5.3000000000000043</v>
      </c>
      <c r="H42" s="26">
        <f t="shared" si="4"/>
        <v>4.9000000000000021</v>
      </c>
      <c r="I42" s="26">
        <f t="shared" si="4"/>
        <v>4.6999999999999993</v>
      </c>
      <c r="J42" s="26">
        <f t="shared" si="4"/>
        <v>0</v>
      </c>
      <c r="K42" s="26">
        <f t="shared" si="4"/>
        <v>5.5</v>
      </c>
      <c r="L42" s="26">
        <f t="shared" si="4"/>
        <v>4.9000000000000021</v>
      </c>
      <c r="M42" s="26">
        <f t="shared" si="4"/>
        <v>5.0999999999999979</v>
      </c>
      <c r="N42" s="26">
        <f t="shared" si="4"/>
        <v>5.7999999999999972</v>
      </c>
      <c r="O42" s="26">
        <f t="shared" si="4"/>
        <v>6.0000000000000036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1294.0999999999999</v>
      </c>
      <c r="H43" s="20">
        <v>1307.2</v>
      </c>
      <c r="I43" s="20">
        <v>1304.5</v>
      </c>
      <c r="J43" s="19"/>
      <c r="K43" s="19">
        <v>1315.8</v>
      </c>
      <c r="L43" s="20">
        <v>1302.5</v>
      </c>
      <c r="M43" s="19">
        <v>1299.3</v>
      </c>
      <c r="N43" s="19">
        <v>1198.7</v>
      </c>
      <c r="O43" s="19">
        <v>1141.2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7920.0115473441165</v>
      </c>
      <c r="H44" s="27">
        <f t="shared" si="5"/>
        <v>7396.3972286374174</v>
      </c>
      <c r="I44" s="27">
        <f t="shared" si="5"/>
        <v>7079.8498845265576</v>
      </c>
      <c r="J44" s="27">
        <f t="shared" si="5"/>
        <v>0</v>
      </c>
      <c r="K44" s="27">
        <f t="shared" si="5"/>
        <v>8356.6974595842948</v>
      </c>
      <c r="L44" s="27">
        <f t="shared" si="5"/>
        <v>7369.803695150119</v>
      </c>
      <c r="M44" s="27">
        <f t="shared" si="5"/>
        <v>7651.7667436489573</v>
      </c>
      <c r="N44" s="27">
        <f t="shared" si="5"/>
        <v>8028.2448036951473</v>
      </c>
      <c r="O44" s="27">
        <f t="shared" si="5"/>
        <v>7906.6974595843003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0.47</v>
      </c>
      <c r="H45" s="20">
        <v>0.46</v>
      </c>
      <c r="I45" s="20">
        <v>0.47</v>
      </c>
      <c r="J45" s="19"/>
      <c r="K45" s="19">
        <v>0.47</v>
      </c>
      <c r="L45" s="20">
        <v>0.46</v>
      </c>
      <c r="M45" s="20">
        <v>0.47</v>
      </c>
      <c r="N45" s="19">
        <v>0.46</v>
      </c>
      <c r="O45" s="19">
        <v>0.47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20.100000000000001</v>
      </c>
      <c r="H46" s="20">
        <v>19.3</v>
      </c>
      <c r="I46" s="20">
        <v>19.899999999999999</v>
      </c>
      <c r="J46" s="19"/>
      <c r="K46" s="19">
        <v>20</v>
      </c>
      <c r="L46" s="20">
        <v>19.7</v>
      </c>
      <c r="M46" s="20">
        <v>20.100000000000001</v>
      </c>
      <c r="N46" s="19">
        <v>19.3</v>
      </c>
      <c r="O46" s="19">
        <v>19.899999999999999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173.4</v>
      </c>
      <c r="H47" s="20">
        <v>111.8</v>
      </c>
      <c r="I47" s="20">
        <v>129.80000000000001</v>
      </c>
      <c r="J47" s="19"/>
      <c r="K47" s="19">
        <v>202.2</v>
      </c>
      <c r="L47" s="20">
        <v>206.5</v>
      </c>
      <c r="M47" s="20">
        <v>207.3</v>
      </c>
      <c r="N47" s="19">
        <v>154.9</v>
      </c>
      <c r="O47" s="19">
        <v>155.19999999999999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88">
        <v>5.89</v>
      </c>
      <c r="F49" s="19"/>
      <c r="G49" s="19">
        <v>5.4</v>
      </c>
      <c r="H49" s="20">
        <v>5.0999999999999996</v>
      </c>
      <c r="I49" s="20">
        <v>5.3</v>
      </c>
      <c r="J49" s="19"/>
      <c r="K49" s="19">
        <v>5.72</v>
      </c>
      <c r="L49" s="20">
        <v>5.58</v>
      </c>
      <c r="M49" s="20">
        <v>5.59</v>
      </c>
      <c r="N49" s="19">
        <v>5.2</v>
      </c>
      <c r="O49" s="19">
        <v>5.49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88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87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8E2A-D639-4BED-BC7D-08ECC1A02923}">
  <dimension ref="B1:Q59"/>
  <sheetViews>
    <sheetView view="pageBreakPreview" topLeftCell="A18" zoomScale="85" zoomScaleNormal="60" zoomScaleSheetLayoutView="85" workbookViewId="0">
      <selection activeCell="P23" sqref="P23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90" t="s">
        <v>18</v>
      </c>
      <c r="E10" s="15"/>
      <c r="F10" s="16"/>
      <c r="G10" s="16" t="s">
        <v>19</v>
      </c>
      <c r="H10" s="17"/>
      <c r="I10" s="17" t="s">
        <v>19</v>
      </c>
      <c r="J10" s="16"/>
      <c r="K10" s="16" t="s">
        <v>19</v>
      </c>
      <c r="L10" s="17"/>
      <c r="M10" s="17" t="s">
        <v>19</v>
      </c>
      <c r="N10" s="16"/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72.900000000000006</v>
      </c>
      <c r="H11" s="20"/>
      <c r="I11" s="20">
        <v>80.7</v>
      </c>
      <c r="J11" s="19"/>
      <c r="K11" s="19">
        <v>74.900000000000006</v>
      </c>
      <c r="L11" s="20"/>
      <c r="M11" s="20">
        <v>71.8</v>
      </c>
      <c r="N11" s="19"/>
      <c r="O11" s="19">
        <v>74.8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0.2</v>
      </c>
      <c r="H12" s="20"/>
      <c r="I12" s="20">
        <v>0</v>
      </c>
      <c r="J12" s="19"/>
      <c r="K12" s="19">
        <v>0</v>
      </c>
      <c r="L12" s="20"/>
      <c r="M12" s="20">
        <v>0.1</v>
      </c>
      <c r="N12" s="19"/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66.8</v>
      </c>
      <c r="H13" s="20"/>
      <c r="I13" s="20">
        <v>77.2</v>
      </c>
      <c r="J13" s="19"/>
      <c r="K13" s="19">
        <v>70.2</v>
      </c>
      <c r="L13" s="20"/>
      <c r="M13" s="20">
        <v>69.099999999999994</v>
      </c>
      <c r="N13" s="19"/>
      <c r="O13" s="19">
        <v>69.900000000000006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65.400000000000006</v>
      </c>
      <c r="H14" s="20"/>
      <c r="I14" s="20">
        <v>67.3</v>
      </c>
      <c r="J14" s="19"/>
      <c r="K14" s="19">
        <v>63.6</v>
      </c>
      <c r="L14" s="20"/>
      <c r="M14" s="20">
        <v>65.099999999999994</v>
      </c>
      <c r="N14" s="19"/>
      <c r="O14" s="19">
        <v>72.3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83.8</v>
      </c>
      <c r="H15" s="20"/>
      <c r="I15" s="20">
        <v>49.7</v>
      </c>
      <c r="J15" s="19"/>
      <c r="K15" s="19">
        <v>37.1</v>
      </c>
      <c r="L15" s="20"/>
      <c r="M15" s="20">
        <v>32</v>
      </c>
      <c r="N15" s="19"/>
      <c r="O15" s="19">
        <v>50.9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/>
      <c r="I16" s="19">
        <v>6.6</v>
      </c>
      <c r="J16" s="19"/>
      <c r="K16" s="19">
        <v>6.6</v>
      </c>
      <c r="L16" s="20"/>
      <c r="M16" s="19">
        <v>6.6</v>
      </c>
      <c r="N16" s="19"/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118.4</v>
      </c>
      <c r="H17" s="20"/>
      <c r="I17" s="20">
        <v>117.8</v>
      </c>
      <c r="J17" s="19"/>
      <c r="K17" s="19">
        <v>117.6</v>
      </c>
      <c r="L17" s="20"/>
      <c r="M17" s="20">
        <v>115.2</v>
      </c>
      <c r="N17" s="19"/>
      <c r="O17" s="19">
        <v>118.7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1164</v>
      </c>
      <c r="H18" s="20"/>
      <c r="I18" s="20">
        <v>1196</v>
      </c>
      <c r="J18" s="19"/>
      <c r="K18" s="19">
        <v>1198</v>
      </c>
      <c r="L18" s="20"/>
      <c r="M18" s="20">
        <v>1172</v>
      </c>
      <c r="N18" s="19"/>
      <c r="O18" s="19">
        <v>1204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46984</v>
      </c>
      <c r="H19" s="20"/>
      <c r="I19" s="20">
        <v>47870</v>
      </c>
      <c r="J19" s="19"/>
      <c r="K19" s="19">
        <v>45500</v>
      </c>
      <c r="L19" s="20"/>
      <c r="M19" s="20">
        <v>47826</v>
      </c>
      <c r="N19" s="19"/>
      <c r="O19" s="19">
        <v>47104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58.8</v>
      </c>
      <c r="H22" s="20"/>
      <c r="I22" s="20">
        <v>59.2</v>
      </c>
      <c r="J22" s="19"/>
      <c r="K22" s="19">
        <v>57.8</v>
      </c>
      <c r="L22" s="20"/>
      <c r="M22" s="20">
        <v>57.5</v>
      </c>
      <c r="N22" s="19"/>
      <c r="O22" s="19">
        <v>58.7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0.53</v>
      </c>
      <c r="H23" s="20"/>
      <c r="I23" s="20">
        <v>0.49</v>
      </c>
      <c r="J23" s="19"/>
      <c r="K23" s="19">
        <v>0.57999999999999996</v>
      </c>
      <c r="L23" s="20"/>
      <c r="M23" s="20">
        <v>0.52</v>
      </c>
      <c r="N23" s="19"/>
      <c r="O23" s="19">
        <v>0.49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44.9</v>
      </c>
      <c r="H25" s="20"/>
      <c r="I25" s="20">
        <v>45</v>
      </c>
      <c r="J25" s="19"/>
      <c r="K25" s="19">
        <v>45</v>
      </c>
      <c r="L25" s="20"/>
      <c r="M25" s="20">
        <v>45</v>
      </c>
      <c r="N25" s="19"/>
      <c r="O25" s="19">
        <v>44.6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0.22</v>
      </c>
      <c r="H26" s="20"/>
      <c r="I26" s="20">
        <v>0.21</v>
      </c>
      <c r="J26" s="19"/>
      <c r="K26" s="19">
        <v>0.23</v>
      </c>
      <c r="L26" s="20"/>
      <c r="M26" s="20">
        <v>0.23</v>
      </c>
      <c r="N26" s="19"/>
      <c r="O26" s="19">
        <v>0.22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4.4000000000000004</v>
      </c>
      <c r="H27" s="20"/>
      <c r="I27" s="20">
        <v>3.3</v>
      </c>
      <c r="J27" s="19"/>
      <c r="K27" s="19">
        <v>4.3</v>
      </c>
      <c r="L27" s="20"/>
      <c r="M27" s="20">
        <v>3.8</v>
      </c>
      <c r="N27" s="19"/>
      <c r="O27" s="19">
        <v>4.5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2.9</v>
      </c>
      <c r="H28" s="20"/>
      <c r="I28" s="20">
        <v>1.8</v>
      </c>
      <c r="J28" s="19"/>
      <c r="K28" s="19">
        <v>3.3</v>
      </c>
      <c r="L28" s="20"/>
      <c r="M28" s="20">
        <v>3.1</v>
      </c>
      <c r="N28" s="19"/>
      <c r="O28" s="19">
        <v>2.8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1</v>
      </c>
      <c r="H29" s="26">
        <f t="shared" si="0"/>
        <v>0</v>
      </c>
      <c r="I29" s="26">
        <f t="shared" si="0"/>
        <v>2.0999999999999996</v>
      </c>
      <c r="J29" s="26">
        <f t="shared" si="0"/>
        <v>0</v>
      </c>
      <c r="K29" s="26">
        <f t="shared" si="0"/>
        <v>1.1000000000000005</v>
      </c>
      <c r="L29" s="26">
        <f t="shared" si="0"/>
        <v>0</v>
      </c>
      <c r="M29" s="26">
        <f t="shared" si="0"/>
        <v>1.1000000000000001</v>
      </c>
      <c r="N29" s="26">
        <f>N32-N28</f>
        <v>0</v>
      </c>
      <c r="O29" s="26">
        <f t="shared" si="0"/>
        <v>1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666.08</v>
      </c>
      <c r="H30" s="20"/>
      <c r="I30" s="20">
        <v>649.6</v>
      </c>
      <c r="J30" s="19"/>
      <c r="K30" s="19">
        <v>654.16</v>
      </c>
      <c r="L30" s="20"/>
      <c r="M30" s="20">
        <v>716.4</v>
      </c>
      <c r="N30" s="19"/>
      <c r="O30" s="19">
        <v>663.04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12.4</v>
      </c>
      <c r="H31" s="20"/>
      <c r="I31" s="20">
        <v>12.4</v>
      </c>
      <c r="J31" s="19"/>
      <c r="K31" s="19">
        <v>13</v>
      </c>
      <c r="L31" s="20"/>
      <c r="M31" s="20">
        <v>12.7</v>
      </c>
      <c r="N31" s="19"/>
      <c r="O31" s="19">
        <v>12.4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3.9</v>
      </c>
      <c r="H32" s="20"/>
      <c r="I32" s="20">
        <v>3.9</v>
      </c>
      <c r="J32" s="19"/>
      <c r="K32" s="19">
        <v>4.4000000000000004</v>
      </c>
      <c r="L32" s="20"/>
      <c r="M32" s="20">
        <v>4.2</v>
      </c>
      <c r="N32" s="19"/>
      <c r="O32" s="19">
        <v>3.8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8.5</v>
      </c>
      <c r="H33" s="26">
        <f t="shared" si="1"/>
        <v>0</v>
      </c>
      <c r="I33" s="26">
        <f t="shared" si="1"/>
        <v>8.5</v>
      </c>
      <c r="J33" s="26">
        <f t="shared" si="1"/>
        <v>0</v>
      </c>
      <c r="K33" s="26">
        <f t="shared" si="1"/>
        <v>8.6</v>
      </c>
      <c r="L33" s="26">
        <f t="shared" si="1"/>
        <v>0</v>
      </c>
      <c r="M33" s="26">
        <f t="shared" si="1"/>
        <v>8.5</v>
      </c>
      <c r="N33" s="26">
        <f t="shared" si="1"/>
        <v>0</v>
      </c>
      <c r="O33" s="26">
        <f t="shared" si="1"/>
        <v>8.6000000000000014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6537.7367205542732</v>
      </c>
      <c r="H34" s="27">
        <f t="shared" si="2"/>
        <v>0</v>
      </c>
      <c r="I34" s="27">
        <f t="shared" si="2"/>
        <v>6375.9815242494233</v>
      </c>
      <c r="J34" s="27">
        <f t="shared" si="2"/>
        <v>0</v>
      </c>
      <c r="K34" s="27">
        <f t="shared" si="2"/>
        <v>6496.27713625866</v>
      </c>
      <c r="L34" s="27">
        <f t="shared" si="2"/>
        <v>0</v>
      </c>
      <c r="M34" s="27">
        <f t="shared" si="2"/>
        <v>7031.6397228637406</v>
      </c>
      <c r="N34" s="27">
        <f t="shared" si="2"/>
        <v>0</v>
      </c>
      <c r="O34" s="27">
        <f t="shared" si="2"/>
        <v>6584.4618937644345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0.79</v>
      </c>
      <c r="H35" s="20"/>
      <c r="I35" s="20">
        <v>0.82</v>
      </c>
      <c r="J35" s="19"/>
      <c r="K35" s="19">
        <v>0.82</v>
      </c>
      <c r="L35" s="20"/>
      <c r="M35" s="20">
        <v>0.82</v>
      </c>
      <c r="N35" s="19"/>
      <c r="O35" s="19">
        <v>0.8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36.1</v>
      </c>
      <c r="H36" s="20"/>
      <c r="I36" s="20">
        <v>36.700000000000003</v>
      </c>
      <c r="J36" s="19"/>
      <c r="K36" s="19">
        <v>37</v>
      </c>
      <c r="L36" s="20"/>
      <c r="M36" s="20">
        <v>36.5</v>
      </c>
      <c r="N36" s="19"/>
      <c r="O36" s="19">
        <v>36.200000000000003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35.4</v>
      </c>
      <c r="H37" s="20"/>
      <c r="I37" s="20">
        <v>36.6</v>
      </c>
      <c r="J37" s="19"/>
      <c r="K37" s="19">
        <v>36.6</v>
      </c>
      <c r="L37" s="20"/>
      <c r="M37" s="20">
        <v>36.4</v>
      </c>
      <c r="N37" s="19"/>
      <c r="O37" s="19">
        <v>35.6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3.2999999999999972</v>
      </c>
      <c r="H38" s="26">
        <f t="shared" si="3"/>
        <v>0</v>
      </c>
      <c r="I38" s="26">
        <f t="shared" si="3"/>
        <v>4.8000000000000007</v>
      </c>
      <c r="J38" s="26">
        <f t="shared" si="3"/>
        <v>0</v>
      </c>
      <c r="K38" s="26">
        <f t="shared" si="3"/>
        <v>4.3999999999999986</v>
      </c>
      <c r="L38" s="26">
        <f t="shared" si="3"/>
        <v>0</v>
      </c>
      <c r="M38" s="26">
        <f t="shared" si="3"/>
        <v>4.3999999999999986</v>
      </c>
      <c r="N38" s="26">
        <f t="shared" si="3"/>
        <v>0</v>
      </c>
      <c r="O38" s="26">
        <f t="shared" si="3"/>
        <v>3.2000000000000028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27</v>
      </c>
      <c r="H40" s="20"/>
      <c r="I40" s="20">
        <v>26.8</v>
      </c>
      <c r="J40" s="19"/>
      <c r="K40" s="19">
        <v>26.9</v>
      </c>
      <c r="L40" s="20"/>
      <c r="M40" s="20">
        <v>26.7</v>
      </c>
      <c r="N40" s="19"/>
      <c r="O40" s="19">
        <v>26.8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32.1</v>
      </c>
      <c r="H41" s="20"/>
      <c r="I41" s="20">
        <v>31.8</v>
      </c>
      <c r="J41" s="19"/>
      <c r="K41" s="19">
        <v>32.200000000000003</v>
      </c>
      <c r="L41" s="20"/>
      <c r="M41" s="20">
        <v>32</v>
      </c>
      <c r="N41" s="19"/>
      <c r="O41" s="19">
        <v>32.4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5.1000000000000014</v>
      </c>
      <c r="H42" s="26">
        <f t="shared" si="4"/>
        <v>0</v>
      </c>
      <c r="I42" s="26">
        <f t="shared" si="4"/>
        <v>5</v>
      </c>
      <c r="J42" s="26">
        <f t="shared" si="4"/>
        <v>0</v>
      </c>
      <c r="K42" s="26">
        <f t="shared" si="4"/>
        <v>5.3000000000000043</v>
      </c>
      <c r="L42" s="26">
        <f t="shared" si="4"/>
        <v>0</v>
      </c>
      <c r="M42" s="26">
        <f t="shared" si="4"/>
        <v>5.3000000000000007</v>
      </c>
      <c r="N42" s="26">
        <f t="shared" si="4"/>
        <v>0</v>
      </c>
      <c r="O42" s="26">
        <f t="shared" si="4"/>
        <v>5.5999999999999979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1293.5999999999999</v>
      </c>
      <c r="H43" s="20"/>
      <c r="I43" s="20">
        <v>1301.44</v>
      </c>
      <c r="J43" s="19"/>
      <c r="K43" s="19">
        <v>1308.1600000000001</v>
      </c>
      <c r="L43" s="20"/>
      <c r="M43" s="19">
        <v>1291.54</v>
      </c>
      <c r="N43" s="19"/>
      <c r="O43" s="19">
        <v>1138.6199999999999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7618.1986143187087</v>
      </c>
      <c r="H44" s="27">
        <f t="shared" si="5"/>
        <v>0</v>
      </c>
      <c r="I44" s="27">
        <f t="shared" si="5"/>
        <v>7514.0877598152438</v>
      </c>
      <c r="J44" s="27">
        <f t="shared" si="5"/>
        <v>0</v>
      </c>
      <c r="K44" s="27">
        <f t="shared" si="5"/>
        <v>8006.0600461893837</v>
      </c>
      <c r="L44" s="27">
        <f t="shared" si="5"/>
        <v>0</v>
      </c>
      <c r="M44" s="27">
        <f t="shared" si="5"/>
        <v>7904.3441108545048</v>
      </c>
      <c r="N44" s="27">
        <f t="shared" si="5"/>
        <v>0</v>
      </c>
      <c r="O44" s="27">
        <f t="shared" si="5"/>
        <v>7362.9006928406434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0.46</v>
      </c>
      <c r="H45" s="20"/>
      <c r="I45" s="20">
        <v>0.46</v>
      </c>
      <c r="J45" s="19"/>
      <c r="K45" s="19">
        <v>0.47</v>
      </c>
      <c r="L45" s="20"/>
      <c r="M45" s="20">
        <v>0.46</v>
      </c>
      <c r="N45" s="19"/>
      <c r="O45" s="19">
        <v>0.46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19.7</v>
      </c>
      <c r="H46" s="20"/>
      <c r="I46" s="20">
        <v>19.3</v>
      </c>
      <c r="J46" s="19"/>
      <c r="K46" s="19">
        <v>20</v>
      </c>
      <c r="L46" s="20"/>
      <c r="M46" s="20">
        <v>19.8</v>
      </c>
      <c r="N46" s="19"/>
      <c r="O46" s="19">
        <v>19.7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167</v>
      </c>
      <c r="H47" s="20"/>
      <c r="I47" s="20">
        <v>131.9</v>
      </c>
      <c r="J47" s="19"/>
      <c r="K47" s="19">
        <v>205.5</v>
      </c>
      <c r="L47" s="20"/>
      <c r="M47" s="20">
        <v>212.5</v>
      </c>
      <c r="N47" s="19"/>
      <c r="O47" s="19">
        <v>158.5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90">
        <v>5.89</v>
      </c>
      <c r="F49" s="19"/>
      <c r="G49" s="19">
        <v>5.46</v>
      </c>
      <c r="H49" s="20"/>
      <c r="I49" s="20">
        <v>5.35</v>
      </c>
      <c r="J49" s="19"/>
      <c r="K49" s="19">
        <v>5.57</v>
      </c>
      <c r="L49" s="20"/>
      <c r="M49" s="20">
        <v>5.57</v>
      </c>
      <c r="N49" s="19"/>
      <c r="O49" s="19">
        <v>5.33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90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89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26CB-6C11-4498-A82A-4032BFFF33AE}">
  <dimension ref="B1:Q59"/>
  <sheetViews>
    <sheetView view="pageBreakPreview" zoomScale="85" zoomScaleNormal="60" zoomScaleSheetLayoutView="85" workbookViewId="0">
      <selection activeCell="L44" sqref="L44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 x14ac:dyDescent="0.3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 x14ac:dyDescent="0.3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 x14ac:dyDescent="0.3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 x14ac:dyDescent="0.25">
      <c r="B7" s="106" t="s">
        <v>6</v>
      </c>
      <c r="C7" s="107"/>
      <c r="D7" s="108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 x14ac:dyDescent="0.25">
      <c r="B8" s="93" t="s">
        <v>7</v>
      </c>
      <c r="C8" s="93"/>
      <c r="D8" s="93"/>
      <c r="E8" s="111" t="s">
        <v>8</v>
      </c>
      <c r="F8" s="113" t="s">
        <v>9</v>
      </c>
      <c r="G8" s="113"/>
      <c r="H8" s="114" t="s">
        <v>10</v>
      </c>
      <c r="I8" s="114"/>
      <c r="J8" s="113" t="s">
        <v>11</v>
      </c>
      <c r="K8" s="113"/>
      <c r="L8" s="114" t="s">
        <v>12</v>
      </c>
      <c r="M8" s="114"/>
      <c r="N8" s="113" t="s">
        <v>13</v>
      </c>
      <c r="O8" s="113"/>
      <c r="P8" s="114" t="s">
        <v>14</v>
      </c>
      <c r="Q8" s="114"/>
    </row>
    <row r="9" spans="2:17" x14ac:dyDescent="0.25">
      <c r="B9" s="106" t="s">
        <v>15</v>
      </c>
      <c r="C9" s="115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 x14ac:dyDescent="0.25">
      <c r="B10" s="116" t="s">
        <v>17</v>
      </c>
      <c r="C10" s="117"/>
      <c r="D10" s="92" t="s">
        <v>18</v>
      </c>
      <c r="E10" s="15"/>
      <c r="F10" s="16"/>
      <c r="G10" s="16" t="s">
        <v>19</v>
      </c>
      <c r="H10" s="17" t="s">
        <v>19</v>
      </c>
      <c r="I10" s="17" t="s">
        <v>19</v>
      </c>
      <c r="J10" s="16" t="s">
        <v>19</v>
      </c>
      <c r="K10" s="16" t="s">
        <v>19</v>
      </c>
      <c r="L10" s="17" t="s">
        <v>19</v>
      </c>
      <c r="M10" s="17" t="s">
        <v>19</v>
      </c>
      <c r="N10" s="16"/>
      <c r="O10" s="16" t="s">
        <v>19</v>
      </c>
      <c r="P10" s="16"/>
      <c r="Q10" s="17"/>
    </row>
    <row r="11" spans="2:17" ht="20.100000000000001" customHeight="1" x14ac:dyDescent="0.25">
      <c r="B11" s="93" t="s">
        <v>20</v>
      </c>
      <c r="C11" s="93"/>
      <c r="D11" s="18" t="s">
        <v>21</v>
      </c>
      <c r="E11" s="18" t="s">
        <v>22</v>
      </c>
      <c r="F11" s="19"/>
      <c r="G11" s="19">
        <v>73.3</v>
      </c>
      <c r="H11" s="20">
        <v>80</v>
      </c>
      <c r="I11" s="20">
        <v>77.099999999999994</v>
      </c>
      <c r="J11" s="19">
        <v>72.7</v>
      </c>
      <c r="K11" s="19">
        <v>74.599999999999994</v>
      </c>
      <c r="L11" s="20">
        <v>75.099999999999994</v>
      </c>
      <c r="M11" s="20">
        <v>74</v>
      </c>
      <c r="N11" s="19"/>
      <c r="O11" s="19">
        <v>73</v>
      </c>
      <c r="P11" s="20"/>
      <c r="Q11" s="20"/>
    </row>
    <row r="12" spans="2:17" ht="20.100000000000001" customHeight="1" x14ac:dyDescent="0.25">
      <c r="B12" s="93" t="s">
        <v>23</v>
      </c>
      <c r="C12" s="93"/>
      <c r="D12" s="18" t="s">
        <v>21</v>
      </c>
      <c r="E12" s="18" t="s">
        <v>22</v>
      </c>
      <c r="F12" s="19"/>
      <c r="G12" s="19">
        <v>0.6</v>
      </c>
      <c r="H12" s="20">
        <v>0</v>
      </c>
      <c r="I12" s="20">
        <v>0</v>
      </c>
      <c r="J12" s="19">
        <v>0</v>
      </c>
      <c r="K12" s="19">
        <v>0</v>
      </c>
      <c r="L12" s="20">
        <v>0.2</v>
      </c>
      <c r="M12" s="20">
        <v>0.1</v>
      </c>
      <c r="N12" s="19"/>
      <c r="O12" s="19">
        <v>0</v>
      </c>
      <c r="P12" s="20"/>
      <c r="Q12" s="20"/>
    </row>
    <row r="13" spans="2:17" ht="20.100000000000001" customHeight="1" x14ac:dyDescent="0.25">
      <c r="B13" s="93" t="s">
        <v>24</v>
      </c>
      <c r="C13" s="93"/>
      <c r="D13" s="18" t="s">
        <v>21</v>
      </c>
      <c r="E13" s="18" t="s">
        <v>22</v>
      </c>
      <c r="F13" s="19"/>
      <c r="G13" s="19">
        <v>67.5</v>
      </c>
      <c r="H13" s="20">
        <v>75.5</v>
      </c>
      <c r="I13" s="20">
        <v>72.099999999999994</v>
      </c>
      <c r="J13" s="19">
        <v>67.8</v>
      </c>
      <c r="K13" s="19">
        <v>69.099999999999994</v>
      </c>
      <c r="L13" s="20">
        <v>70</v>
      </c>
      <c r="M13" s="20">
        <v>70.599999999999994</v>
      </c>
      <c r="N13" s="19"/>
      <c r="O13" s="19">
        <v>67.5</v>
      </c>
      <c r="P13" s="20"/>
      <c r="Q13" s="20"/>
    </row>
    <row r="14" spans="2:17" ht="20.100000000000001" customHeight="1" x14ac:dyDescent="0.25">
      <c r="B14" s="93" t="s">
        <v>25</v>
      </c>
      <c r="C14" s="93"/>
      <c r="D14" s="18" t="s">
        <v>21</v>
      </c>
      <c r="E14" s="18" t="s">
        <v>22</v>
      </c>
      <c r="F14" s="19"/>
      <c r="G14" s="19">
        <v>68.2</v>
      </c>
      <c r="H14" s="20">
        <v>64.5</v>
      </c>
      <c r="I14" s="20">
        <v>69.900000000000006</v>
      </c>
      <c r="J14" s="19">
        <v>61.4</v>
      </c>
      <c r="K14" s="19">
        <v>63.2</v>
      </c>
      <c r="L14" s="20">
        <v>62.7</v>
      </c>
      <c r="M14" s="20">
        <v>65.7</v>
      </c>
      <c r="N14" s="19"/>
      <c r="O14" s="19">
        <v>73.5</v>
      </c>
      <c r="P14" s="20"/>
      <c r="Q14" s="20"/>
    </row>
    <row r="15" spans="2:17" ht="20.100000000000001" customHeight="1" x14ac:dyDescent="0.25">
      <c r="B15" s="93" t="s">
        <v>26</v>
      </c>
      <c r="C15" s="93"/>
      <c r="D15" s="18" t="s">
        <v>21</v>
      </c>
      <c r="E15" s="18" t="s">
        <v>22</v>
      </c>
      <c r="F15" s="19"/>
      <c r="G15" s="19">
        <v>97.7</v>
      </c>
      <c r="H15" s="20">
        <v>49.2</v>
      </c>
      <c r="I15" s="20">
        <v>54.5</v>
      </c>
      <c r="J15" s="19">
        <v>39.5</v>
      </c>
      <c r="K15" s="19">
        <v>38.9</v>
      </c>
      <c r="L15" s="20">
        <v>34.5</v>
      </c>
      <c r="M15" s="20">
        <v>33.5</v>
      </c>
      <c r="N15" s="19"/>
      <c r="O15" s="19">
        <v>50.9</v>
      </c>
      <c r="P15" s="20"/>
      <c r="Q15" s="20"/>
    </row>
    <row r="16" spans="2:17" ht="20.100000000000001" customHeight="1" x14ac:dyDescent="0.25">
      <c r="B16" s="113" t="s">
        <v>27</v>
      </c>
      <c r="C16" s="21" t="s">
        <v>28</v>
      </c>
      <c r="D16" s="18" t="s">
        <v>29</v>
      </c>
      <c r="E16" s="18" t="s">
        <v>30</v>
      </c>
      <c r="F16" s="19"/>
      <c r="G16" s="19">
        <v>6.6</v>
      </c>
      <c r="H16" s="20">
        <v>6.6</v>
      </c>
      <c r="I16" s="19">
        <v>6.6</v>
      </c>
      <c r="J16" s="19">
        <v>6.6</v>
      </c>
      <c r="K16" s="19">
        <v>6.6</v>
      </c>
      <c r="L16" s="20">
        <v>6.6</v>
      </c>
      <c r="M16" s="19">
        <v>6.6</v>
      </c>
      <c r="N16" s="19"/>
      <c r="O16" s="19">
        <v>6.6</v>
      </c>
      <c r="P16" s="20"/>
      <c r="Q16" s="20"/>
    </row>
    <row r="17" spans="2:17" ht="20.100000000000001" customHeight="1" x14ac:dyDescent="0.25">
      <c r="B17" s="113"/>
      <c r="C17" s="21" t="s">
        <v>31</v>
      </c>
      <c r="D17" s="18" t="s">
        <v>32</v>
      </c>
      <c r="E17" s="18" t="s">
        <v>33</v>
      </c>
      <c r="F17" s="19"/>
      <c r="G17" s="19">
        <v>118.5</v>
      </c>
      <c r="H17" s="20">
        <v>116.5</v>
      </c>
      <c r="I17" s="20">
        <v>117.7</v>
      </c>
      <c r="J17" s="19">
        <v>115.8</v>
      </c>
      <c r="K17" s="19">
        <v>118.3</v>
      </c>
      <c r="L17" s="20">
        <v>119.2</v>
      </c>
      <c r="M17" s="20">
        <v>116.4</v>
      </c>
      <c r="N17" s="19"/>
      <c r="O17" s="19">
        <v>117.8</v>
      </c>
      <c r="P17" s="20"/>
      <c r="Q17" s="20"/>
    </row>
    <row r="18" spans="2:17" ht="20.100000000000001" customHeight="1" x14ac:dyDescent="0.25">
      <c r="B18" s="113"/>
      <c r="C18" s="21" t="s">
        <v>34</v>
      </c>
      <c r="D18" s="18" t="s">
        <v>35</v>
      </c>
      <c r="E18" s="18" t="s">
        <v>36</v>
      </c>
      <c r="F18" s="19"/>
      <c r="G18" s="19">
        <v>1156</v>
      </c>
      <c r="H18" s="20">
        <v>1182</v>
      </c>
      <c r="I18" s="20">
        <v>1186</v>
      </c>
      <c r="J18" s="19">
        <v>1180</v>
      </c>
      <c r="K18" s="19">
        <v>1193</v>
      </c>
      <c r="L18" s="20">
        <v>1208</v>
      </c>
      <c r="M18" s="20">
        <v>1180</v>
      </c>
      <c r="N18" s="19"/>
      <c r="O18" s="19">
        <v>1194</v>
      </c>
      <c r="P18" s="20"/>
      <c r="Q18" s="20"/>
    </row>
    <row r="19" spans="2:17" ht="20.100000000000001" customHeight="1" x14ac:dyDescent="0.25">
      <c r="B19" s="113" t="s">
        <v>37</v>
      </c>
      <c r="C19" s="21" t="s">
        <v>38</v>
      </c>
      <c r="D19" s="18" t="s">
        <v>39</v>
      </c>
      <c r="E19" s="22" t="s">
        <v>40</v>
      </c>
      <c r="F19" s="19"/>
      <c r="G19" s="19">
        <v>47002.2</v>
      </c>
      <c r="H19" s="20">
        <v>47890.9</v>
      </c>
      <c r="I19" s="20">
        <v>47880.7</v>
      </c>
      <c r="J19" s="19">
        <v>45534.6</v>
      </c>
      <c r="K19" s="19">
        <v>45524.4</v>
      </c>
      <c r="L19" s="20">
        <v>47846.5</v>
      </c>
      <c r="M19" s="20">
        <v>47836.3</v>
      </c>
      <c r="N19" s="19"/>
      <c r="O19" s="19">
        <v>47126.2</v>
      </c>
      <c r="P19" s="20"/>
      <c r="Q19" s="20"/>
    </row>
    <row r="20" spans="2:17" ht="20.100000000000001" customHeight="1" x14ac:dyDescent="0.25">
      <c r="B20" s="113"/>
      <c r="C20" s="21" t="s">
        <v>41</v>
      </c>
      <c r="D20" s="18" t="s">
        <v>42</v>
      </c>
      <c r="E20" s="18" t="s">
        <v>43</v>
      </c>
      <c r="F20" s="19"/>
      <c r="G20" s="19"/>
      <c r="H20" s="20"/>
      <c r="I20" s="20"/>
      <c r="J20" s="19"/>
      <c r="K20" s="19"/>
      <c r="L20" s="20"/>
      <c r="M20" s="20"/>
      <c r="N20" s="19"/>
      <c r="O20" s="19"/>
      <c r="P20" s="20"/>
      <c r="Q20" s="20"/>
    </row>
    <row r="21" spans="2:17" ht="20.100000000000001" customHeight="1" x14ac:dyDescent="0.25">
      <c r="B21" s="113"/>
      <c r="C21" s="21" t="s">
        <v>44</v>
      </c>
      <c r="D21" s="18" t="s">
        <v>42</v>
      </c>
      <c r="E21" s="18" t="s">
        <v>45</v>
      </c>
      <c r="F21" s="19"/>
      <c r="G21" s="19"/>
      <c r="H21" s="20"/>
      <c r="I21" s="20"/>
      <c r="J21" s="19"/>
      <c r="K21" s="19"/>
      <c r="L21" s="20"/>
      <c r="M21" s="20"/>
      <c r="N21" s="19"/>
      <c r="O21" s="19"/>
      <c r="P21" s="20"/>
      <c r="Q21" s="20"/>
    </row>
    <row r="22" spans="2:17" ht="20.100000000000001" customHeight="1" x14ac:dyDescent="0.25">
      <c r="B22" s="113"/>
      <c r="C22" s="21" t="s">
        <v>46</v>
      </c>
      <c r="D22" s="18" t="s">
        <v>42</v>
      </c>
      <c r="E22" s="18" t="s">
        <v>47</v>
      </c>
      <c r="F22" s="19"/>
      <c r="G22" s="19">
        <v>58.4</v>
      </c>
      <c r="H22" s="20">
        <v>59.2</v>
      </c>
      <c r="I22" s="20">
        <v>59.2</v>
      </c>
      <c r="J22" s="19">
        <v>57.8</v>
      </c>
      <c r="K22" s="19">
        <v>57.5</v>
      </c>
      <c r="L22" s="20">
        <v>57.4</v>
      </c>
      <c r="M22" s="20">
        <v>57.4</v>
      </c>
      <c r="N22" s="19"/>
      <c r="O22" s="19">
        <v>58.7</v>
      </c>
      <c r="P22" s="20"/>
      <c r="Q22" s="20"/>
    </row>
    <row r="23" spans="2:17" ht="60" x14ac:dyDescent="0.25">
      <c r="B23" s="113"/>
      <c r="C23" s="23" t="s">
        <v>48</v>
      </c>
      <c r="D23" s="19" t="s">
        <v>49</v>
      </c>
      <c r="E23" s="24" t="s">
        <v>50</v>
      </c>
      <c r="F23" s="19"/>
      <c r="G23" s="19">
        <v>0.52</v>
      </c>
      <c r="H23" s="20">
        <v>0.49</v>
      </c>
      <c r="I23" s="20">
        <v>0.84</v>
      </c>
      <c r="J23" s="19">
        <v>0.59</v>
      </c>
      <c r="K23" s="19">
        <v>0.59</v>
      </c>
      <c r="L23" s="20">
        <v>0.53</v>
      </c>
      <c r="M23" s="20">
        <v>0.52</v>
      </c>
      <c r="N23" s="19"/>
      <c r="O23" s="19">
        <v>0.49</v>
      </c>
      <c r="P23" s="20"/>
      <c r="Q23" s="20"/>
    </row>
    <row r="24" spans="2:17" ht="39.75" customHeight="1" x14ac:dyDescent="0.25">
      <c r="B24" s="113"/>
      <c r="C24" s="23" t="s">
        <v>51</v>
      </c>
      <c r="D24" s="18"/>
      <c r="E24" s="18"/>
      <c r="F24" s="19"/>
      <c r="G24" s="19"/>
      <c r="H24" s="20"/>
      <c r="I24" s="20"/>
      <c r="J24" s="19"/>
      <c r="K24" s="19"/>
      <c r="L24" s="20"/>
      <c r="M24" s="20"/>
      <c r="N24" s="19"/>
      <c r="O24" s="19"/>
      <c r="P24" s="20"/>
      <c r="Q24" s="20"/>
    </row>
    <row r="25" spans="2:17" ht="20.100000000000001" customHeight="1" x14ac:dyDescent="0.25">
      <c r="B25" s="113"/>
      <c r="C25" s="21" t="s">
        <v>52</v>
      </c>
      <c r="D25" s="18" t="s">
        <v>42</v>
      </c>
      <c r="E25" s="18" t="s">
        <v>53</v>
      </c>
      <c r="F25" s="19"/>
      <c r="G25" s="19">
        <v>45.2</v>
      </c>
      <c r="H25" s="20">
        <v>44.8</v>
      </c>
      <c r="I25" s="20">
        <v>44.7</v>
      </c>
      <c r="J25" s="19">
        <v>45</v>
      </c>
      <c r="K25" s="19">
        <v>44.8</v>
      </c>
      <c r="L25" s="20">
        <v>45.1</v>
      </c>
      <c r="M25" s="20">
        <v>44.9</v>
      </c>
      <c r="N25" s="19"/>
      <c r="O25" s="19">
        <v>44.9</v>
      </c>
      <c r="P25" s="20"/>
      <c r="Q25" s="20"/>
    </row>
    <row r="26" spans="2:17" ht="20.100000000000001" customHeight="1" x14ac:dyDescent="0.25">
      <c r="B26" s="113" t="s">
        <v>54</v>
      </c>
      <c r="C26" s="21" t="s">
        <v>55</v>
      </c>
      <c r="D26" s="18" t="s">
        <v>49</v>
      </c>
      <c r="E26" s="25" t="s">
        <v>56</v>
      </c>
      <c r="F26" s="19"/>
      <c r="G26" s="19">
        <v>0.23</v>
      </c>
      <c r="H26" s="20">
        <v>0.21</v>
      </c>
      <c r="I26" s="20">
        <v>0.22</v>
      </c>
      <c r="J26" s="19">
        <v>0.23</v>
      </c>
      <c r="K26" s="19">
        <v>0.23</v>
      </c>
      <c r="L26" s="20">
        <v>0.22</v>
      </c>
      <c r="M26" s="20">
        <v>0.23</v>
      </c>
      <c r="N26" s="19"/>
      <c r="O26" s="19">
        <v>0.23</v>
      </c>
      <c r="P26" s="20"/>
      <c r="Q26" s="20"/>
    </row>
    <row r="27" spans="2:17" ht="20.100000000000001" customHeight="1" x14ac:dyDescent="0.25">
      <c r="B27" s="113"/>
      <c r="C27" s="21" t="s">
        <v>57</v>
      </c>
      <c r="D27" s="18" t="s">
        <v>42</v>
      </c>
      <c r="E27" s="18" t="s">
        <v>43</v>
      </c>
      <c r="F27" s="19"/>
      <c r="G27" s="19">
        <v>3.9</v>
      </c>
      <c r="H27" s="20">
        <v>3</v>
      </c>
      <c r="I27" s="20">
        <v>3.9</v>
      </c>
      <c r="J27" s="19">
        <v>4.3</v>
      </c>
      <c r="K27" s="19">
        <v>4.0999999999999996</v>
      </c>
      <c r="L27" s="20">
        <v>4.4000000000000004</v>
      </c>
      <c r="M27" s="20">
        <v>3.8</v>
      </c>
      <c r="N27" s="19"/>
      <c r="O27" s="19">
        <v>4.8</v>
      </c>
      <c r="P27" s="20"/>
      <c r="Q27" s="20"/>
    </row>
    <row r="28" spans="2:17" ht="20.100000000000001" customHeight="1" x14ac:dyDescent="0.25">
      <c r="B28" s="113"/>
      <c r="C28" s="21" t="s">
        <v>58</v>
      </c>
      <c r="D28" s="18" t="s">
        <v>42</v>
      </c>
      <c r="E28" s="18" t="s">
        <v>43</v>
      </c>
      <c r="F28" s="19"/>
      <c r="G28" s="19">
        <v>3.6</v>
      </c>
      <c r="H28" s="20">
        <v>2.1</v>
      </c>
      <c r="I28" s="20">
        <v>2.9</v>
      </c>
      <c r="J28" s="19">
        <v>3.4</v>
      </c>
      <c r="K28" s="19">
        <v>3.3</v>
      </c>
      <c r="L28" s="20">
        <v>3.4</v>
      </c>
      <c r="M28" s="20">
        <v>3.1</v>
      </c>
      <c r="N28" s="19"/>
      <c r="O28" s="19">
        <v>3.1</v>
      </c>
      <c r="P28" s="20"/>
      <c r="Q28" s="20"/>
    </row>
    <row r="29" spans="2:17" ht="20.100000000000001" customHeight="1" x14ac:dyDescent="0.25">
      <c r="B29" s="113"/>
      <c r="C29" s="21" t="s">
        <v>59</v>
      </c>
      <c r="D29" s="18" t="s">
        <v>42</v>
      </c>
      <c r="E29" s="18" t="s">
        <v>43</v>
      </c>
      <c r="F29" s="26">
        <f>F32-F28</f>
        <v>0</v>
      </c>
      <c r="G29" s="26">
        <f t="shared" ref="G29:Q29" si="0">G32-G28</f>
        <v>0.99999999999999956</v>
      </c>
      <c r="H29" s="26">
        <f t="shared" si="0"/>
        <v>2.4</v>
      </c>
      <c r="I29" s="26">
        <f t="shared" si="0"/>
        <v>1.9</v>
      </c>
      <c r="J29" s="26">
        <f t="shared" si="0"/>
        <v>0.69999999999999973</v>
      </c>
      <c r="K29" s="26">
        <f t="shared" si="0"/>
        <v>1.2000000000000002</v>
      </c>
      <c r="L29" s="26">
        <f t="shared" si="0"/>
        <v>1.3000000000000003</v>
      </c>
      <c r="M29" s="26">
        <f t="shared" si="0"/>
        <v>0.79999999999999982</v>
      </c>
      <c r="N29" s="26">
        <f>N32-N28</f>
        <v>0</v>
      </c>
      <c r="O29" s="26">
        <f t="shared" si="0"/>
        <v>1.4999999999999996</v>
      </c>
      <c r="P29" s="26">
        <f>P32-P28</f>
        <v>0</v>
      </c>
      <c r="Q29" s="26">
        <f t="shared" si="0"/>
        <v>0</v>
      </c>
    </row>
    <row r="30" spans="2:17" ht="20.100000000000001" customHeight="1" x14ac:dyDescent="0.25">
      <c r="B30" s="113"/>
      <c r="C30" s="21" t="s">
        <v>60</v>
      </c>
      <c r="D30" s="18" t="s">
        <v>61</v>
      </c>
      <c r="E30" s="18" t="s">
        <v>62</v>
      </c>
      <c r="F30" s="19"/>
      <c r="G30" s="19">
        <v>682.72</v>
      </c>
      <c r="H30" s="20">
        <v>676.8</v>
      </c>
      <c r="I30" s="20">
        <v>659.2</v>
      </c>
      <c r="J30" s="19">
        <v>681.7</v>
      </c>
      <c r="K30" s="19">
        <v>634.08000000000004</v>
      </c>
      <c r="L30" s="20">
        <v>745.5</v>
      </c>
      <c r="M30" s="20">
        <v>639.6</v>
      </c>
      <c r="N30" s="19"/>
      <c r="O30" s="19">
        <v>669.76</v>
      </c>
      <c r="P30" s="20"/>
      <c r="Q30" s="20"/>
    </row>
    <row r="31" spans="2:17" ht="20.100000000000001" customHeight="1" x14ac:dyDescent="0.25">
      <c r="B31" s="113"/>
      <c r="C31" s="21" t="s">
        <v>63</v>
      </c>
      <c r="D31" s="18" t="s">
        <v>42</v>
      </c>
      <c r="E31" s="18">
        <v>13.5</v>
      </c>
      <c r="F31" s="19"/>
      <c r="G31" s="19">
        <v>13.2</v>
      </c>
      <c r="H31" s="20">
        <v>12.5</v>
      </c>
      <c r="I31" s="20">
        <v>13.2</v>
      </c>
      <c r="J31" s="19">
        <v>12.6</v>
      </c>
      <c r="K31" s="19">
        <v>13.4</v>
      </c>
      <c r="L31" s="20">
        <v>12.7</v>
      </c>
      <c r="M31" s="20">
        <v>13.2</v>
      </c>
      <c r="N31" s="19"/>
      <c r="O31" s="19">
        <v>13.2</v>
      </c>
      <c r="P31" s="20"/>
      <c r="Q31" s="20"/>
    </row>
    <row r="32" spans="2:17" ht="20.100000000000001" customHeight="1" x14ac:dyDescent="0.25">
      <c r="B32" s="113"/>
      <c r="C32" s="21" t="s">
        <v>64</v>
      </c>
      <c r="D32" s="18" t="s">
        <v>42</v>
      </c>
      <c r="E32" s="18">
        <v>4</v>
      </c>
      <c r="F32" s="19"/>
      <c r="G32" s="19">
        <v>4.5999999999999996</v>
      </c>
      <c r="H32" s="20">
        <v>4.5</v>
      </c>
      <c r="I32" s="20">
        <v>4.8</v>
      </c>
      <c r="J32" s="19">
        <v>4.0999999999999996</v>
      </c>
      <c r="K32" s="19">
        <v>4.5</v>
      </c>
      <c r="L32" s="20">
        <v>4.7</v>
      </c>
      <c r="M32" s="20">
        <v>3.9</v>
      </c>
      <c r="N32" s="19"/>
      <c r="O32" s="19">
        <v>4.5999999999999996</v>
      </c>
      <c r="P32" s="20"/>
      <c r="Q32" s="20"/>
    </row>
    <row r="33" spans="2:17" ht="20.100000000000001" customHeight="1" x14ac:dyDescent="0.25">
      <c r="B33" s="113"/>
      <c r="C33" s="21" t="s">
        <v>65</v>
      </c>
      <c r="D33" s="18" t="s">
        <v>42</v>
      </c>
      <c r="E33" s="18">
        <v>9.5</v>
      </c>
      <c r="F33" s="26">
        <f>F31-F32</f>
        <v>0</v>
      </c>
      <c r="G33" s="26">
        <f t="shared" ref="G33:Q33" si="1">G31-G32</f>
        <v>8.6</v>
      </c>
      <c r="H33" s="26">
        <f t="shared" si="1"/>
        <v>8</v>
      </c>
      <c r="I33" s="26">
        <f t="shared" si="1"/>
        <v>8.3999999999999986</v>
      </c>
      <c r="J33" s="26">
        <f t="shared" si="1"/>
        <v>8.5</v>
      </c>
      <c r="K33" s="26">
        <f t="shared" si="1"/>
        <v>8.9</v>
      </c>
      <c r="L33" s="26">
        <f t="shared" si="1"/>
        <v>7.9999999999999991</v>
      </c>
      <c r="M33" s="26">
        <f t="shared" si="1"/>
        <v>9.2999999999999989</v>
      </c>
      <c r="N33" s="26">
        <f t="shared" si="1"/>
        <v>0</v>
      </c>
      <c r="O33" s="26">
        <f t="shared" si="1"/>
        <v>8.6</v>
      </c>
      <c r="P33" s="26">
        <f t="shared" si="1"/>
        <v>0</v>
      </c>
      <c r="Q33" s="26">
        <f t="shared" si="1"/>
        <v>0</v>
      </c>
    </row>
    <row r="34" spans="2:17" ht="20.100000000000001" customHeight="1" x14ac:dyDescent="0.25">
      <c r="B34" s="113"/>
      <c r="C34" s="21" t="s">
        <v>66</v>
      </c>
      <c r="D34" s="18" t="s">
        <v>67</v>
      </c>
      <c r="E34" s="18" t="s">
        <v>68</v>
      </c>
      <c r="F34" s="27">
        <f>(F33*F30)/0.866</f>
        <v>0</v>
      </c>
      <c r="G34" s="27">
        <f t="shared" ref="G34:Q34" si="2">(G33*G30)/0.866</f>
        <v>6779.8983833718239</v>
      </c>
      <c r="H34" s="27">
        <f t="shared" si="2"/>
        <v>6252.1939953810615</v>
      </c>
      <c r="I34" s="27">
        <f t="shared" si="2"/>
        <v>6394.087759815242</v>
      </c>
      <c r="J34" s="27">
        <f t="shared" si="2"/>
        <v>6691.0508083140885</v>
      </c>
      <c r="K34" s="27">
        <f t="shared" si="2"/>
        <v>6516.5265588914563</v>
      </c>
      <c r="L34" s="27">
        <f t="shared" si="2"/>
        <v>6886.8360277136253</v>
      </c>
      <c r="M34" s="27">
        <f t="shared" si="2"/>
        <v>6868.6836027713625</v>
      </c>
      <c r="N34" s="27">
        <f t="shared" si="2"/>
        <v>0</v>
      </c>
      <c r="O34" s="27">
        <f t="shared" si="2"/>
        <v>6651.1963048498847</v>
      </c>
      <c r="P34" s="27">
        <f t="shared" si="2"/>
        <v>0</v>
      </c>
      <c r="Q34" s="27">
        <f t="shared" si="2"/>
        <v>0</v>
      </c>
    </row>
    <row r="35" spans="2:17" ht="20.100000000000001" customHeight="1" x14ac:dyDescent="0.25">
      <c r="B35" s="113" t="s">
        <v>69</v>
      </c>
      <c r="C35" s="21" t="s">
        <v>70</v>
      </c>
      <c r="D35" s="18" t="s">
        <v>49</v>
      </c>
      <c r="E35" s="18" t="s">
        <v>71</v>
      </c>
      <c r="F35" s="19"/>
      <c r="G35" s="19">
        <v>0.82</v>
      </c>
      <c r="H35" s="20">
        <v>0.84</v>
      </c>
      <c r="I35" s="20">
        <v>0.84</v>
      </c>
      <c r="J35" s="19">
        <v>0.83</v>
      </c>
      <c r="K35" s="19">
        <v>0.84</v>
      </c>
      <c r="L35" s="20">
        <v>0.84</v>
      </c>
      <c r="M35" s="20">
        <v>0.83</v>
      </c>
      <c r="N35" s="19"/>
      <c r="O35" s="19">
        <v>0.82</v>
      </c>
      <c r="P35" s="20"/>
      <c r="Q35" s="20"/>
    </row>
    <row r="36" spans="2:17" ht="20.100000000000001" customHeight="1" x14ac:dyDescent="0.25">
      <c r="B36" s="113"/>
      <c r="C36" s="21" t="s">
        <v>72</v>
      </c>
      <c r="D36" s="18" t="s">
        <v>42</v>
      </c>
      <c r="E36" s="18" t="s">
        <v>43</v>
      </c>
      <c r="F36" s="19"/>
      <c r="G36" s="19">
        <v>35.799999999999997</v>
      </c>
      <c r="H36" s="20">
        <v>36.700000000000003</v>
      </c>
      <c r="I36" s="20">
        <v>36.6</v>
      </c>
      <c r="J36" s="19">
        <v>36.200000000000003</v>
      </c>
      <c r="K36" s="19">
        <v>36.799999999999997</v>
      </c>
      <c r="L36" s="20">
        <v>36.9</v>
      </c>
      <c r="M36" s="20">
        <v>36.5</v>
      </c>
      <c r="N36" s="19"/>
      <c r="O36" s="19">
        <v>36.200000000000003</v>
      </c>
      <c r="P36" s="20"/>
      <c r="Q36" s="20"/>
    </row>
    <row r="37" spans="2:17" ht="20.100000000000001" customHeight="1" x14ac:dyDescent="0.25">
      <c r="B37" s="113"/>
      <c r="C37" s="21" t="s">
        <v>73</v>
      </c>
      <c r="D37" s="18" t="s">
        <v>42</v>
      </c>
      <c r="E37" s="18" t="s">
        <v>43</v>
      </c>
      <c r="F37" s="19"/>
      <c r="G37" s="19">
        <v>36.299999999999997</v>
      </c>
      <c r="H37" s="20">
        <v>37.5</v>
      </c>
      <c r="I37" s="20">
        <v>37.4</v>
      </c>
      <c r="J37" s="19">
        <v>36.9</v>
      </c>
      <c r="K37" s="19">
        <v>37.4</v>
      </c>
      <c r="L37" s="20">
        <v>37.4</v>
      </c>
      <c r="M37" s="20">
        <v>36.9</v>
      </c>
      <c r="N37" s="19"/>
      <c r="O37" s="19">
        <v>36.4</v>
      </c>
      <c r="P37" s="20"/>
      <c r="Q37" s="20"/>
    </row>
    <row r="38" spans="2:17" ht="20.100000000000001" customHeight="1" x14ac:dyDescent="0.25">
      <c r="B38" s="113"/>
      <c r="C38" s="23" t="s">
        <v>74</v>
      </c>
      <c r="D38" s="18" t="s">
        <v>42</v>
      </c>
      <c r="E38" s="18"/>
      <c r="F38" s="26">
        <f>F37-F41</f>
        <v>0</v>
      </c>
      <c r="G38" s="26">
        <f t="shared" ref="G38:Q38" si="3">G37-G41</f>
        <v>3.2999999999999972</v>
      </c>
      <c r="H38" s="26">
        <f t="shared" si="3"/>
        <v>4.2999999999999972</v>
      </c>
      <c r="I38" s="26">
        <f t="shared" si="3"/>
        <v>4.7999999999999972</v>
      </c>
      <c r="J38" s="26">
        <f t="shared" si="3"/>
        <v>2.8999999999999986</v>
      </c>
      <c r="K38" s="26">
        <f t="shared" si="3"/>
        <v>4.3999999999999986</v>
      </c>
      <c r="L38" s="26">
        <f t="shared" si="3"/>
        <v>3.6000000000000014</v>
      </c>
      <c r="M38" s="26">
        <f t="shared" si="3"/>
        <v>4.2999999999999972</v>
      </c>
      <c r="N38" s="26">
        <f t="shared" si="3"/>
        <v>0</v>
      </c>
      <c r="O38" s="26">
        <f t="shared" si="3"/>
        <v>3.1999999999999957</v>
      </c>
      <c r="P38" s="26">
        <f t="shared" si="3"/>
        <v>0</v>
      </c>
      <c r="Q38" s="26">
        <f t="shared" si="3"/>
        <v>0</v>
      </c>
    </row>
    <row r="39" spans="2:17" ht="20.100000000000001" customHeight="1" x14ac:dyDescent="0.25">
      <c r="B39" s="113"/>
      <c r="C39" s="21" t="s">
        <v>75</v>
      </c>
      <c r="D39" s="18" t="s">
        <v>76</v>
      </c>
      <c r="E39" s="18"/>
      <c r="F39" s="19"/>
      <c r="G39" s="19"/>
      <c r="H39" s="20"/>
      <c r="I39" s="20"/>
      <c r="J39" s="19"/>
      <c r="K39" s="19"/>
      <c r="L39" s="20"/>
      <c r="M39" s="20"/>
      <c r="N39" s="19"/>
      <c r="O39" s="19"/>
      <c r="P39" s="20"/>
      <c r="Q39" s="20"/>
    </row>
    <row r="40" spans="2:17" ht="20.100000000000001" customHeight="1" x14ac:dyDescent="0.25">
      <c r="B40" s="113"/>
      <c r="C40" s="21" t="s">
        <v>77</v>
      </c>
      <c r="D40" s="18" t="s">
        <v>42</v>
      </c>
      <c r="E40" s="18">
        <v>30.8</v>
      </c>
      <c r="F40" s="19"/>
      <c r="G40" s="19">
        <v>27.8</v>
      </c>
      <c r="H40" s="20">
        <v>28.3</v>
      </c>
      <c r="I40" s="20">
        <v>27.6</v>
      </c>
      <c r="J40" s="19">
        <v>28.5</v>
      </c>
      <c r="K40" s="19">
        <v>27.7</v>
      </c>
      <c r="L40" s="20">
        <v>28.5</v>
      </c>
      <c r="M40" s="20">
        <v>27.5</v>
      </c>
      <c r="N40" s="19"/>
      <c r="O40" s="19">
        <v>27.5</v>
      </c>
      <c r="P40" s="20"/>
      <c r="Q40" s="20"/>
    </row>
    <row r="41" spans="2:17" ht="20.100000000000001" customHeight="1" x14ac:dyDescent="0.25">
      <c r="B41" s="113"/>
      <c r="C41" s="21" t="s">
        <v>78</v>
      </c>
      <c r="D41" s="18" t="s">
        <v>42</v>
      </c>
      <c r="E41" s="18">
        <v>36.4</v>
      </c>
      <c r="F41" s="19"/>
      <c r="G41" s="19">
        <v>33</v>
      </c>
      <c r="H41" s="20">
        <v>33.200000000000003</v>
      </c>
      <c r="I41" s="20">
        <v>32.6</v>
      </c>
      <c r="J41" s="19">
        <v>34</v>
      </c>
      <c r="K41" s="19">
        <v>33</v>
      </c>
      <c r="L41" s="20">
        <v>33.799999999999997</v>
      </c>
      <c r="M41" s="20">
        <v>32.6</v>
      </c>
      <c r="N41" s="19"/>
      <c r="O41" s="19">
        <v>33.200000000000003</v>
      </c>
      <c r="P41" s="20"/>
      <c r="Q41" s="20"/>
    </row>
    <row r="42" spans="2:17" ht="20.100000000000001" customHeight="1" x14ac:dyDescent="0.25">
      <c r="B42" s="113"/>
      <c r="C42" s="21" t="s">
        <v>79</v>
      </c>
      <c r="D42" s="18" t="s">
        <v>42</v>
      </c>
      <c r="E42" s="18">
        <v>5.6</v>
      </c>
      <c r="F42" s="26">
        <f>F41-F40</f>
        <v>0</v>
      </c>
      <c r="G42" s="26">
        <f t="shared" ref="G42:Q42" si="4">G41-G40</f>
        <v>5.1999999999999993</v>
      </c>
      <c r="H42" s="26">
        <f t="shared" si="4"/>
        <v>4.9000000000000021</v>
      </c>
      <c r="I42" s="26">
        <f t="shared" si="4"/>
        <v>5</v>
      </c>
      <c r="J42" s="26">
        <f t="shared" si="4"/>
        <v>5.5</v>
      </c>
      <c r="K42" s="26">
        <f t="shared" si="4"/>
        <v>5.3000000000000007</v>
      </c>
      <c r="L42" s="26">
        <f t="shared" si="4"/>
        <v>5.2999999999999972</v>
      </c>
      <c r="M42" s="26">
        <f t="shared" si="4"/>
        <v>5.1000000000000014</v>
      </c>
      <c r="N42" s="26">
        <f t="shared" si="4"/>
        <v>0</v>
      </c>
      <c r="O42" s="26">
        <f t="shared" si="4"/>
        <v>5.7000000000000028</v>
      </c>
      <c r="P42" s="26">
        <f t="shared" si="4"/>
        <v>0</v>
      </c>
      <c r="Q42" s="26">
        <f t="shared" si="4"/>
        <v>0</v>
      </c>
    </row>
    <row r="43" spans="2:17" ht="20.100000000000001" customHeight="1" x14ac:dyDescent="0.25">
      <c r="B43" s="113"/>
      <c r="C43" s="21" t="s">
        <v>80</v>
      </c>
      <c r="D43" s="18" t="s">
        <v>61</v>
      </c>
      <c r="E43" s="18">
        <v>1273.0999999999999</v>
      </c>
      <c r="F43" s="19"/>
      <c r="G43" s="19">
        <v>1293.18</v>
      </c>
      <c r="H43" s="20">
        <v>1303.4000000000001</v>
      </c>
      <c r="I43" s="20">
        <v>1297.24</v>
      </c>
      <c r="J43" s="19">
        <v>1298.2</v>
      </c>
      <c r="K43" s="19">
        <v>1280.58</v>
      </c>
      <c r="L43" s="20">
        <v>1267.5</v>
      </c>
      <c r="M43" s="19">
        <v>1293.74</v>
      </c>
      <c r="N43" s="19"/>
      <c r="O43" s="19">
        <v>1145.06</v>
      </c>
      <c r="P43" s="20"/>
      <c r="Q43" s="20"/>
    </row>
    <row r="44" spans="2:17" ht="20.100000000000001" customHeight="1" x14ac:dyDescent="0.25">
      <c r="B44" s="113"/>
      <c r="C44" s="21" t="s">
        <v>81</v>
      </c>
      <c r="D44" s="18" t="s">
        <v>67</v>
      </c>
      <c r="E44" s="18">
        <v>8226.9</v>
      </c>
      <c r="F44" s="27">
        <f>F42*F43/0.866</f>
        <v>0</v>
      </c>
      <c r="G44" s="27">
        <f t="shared" ref="G44:Q44" si="5">G42*G43/0.866</f>
        <v>7765.0531177829089</v>
      </c>
      <c r="H44" s="27">
        <f t="shared" si="5"/>
        <v>7374.8960739030063</v>
      </c>
      <c r="I44" s="27">
        <f t="shared" si="5"/>
        <v>7489.8383371824475</v>
      </c>
      <c r="J44" s="27">
        <f t="shared" si="5"/>
        <v>8244.9191685912247</v>
      </c>
      <c r="K44" s="27">
        <f t="shared" si="5"/>
        <v>7837.2678983833721</v>
      </c>
      <c r="L44" s="27">
        <f t="shared" si="5"/>
        <v>7757.2170900692799</v>
      </c>
      <c r="M44" s="27">
        <f t="shared" si="5"/>
        <v>7619.0230946882239</v>
      </c>
      <c r="N44" s="27">
        <f t="shared" si="5"/>
        <v>0</v>
      </c>
      <c r="O44" s="27">
        <f t="shared" si="5"/>
        <v>7536.7690531177868</v>
      </c>
      <c r="P44" s="27">
        <f t="shared" si="5"/>
        <v>0</v>
      </c>
      <c r="Q44" s="27">
        <f t="shared" si="5"/>
        <v>0</v>
      </c>
    </row>
    <row r="45" spans="2:17" ht="20.100000000000001" customHeight="1" x14ac:dyDescent="0.25">
      <c r="B45" s="113" t="s">
        <v>82</v>
      </c>
      <c r="C45" s="21" t="s">
        <v>83</v>
      </c>
      <c r="D45" s="18" t="s">
        <v>49</v>
      </c>
      <c r="E45" s="18" t="s">
        <v>84</v>
      </c>
      <c r="F45" s="19"/>
      <c r="G45" s="19">
        <v>0.46</v>
      </c>
      <c r="H45" s="20">
        <v>0.45</v>
      </c>
      <c r="I45" s="20">
        <v>0.46</v>
      </c>
      <c r="J45" s="19">
        <v>0.46</v>
      </c>
      <c r="K45" s="19">
        <v>0.47</v>
      </c>
      <c r="L45" s="20">
        <v>0.47</v>
      </c>
      <c r="M45" s="20">
        <v>0.45</v>
      </c>
      <c r="N45" s="19"/>
      <c r="O45" s="19">
        <v>0.46</v>
      </c>
      <c r="P45" s="20"/>
      <c r="Q45" s="20"/>
    </row>
    <row r="46" spans="2:17" ht="20.100000000000001" customHeight="1" x14ac:dyDescent="0.25">
      <c r="B46" s="113"/>
      <c r="C46" s="21" t="s">
        <v>85</v>
      </c>
      <c r="D46" s="18" t="s">
        <v>42</v>
      </c>
      <c r="E46" s="18" t="s">
        <v>43</v>
      </c>
      <c r="F46" s="19"/>
      <c r="G46" s="19">
        <v>19.899999999999999</v>
      </c>
      <c r="H46" s="20">
        <v>19.2</v>
      </c>
      <c r="I46" s="20">
        <v>19.7</v>
      </c>
      <c r="J46" s="19">
        <v>19.5</v>
      </c>
      <c r="K46" s="19">
        <v>20.2</v>
      </c>
      <c r="L46" s="20">
        <v>20.3</v>
      </c>
      <c r="M46" s="20">
        <v>19.7</v>
      </c>
      <c r="N46" s="19"/>
      <c r="O46" s="19">
        <v>19.8</v>
      </c>
      <c r="P46" s="20"/>
      <c r="Q46" s="20"/>
    </row>
    <row r="47" spans="2:17" ht="20.100000000000001" customHeight="1" x14ac:dyDescent="0.25">
      <c r="B47" s="113"/>
      <c r="C47" s="21" t="s">
        <v>86</v>
      </c>
      <c r="D47" s="18" t="s">
        <v>76</v>
      </c>
      <c r="E47" s="18" t="s">
        <v>76</v>
      </c>
      <c r="F47" s="19"/>
      <c r="G47" s="19">
        <v>240.7</v>
      </c>
      <c r="H47" s="20">
        <v>117.8</v>
      </c>
      <c r="I47" s="20">
        <v>126.2</v>
      </c>
      <c r="J47" s="19">
        <v>205.2</v>
      </c>
      <c r="K47" s="19">
        <v>209.5</v>
      </c>
      <c r="L47" s="20">
        <v>215.7</v>
      </c>
      <c r="M47" s="20">
        <v>194.7</v>
      </c>
      <c r="N47" s="19"/>
      <c r="O47" s="19">
        <v>161</v>
      </c>
      <c r="P47" s="20"/>
      <c r="Q47" s="20"/>
    </row>
    <row r="48" spans="2:17" ht="20.100000000000001" customHeight="1" x14ac:dyDescent="0.25">
      <c r="B48" s="93" t="s">
        <v>87</v>
      </c>
      <c r="C48" s="93"/>
      <c r="D48" s="93"/>
      <c r="E48" s="28" t="s">
        <v>88</v>
      </c>
      <c r="F48" s="19"/>
      <c r="G48" s="19"/>
      <c r="H48" s="20"/>
      <c r="I48" s="20"/>
      <c r="J48" s="19"/>
      <c r="K48" s="19"/>
      <c r="L48" s="20"/>
      <c r="M48" s="20"/>
      <c r="N48" s="19"/>
      <c r="O48" s="19"/>
      <c r="P48" s="20"/>
      <c r="Q48" s="20"/>
    </row>
    <row r="49" spans="2:17" ht="20.100000000000001" customHeight="1" x14ac:dyDescent="0.25">
      <c r="B49" s="93" t="s">
        <v>89</v>
      </c>
      <c r="C49" s="93"/>
      <c r="D49" s="93"/>
      <c r="E49" s="92">
        <v>5.89</v>
      </c>
      <c r="F49" s="19"/>
      <c r="G49" s="19">
        <v>5.58</v>
      </c>
      <c r="H49" s="20">
        <v>5.18</v>
      </c>
      <c r="I49" s="20">
        <v>5.32</v>
      </c>
      <c r="J49" s="19">
        <v>5.29</v>
      </c>
      <c r="K49" s="19">
        <v>5.65</v>
      </c>
      <c r="L49" s="20">
        <v>4.8600000000000003</v>
      </c>
      <c r="M49" s="20">
        <v>5.72</v>
      </c>
      <c r="N49" s="19"/>
      <c r="O49" s="19">
        <v>5.46</v>
      </c>
      <c r="P49" s="20"/>
      <c r="Q49" s="20"/>
    </row>
    <row r="50" spans="2:17" ht="20.100000000000001" customHeight="1" x14ac:dyDescent="0.25">
      <c r="B50" s="93" t="s">
        <v>90</v>
      </c>
      <c r="C50" s="93"/>
      <c r="D50" s="93"/>
      <c r="E50" s="92"/>
      <c r="F50" s="19"/>
      <c r="G50" s="19"/>
      <c r="H50" s="20"/>
      <c r="I50" s="20"/>
      <c r="J50" s="19"/>
      <c r="K50" s="19"/>
      <c r="L50" s="20"/>
      <c r="M50" s="20"/>
      <c r="N50" s="19"/>
      <c r="O50" s="19"/>
      <c r="P50" s="20"/>
      <c r="Q50" s="20"/>
    </row>
    <row r="51" spans="2:17" ht="20.100000000000001" customHeight="1" thickBot="1" x14ac:dyDescent="0.3">
      <c r="B51" s="93" t="s">
        <v>91</v>
      </c>
      <c r="C51" s="93"/>
      <c r="D51" s="93"/>
      <c r="E51" s="91"/>
      <c r="F51" s="19"/>
      <c r="G51" s="19"/>
      <c r="H51" s="20"/>
      <c r="I51" s="20"/>
      <c r="J51" s="19"/>
      <c r="K51" s="19"/>
      <c r="L51" s="20"/>
      <c r="M51" s="20"/>
      <c r="N51" s="19"/>
      <c r="O51" s="19"/>
      <c r="P51" s="20"/>
      <c r="Q51" s="20"/>
    </row>
    <row r="52" spans="2:17" x14ac:dyDescent="0.25">
      <c r="B52" t="s">
        <v>92</v>
      </c>
      <c r="C52" s="1" t="s">
        <v>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 x14ac:dyDescent="0.25">
      <c r="C53" s="30" t="s">
        <v>94</v>
      </c>
      <c r="Q53" s="31"/>
    </row>
    <row r="54" spans="2:17" x14ac:dyDescent="0.25">
      <c r="C54" s="30" t="s">
        <v>95</v>
      </c>
      <c r="Q54" s="31"/>
    </row>
    <row r="55" spans="2:17" x14ac:dyDescent="0.25">
      <c r="C55" s="30"/>
      <c r="Q55" s="31"/>
    </row>
    <row r="56" spans="2:17" x14ac:dyDescent="0.25">
      <c r="C56" s="30"/>
      <c r="Q56" s="31"/>
    </row>
    <row r="57" spans="2:17" x14ac:dyDescent="0.25">
      <c r="C57" s="30" t="s">
        <v>96</v>
      </c>
      <c r="F57" s="32" t="b">
        <v>0</v>
      </c>
      <c r="G57" s="33" t="s">
        <v>97</v>
      </c>
      <c r="Q57" s="31"/>
    </row>
    <row r="58" spans="2:17" x14ac:dyDescent="0.25">
      <c r="C58" s="30" t="s">
        <v>96</v>
      </c>
      <c r="F58" s="19" t="s">
        <v>98</v>
      </c>
      <c r="G58" s="34" t="s">
        <v>99</v>
      </c>
      <c r="Q58" s="31"/>
    </row>
    <row r="59" spans="2:17" ht="15.75" thickBot="1" x14ac:dyDescent="0.3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Haidir Mustafa</dc:creator>
  <cp:lastModifiedBy>Haidir Mustafa</cp:lastModifiedBy>
  <dcterms:created xsi:type="dcterms:W3CDTF">2024-08-01T16:14:36Z</dcterms:created>
  <dcterms:modified xsi:type="dcterms:W3CDTF">2024-09-05T04:27:41Z</dcterms:modified>
</cp:coreProperties>
</file>