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DCP OFFICIAL\Load profile\CHILLER LOG\6\"/>
    </mc:Choice>
  </mc:AlternateContent>
  <xr:revisionPtr revIDLastSave="0" documentId="13_ncr:1_{B8CF9105-402A-4D63-B1F1-A493BE945FA5}" xr6:coauthVersionLast="47" xr6:coauthVersionMax="47" xr10:uidLastSave="{00000000-0000-0000-0000-000000000000}"/>
  <bookViews>
    <workbookView xWindow="-120" yWindow="-120" windowWidth="29040" windowHeight="15720" firstSheet="12" activeTab="25" xr2:uid="{00000000-000D-0000-FFFF-FFFF00000000}"/>
  </bookViews>
  <sheets>
    <sheet name="5" sheetId="1" r:id="rId1"/>
    <sheet name="6" sheetId="2" r:id="rId2"/>
    <sheet name="7" sheetId="3" r:id="rId3"/>
    <sheet name="8" sheetId="4" r:id="rId4"/>
    <sheet name="9" sheetId="9" r:id="rId5"/>
    <sheet name="10" sheetId="6" r:id="rId6"/>
    <sheet name="11" sheetId="10" r:id="rId7"/>
    <sheet name="12" sheetId="11" r:id="rId8"/>
    <sheet name="13" sheetId="12" r:id="rId9"/>
    <sheet name="14" sheetId="13" r:id="rId10"/>
    <sheet name="15" sheetId="14" r:id="rId11"/>
    <sheet name="16" sheetId="15" r:id="rId12"/>
    <sheet name="17" sheetId="16" r:id="rId13"/>
    <sheet name="18" sheetId="17" r:id="rId14"/>
    <sheet name="19" sheetId="18" r:id="rId15"/>
    <sheet name="20" sheetId="19" r:id="rId16"/>
    <sheet name="21" sheetId="20" r:id="rId17"/>
    <sheet name="22" sheetId="21" r:id="rId18"/>
    <sheet name="23" sheetId="23" r:id="rId19"/>
    <sheet name="24" sheetId="25" r:id="rId20"/>
    <sheet name="25" sheetId="26" r:id="rId21"/>
    <sheet name="26" sheetId="27" r:id="rId22"/>
    <sheet name="27" sheetId="28" r:id="rId23"/>
    <sheet name="28" sheetId="29" r:id="rId24"/>
    <sheet name="29" sheetId="30" r:id="rId25"/>
    <sheet name="30" sheetId="3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4" i="31" l="1"/>
  <c r="H44" i="31"/>
  <c r="I44" i="31"/>
  <c r="J44" i="31"/>
  <c r="K44" i="31"/>
  <c r="L44" i="31"/>
  <c r="M44" i="31"/>
  <c r="N44" i="31"/>
  <c r="O44" i="31"/>
  <c r="P44" i="31"/>
  <c r="Q44" i="31"/>
  <c r="G42" i="31"/>
  <c r="H42" i="31"/>
  <c r="I42" i="31"/>
  <c r="J42" i="31"/>
  <c r="K42" i="31"/>
  <c r="L42" i="31"/>
  <c r="M42" i="31"/>
  <c r="N42" i="31"/>
  <c r="O42" i="31"/>
  <c r="P42" i="31"/>
  <c r="Q42" i="31"/>
  <c r="G38" i="31"/>
  <c r="H38" i="31"/>
  <c r="I38" i="31"/>
  <c r="J38" i="31"/>
  <c r="K38" i="31"/>
  <c r="L38" i="31"/>
  <c r="M38" i="31"/>
  <c r="N38" i="31"/>
  <c r="O38" i="31"/>
  <c r="P38" i="31"/>
  <c r="Q38" i="31"/>
  <c r="G34" i="31"/>
  <c r="H34" i="31"/>
  <c r="I34" i="31"/>
  <c r="J34" i="31"/>
  <c r="K34" i="31"/>
  <c r="L34" i="31"/>
  <c r="M34" i="31"/>
  <c r="N34" i="31"/>
  <c r="O34" i="31"/>
  <c r="P34" i="31"/>
  <c r="Q34" i="31"/>
  <c r="G33" i="31"/>
  <c r="H33" i="31"/>
  <c r="I33" i="31"/>
  <c r="J33" i="31"/>
  <c r="K33" i="31"/>
  <c r="L33" i="31"/>
  <c r="M33" i="31"/>
  <c r="N33" i="31"/>
  <c r="O33" i="31"/>
  <c r="P33" i="31"/>
  <c r="Q33" i="31"/>
  <c r="G29" i="31"/>
  <c r="H29" i="31"/>
  <c r="I29" i="31"/>
  <c r="J29" i="31"/>
  <c r="K29" i="31"/>
  <c r="L29" i="31"/>
  <c r="M29" i="31"/>
  <c r="N29" i="31"/>
  <c r="O29" i="31"/>
  <c r="P29" i="31"/>
  <c r="Q29" i="31"/>
  <c r="F29" i="31"/>
  <c r="F42" i="31"/>
  <c r="F44" i="31" s="1"/>
  <c r="F38" i="31"/>
  <c r="F33" i="31"/>
  <c r="F34" i="31" s="1"/>
  <c r="Q42" i="30"/>
  <c r="Q44" i="30" s="1"/>
  <c r="P42" i="30"/>
  <c r="P44" i="30" s="1"/>
  <c r="O42" i="30"/>
  <c r="O44" i="30" s="1"/>
  <c r="N42" i="30"/>
  <c r="N44" i="30" s="1"/>
  <c r="M42" i="30"/>
  <c r="M44" i="30" s="1"/>
  <c r="L42" i="30"/>
  <c r="L44" i="30" s="1"/>
  <c r="K42" i="30"/>
  <c r="K44" i="30" s="1"/>
  <c r="J42" i="30"/>
  <c r="J44" i="30" s="1"/>
  <c r="I42" i="30"/>
  <c r="I44" i="30" s="1"/>
  <c r="H42" i="30"/>
  <c r="H44" i="30" s="1"/>
  <c r="G42" i="30"/>
  <c r="G44" i="30" s="1"/>
  <c r="F42" i="30"/>
  <c r="F44" i="30" s="1"/>
  <c r="Q38" i="30"/>
  <c r="P38" i="30"/>
  <c r="O38" i="30"/>
  <c r="N38" i="30"/>
  <c r="M38" i="30"/>
  <c r="L38" i="30"/>
  <c r="K38" i="30"/>
  <c r="J38" i="30"/>
  <c r="I38" i="30"/>
  <c r="H38" i="30"/>
  <c r="G38" i="30"/>
  <c r="F38" i="30"/>
  <c r="Q33" i="30"/>
  <c r="Q34" i="30" s="1"/>
  <c r="P33" i="30"/>
  <c r="P34" i="30" s="1"/>
  <c r="O33" i="30"/>
  <c r="O34" i="30" s="1"/>
  <c r="N33" i="30"/>
  <c r="N34" i="30" s="1"/>
  <c r="M33" i="30"/>
  <c r="M34" i="30" s="1"/>
  <c r="L33" i="30"/>
  <c r="L34" i="30" s="1"/>
  <c r="K33" i="30"/>
  <c r="K34" i="30" s="1"/>
  <c r="J33" i="30"/>
  <c r="J34" i="30" s="1"/>
  <c r="I33" i="30"/>
  <c r="I34" i="30" s="1"/>
  <c r="H33" i="30"/>
  <c r="H34" i="30" s="1"/>
  <c r="G33" i="30"/>
  <c r="G34" i="30" s="1"/>
  <c r="F33" i="30"/>
  <c r="F34" i="30" s="1"/>
  <c r="Q29" i="30"/>
  <c r="P29" i="30"/>
  <c r="O29" i="30"/>
  <c r="N29" i="30"/>
  <c r="M29" i="30"/>
  <c r="L29" i="30"/>
  <c r="K29" i="30"/>
  <c r="J29" i="30"/>
  <c r="I29" i="30"/>
  <c r="H29" i="30"/>
  <c r="G29" i="30"/>
  <c r="Q29" i="29"/>
  <c r="O29" i="29"/>
  <c r="M29" i="29"/>
  <c r="I29" i="29"/>
  <c r="G29" i="29"/>
  <c r="P29" i="29"/>
  <c r="L29" i="29"/>
  <c r="F29" i="29"/>
  <c r="H29" i="29"/>
  <c r="N44" i="29"/>
  <c r="K44" i="29"/>
  <c r="I44" i="29"/>
  <c r="H44" i="29"/>
  <c r="Q42" i="29"/>
  <c r="Q44" i="29" s="1"/>
  <c r="P42" i="29"/>
  <c r="P44" i="29" s="1"/>
  <c r="O42" i="29"/>
  <c r="O44" i="29" s="1"/>
  <c r="N42" i="29"/>
  <c r="M42" i="29"/>
  <c r="M44" i="29" s="1"/>
  <c r="L42" i="29"/>
  <c r="L44" i="29" s="1"/>
  <c r="K42" i="29"/>
  <c r="J42" i="29"/>
  <c r="J44" i="29" s="1"/>
  <c r="I42" i="29"/>
  <c r="H42" i="29"/>
  <c r="G42" i="29"/>
  <c r="G44" i="29" s="1"/>
  <c r="F42" i="29"/>
  <c r="F44" i="29" s="1"/>
  <c r="Q38" i="29"/>
  <c r="P38" i="29"/>
  <c r="O38" i="29"/>
  <c r="N38" i="29"/>
  <c r="M38" i="29"/>
  <c r="L38" i="29"/>
  <c r="K38" i="29"/>
  <c r="J38" i="29"/>
  <c r="I38" i="29"/>
  <c r="H38" i="29"/>
  <c r="G38" i="29"/>
  <c r="F38" i="29"/>
  <c r="H34" i="29"/>
  <c r="Q33" i="29"/>
  <c r="Q34" i="29" s="1"/>
  <c r="P33" i="29"/>
  <c r="P34" i="29" s="1"/>
  <c r="O33" i="29"/>
  <c r="O34" i="29" s="1"/>
  <c r="N33" i="29"/>
  <c r="N34" i="29" s="1"/>
  <c r="M33" i="29"/>
  <c r="M34" i="29" s="1"/>
  <c r="L33" i="29"/>
  <c r="L34" i="29" s="1"/>
  <c r="K33" i="29"/>
  <c r="K34" i="29" s="1"/>
  <c r="J33" i="29"/>
  <c r="J34" i="29" s="1"/>
  <c r="I33" i="29"/>
  <c r="I34" i="29" s="1"/>
  <c r="H33" i="29"/>
  <c r="G33" i="29"/>
  <c r="G34" i="29" s="1"/>
  <c r="F33" i="29"/>
  <c r="F34" i="29" s="1"/>
  <c r="N29" i="29"/>
  <c r="K29" i="29"/>
  <c r="J29" i="29"/>
  <c r="Q42" i="28"/>
  <c r="Q44" i="28" s="1"/>
  <c r="P42" i="28"/>
  <c r="P44" i="28" s="1"/>
  <c r="O42" i="28"/>
  <c r="O44" i="28" s="1"/>
  <c r="N42" i="28"/>
  <c r="N44" i="28" s="1"/>
  <c r="M42" i="28"/>
  <c r="M44" i="28" s="1"/>
  <c r="L42" i="28"/>
  <c r="L44" i="28" s="1"/>
  <c r="K42" i="28"/>
  <c r="K44" i="28" s="1"/>
  <c r="J42" i="28"/>
  <c r="J44" i="28" s="1"/>
  <c r="I42" i="28"/>
  <c r="I44" i="28" s="1"/>
  <c r="H42" i="28"/>
  <c r="H44" i="28" s="1"/>
  <c r="G42" i="28"/>
  <c r="G44" i="28" s="1"/>
  <c r="F42" i="28"/>
  <c r="F44" i="28" s="1"/>
  <c r="Q38" i="28"/>
  <c r="P38" i="28"/>
  <c r="O38" i="28"/>
  <c r="N38" i="28"/>
  <c r="M38" i="28"/>
  <c r="L38" i="28"/>
  <c r="K38" i="28"/>
  <c r="J38" i="28"/>
  <c r="I38" i="28"/>
  <c r="H38" i="28"/>
  <c r="G38" i="28"/>
  <c r="F38" i="28"/>
  <c r="Q33" i="28"/>
  <c r="Q34" i="28" s="1"/>
  <c r="P33" i="28"/>
  <c r="P34" i="28" s="1"/>
  <c r="O33" i="28"/>
  <c r="O34" i="28" s="1"/>
  <c r="N33" i="28"/>
  <c r="N34" i="28" s="1"/>
  <c r="M33" i="28"/>
  <c r="M34" i="28" s="1"/>
  <c r="L33" i="28"/>
  <c r="L34" i="28" s="1"/>
  <c r="K33" i="28"/>
  <c r="K34" i="28" s="1"/>
  <c r="J33" i="28"/>
  <c r="J34" i="28" s="1"/>
  <c r="I33" i="28"/>
  <c r="I34" i="28" s="1"/>
  <c r="H33" i="28"/>
  <c r="H34" i="28" s="1"/>
  <c r="G33" i="28"/>
  <c r="G34" i="28" s="1"/>
  <c r="F33" i="28"/>
  <c r="F34" i="28" s="1"/>
  <c r="Q29" i="28"/>
  <c r="P29" i="28"/>
  <c r="O29" i="28"/>
  <c r="N29" i="28"/>
  <c r="M29" i="28"/>
  <c r="L29" i="28"/>
  <c r="K29" i="28"/>
  <c r="J29" i="28"/>
  <c r="I29" i="28"/>
  <c r="H29" i="28"/>
  <c r="Q42" i="27"/>
  <c r="Q44" i="27" s="1"/>
  <c r="P42" i="27"/>
  <c r="P44" i="27" s="1"/>
  <c r="O42" i="27"/>
  <c r="O44" i="27" s="1"/>
  <c r="N42" i="27"/>
  <c r="N44" i="27" s="1"/>
  <c r="M42" i="27"/>
  <c r="M44" i="27" s="1"/>
  <c r="L42" i="27"/>
  <c r="L44" i="27" s="1"/>
  <c r="K42" i="27"/>
  <c r="K44" i="27" s="1"/>
  <c r="J42" i="27"/>
  <c r="J44" i="27" s="1"/>
  <c r="I42" i="27"/>
  <c r="I44" i="27" s="1"/>
  <c r="H42" i="27"/>
  <c r="H44" i="27" s="1"/>
  <c r="G42" i="27"/>
  <c r="G44" i="27" s="1"/>
  <c r="F42" i="27"/>
  <c r="F44" i="27" s="1"/>
  <c r="Q38" i="27"/>
  <c r="P38" i="27"/>
  <c r="O38" i="27"/>
  <c r="N38" i="27"/>
  <c r="M38" i="27"/>
  <c r="L38" i="27"/>
  <c r="K38" i="27"/>
  <c r="J38" i="27"/>
  <c r="I38" i="27"/>
  <c r="H38" i="27"/>
  <c r="G38" i="27"/>
  <c r="F38" i="27"/>
  <c r="Q33" i="27"/>
  <c r="Q34" i="27" s="1"/>
  <c r="P33" i="27"/>
  <c r="P34" i="27" s="1"/>
  <c r="O33" i="27"/>
  <c r="O34" i="27" s="1"/>
  <c r="N33" i="27"/>
  <c r="N34" i="27" s="1"/>
  <c r="M33" i="27"/>
  <c r="M34" i="27" s="1"/>
  <c r="L33" i="27"/>
  <c r="L34" i="27" s="1"/>
  <c r="K33" i="27"/>
  <c r="K34" i="27" s="1"/>
  <c r="J33" i="27"/>
  <c r="J34" i="27" s="1"/>
  <c r="I33" i="27"/>
  <c r="I34" i="27" s="1"/>
  <c r="H33" i="27"/>
  <c r="H34" i="27" s="1"/>
  <c r="G33" i="27"/>
  <c r="G34" i="27" s="1"/>
  <c r="F33" i="27"/>
  <c r="F34" i="27" s="1"/>
  <c r="Q29" i="27"/>
  <c r="P29" i="27"/>
  <c r="O29" i="27"/>
  <c r="N29" i="27"/>
  <c r="M29" i="27"/>
  <c r="L29" i="27"/>
  <c r="K29" i="27"/>
  <c r="J29" i="27"/>
  <c r="I29" i="27"/>
  <c r="H29" i="27"/>
  <c r="G29" i="27"/>
  <c r="F29" i="27"/>
  <c r="O44" i="26"/>
  <c r="N44" i="26"/>
  <c r="Q42" i="26"/>
  <c r="Q44" i="26" s="1"/>
  <c r="P42" i="26"/>
  <c r="P44" i="26" s="1"/>
  <c r="O42" i="26"/>
  <c r="N42" i="26"/>
  <c r="M42" i="26"/>
  <c r="M44" i="26" s="1"/>
  <c r="L42" i="26"/>
  <c r="L44" i="26" s="1"/>
  <c r="K42" i="26"/>
  <c r="K44" i="26" s="1"/>
  <c r="J42" i="26"/>
  <c r="J44" i="26" s="1"/>
  <c r="I42" i="26"/>
  <c r="I44" i="26" s="1"/>
  <c r="H42" i="26"/>
  <c r="H44" i="26" s="1"/>
  <c r="G42" i="26"/>
  <c r="G44" i="26" s="1"/>
  <c r="F42" i="26"/>
  <c r="F44" i="26" s="1"/>
  <c r="Q38" i="26"/>
  <c r="P38" i="26"/>
  <c r="O38" i="26"/>
  <c r="N38" i="26"/>
  <c r="M38" i="26"/>
  <c r="L38" i="26"/>
  <c r="K38" i="26"/>
  <c r="J38" i="26"/>
  <c r="I38" i="26"/>
  <c r="H38" i="26"/>
  <c r="G38" i="26"/>
  <c r="F38" i="26"/>
  <c r="Q33" i="26"/>
  <c r="Q34" i="26" s="1"/>
  <c r="P33" i="26"/>
  <c r="P34" i="26" s="1"/>
  <c r="O33" i="26"/>
  <c r="O34" i="26" s="1"/>
  <c r="N33" i="26"/>
  <c r="N34" i="26" s="1"/>
  <c r="M33" i="26"/>
  <c r="M34" i="26" s="1"/>
  <c r="L33" i="26"/>
  <c r="L34" i="26" s="1"/>
  <c r="K33" i="26"/>
  <c r="K34" i="26" s="1"/>
  <c r="J33" i="26"/>
  <c r="J34" i="26" s="1"/>
  <c r="I33" i="26"/>
  <c r="I34" i="26" s="1"/>
  <c r="H33" i="26"/>
  <c r="H34" i="26" s="1"/>
  <c r="G33" i="26"/>
  <c r="G34" i="26" s="1"/>
  <c r="F33" i="26"/>
  <c r="F34" i="26" s="1"/>
  <c r="Q29" i="26"/>
  <c r="P29" i="26"/>
  <c r="O29" i="26"/>
  <c r="N29" i="26"/>
  <c r="M29" i="26"/>
  <c r="L29" i="26"/>
  <c r="K29" i="26"/>
  <c r="J29" i="26"/>
  <c r="I29" i="26"/>
  <c r="H29" i="26"/>
  <c r="G29" i="26"/>
  <c r="F29" i="26"/>
  <c r="P33" i="25"/>
  <c r="P44" i="25"/>
  <c r="L44" i="25"/>
  <c r="I44" i="25"/>
  <c r="F44" i="25"/>
  <c r="Q42" i="25"/>
  <c r="Q44" i="25" s="1"/>
  <c r="O42" i="25"/>
  <c r="O44" i="25" s="1"/>
  <c r="N42" i="25"/>
  <c r="N44" i="25" s="1"/>
  <c r="M42" i="25"/>
  <c r="M44" i="25" s="1"/>
  <c r="K42" i="25"/>
  <c r="K44" i="25" s="1"/>
  <c r="J42" i="25"/>
  <c r="J44" i="25" s="1"/>
  <c r="I42" i="25"/>
  <c r="H42" i="25"/>
  <c r="H44" i="25" s="1"/>
  <c r="G42" i="25"/>
  <c r="G44" i="25" s="1"/>
  <c r="Q38" i="25"/>
  <c r="P38" i="25"/>
  <c r="O38" i="25"/>
  <c r="N38" i="25"/>
  <c r="M38" i="25"/>
  <c r="L38" i="25"/>
  <c r="K38" i="25"/>
  <c r="J38" i="25"/>
  <c r="I38" i="25"/>
  <c r="H38" i="25"/>
  <c r="G38" i="25"/>
  <c r="P34" i="25"/>
  <c r="L34" i="25"/>
  <c r="K34" i="25"/>
  <c r="F34" i="25"/>
  <c r="Q33" i="25"/>
  <c r="Q34" i="25" s="1"/>
  <c r="O33" i="25"/>
  <c r="O34" i="25" s="1"/>
  <c r="N33" i="25"/>
  <c r="N34" i="25" s="1"/>
  <c r="M33" i="25"/>
  <c r="M34" i="25" s="1"/>
  <c r="K33" i="25"/>
  <c r="J33" i="25"/>
  <c r="J34" i="25" s="1"/>
  <c r="I33" i="25"/>
  <c r="I34" i="25" s="1"/>
  <c r="H33" i="25"/>
  <c r="H34" i="25" s="1"/>
  <c r="G33" i="25"/>
  <c r="G34" i="25" s="1"/>
  <c r="Q29" i="25"/>
  <c r="P29" i="25"/>
  <c r="O29" i="25"/>
  <c r="N29" i="25"/>
  <c r="M29" i="25"/>
  <c r="L29" i="25"/>
  <c r="K29" i="25"/>
  <c r="J29" i="25"/>
  <c r="I29" i="25"/>
  <c r="H29" i="25"/>
  <c r="G29" i="25"/>
  <c r="F44" i="23"/>
  <c r="F42" i="23"/>
  <c r="F38" i="23"/>
  <c r="F34" i="23"/>
  <c r="F33" i="23"/>
  <c r="F29" i="23"/>
  <c r="Q42" i="23"/>
  <c r="Q44" i="23" s="1"/>
  <c r="P42" i="23"/>
  <c r="P44" i="23" s="1"/>
  <c r="O42" i="23"/>
  <c r="O44" i="23" s="1"/>
  <c r="N42" i="23"/>
  <c r="N44" i="23" s="1"/>
  <c r="M42" i="23"/>
  <c r="M44" i="23" s="1"/>
  <c r="L42" i="23"/>
  <c r="L44" i="23" s="1"/>
  <c r="K42" i="23"/>
  <c r="K44" i="23" s="1"/>
  <c r="J42" i="23"/>
  <c r="J44" i="23" s="1"/>
  <c r="I42" i="23"/>
  <c r="I44" i="23" s="1"/>
  <c r="H42" i="23"/>
  <c r="H44" i="23" s="1"/>
  <c r="G42" i="23"/>
  <c r="G44" i="23" s="1"/>
  <c r="Q38" i="23"/>
  <c r="P38" i="23"/>
  <c r="O38" i="23"/>
  <c r="N38" i="23"/>
  <c r="M38" i="23"/>
  <c r="L38" i="23"/>
  <c r="K38" i="23"/>
  <c r="J38" i="23"/>
  <c r="I38" i="23"/>
  <c r="H38" i="23"/>
  <c r="G38" i="23"/>
  <c r="Q33" i="23"/>
  <c r="Q34" i="23" s="1"/>
  <c r="P33" i="23"/>
  <c r="P34" i="23" s="1"/>
  <c r="O33" i="23"/>
  <c r="O34" i="23" s="1"/>
  <c r="N33" i="23"/>
  <c r="N34" i="23" s="1"/>
  <c r="M33" i="23"/>
  <c r="M34" i="23" s="1"/>
  <c r="L33" i="23"/>
  <c r="L34" i="23" s="1"/>
  <c r="K33" i="23"/>
  <c r="K34" i="23" s="1"/>
  <c r="J33" i="23"/>
  <c r="J34" i="23" s="1"/>
  <c r="I33" i="23"/>
  <c r="I34" i="23" s="1"/>
  <c r="H33" i="23"/>
  <c r="H34" i="23" s="1"/>
  <c r="G33" i="23"/>
  <c r="G34" i="23" s="1"/>
  <c r="Q29" i="23"/>
  <c r="P29" i="23"/>
  <c r="O29" i="23"/>
  <c r="N29" i="23"/>
  <c r="M29" i="23"/>
  <c r="L29" i="23"/>
  <c r="K29" i="23"/>
  <c r="J29" i="23"/>
  <c r="I29" i="23"/>
  <c r="H29" i="23"/>
  <c r="G29" i="23"/>
  <c r="P38" i="21"/>
  <c r="H44" i="21"/>
  <c r="I44" i="21"/>
  <c r="J44" i="21"/>
  <c r="K44" i="21"/>
  <c r="L44" i="21"/>
  <c r="M44" i="21"/>
  <c r="N44" i="21"/>
  <c r="O44" i="21"/>
  <c r="P44" i="21"/>
  <c r="Q44" i="21"/>
  <c r="H42" i="21"/>
  <c r="I42" i="21"/>
  <c r="J42" i="21"/>
  <c r="K42" i="21"/>
  <c r="L42" i="21"/>
  <c r="M42" i="21"/>
  <c r="N42" i="21"/>
  <c r="O42" i="21"/>
  <c r="P42" i="21"/>
  <c r="Q42" i="21"/>
  <c r="H38" i="21"/>
  <c r="I38" i="21"/>
  <c r="J38" i="21"/>
  <c r="K38" i="21"/>
  <c r="L38" i="21"/>
  <c r="M38" i="21"/>
  <c r="N38" i="21"/>
  <c r="O38" i="21"/>
  <c r="Q38" i="21"/>
  <c r="H34" i="21"/>
  <c r="I34" i="21"/>
  <c r="J34" i="21"/>
  <c r="K34" i="21"/>
  <c r="L34" i="21"/>
  <c r="M34" i="21"/>
  <c r="N34" i="21"/>
  <c r="O34" i="21"/>
  <c r="P34" i="21"/>
  <c r="Q34" i="21"/>
  <c r="H33" i="21"/>
  <c r="I33" i="21"/>
  <c r="J33" i="21"/>
  <c r="K33" i="21"/>
  <c r="L33" i="21"/>
  <c r="M33" i="21"/>
  <c r="N33" i="21"/>
  <c r="O33" i="21"/>
  <c r="P33" i="21"/>
  <c r="Q33" i="21"/>
  <c r="H29" i="21"/>
  <c r="I29" i="21"/>
  <c r="J29" i="21"/>
  <c r="K29" i="21"/>
  <c r="L29" i="21"/>
  <c r="M29" i="21"/>
  <c r="N29" i="21"/>
  <c r="O29" i="21"/>
  <c r="P29" i="21"/>
  <c r="Q29" i="21"/>
  <c r="G42" i="21"/>
  <c r="G44" i="21" s="1"/>
  <c r="G38" i="21"/>
  <c r="G33" i="21"/>
  <c r="G34" i="21" s="1"/>
  <c r="G29" i="21"/>
  <c r="Q42" i="20"/>
  <c r="Q44" i="20" s="1"/>
  <c r="O42" i="20"/>
  <c r="O44" i="20" s="1"/>
  <c r="N42" i="20"/>
  <c r="N44" i="20" s="1"/>
  <c r="M42" i="20"/>
  <c r="M44" i="20" s="1"/>
  <c r="L42" i="20"/>
  <c r="L44" i="20" s="1"/>
  <c r="K42" i="20"/>
  <c r="K44" i="20" s="1"/>
  <c r="J42" i="20"/>
  <c r="J44" i="20" s="1"/>
  <c r="I42" i="20"/>
  <c r="I44" i="20" s="1"/>
  <c r="H42" i="20"/>
  <c r="H44" i="20" s="1"/>
  <c r="G42" i="20"/>
  <c r="G44" i="20" s="1"/>
  <c r="Q38" i="20"/>
  <c r="O38" i="20"/>
  <c r="N38" i="20"/>
  <c r="M38" i="20"/>
  <c r="L38" i="20"/>
  <c r="K38" i="20"/>
  <c r="J38" i="20"/>
  <c r="I38" i="20"/>
  <c r="H38" i="20"/>
  <c r="G38" i="20"/>
  <c r="Q33" i="20"/>
  <c r="Q34" i="20" s="1"/>
  <c r="O33" i="20"/>
  <c r="O34" i="20" s="1"/>
  <c r="N33" i="20"/>
  <c r="N34" i="20" s="1"/>
  <c r="M33" i="20"/>
  <c r="M34" i="20" s="1"/>
  <c r="L33" i="20"/>
  <c r="L34" i="20" s="1"/>
  <c r="K33" i="20"/>
  <c r="K34" i="20" s="1"/>
  <c r="J33" i="20"/>
  <c r="J34" i="20" s="1"/>
  <c r="I33" i="20"/>
  <c r="I34" i="20" s="1"/>
  <c r="H33" i="20"/>
  <c r="H34" i="20" s="1"/>
  <c r="G33" i="20"/>
  <c r="G34" i="20" s="1"/>
  <c r="Q29" i="20"/>
  <c r="O29" i="20"/>
  <c r="N29" i="20"/>
  <c r="M29" i="20"/>
  <c r="L29" i="20"/>
  <c r="K29" i="20"/>
  <c r="J29" i="20"/>
  <c r="I29" i="20"/>
  <c r="H29" i="20"/>
  <c r="G29" i="20"/>
  <c r="L42" i="19"/>
  <c r="L33" i="19"/>
  <c r="L44" i="19"/>
  <c r="Q42" i="19"/>
  <c r="Q44" i="19" s="1"/>
  <c r="O42" i="19"/>
  <c r="O44" i="19" s="1"/>
  <c r="N42" i="19"/>
  <c r="N44" i="19" s="1"/>
  <c r="M42" i="19"/>
  <c r="M44" i="19" s="1"/>
  <c r="K42" i="19"/>
  <c r="K44" i="19" s="1"/>
  <c r="J42" i="19"/>
  <c r="J44" i="19" s="1"/>
  <c r="I42" i="19"/>
  <c r="I44" i="19" s="1"/>
  <c r="H42" i="19"/>
  <c r="H44" i="19" s="1"/>
  <c r="G42" i="19"/>
  <c r="G44" i="19" s="1"/>
  <c r="Q38" i="19"/>
  <c r="O38" i="19"/>
  <c r="N38" i="19"/>
  <c r="M38" i="19"/>
  <c r="L38" i="19"/>
  <c r="K38" i="19"/>
  <c r="J38" i="19"/>
  <c r="I38" i="19"/>
  <c r="H38" i="19"/>
  <c r="G38" i="19"/>
  <c r="L34" i="19"/>
  <c r="Q33" i="19"/>
  <c r="Q34" i="19" s="1"/>
  <c r="O33" i="19"/>
  <c r="O34" i="19" s="1"/>
  <c r="N33" i="19"/>
  <c r="N34" i="19" s="1"/>
  <c r="M33" i="19"/>
  <c r="M34" i="19" s="1"/>
  <c r="K33" i="19"/>
  <c r="K34" i="19" s="1"/>
  <c r="J33" i="19"/>
  <c r="J34" i="19" s="1"/>
  <c r="I33" i="19"/>
  <c r="I34" i="19" s="1"/>
  <c r="H33" i="19"/>
  <c r="H34" i="19" s="1"/>
  <c r="G33" i="19"/>
  <c r="G34" i="19" s="1"/>
  <c r="Q29" i="19"/>
  <c r="O29" i="19"/>
  <c r="N29" i="19"/>
  <c r="M29" i="19"/>
  <c r="L29" i="19"/>
  <c r="K29" i="19"/>
  <c r="J29" i="19"/>
  <c r="I29" i="19"/>
  <c r="H29" i="19"/>
  <c r="G29" i="19"/>
  <c r="P42" i="18"/>
  <c r="P34" i="18"/>
  <c r="P33" i="18"/>
  <c r="F42" i="18"/>
  <c r="F38" i="18"/>
  <c r="F33" i="18"/>
  <c r="F34" i="18" s="1"/>
  <c r="F29" i="18"/>
  <c r="H29" i="18"/>
  <c r="H33" i="18"/>
  <c r="H34" i="18" s="1"/>
  <c r="H38" i="18"/>
  <c r="H42" i="18"/>
  <c r="H44" i="18" s="1"/>
  <c r="G29" i="18"/>
  <c r="G33" i="18"/>
  <c r="G34" i="18" s="1"/>
  <c r="G38" i="18"/>
  <c r="G42" i="18"/>
  <c r="G44" i="18" s="1"/>
  <c r="P44" i="18"/>
  <c r="N44" i="18"/>
  <c r="L44" i="18"/>
  <c r="F44" i="18"/>
  <c r="Q42" i="18"/>
  <c r="Q44" i="18" s="1"/>
  <c r="O42" i="18"/>
  <c r="O44" i="18" s="1"/>
  <c r="N42" i="18"/>
  <c r="M42" i="18"/>
  <c r="M44" i="18" s="1"/>
  <c r="K42" i="18"/>
  <c r="K44" i="18" s="1"/>
  <c r="J42" i="18"/>
  <c r="J44" i="18" s="1"/>
  <c r="I42" i="18"/>
  <c r="I44" i="18" s="1"/>
  <c r="Q38" i="18"/>
  <c r="P38" i="18"/>
  <c r="O38" i="18"/>
  <c r="N38" i="18"/>
  <c r="M38" i="18"/>
  <c r="L38" i="18"/>
  <c r="K38" i="18"/>
  <c r="J38" i="18"/>
  <c r="I38" i="18"/>
  <c r="N34" i="18"/>
  <c r="L34" i="18"/>
  <c r="J34" i="18"/>
  <c r="Q33" i="18"/>
  <c r="Q34" i="18" s="1"/>
  <c r="O33" i="18"/>
  <c r="O34" i="18" s="1"/>
  <c r="N33" i="18"/>
  <c r="M33" i="18"/>
  <c r="M34" i="18" s="1"/>
  <c r="K33" i="18"/>
  <c r="K34" i="18" s="1"/>
  <c r="J33" i="18"/>
  <c r="I33" i="18"/>
  <c r="I34" i="18" s="1"/>
  <c r="Q29" i="18"/>
  <c r="P29" i="18"/>
  <c r="O29" i="18"/>
  <c r="N29" i="18"/>
  <c r="M29" i="18"/>
  <c r="L29" i="18"/>
  <c r="K29" i="18"/>
  <c r="J29" i="18"/>
  <c r="I29" i="18"/>
  <c r="F34" i="17"/>
  <c r="Q42" i="17"/>
  <c r="Q44" i="17" s="1"/>
  <c r="P44" i="17"/>
  <c r="O42" i="17"/>
  <c r="O44" i="17" s="1"/>
  <c r="N42" i="17"/>
  <c r="N44" i="17" s="1"/>
  <c r="M42" i="17"/>
  <c r="M44" i="17" s="1"/>
  <c r="L44" i="17"/>
  <c r="K42" i="17"/>
  <c r="K44" i="17" s="1"/>
  <c r="J42" i="17"/>
  <c r="J44" i="17" s="1"/>
  <c r="I42" i="17"/>
  <c r="I44" i="17" s="1"/>
  <c r="H42" i="17"/>
  <c r="H44" i="17" s="1"/>
  <c r="G42" i="17"/>
  <c r="G44" i="17" s="1"/>
  <c r="F44" i="17"/>
  <c r="Q38" i="17"/>
  <c r="P38" i="17"/>
  <c r="O38" i="17"/>
  <c r="N38" i="17"/>
  <c r="M38" i="17"/>
  <c r="L38" i="17"/>
  <c r="K38" i="17"/>
  <c r="J38" i="17"/>
  <c r="I38" i="17"/>
  <c r="H38" i="17"/>
  <c r="G38" i="17"/>
  <c r="G34" i="17"/>
  <c r="Q33" i="17"/>
  <c r="Q34" i="17" s="1"/>
  <c r="P34" i="17"/>
  <c r="O33" i="17"/>
  <c r="O34" i="17" s="1"/>
  <c r="N33" i="17"/>
  <c r="N34" i="17" s="1"/>
  <c r="M33" i="17"/>
  <c r="M34" i="17" s="1"/>
  <c r="L34" i="17"/>
  <c r="K33" i="17"/>
  <c r="K34" i="17" s="1"/>
  <c r="J33" i="17"/>
  <c r="J34" i="17" s="1"/>
  <c r="I33" i="17"/>
  <c r="I34" i="17" s="1"/>
  <c r="H33" i="17"/>
  <c r="H34" i="17" s="1"/>
  <c r="G33" i="17"/>
  <c r="Q29" i="17"/>
  <c r="P29" i="17"/>
  <c r="O29" i="17"/>
  <c r="N29" i="17"/>
  <c r="M29" i="17"/>
  <c r="L29" i="17"/>
  <c r="K29" i="17"/>
  <c r="J29" i="17"/>
  <c r="I29" i="17"/>
  <c r="H29" i="17"/>
  <c r="G29" i="17"/>
  <c r="F38" i="16"/>
  <c r="Q42" i="16"/>
  <c r="Q44" i="16" s="1"/>
  <c r="P42" i="16"/>
  <c r="P44" i="16" s="1"/>
  <c r="O42" i="16"/>
  <c r="O44" i="16" s="1"/>
  <c r="N42" i="16"/>
  <c r="N44" i="16" s="1"/>
  <c r="M42" i="16"/>
  <c r="M44" i="16" s="1"/>
  <c r="L42" i="16"/>
  <c r="L44" i="16" s="1"/>
  <c r="K42" i="16"/>
  <c r="K44" i="16" s="1"/>
  <c r="J42" i="16"/>
  <c r="J44" i="16" s="1"/>
  <c r="I42" i="16"/>
  <c r="I44" i="16" s="1"/>
  <c r="H42" i="16"/>
  <c r="H44" i="16" s="1"/>
  <c r="G42" i="16"/>
  <c r="G44" i="16" s="1"/>
  <c r="F42" i="16"/>
  <c r="F44" i="16" s="1"/>
  <c r="Q38" i="16"/>
  <c r="P38" i="16"/>
  <c r="O38" i="16"/>
  <c r="N38" i="16"/>
  <c r="M38" i="16"/>
  <c r="L38" i="16"/>
  <c r="K38" i="16"/>
  <c r="J38" i="16"/>
  <c r="I38" i="16"/>
  <c r="H38" i="16"/>
  <c r="G38" i="16"/>
  <c r="Q33" i="16"/>
  <c r="Q34" i="16" s="1"/>
  <c r="P33" i="16"/>
  <c r="P34" i="16" s="1"/>
  <c r="O33" i="16"/>
  <c r="O34" i="16" s="1"/>
  <c r="N33" i="16"/>
  <c r="N34" i="16" s="1"/>
  <c r="M33" i="16"/>
  <c r="M34" i="16" s="1"/>
  <c r="L33" i="16"/>
  <c r="L34" i="16" s="1"/>
  <c r="K33" i="16"/>
  <c r="K34" i="16" s="1"/>
  <c r="J33" i="16"/>
  <c r="J34" i="16" s="1"/>
  <c r="I33" i="16"/>
  <c r="I34" i="16" s="1"/>
  <c r="H33" i="16"/>
  <c r="H34" i="16" s="1"/>
  <c r="G33" i="16"/>
  <c r="G34" i="16" s="1"/>
  <c r="F33" i="16"/>
  <c r="F34" i="16" s="1"/>
  <c r="Q29" i="16"/>
  <c r="P29" i="16"/>
  <c r="O29" i="16"/>
  <c r="N29" i="16"/>
  <c r="M29" i="16"/>
  <c r="L29" i="16"/>
  <c r="K29" i="16"/>
  <c r="J29" i="16"/>
  <c r="I29" i="16"/>
  <c r="H29" i="16"/>
  <c r="G29" i="16"/>
  <c r="F29" i="16"/>
  <c r="Q42" i="15"/>
  <c r="Q44" i="15" s="1"/>
  <c r="P42" i="15"/>
  <c r="P44" i="15" s="1"/>
  <c r="O42" i="15"/>
  <c r="O44" i="15" s="1"/>
  <c r="N42" i="15"/>
  <c r="N44" i="15" s="1"/>
  <c r="M42" i="15"/>
  <c r="M44" i="15" s="1"/>
  <c r="L42" i="15"/>
  <c r="L44" i="15" s="1"/>
  <c r="K42" i="15"/>
  <c r="K44" i="15" s="1"/>
  <c r="J42" i="15"/>
  <c r="J44" i="15" s="1"/>
  <c r="I42" i="15"/>
  <c r="I44" i="15" s="1"/>
  <c r="H42" i="15"/>
  <c r="H44" i="15" s="1"/>
  <c r="G42" i="15"/>
  <c r="G44" i="15" s="1"/>
  <c r="F42" i="15"/>
  <c r="F44" i="15" s="1"/>
  <c r="Q38" i="15"/>
  <c r="P38" i="15"/>
  <c r="O38" i="15"/>
  <c r="N38" i="15"/>
  <c r="M38" i="15"/>
  <c r="L38" i="15"/>
  <c r="K38" i="15"/>
  <c r="J38" i="15"/>
  <c r="I38" i="15"/>
  <c r="H38" i="15"/>
  <c r="G38" i="15"/>
  <c r="F38" i="15"/>
  <c r="Q33" i="15"/>
  <c r="Q34" i="15" s="1"/>
  <c r="P33" i="15"/>
  <c r="P34" i="15" s="1"/>
  <c r="O33" i="15"/>
  <c r="O34" i="15" s="1"/>
  <c r="N33" i="15"/>
  <c r="N34" i="15" s="1"/>
  <c r="M33" i="15"/>
  <c r="M34" i="15" s="1"/>
  <c r="L33" i="15"/>
  <c r="L34" i="15" s="1"/>
  <c r="K33" i="15"/>
  <c r="K34" i="15" s="1"/>
  <c r="J33" i="15"/>
  <c r="J34" i="15" s="1"/>
  <c r="I33" i="15"/>
  <c r="I34" i="15" s="1"/>
  <c r="H33" i="15"/>
  <c r="H34" i="15" s="1"/>
  <c r="G33" i="15"/>
  <c r="G34" i="15" s="1"/>
  <c r="F33" i="15"/>
  <c r="F34" i="15" s="1"/>
  <c r="Q29" i="15"/>
  <c r="P29" i="15"/>
  <c r="O29" i="15"/>
  <c r="N29" i="15"/>
  <c r="M29" i="15"/>
  <c r="L29" i="15"/>
  <c r="K29" i="15"/>
  <c r="J29" i="15"/>
  <c r="I29" i="15"/>
  <c r="H29" i="15"/>
  <c r="G29" i="15"/>
  <c r="F29" i="15"/>
  <c r="F42" i="14"/>
  <c r="F44" i="14" s="1"/>
  <c r="F38" i="14"/>
  <c r="F33" i="14"/>
  <c r="F34" i="14" s="1"/>
  <c r="F29" i="14"/>
  <c r="P44" i="14"/>
  <c r="Q42" i="14"/>
  <c r="Q44" i="14" s="1"/>
  <c r="P42" i="14"/>
  <c r="O42" i="14"/>
  <c r="O44" i="14" s="1"/>
  <c r="N42" i="14"/>
  <c r="N44" i="14" s="1"/>
  <c r="M42" i="14"/>
  <c r="M44" i="14" s="1"/>
  <c r="L42" i="14"/>
  <c r="L44" i="14" s="1"/>
  <c r="K42" i="14"/>
  <c r="K44" i="14" s="1"/>
  <c r="J42" i="14"/>
  <c r="J44" i="14" s="1"/>
  <c r="I42" i="14"/>
  <c r="I44" i="14" s="1"/>
  <c r="H42" i="14"/>
  <c r="H44" i="14" s="1"/>
  <c r="G42" i="14"/>
  <c r="G44" i="14" s="1"/>
  <c r="Q38" i="14"/>
  <c r="P38" i="14"/>
  <c r="O38" i="14"/>
  <c r="N38" i="14"/>
  <c r="M38" i="14"/>
  <c r="L38" i="14"/>
  <c r="K38" i="14"/>
  <c r="J38" i="14"/>
  <c r="I38" i="14"/>
  <c r="H38" i="14"/>
  <c r="G38" i="14"/>
  <c r="Q33" i="14"/>
  <c r="Q34" i="14" s="1"/>
  <c r="P33" i="14"/>
  <c r="P34" i="14" s="1"/>
  <c r="O33" i="14"/>
  <c r="O34" i="14" s="1"/>
  <c r="N33" i="14"/>
  <c r="N34" i="14" s="1"/>
  <c r="M33" i="14"/>
  <c r="M34" i="14" s="1"/>
  <c r="L33" i="14"/>
  <c r="L34" i="14" s="1"/>
  <c r="K33" i="14"/>
  <c r="K34" i="14" s="1"/>
  <c r="J33" i="14"/>
  <c r="J34" i="14" s="1"/>
  <c r="I33" i="14"/>
  <c r="I34" i="14" s="1"/>
  <c r="H33" i="14"/>
  <c r="H34" i="14" s="1"/>
  <c r="G33" i="14"/>
  <c r="G34" i="14" s="1"/>
  <c r="Q29" i="14"/>
  <c r="P29" i="14"/>
  <c r="O29" i="14"/>
  <c r="N29" i="14"/>
  <c r="M29" i="14"/>
  <c r="L29" i="14"/>
  <c r="K29" i="14"/>
  <c r="J29" i="14"/>
  <c r="I29" i="14"/>
  <c r="H29" i="14"/>
  <c r="G29" i="14"/>
  <c r="H42" i="13"/>
  <c r="I42" i="13"/>
  <c r="J42" i="13"/>
  <c r="J44" i="13" s="1"/>
  <c r="K42" i="13"/>
  <c r="K44" i="13" s="1"/>
  <c r="L42" i="13"/>
  <c r="L44" i="13" s="1"/>
  <c r="M42" i="13"/>
  <c r="N42" i="13"/>
  <c r="N44" i="13" s="1"/>
  <c r="O42" i="13"/>
  <c r="O44" i="13" s="1"/>
  <c r="P42" i="13"/>
  <c r="P44" i="13" s="1"/>
  <c r="Q42" i="13"/>
  <c r="Q44" i="13" s="1"/>
  <c r="H44" i="13"/>
  <c r="I44" i="13"/>
  <c r="M44" i="13"/>
  <c r="H38" i="13"/>
  <c r="I38" i="13"/>
  <c r="J38" i="13"/>
  <c r="K38" i="13"/>
  <c r="L38" i="13"/>
  <c r="M38" i="13"/>
  <c r="N38" i="13"/>
  <c r="O38" i="13"/>
  <c r="P38" i="13"/>
  <c r="Q38" i="13"/>
  <c r="H34" i="13"/>
  <c r="I34" i="13"/>
  <c r="J34" i="13"/>
  <c r="K34" i="13"/>
  <c r="M34" i="13"/>
  <c r="N34" i="13"/>
  <c r="O34" i="13"/>
  <c r="P34" i="13"/>
  <c r="Q34" i="13"/>
  <c r="H33" i="13"/>
  <c r="I33" i="13"/>
  <c r="J33" i="13"/>
  <c r="K33" i="13"/>
  <c r="L33" i="13"/>
  <c r="L34" i="13" s="1"/>
  <c r="M33" i="13"/>
  <c r="N33" i="13"/>
  <c r="O33" i="13"/>
  <c r="P33" i="13"/>
  <c r="Q33" i="13"/>
  <c r="H29" i="13"/>
  <c r="I29" i="13"/>
  <c r="J29" i="13"/>
  <c r="K29" i="13"/>
  <c r="L29" i="13"/>
  <c r="M29" i="13"/>
  <c r="N29" i="13"/>
  <c r="O29" i="13"/>
  <c r="P29" i="13"/>
  <c r="Q29" i="13"/>
  <c r="G42" i="13"/>
  <c r="G44" i="13" s="1"/>
  <c r="G38" i="13"/>
  <c r="G33" i="13"/>
  <c r="G34" i="13" s="1"/>
  <c r="G29" i="13"/>
  <c r="I38" i="11"/>
  <c r="G38" i="11"/>
  <c r="G44" i="6"/>
  <c r="H44" i="6"/>
  <c r="I44" i="6"/>
  <c r="J44" i="6"/>
  <c r="K44" i="6"/>
  <c r="L44" i="6"/>
  <c r="M44" i="6"/>
  <c r="N44" i="6"/>
  <c r="O44" i="6"/>
  <c r="P44" i="6"/>
  <c r="Q44" i="6"/>
  <c r="F44" i="6"/>
  <c r="G42" i="6"/>
  <c r="H42" i="6"/>
  <c r="I42" i="6"/>
  <c r="J42" i="6"/>
  <c r="K42" i="6"/>
  <c r="L42" i="6"/>
  <c r="M42" i="6"/>
  <c r="N42" i="6"/>
  <c r="O42" i="6"/>
  <c r="P42" i="6"/>
  <c r="Q42" i="6"/>
  <c r="F42" i="6"/>
  <c r="G38" i="6"/>
  <c r="H38" i="6"/>
  <c r="I38" i="6"/>
  <c r="J38" i="6"/>
  <c r="K38" i="6"/>
  <c r="L38" i="6"/>
  <c r="M38" i="6"/>
  <c r="N38" i="6"/>
  <c r="O38" i="6"/>
  <c r="P38" i="6"/>
  <c r="Q38" i="6"/>
  <c r="F38" i="6"/>
  <c r="G34" i="6"/>
  <c r="H34" i="6"/>
  <c r="I34" i="6"/>
  <c r="J34" i="6"/>
  <c r="K34" i="6"/>
  <c r="L34" i="6"/>
  <c r="M34" i="6"/>
  <c r="N34" i="6"/>
  <c r="O34" i="6"/>
  <c r="P34" i="6"/>
  <c r="Q34" i="6"/>
  <c r="F34" i="6"/>
  <c r="G33" i="6"/>
  <c r="H33" i="6"/>
  <c r="I33" i="6"/>
  <c r="J33" i="6"/>
  <c r="K33" i="6"/>
  <c r="L33" i="6"/>
  <c r="M33" i="6"/>
  <c r="N33" i="6"/>
  <c r="O33" i="6"/>
  <c r="P33" i="6"/>
  <c r="Q33" i="6"/>
  <c r="F33" i="6"/>
  <c r="G29" i="6"/>
  <c r="H29" i="6"/>
  <c r="I29" i="6"/>
  <c r="J29" i="6"/>
  <c r="K29" i="6"/>
  <c r="L29" i="6"/>
  <c r="M29" i="6"/>
  <c r="N29" i="6"/>
  <c r="O29" i="6"/>
  <c r="P29" i="6"/>
  <c r="Q29" i="6"/>
  <c r="F29" i="6"/>
  <c r="Q42" i="12"/>
  <c r="Q44" i="12" s="1"/>
  <c r="P42" i="12"/>
  <c r="P44" i="12" s="1"/>
  <c r="O42" i="12"/>
  <c r="O44" i="12" s="1"/>
  <c r="N42" i="12"/>
  <c r="N44" i="12" s="1"/>
  <c r="M42" i="12"/>
  <c r="M44" i="12" s="1"/>
  <c r="L42" i="12"/>
  <c r="L44" i="12" s="1"/>
  <c r="K42" i="12"/>
  <c r="K44" i="12" s="1"/>
  <c r="J42" i="12"/>
  <c r="J44" i="12" s="1"/>
  <c r="I42" i="12"/>
  <c r="I44" i="12" s="1"/>
  <c r="H42" i="12"/>
  <c r="H44" i="12" s="1"/>
  <c r="G42" i="12"/>
  <c r="G44" i="12" s="1"/>
  <c r="F42" i="12"/>
  <c r="F44" i="12" s="1"/>
  <c r="Q38" i="12"/>
  <c r="P38" i="12"/>
  <c r="O38" i="12"/>
  <c r="N38" i="12"/>
  <c r="M38" i="12"/>
  <c r="L38" i="12"/>
  <c r="K38" i="12"/>
  <c r="J38" i="12"/>
  <c r="I38" i="12"/>
  <c r="H38" i="12"/>
  <c r="G38" i="12"/>
  <c r="F38" i="12"/>
  <c r="Q33" i="12"/>
  <c r="Q34" i="12" s="1"/>
  <c r="P33" i="12"/>
  <c r="P34" i="12" s="1"/>
  <c r="O33" i="12"/>
  <c r="O34" i="12" s="1"/>
  <c r="N33" i="12"/>
  <c r="N34" i="12" s="1"/>
  <c r="M33" i="12"/>
  <c r="M34" i="12" s="1"/>
  <c r="L33" i="12"/>
  <c r="L34" i="12" s="1"/>
  <c r="K33" i="12"/>
  <c r="K34" i="12" s="1"/>
  <c r="J33" i="12"/>
  <c r="J34" i="12" s="1"/>
  <c r="I33" i="12"/>
  <c r="I34" i="12" s="1"/>
  <c r="H33" i="12"/>
  <c r="H34" i="12" s="1"/>
  <c r="G33" i="12"/>
  <c r="G34" i="12" s="1"/>
  <c r="F33" i="12"/>
  <c r="F34" i="12" s="1"/>
  <c r="Q29" i="12"/>
  <c r="P29" i="12"/>
  <c r="O29" i="12"/>
  <c r="N29" i="12"/>
  <c r="M29" i="12"/>
  <c r="L29" i="12"/>
  <c r="K29" i="12"/>
  <c r="J29" i="12"/>
  <c r="I29" i="12"/>
  <c r="H29" i="12"/>
  <c r="G29" i="12"/>
  <c r="F29" i="12"/>
  <c r="I29" i="10"/>
  <c r="G29" i="10"/>
  <c r="G33" i="10"/>
  <c r="G34" i="10"/>
  <c r="G38" i="10"/>
  <c r="G29" i="9"/>
  <c r="H29" i="9"/>
  <c r="I29" i="9"/>
  <c r="J29" i="9"/>
  <c r="K29" i="9"/>
  <c r="L29" i="9"/>
  <c r="M29" i="9"/>
  <c r="N29" i="9"/>
  <c r="O29" i="9"/>
  <c r="P29" i="9"/>
  <c r="Q29" i="9"/>
  <c r="F29" i="9"/>
  <c r="F34" i="1"/>
  <c r="F33" i="1"/>
  <c r="F44" i="1"/>
  <c r="F33" i="3"/>
  <c r="F34" i="3"/>
  <c r="F44" i="3"/>
  <c r="Q42" i="11"/>
  <c r="Q44" i="11" s="1"/>
  <c r="P42" i="11"/>
  <c r="P44" i="11" s="1"/>
  <c r="O42" i="11"/>
  <c r="O44" i="11" s="1"/>
  <c r="N42" i="11"/>
  <c r="N44" i="11" s="1"/>
  <c r="M42" i="11"/>
  <c r="M44" i="11" s="1"/>
  <c r="L42" i="11"/>
  <c r="L44" i="11" s="1"/>
  <c r="K42" i="11"/>
  <c r="K44" i="11" s="1"/>
  <c r="J42" i="11"/>
  <c r="J44" i="11" s="1"/>
  <c r="I42" i="11"/>
  <c r="I44" i="11" s="1"/>
  <c r="H42" i="11"/>
  <c r="H44" i="11" s="1"/>
  <c r="G42" i="11"/>
  <c r="G44" i="11" s="1"/>
  <c r="F42" i="11"/>
  <c r="F44" i="11" s="1"/>
  <c r="Q38" i="11"/>
  <c r="P38" i="11"/>
  <c r="O38" i="11"/>
  <c r="N38" i="11"/>
  <c r="M38" i="11"/>
  <c r="L38" i="11"/>
  <c r="K38" i="11"/>
  <c r="J38" i="11"/>
  <c r="H38" i="11"/>
  <c r="F38" i="11"/>
  <c r="Q33" i="11"/>
  <c r="Q34" i="11" s="1"/>
  <c r="P33" i="11"/>
  <c r="P34" i="11" s="1"/>
  <c r="O33" i="11"/>
  <c r="O34" i="11" s="1"/>
  <c r="N33" i="11"/>
  <c r="N34" i="11" s="1"/>
  <c r="M33" i="11"/>
  <c r="M34" i="11" s="1"/>
  <c r="L33" i="11"/>
  <c r="L34" i="11" s="1"/>
  <c r="K33" i="11"/>
  <c r="K34" i="11" s="1"/>
  <c r="J33" i="11"/>
  <c r="J34" i="11" s="1"/>
  <c r="I33" i="11"/>
  <c r="I34" i="11" s="1"/>
  <c r="H33" i="11"/>
  <c r="H34" i="11" s="1"/>
  <c r="G33" i="11"/>
  <c r="G34" i="11" s="1"/>
  <c r="F33" i="11"/>
  <c r="F34" i="11" s="1"/>
  <c r="Q29" i="11"/>
  <c r="P29" i="11"/>
  <c r="O29" i="11"/>
  <c r="N29" i="11"/>
  <c r="M29" i="11"/>
  <c r="L29" i="11"/>
  <c r="K29" i="11"/>
  <c r="J29" i="11"/>
  <c r="I29" i="11"/>
  <c r="H29" i="11"/>
  <c r="G29" i="11"/>
  <c r="F29" i="11"/>
  <c r="P42" i="10"/>
  <c r="P44" i="10" s="1"/>
  <c r="O42" i="10"/>
  <c r="O44" i="10" s="1"/>
  <c r="N42" i="10"/>
  <c r="N44" i="10" s="1"/>
  <c r="L42" i="10"/>
  <c r="L44" i="10" s="1"/>
  <c r="J42" i="10"/>
  <c r="J44" i="10" s="1"/>
  <c r="H42" i="10"/>
  <c r="H44" i="10" s="1"/>
  <c r="G42" i="10"/>
  <c r="G44" i="10" s="1"/>
  <c r="F42" i="10"/>
  <c r="F44" i="10" s="1"/>
  <c r="P38" i="10"/>
  <c r="O38" i="10"/>
  <c r="N38" i="10"/>
  <c r="L38" i="10"/>
  <c r="J38" i="10"/>
  <c r="H38" i="10"/>
  <c r="F38" i="10"/>
  <c r="P33" i="10"/>
  <c r="P34" i="10" s="1"/>
  <c r="O33" i="10"/>
  <c r="O34" i="10" s="1"/>
  <c r="N33" i="10"/>
  <c r="N34" i="10" s="1"/>
  <c r="L33" i="10"/>
  <c r="L34" i="10" s="1"/>
  <c r="J33" i="10"/>
  <c r="J34" i="10" s="1"/>
  <c r="H33" i="10"/>
  <c r="H34" i="10" s="1"/>
  <c r="F33" i="10"/>
  <c r="F34" i="10" s="1"/>
  <c r="P29" i="10"/>
  <c r="O29" i="10"/>
  <c r="N29" i="10"/>
  <c r="L29" i="10"/>
  <c r="J29" i="10"/>
  <c r="H29" i="10"/>
  <c r="F29" i="10"/>
  <c r="F38" i="9"/>
  <c r="F38" i="4"/>
  <c r="F38" i="3"/>
  <c r="F38" i="1"/>
  <c r="G29" i="1"/>
  <c r="H29" i="1"/>
  <c r="I29" i="1"/>
  <c r="J29" i="1"/>
  <c r="K29" i="1"/>
  <c r="L29" i="1"/>
  <c r="M29" i="1"/>
  <c r="N29" i="1"/>
  <c r="O29" i="1"/>
  <c r="P29" i="1"/>
  <c r="Q29" i="1"/>
  <c r="F29" i="1"/>
  <c r="G29" i="2"/>
  <c r="H29" i="2"/>
  <c r="I29" i="2"/>
  <c r="J29" i="2"/>
  <c r="K29" i="2"/>
  <c r="L29" i="2"/>
  <c r="M29" i="2"/>
  <c r="N29" i="2"/>
  <c r="O29" i="2"/>
  <c r="P29" i="2"/>
  <c r="Q29" i="2"/>
  <c r="F29" i="2"/>
  <c r="G29" i="3"/>
  <c r="H29" i="3"/>
  <c r="I29" i="3"/>
  <c r="J29" i="3"/>
  <c r="K29" i="3"/>
  <c r="L29" i="3"/>
  <c r="M29" i="3"/>
  <c r="N29" i="3"/>
  <c r="O29" i="3"/>
  <c r="P29" i="3"/>
  <c r="Q29" i="3"/>
  <c r="F29" i="3"/>
  <c r="G29" i="4"/>
  <c r="H29" i="4"/>
  <c r="I29" i="4"/>
  <c r="J29" i="4"/>
  <c r="K29" i="4"/>
  <c r="L29" i="4"/>
  <c r="M29" i="4"/>
  <c r="N29" i="4"/>
  <c r="O29" i="4"/>
  <c r="P29" i="4"/>
  <c r="Q29" i="4"/>
  <c r="F29" i="4"/>
  <c r="G38" i="4"/>
  <c r="H38" i="4"/>
  <c r="I38" i="4"/>
  <c r="J38" i="4"/>
  <c r="K38" i="4"/>
  <c r="L38" i="4"/>
  <c r="M38" i="4"/>
  <c r="N38" i="4"/>
  <c r="O38" i="4"/>
  <c r="P38" i="4"/>
  <c r="Q38" i="4"/>
  <c r="G38" i="9"/>
  <c r="H38" i="9"/>
  <c r="I38" i="9"/>
  <c r="J38" i="9"/>
  <c r="K38" i="9"/>
  <c r="L38" i="9"/>
  <c r="M38" i="9"/>
  <c r="N38" i="9"/>
  <c r="O38" i="9"/>
  <c r="P38" i="9"/>
  <c r="Q38" i="9"/>
  <c r="H38" i="1"/>
  <c r="I38" i="1"/>
  <c r="J38" i="1"/>
  <c r="K38" i="1"/>
  <c r="L38" i="1"/>
  <c r="M38" i="1"/>
  <c r="N38" i="1"/>
  <c r="O38" i="1"/>
  <c r="P38" i="1"/>
  <c r="Q38" i="1"/>
  <c r="G38" i="1"/>
  <c r="Q42" i="9"/>
  <c r="Q44" i="9" s="1"/>
  <c r="P42" i="9"/>
  <c r="P44" i="9" s="1"/>
  <c r="O42" i="9"/>
  <c r="O44" i="9" s="1"/>
  <c r="N42" i="9"/>
  <c r="N44" i="9" s="1"/>
  <c r="M42" i="9"/>
  <c r="M44" i="9" s="1"/>
  <c r="L42" i="9"/>
  <c r="L44" i="9" s="1"/>
  <c r="K42" i="9"/>
  <c r="K44" i="9" s="1"/>
  <c r="J42" i="9"/>
  <c r="J44" i="9" s="1"/>
  <c r="I42" i="9"/>
  <c r="I44" i="9" s="1"/>
  <c r="H42" i="9"/>
  <c r="H44" i="9" s="1"/>
  <c r="G42" i="9"/>
  <c r="G44" i="9" s="1"/>
  <c r="F42" i="9"/>
  <c r="F44" i="9" s="1"/>
  <c r="Q33" i="9"/>
  <c r="Q34" i="9" s="1"/>
  <c r="P33" i="9"/>
  <c r="P34" i="9" s="1"/>
  <c r="O33" i="9"/>
  <c r="O34" i="9" s="1"/>
  <c r="N33" i="9"/>
  <c r="N34" i="9" s="1"/>
  <c r="M33" i="9"/>
  <c r="M34" i="9" s="1"/>
  <c r="L33" i="9"/>
  <c r="L34" i="9" s="1"/>
  <c r="K33" i="9"/>
  <c r="K34" i="9" s="1"/>
  <c r="J33" i="9"/>
  <c r="J34" i="9" s="1"/>
  <c r="I33" i="9"/>
  <c r="I34" i="9" s="1"/>
  <c r="H33" i="9"/>
  <c r="H34" i="9" s="1"/>
  <c r="G33" i="9"/>
  <c r="G34" i="9" s="1"/>
  <c r="F33" i="9"/>
  <c r="F34" i="9" s="1"/>
  <c r="F44" i="4"/>
  <c r="F42" i="4"/>
  <c r="F34" i="4"/>
  <c r="F33" i="4"/>
  <c r="G34" i="4"/>
  <c r="L38" i="3"/>
  <c r="H44" i="4"/>
  <c r="Q42" i="4"/>
  <c r="Q44" i="4" s="1"/>
  <c r="P42" i="4"/>
  <c r="P44" i="4" s="1"/>
  <c r="O42" i="4"/>
  <c r="O44" i="4" s="1"/>
  <c r="N42" i="4"/>
  <c r="N44" i="4" s="1"/>
  <c r="M42" i="4"/>
  <c r="M44" i="4" s="1"/>
  <c r="L42" i="4"/>
  <c r="L44" i="4" s="1"/>
  <c r="K42" i="4"/>
  <c r="K44" i="4" s="1"/>
  <c r="J42" i="4"/>
  <c r="J44" i="4" s="1"/>
  <c r="I42" i="4"/>
  <c r="I44" i="4" s="1"/>
  <c r="H42" i="4"/>
  <c r="G42" i="4"/>
  <c r="G44" i="4" s="1"/>
  <c r="P34" i="4"/>
  <c r="Q33" i="4"/>
  <c r="Q34" i="4" s="1"/>
  <c r="P33" i="4"/>
  <c r="O33" i="4"/>
  <c r="O34" i="4" s="1"/>
  <c r="N33" i="4"/>
  <c r="N34" i="4" s="1"/>
  <c r="M33" i="4"/>
  <c r="M34" i="4" s="1"/>
  <c r="L33" i="4"/>
  <c r="L34" i="4" s="1"/>
  <c r="K33" i="4"/>
  <c r="K34" i="4" s="1"/>
  <c r="J33" i="4"/>
  <c r="J34" i="4" s="1"/>
  <c r="I33" i="4"/>
  <c r="I34" i="4" s="1"/>
  <c r="H33" i="4"/>
  <c r="H34" i="4" s="1"/>
  <c r="G33" i="4"/>
  <c r="H44" i="3"/>
  <c r="G44" i="3"/>
  <c r="Q42" i="3"/>
  <c r="Q44" i="3" s="1"/>
  <c r="P42" i="3"/>
  <c r="P44" i="3" s="1"/>
  <c r="O42" i="3"/>
  <c r="O44" i="3" s="1"/>
  <c r="N42" i="3"/>
  <c r="N44" i="3" s="1"/>
  <c r="M42" i="3"/>
  <c r="M44" i="3" s="1"/>
  <c r="L42" i="3"/>
  <c r="L44" i="3" s="1"/>
  <c r="K42" i="3"/>
  <c r="K44" i="3" s="1"/>
  <c r="J42" i="3"/>
  <c r="J44" i="3" s="1"/>
  <c r="I42" i="3"/>
  <c r="I44" i="3" s="1"/>
  <c r="H42" i="3"/>
  <c r="G42" i="3"/>
  <c r="Q38" i="3"/>
  <c r="P38" i="3"/>
  <c r="O38" i="3"/>
  <c r="N38" i="3"/>
  <c r="M38" i="3"/>
  <c r="K38" i="3"/>
  <c r="J38" i="3"/>
  <c r="I38" i="3"/>
  <c r="H38" i="3"/>
  <c r="G38" i="3"/>
  <c r="Q33" i="3"/>
  <c r="Q34" i="3" s="1"/>
  <c r="P33" i="3"/>
  <c r="P34" i="3" s="1"/>
  <c r="O33" i="3"/>
  <c r="O34" i="3" s="1"/>
  <c r="N33" i="3"/>
  <c r="N34" i="3" s="1"/>
  <c r="M33" i="3"/>
  <c r="M34" i="3" s="1"/>
  <c r="L33" i="3"/>
  <c r="L34" i="3" s="1"/>
  <c r="K33" i="3"/>
  <c r="K34" i="3" s="1"/>
  <c r="J33" i="3"/>
  <c r="J34" i="3" s="1"/>
  <c r="I33" i="3"/>
  <c r="I34" i="3" s="1"/>
  <c r="H33" i="3"/>
  <c r="H34" i="3" s="1"/>
  <c r="G33" i="3"/>
  <c r="G34" i="3" s="1"/>
  <c r="H44" i="2"/>
  <c r="H38" i="2"/>
  <c r="H34" i="2"/>
  <c r="H33" i="2"/>
  <c r="F44" i="2"/>
  <c r="F34" i="2"/>
  <c r="Q42" i="2"/>
  <c r="Q44" i="2" s="1"/>
  <c r="P42" i="2"/>
  <c r="P44" i="2" s="1"/>
  <c r="O42" i="2"/>
  <c r="O44" i="2" s="1"/>
  <c r="N42" i="2"/>
  <c r="N44" i="2" s="1"/>
  <c r="M42" i="2"/>
  <c r="M44" i="2" s="1"/>
  <c r="K42" i="2"/>
  <c r="K44" i="2" s="1"/>
  <c r="I42" i="2"/>
  <c r="I44" i="2" s="1"/>
  <c r="G42" i="2"/>
  <c r="G44" i="2" s="1"/>
  <c r="Q38" i="2"/>
  <c r="P38" i="2"/>
  <c r="O38" i="2"/>
  <c r="N38" i="2"/>
  <c r="M38" i="2"/>
  <c r="K38" i="2"/>
  <c r="I38" i="2"/>
  <c r="G38" i="2"/>
  <c r="F38" i="2"/>
  <c r="Q33" i="2"/>
  <c r="Q34" i="2" s="1"/>
  <c r="P33" i="2"/>
  <c r="P34" i="2" s="1"/>
  <c r="O33" i="2"/>
  <c r="O34" i="2" s="1"/>
  <c r="N33" i="2"/>
  <c r="N34" i="2" s="1"/>
  <c r="M33" i="2"/>
  <c r="M34" i="2" s="1"/>
  <c r="K33" i="2"/>
  <c r="K34" i="2" s="1"/>
  <c r="I33" i="2"/>
  <c r="I34" i="2" s="1"/>
  <c r="G33" i="2"/>
  <c r="G34" i="2" s="1"/>
  <c r="H44" i="1"/>
  <c r="I44" i="1"/>
  <c r="L44" i="1"/>
  <c r="N44" i="1"/>
  <c r="O44" i="1"/>
  <c r="P44" i="1"/>
  <c r="H42" i="1"/>
  <c r="I42" i="1"/>
  <c r="J42" i="1"/>
  <c r="J44" i="1" s="1"/>
  <c r="K42" i="1"/>
  <c r="K44" i="1" s="1"/>
  <c r="L42" i="1"/>
  <c r="M42" i="1"/>
  <c r="M44" i="1" s="1"/>
  <c r="N42" i="1"/>
  <c r="O42" i="1"/>
  <c r="P42" i="1"/>
  <c r="Q42" i="1"/>
  <c r="Q44" i="1" s="1"/>
  <c r="G44" i="1"/>
  <c r="G42" i="1"/>
  <c r="H33" i="1"/>
  <c r="H34" i="1" s="1"/>
  <c r="I33" i="1"/>
  <c r="I34" i="1" s="1"/>
  <c r="J33" i="1"/>
  <c r="J34" i="1" s="1"/>
  <c r="K33" i="1"/>
  <c r="K34" i="1" s="1"/>
  <c r="L33" i="1"/>
  <c r="L34" i="1" s="1"/>
  <c r="M33" i="1"/>
  <c r="M34" i="1" s="1"/>
  <c r="N33" i="1"/>
  <c r="N34" i="1" s="1"/>
  <c r="O33" i="1"/>
  <c r="O34" i="1" s="1"/>
  <c r="P33" i="1"/>
  <c r="P34" i="1" s="1"/>
  <c r="Q33" i="1"/>
  <c r="Q34" i="1" s="1"/>
  <c r="G34" i="1"/>
  <c r="G33" i="1"/>
</calcChain>
</file>

<file path=xl/sharedStrings.xml><?xml version="1.0" encoding="utf-8"?>
<sst xmlns="http://schemas.openxmlformats.org/spreadsheetml/2006/main" count="3897" uniqueCount="102">
  <si>
    <t>OPERATION DATE</t>
  </si>
  <si>
    <t>TIME</t>
  </si>
  <si>
    <t>OPENING OF VANE</t>
  </si>
  <si>
    <t>OPENING HOT GAS BYPASS VALVE</t>
  </si>
  <si>
    <t>%</t>
  </si>
  <si>
    <t>OPENING OF 2nd VANE</t>
  </si>
  <si>
    <t>OPENING OF HIGH-STAGE EXPANSION VALVE</t>
  </si>
  <si>
    <t>OPENING OF LOW-STAGE EXPANSION VALVE</t>
  </si>
  <si>
    <t>MOTOR</t>
  </si>
  <si>
    <t>VOLTAGE</t>
  </si>
  <si>
    <t>CURRENT</t>
  </si>
  <si>
    <t>INPUT</t>
  </si>
  <si>
    <t>V</t>
  </si>
  <si>
    <t>A</t>
  </si>
  <si>
    <t>Kw</t>
  </si>
  <si>
    <t>RUNNING TIME</t>
  </si>
  <si>
    <t>Hr</t>
  </si>
  <si>
    <t>SUCTION TEMPERATURE</t>
  </si>
  <si>
    <t>DISCHARGE TEMPERATURE</t>
  </si>
  <si>
    <t>OIL TANK OIL TEMPERATURE</t>
  </si>
  <si>
    <t>OIL PRESSURE</t>
  </si>
  <si>
    <t>OIL LEVEL</t>
  </si>
  <si>
    <t>Mpa(G)</t>
  </si>
  <si>
    <t>OIL SUPPLY TEMPERATURE</t>
  </si>
  <si>
    <t>COMPRESSOR</t>
  </si>
  <si>
    <t>EVAPORATOR</t>
  </si>
  <si>
    <t>EVAPORATING PRESSURE</t>
  </si>
  <si>
    <t>EVAPORATING TEMPERATURE</t>
  </si>
  <si>
    <t>SATURATION TEMPERATURE</t>
  </si>
  <si>
    <t>CHILLED WATER FLOW RATE</t>
  </si>
  <si>
    <t>CHILLED WATER ENTERING TEMPERATURE</t>
  </si>
  <si>
    <t>CHILLED WATER LEAVING TEMPERATURE</t>
  </si>
  <si>
    <t>TEMPERATURE DIFFERENCE</t>
  </si>
  <si>
    <t>CHILLING CAPACITY</t>
  </si>
  <si>
    <t>kW</t>
  </si>
  <si>
    <t>m3/h</t>
  </si>
  <si>
    <t>CONDENSOR</t>
  </si>
  <si>
    <t>CONDENSING PRESSURE</t>
  </si>
  <si>
    <t>CONSENSED LIQUID TEMPERATURE</t>
  </si>
  <si>
    <t>SATURATED TEMEPRATURE</t>
  </si>
  <si>
    <t>LIQUID LEVEL</t>
  </si>
  <si>
    <t>COOLING WATER ENTERING TEMPERATURE</t>
  </si>
  <si>
    <t>COOLING WATER LEAVING TEMPERATURE</t>
  </si>
  <si>
    <t>COOLING WATER FLOW RATE</t>
  </si>
  <si>
    <t>HEAT CAPACITY</t>
  </si>
  <si>
    <t>mm</t>
  </si>
  <si>
    <t>ECONOMIZER</t>
  </si>
  <si>
    <t>ECONOMIZER PRESSURE</t>
  </si>
  <si>
    <t>SATURATED TEMPERATURE</t>
  </si>
  <si>
    <t>HEAT BALANCE</t>
  </si>
  <si>
    <t>COP</t>
  </si>
  <si>
    <t>% OF COOLING CAPACITY</t>
  </si>
  <si>
    <t>% OF MOTOR INPUT</t>
  </si>
  <si>
    <t>CHILLER</t>
  </si>
  <si>
    <t>EC0120A</t>
  </si>
  <si>
    <t>EC0120B</t>
  </si>
  <si>
    <t>EC0120C</t>
  </si>
  <si>
    <t>EC0120D</t>
  </si>
  <si>
    <t>EC0120E</t>
  </si>
  <si>
    <t>EC0120F</t>
  </si>
  <si>
    <t>00:00</t>
  </si>
  <si>
    <t>PAGE : 1 OF 1</t>
  </si>
  <si>
    <t>OPERATOR :</t>
  </si>
  <si>
    <t>DOC NO :</t>
  </si>
  <si>
    <t>REVISION : 1</t>
  </si>
  <si>
    <t xml:space="preserve">OPERATION CHILLER LOG SHEET
&amp;
REFRIGERANT LEAK </t>
  </si>
  <si>
    <t>REFRIGERANT LEAK STATUS</t>
  </si>
  <si>
    <t>REMARK :</t>
  </si>
  <si>
    <t>CHILLER :</t>
  </si>
  <si>
    <t xml:space="preserve">REFRIGERANT  ALARM </t>
  </si>
  <si>
    <t>YES</t>
  </si>
  <si>
    <t>NO</t>
  </si>
  <si>
    <t xml:space="preserve"> CONTROL 
LIMIT</t>
  </si>
  <si>
    <t>45-72 deg C</t>
  </si>
  <si>
    <t>35-45 degC</t>
  </si>
  <si>
    <t>35 -70 degC</t>
  </si>
  <si>
    <t>Diff pressure 
0.25-0.35 Mpa
OIL -EVAP =Diff pressure</t>
  </si>
  <si>
    <t>CELCIUS</t>
  </si>
  <si>
    <t xml:space="preserve"> OK / NOT OK</t>
  </si>
  <si>
    <t>CHILLER ALARM :</t>
  </si>
  <si>
    <t>0~100%</t>
  </si>
  <si>
    <t>6600V(±   5% )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</si>
  <si>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115A</t>
    </r>
  </si>
  <si>
    <t>1194kW</t>
  </si>
  <si>
    <t>NA</t>
  </si>
  <si>
    <t>C</t>
  </si>
  <si>
    <t>≥0.18Mpa</t>
  </si>
  <si>
    <t>634.8 m3h</t>
  </si>
  <si>
    <t>7032.6kW</t>
  </si>
  <si>
    <r>
      <rPr>
        <sz val="11"/>
        <color theme="1"/>
        <rFont val="Calibri"/>
        <family val="2"/>
      </rPr>
      <t>≤</t>
    </r>
    <r>
      <rPr>
        <sz val="11"/>
        <color theme="1"/>
        <rFont val="Calibri"/>
        <family val="2"/>
        <scheme val="minor"/>
      </rPr>
      <t>1.01Mpa(G)</t>
    </r>
  </si>
  <si>
    <t>LIQUID LEVEL(Side Glass Bottom)</t>
  </si>
  <si>
    <t>TEMPERATURE DIFFERENCE COOLING WATER</t>
  </si>
  <si>
    <t>Mpa</t>
  </si>
  <si>
    <t>0.95~1.05</t>
  </si>
  <si>
    <t>Differential pressure of Oil pressure - Evap pressure is in range 0.25 Mpa ~ 0.35 Mpa.</t>
  </si>
  <si>
    <t>* Movement of Expansion Valve motor operation depends on running condition.</t>
  </si>
  <si>
    <t xml:space="preserve">OPER-01-QR-01 </t>
  </si>
  <si>
    <r>
      <t xml:space="preserve">APPROACH TEMP </t>
    </r>
    <r>
      <rPr>
        <b/>
        <sz val="9"/>
        <color theme="1"/>
        <rFont val="Calibri"/>
        <family val="2"/>
        <scheme val="minor"/>
      </rPr>
      <t>(COND LQ TEMP - LEAVING TEMP)</t>
    </r>
  </si>
  <si>
    <t>APPROACH TEMP</t>
  </si>
  <si>
    <t>2.8.7</t>
  </si>
  <si>
    <t>OK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</si>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</sst>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20" fontId="1" fillId="2" borderId="1" xfId="0" quotePrefix="1" applyNumberFormat="1" applyFont="1" applyFill="1" applyBorder="1" applyAlignment="1">
      <alignment horizont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1" fillId="0" borderId="1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20" fontId="1" fillId="0" borderId="1" xfId="0" quotePrefix="1" applyNumberFormat="1" applyFont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20" fontId="1" fillId="2" borderId="1" xfId="0" quotePrefix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20" fontId="1" fillId="2" borderId="1" xfId="0" quotePrefix="1" applyNumberFormat="1" applyFont="1" applyFill="1" applyBorder="1" applyAlignment="1">
      <alignment horizont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1" fillId="0" borderId="1" xfId="0" applyFont="1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8" xfId="0" applyBorder="1"/>
    <xf numFmtId="0" fontId="0" fillId="0" borderId="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 vertical="center"/>
    </xf>
    <xf numFmtId="20" fontId="1" fillId="0" borderId="1" xfId="0" quotePrefix="1" applyNumberFormat="1" applyFont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20" fontId="1" fillId="2" borderId="1" xfId="0" quotePrefix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0" y="242569"/>
          <a:ext cx="968375" cy="73596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254750" y="6270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6534150" y="6121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861175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8994775" y="6248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9274175" y="60991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601200" y="59817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0020300" y="6273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0299700" y="61245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06267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0998200" y="6267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277600" y="6118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11604625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1944350" y="6261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2223750" y="6111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125507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2957175" y="6257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13236575" y="61087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1356360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13982700" y="6283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14262100" y="6134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1458912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14960600" y="6276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5240000" y="6127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55670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15906750" y="6270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16186150" y="6121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16513175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16903700" y="62515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17183100" y="61023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17510125" y="59848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17929225" y="6276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18208625" y="6127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18535650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18907125" y="6270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19186525" y="6121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1951355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19853275" y="6264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132675" y="61150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>
          <a:off x="20459700" y="59975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7778750" y="6267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8058150" y="6118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8385175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8061325" y="9550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>
          <a:off x="7493000" y="619125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7486650" y="634365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4AF43-3686-4352-AD1A-4C14A9280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0F543EB-16B6-4B0D-9D73-245992E47F84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3F2831C-E5B4-45E0-93D2-50C541CA720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13C05C2-422B-454B-BF82-6CD8A7835BC1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5FDF9F6-E78A-4B7D-B579-502DA3E5017E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1F07AC5-4D26-42F0-9E39-56EBAFFB272D}"/>
            </a:ext>
          </a:extLst>
        </xdr:cNvPr>
        <xdr:cNvSpPr/>
      </xdr:nvSpPr>
      <xdr:spPr>
        <a:xfrm>
          <a:off x="9290050" y="6031706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35851C4-FC30-41B8-87CE-8389AA0CC690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98F612B-FE59-47DC-9E89-CFACA9B59F7D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199231</xdr:rowOff>
    </xdr:from>
    <xdr:to>
      <xdr:col>6</xdr:col>
      <xdr:colOff>568325</xdr:colOff>
      <xdr:row>23</xdr:row>
      <xdr:rowOff>342106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5A7D579-DBE5-461A-AEF9-D2A0579212BF}"/>
            </a:ext>
          </a:extLst>
        </xdr:cNvPr>
        <xdr:cNvSpPr/>
      </xdr:nvSpPr>
      <xdr:spPr>
        <a:xfrm>
          <a:off x="10307638" y="6069012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u="sng"/>
            <a:t>---</a:t>
          </a:r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C5A4474-4880-44B1-82CF-AEF01AA02874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7FD6191-C36D-41B3-9D35-393195794A4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EF0E100A-BAC9-412B-8B00-940B45CE5EA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69B9EFD9-D635-42FC-9A60-8BF714FC94F5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7555197-EB6C-4043-88D8-A80A7412A11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E16E6A4-5C3B-4398-AE81-725D50518EDF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7A1C5D7-3FA9-4B79-9D15-ABB9BDB595F5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20047821-DCED-4A53-9CEA-A05ED7B9804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EC90464-3F1C-4E35-9FAE-BB4A77FA769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45E94159-BE8B-4250-8138-8667BF3D553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A31E300-49E0-401B-8A67-437E2C5ED80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3BE84B5F-5411-410E-B6C8-AAEB3B8680C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545B9D6-E4B0-430D-84A9-F324BA816F6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EF585C03-0942-487B-9A47-A1E194D64C1A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790CD5C-B4DA-4F01-B708-007BCA3F4825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D4A00D2-52EA-4738-B3B4-8D4F520BBA55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39E310B1-8DAB-49A9-9D36-D5EE3831B15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9CCD78A-E72B-42BB-A768-BEB109189B7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0341E4F-3AF9-432C-B8BA-1B3BB1038B3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A140B4B-3594-4308-A925-7BB2439FF1A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F665AE3D-FA5E-46ED-9DAE-25B19F1378F4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3AA16C74-95BD-42E6-B560-361EA66F23BB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9A2C393-0B24-404D-AF89-635EE40AECC6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8FEEAA6-0C87-434B-B3D4-D3439D6581E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BBCAEBB-E896-4B54-9C83-7B703C9432F6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54400BB-F148-4248-83F6-B1FBB63142C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1424BCA-6CFE-4CAA-A103-A3150439C6F0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B2AB6CB1-A760-4AC9-A0DC-D17D4405363B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8282991-ECA4-48A8-8D22-2B5BC372D236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41DC986-4B0E-4673-84A2-3E719B5E4768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43D6F347-2793-4FE9-A002-76D5C707E218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9A8990A8-BF9F-4DB1-84B3-DF53CBC8F48A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4D30A48-EE5A-4F5D-A026-4D5489A00A7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BC331C19-4182-421D-9CEB-429E9B68444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4B5108AF-3B66-4078-BED6-DDA4EAC13C1E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025C69C-5EFE-470B-8A53-7F53D6A54C2E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31710050-2C5B-4326-8EF2-810ADE546AC7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130968</xdr:colOff>
      <xdr:row>23</xdr:row>
      <xdr:rowOff>273844</xdr:rowOff>
    </xdr:from>
    <xdr:to>
      <xdr:col>6</xdr:col>
      <xdr:colOff>881062</xdr:colOff>
      <xdr:row>23</xdr:row>
      <xdr:rowOff>285750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754F17A-3DA6-4412-B40C-C3AC55CDFE65}"/>
            </a:ext>
          </a:extLst>
        </xdr:cNvPr>
        <xdr:cNvCxnSpPr/>
      </xdr:nvCxnSpPr>
      <xdr:spPr>
        <a:xfrm>
          <a:off x="10013156" y="6143625"/>
          <a:ext cx="750094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</xdr:colOff>
      <xdr:row>23</xdr:row>
      <xdr:rowOff>261938</xdr:rowOff>
    </xdr:from>
    <xdr:to>
      <xdr:col>8</xdr:col>
      <xdr:colOff>821531</xdr:colOff>
      <xdr:row>23</xdr:row>
      <xdr:rowOff>273844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07924F4-524F-4A1C-9363-40A3643DD440}"/>
            </a:ext>
          </a:extLst>
        </xdr:cNvPr>
        <xdr:cNvCxnSpPr/>
      </xdr:nvCxnSpPr>
      <xdr:spPr>
        <a:xfrm>
          <a:off x="11906250" y="6131719"/>
          <a:ext cx="750094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107156</xdr:colOff>
      <xdr:row>23</xdr:row>
      <xdr:rowOff>273844</xdr:rowOff>
    </xdr:from>
    <xdr:to>
      <xdr:col>10</xdr:col>
      <xdr:colOff>857250</xdr:colOff>
      <xdr:row>23</xdr:row>
      <xdr:rowOff>285750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015CA01-F86A-4A70-B1CD-8562DCB89371}"/>
            </a:ext>
          </a:extLst>
        </xdr:cNvPr>
        <xdr:cNvCxnSpPr/>
      </xdr:nvCxnSpPr>
      <xdr:spPr>
        <a:xfrm>
          <a:off x="13894594" y="6143625"/>
          <a:ext cx="750094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154781</xdr:colOff>
      <xdr:row>23</xdr:row>
      <xdr:rowOff>250032</xdr:rowOff>
    </xdr:from>
    <xdr:to>
      <xdr:col>12</xdr:col>
      <xdr:colOff>904875</xdr:colOff>
      <xdr:row>23</xdr:row>
      <xdr:rowOff>261938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CF616EB-1845-4126-8D0F-1D197A71A265}"/>
            </a:ext>
          </a:extLst>
        </xdr:cNvPr>
        <xdr:cNvCxnSpPr/>
      </xdr:nvCxnSpPr>
      <xdr:spPr>
        <a:xfrm>
          <a:off x="15894844" y="6119813"/>
          <a:ext cx="750094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23</xdr:row>
      <xdr:rowOff>261938</xdr:rowOff>
    </xdr:from>
    <xdr:to>
      <xdr:col>16</xdr:col>
      <xdr:colOff>892969</xdr:colOff>
      <xdr:row>23</xdr:row>
      <xdr:rowOff>273844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82228AF-93C0-46BD-A1F0-1F63A154650D}"/>
            </a:ext>
          </a:extLst>
        </xdr:cNvPr>
        <xdr:cNvCxnSpPr/>
      </xdr:nvCxnSpPr>
      <xdr:spPr>
        <a:xfrm>
          <a:off x="19788188" y="6131719"/>
          <a:ext cx="750094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128583</xdr:colOff>
      <xdr:row>23</xdr:row>
      <xdr:rowOff>283370</xdr:rowOff>
    </xdr:from>
    <xdr:to>
      <xdr:col>5</xdr:col>
      <xdr:colOff>878677</xdr:colOff>
      <xdr:row>23</xdr:row>
      <xdr:rowOff>295276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4FEE0A5-E8D4-4BB9-844A-B4DF4BD62D7F}"/>
            </a:ext>
          </a:extLst>
        </xdr:cNvPr>
        <xdr:cNvCxnSpPr/>
      </xdr:nvCxnSpPr>
      <xdr:spPr>
        <a:xfrm>
          <a:off x="9034458" y="6153151"/>
          <a:ext cx="750094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178594</xdr:colOff>
      <xdr:row>23</xdr:row>
      <xdr:rowOff>247651</xdr:rowOff>
    </xdr:from>
    <xdr:to>
      <xdr:col>7</xdr:col>
      <xdr:colOff>928688</xdr:colOff>
      <xdr:row>23</xdr:row>
      <xdr:rowOff>259557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450F6822-A361-4A84-96B0-A87AAD221117}"/>
            </a:ext>
          </a:extLst>
        </xdr:cNvPr>
        <xdr:cNvCxnSpPr/>
      </xdr:nvCxnSpPr>
      <xdr:spPr>
        <a:xfrm>
          <a:off x="11037094" y="6117432"/>
          <a:ext cx="750094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132556</xdr:colOff>
      <xdr:row>23</xdr:row>
      <xdr:rowOff>250825</xdr:rowOff>
    </xdr:from>
    <xdr:to>
      <xdr:col>15</xdr:col>
      <xdr:colOff>882650</xdr:colOff>
      <xdr:row>23</xdr:row>
      <xdr:rowOff>262731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21A50D5-2422-472C-97BE-F63EB7E6D28A}"/>
            </a:ext>
          </a:extLst>
        </xdr:cNvPr>
        <xdr:cNvCxnSpPr/>
      </xdr:nvCxnSpPr>
      <xdr:spPr>
        <a:xfrm>
          <a:off x="18801556" y="6120606"/>
          <a:ext cx="750094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9833EA-2D10-46E1-9625-588BF27E8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2CC49D1-49BD-46CA-85F8-3409D4E79053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F030C79-BD69-4E8A-B43C-637B4B811487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755DAD2-0399-46A3-B18A-6282106B12DF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9CA0750-6E38-4F36-A21F-C483FBD56EFA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B73D011-2CD6-49CA-BF33-BF866491D42B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817E3C4-F830-4D18-A150-86B73BC42899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6AE584E-6163-4607-9185-A2B11A0B032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559593</xdr:colOff>
      <xdr:row>23</xdr:row>
      <xdr:rowOff>345281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B8AE004-8626-43D9-8DC0-3E16C8462F29}"/>
            </a:ext>
          </a:extLst>
        </xdr:cNvPr>
        <xdr:cNvSpPr/>
      </xdr:nvSpPr>
      <xdr:spPr>
        <a:xfrm>
          <a:off x="10307638" y="6057106"/>
          <a:ext cx="134143" cy="157956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999348C9-8127-4FB2-B8F3-1422600D4C9B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B1BD3A1-C392-47C4-9905-24827BDECD35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442740C-A93F-4C79-814F-5DF8FA29F2B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6A523F3-1774-4DBE-87AC-7B11F3A0C72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F1D3510C-CC15-4E34-BC83-0B8A5ABE7832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88EAA130-E370-454A-839C-1C006C9A7F09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7E39559-E19C-4994-9EF5-4F8D07EB2388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4F7C25D-5A18-4AC2-B233-636F51343F4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2D7A162-E142-4B99-A80C-F8399F16C182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F97D03B-F9E1-42E1-AB23-DAA089C43D56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9414EA8-54EC-4C7F-BFDD-16E2D8FFFDDB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2192F47-0BD3-499C-B5E1-C6E6A0BC837D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226088B-499C-4093-881A-06F3FF03FC5B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8F441D91-FE4E-4589-869A-E1BFA6C6D9B8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C63C3B9-09D4-48E9-87F5-BB80849AF510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57F0198-7B07-45F8-AC1E-85E791C8E951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5436587-DFDC-48F1-8B99-0257676187A7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EA0D21D-2B5A-4161-BEAC-DCBC4299F4F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DB234C6-1474-4C23-9E06-EE304011AA4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AEB4554-3B51-4A79-AFF4-8AB59EE7A19A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2B598B1-C482-4B04-B422-92A66520F34B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3B52F20-0B89-442A-ACFA-B2B10F393C6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008468B-6124-45A7-A998-8A7FDB938051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BD68478-FC54-4391-9AD2-539914D7325D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F1EF79B4-9898-44E7-83D1-B313608B7DEF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7468D9B0-73B3-4B78-8B63-C939CCC9799D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13ABBD0-1799-4996-A837-779F547CF7CE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9EBFDD6C-FA63-442E-8EAE-9F7C0E816C0B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FB8EDBD-0D89-4244-BAA1-BE9E9D9FA58C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59BB981C-1C00-4A5E-A569-F91CA3048DD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253F0267-55C0-4E1C-BE24-18CA76BC8B2B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781ED365-0C6A-4747-A8C9-E08F66403C74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E32DF16D-EC28-45E8-BB1A-E9E834082333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DF684FB9-BCFB-4E00-8185-011D1DD3C8B0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FCB67C00-A4B3-4A57-949B-7932540007D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265906</xdr:rowOff>
    </xdr:from>
    <xdr:to>
      <xdr:col>4</xdr:col>
      <xdr:colOff>1444625</xdr:colOff>
      <xdr:row>23</xdr:row>
      <xdr:rowOff>265906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8AB54CC-FADF-4DE7-8E73-559B23C9E483}"/>
            </a:ext>
          </a:extLst>
        </xdr:cNvPr>
        <xdr:cNvCxnSpPr/>
      </xdr:nvCxnSpPr>
      <xdr:spPr>
        <a:xfrm>
          <a:off x="7504906" y="6135687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13A8E1D-9D42-4650-AD45-6B3603FF38FC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273844</xdr:rowOff>
    </xdr:from>
    <xdr:to>
      <xdr:col>6</xdr:col>
      <xdr:colOff>881062</xdr:colOff>
      <xdr:row>23</xdr:row>
      <xdr:rowOff>285750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3D6CFCB2-5538-450B-A791-19F9C54AD5D0}"/>
            </a:ext>
          </a:extLst>
        </xdr:cNvPr>
        <xdr:cNvCxnSpPr/>
      </xdr:nvCxnSpPr>
      <xdr:spPr>
        <a:xfrm flipV="1">
          <a:off x="9965531" y="6143625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35719</xdr:colOff>
      <xdr:row>23</xdr:row>
      <xdr:rowOff>261938</xdr:rowOff>
    </xdr:from>
    <xdr:to>
      <xdr:col>8</xdr:col>
      <xdr:colOff>833438</xdr:colOff>
      <xdr:row>23</xdr:row>
      <xdr:rowOff>273844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FD89988-D807-4A1A-8D3A-C971679871DD}"/>
            </a:ext>
          </a:extLst>
        </xdr:cNvPr>
        <xdr:cNvCxnSpPr/>
      </xdr:nvCxnSpPr>
      <xdr:spPr>
        <a:xfrm flipV="1">
          <a:off x="11870532" y="61317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23813</xdr:colOff>
      <xdr:row>23</xdr:row>
      <xdr:rowOff>261938</xdr:rowOff>
    </xdr:from>
    <xdr:to>
      <xdr:col>10</xdr:col>
      <xdr:colOff>821532</xdr:colOff>
      <xdr:row>23</xdr:row>
      <xdr:rowOff>273844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9C648FC-DFCF-4D5F-AE69-EDA298FD09F1}"/>
            </a:ext>
          </a:extLst>
        </xdr:cNvPr>
        <xdr:cNvCxnSpPr/>
      </xdr:nvCxnSpPr>
      <xdr:spPr>
        <a:xfrm flipV="1">
          <a:off x="13811251" y="61317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23</xdr:row>
      <xdr:rowOff>238125</xdr:rowOff>
    </xdr:from>
    <xdr:to>
      <xdr:col>12</xdr:col>
      <xdr:colOff>892969</xdr:colOff>
      <xdr:row>23</xdr:row>
      <xdr:rowOff>250031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CCB8422-CBB2-49E2-A1DA-F11852E6EE00}"/>
            </a:ext>
          </a:extLst>
        </xdr:cNvPr>
        <xdr:cNvCxnSpPr/>
      </xdr:nvCxnSpPr>
      <xdr:spPr>
        <a:xfrm flipV="1">
          <a:off x="15835313" y="61079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59532</xdr:colOff>
      <xdr:row>23</xdr:row>
      <xdr:rowOff>250031</xdr:rowOff>
    </xdr:from>
    <xdr:to>
      <xdr:col>16</xdr:col>
      <xdr:colOff>857251</xdr:colOff>
      <xdr:row>23</xdr:row>
      <xdr:rowOff>261937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DE05DF3-3690-448C-A487-34A744A2D2BB}"/>
            </a:ext>
          </a:extLst>
        </xdr:cNvPr>
        <xdr:cNvCxnSpPr/>
      </xdr:nvCxnSpPr>
      <xdr:spPr>
        <a:xfrm flipV="1">
          <a:off x="19704845" y="6119812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178594</xdr:colOff>
      <xdr:row>23</xdr:row>
      <xdr:rowOff>214313</xdr:rowOff>
    </xdr:from>
    <xdr:to>
      <xdr:col>9</xdr:col>
      <xdr:colOff>857251</xdr:colOff>
      <xdr:row>23</xdr:row>
      <xdr:rowOff>250032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E576BD3-5CBB-4B2D-B988-1412085206B5}"/>
            </a:ext>
          </a:extLst>
        </xdr:cNvPr>
        <xdr:cNvCxnSpPr/>
      </xdr:nvCxnSpPr>
      <xdr:spPr>
        <a:xfrm>
          <a:off x="12989719" y="6084094"/>
          <a:ext cx="678657" cy="3571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92075</xdr:colOff>
      <xdr:row>23</xdr:row>
      <xdr:rowOff>245269</xdr:rowOff>
    </xdr:from>
    <xdr:to>
      <xdr:col>11</xdr:col>
      <xdr:colOff>889794</xdr:colOff>
      <xdr:row>23</xdr:row>
      <xdr:rowOff>257175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CBE943A-9E0D-4E10-869F-651BB93BD5EE}"/>
            </a:ext>
          </a:extLst>
        </xdr:cNvPr>
        <xdr:cNvCxnSpPr/>
      </xdr:nvCxnSpPr>
      <xdr:spPr>
        <a:xfrm flipV="1">
          <a:off x="14855825" y="6115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226219</xdr:rowOff>
    </xdr:from>
    <xdr:to>
      <xdr:col>15</xdr:col>
      <xdr:colOff>845344</xdr:colOff>
      <xdr:row>23</xdr:row>
      <xdr:rowOff>238125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1F6140C-F12B-4CB5-8A09-0D5DC828B85A}"/>
            </a:ext>
          </a:extLst>
        </xdr:cNvPr>
        <xdr:cNvCxnSpPr/>
      </xdr:nvCxnSpPr>
      <xdr:spPr>
        <a:xfrm flipV="1">
          <a:off x="18716625" y="60960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C1984-287B-4688-B35E-5C3A05583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FFDA1DAB-BB87-411D-A67C-5C9EE55BF64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FF711E9-1337-4C6F-B7CC-C59A804D7C01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D82A2AD-4D44-46F2-A698-4A028B844CB6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DC463F5-5C6B-406F-A77D-385834DFBDD5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5D663E8-F584-4089-B323-905C44A24217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4DC7AC1-31A7-42AA-B5F9-140B2A611316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312738</xdr:rowOff>
    </xdr:from>
    <xdr:to>
      <xdr:col>6</xdr:col>
      <xdr:colOff>288925</xdr:colOff>
      <xdr:row>23</xdr:row>
      <xdr:rowOff>455613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5388AAF-D86A-4E25-9315-BF2FDADB2B41}"/>
            </a:ext>
          </a:extLst>
        </xdr:cNvPr>
        <xdr:cNvSpPr/>
      </xdr:nvSpPr>
      <xdr:spPr>
        <a:xfrm>
          <a:off x="10028238" y="6182519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C474C90-F4FE-4F42-88A6-6E90AE19CB03}"/>
            </a:ext>
          </a:extLst>
        </xdr:cNvPr>
        <xdr:cNvSpPr/>
      </xdr:nvSpPr>
      <xdr:spPr>
        <a:xfrm rot="5197496">
          <a:off x="10307638" y="6057106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1D31683-385E-4397-80D7-781C7018EDB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BB8FD161-1633-481D-89C1-A9624B7295F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415713C-ED6C-41DD-ADAB-AE5CFC713CC2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CD79C875-F1D2-44C2-A21A-4255BBB3357A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191493C-2662-4FA8-A6AB-FBDAB08056FB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97C622B-07FD-46B5-8B08-14C5A8A4B44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B15EDD64-6825-46F2-AE9B-43D05CB1257F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DB01FAF-AF48-434C-B849-A02AFC880D16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EACA1C0B-2C95-44D9-8090-15B96369E03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BAF2500B-1755-4515-B109-AFB7E29E2469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2BD5516A-259D-4F4B-99EB-3CDA7CBEC6D8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BDECC4D4-C257-4FAC-AFFA-8A99005927E5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153DCCF-EFF2-42BF-BE3E-18D504277D10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F70B609-7927-47DA-9A5A-2789F1614FE7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63A85A9-0992-4261-86A6-16177288198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53C19248-53D4-42EA-B4E7-F3B8E1DF62AB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60BDE56-40BC-4ABE-AFB1-483EA467A26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D2915B2-B068-4ADB-9FEE-B7CF9B180FC7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F2E009A-FF9E-4327-BD77-A68AD0EB8824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435E1391-DDD6-471B-97F4-9D893F5C5C4E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62B6730-F3FD-414C-8FC7-1A6DF0534C9D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BA60C4E-14FA-4202-9747-B143F304FFF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938A3906-E4A1-4DF4-95DC-156F8370A515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F558CB8-27C0-4466-A54F-A58EC715439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FFAFF66F-3A18-4924-A4FA-34DF17C4756E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F858322-E6B8-4721-B9EE-4B44DFBB5D81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42F0EFF-F33C-4584-9290-44DD1443194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274BB2F-7757-444C-8E12-B9C07C9A1780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08BCFA9-623B-4E28-9968-E305AAE8545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9E1939F-F243-4AE2-A253-F2C4D0DC5CDF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78E51C9F-044A-43FA-A17D-3E18522AC88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C840321-49E4-43D9-A57F-FDD0E190402D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1171B888-5B34-453F-98D3-610FDF6B509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9B32B66B-9209-4DA7-9186-EFD43986C54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D9967EA8-46B1-4BFD-AB52-D12D5709DDB8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34436B6-061B-4110-AFC4-87B1298B4C9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B05B3FC-BFC0-46BF-9456-5BC89574FB30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250031</xdr:rowOff>
    </xdr:from>
    <xdr:to>
      <xdr:col>6</xdr:col>
      <xdr:colOff>892968</xdr:colOff>
      <xdr:row>23</xdr:row>
      <xdr:rowOff>261938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A711986-1A98-411F-8F89-7E72FC986436}"/>
            </a:ext>
          </a:extLst>
        </xdr:cNvPr>
        <xdr:cNvCxnSpPr/>
      </xdr:nvCxnSpPr>
      <xdr:spPr>
        <a:xfrm>
          <a:off x="9953625" y="6119812"/>
          <a:ext cx="821531" cy="11907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71437</xdr:colOff>
      <xdr:row>23</xdr:row>
      <xdr:rowOff>392906</xdr:rowOff>
    </xdr:from>
    <xdr:to>
      <xdr:col>6</xdr:col>
      <xdr:colOff>964406</xdr:colOff>
      <xdr:row>23</xdr:row>
      <xdr:rowOff>392906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52E9A24-38B9-4CFE-B069-116588AE3EF3}"/>
            </a:ext>
          </a:extLst>
        </xdr:cNvPr>
        <xdr:cNvCxnSpPr/>
      </xdr:nvCxnSpPr>
      <xdr:spPr>
        <a:xfrm>
          <a:off x="9953625" y="6262687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261938</xdr:rowOff>
    </xdr:from>
    <xdr:to>
      <xdr:col>8</xdr:col>
      <xdr:colOff>892969</xdr:colOff>
      <xdr:row>23</xdr:row>
      <xdr:rowOff>261938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BD73058-7633-44ED-B6B3-25A199FF8B96}"/>
            </a:ext>
          </a:extLst>
        </xdr:cNvPr>
        <xdr:cNvCxnSpPr/>
      </xdr:nvCxnSpPr>
      <xdr:spPr>
        <a:xfrm>
          <a:off x="11834813" y="6131719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23812</xdr:colOff>
      <xdr:row>23</xdr:row>
      <xdr:rowOff>392907</xdr:rowOff>
    </xdr:from>
    <xdr:to>
      <xdr:col>8</xdr:col>
      <xdr:colOff>916781</xdr:colOff>
      <xdr:row>23</xdr:row>
      <xdr:rowOff>392907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C8982DB-3FFD-4788-96A8-A0A57C4F8B87}"/>
            </a:ext>
          </a:extLst>
        </xdr:cNvPr>
        <xdr:cNvCxnSpPr/>
      </xdr:nvCxnSpPr>
      <xdr:spPr>
        <a:xfrm>
          <a:off x="11858625" y="6262688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23812</xdr:colOff>
      <xdr:row>23</xdr:row>
      <xdr:rowOff>297657</xdr:rowOff>
    </xdr:from>
    <xdr:to>
      <xdr:col>10</xdr:col>
      <xdr:colOff>916781</xdr:colOff>
      <xdr:row>23</xdr:row>
      <xdr:rowOff>297657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CB99824F-B92E-43D9-AE55-D8315CCFEDF8}"/>
            </a:ext>
          </a:extLst>
        </xdr:cNvPr>
        <xdr:cNvCxnSpPr/>
      </xdr:nvCxnSpPr>
      <xdr:spPr>
        <a:xfrm>
          <a:off x="13811250" y="6167438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0</xdr:colOff>
      <xdr:row>23</xdr:row>
      <xdr:rowOff>416719</xdr:rowOff>
    </xdr:from>
    <xdr:to>
      <xdr:col>10</xdr:col>
      <xdr:colOff>892969</xdr:colOff>
      <xdr:row>23</xdr:row>
      <xdr:rowOff>416719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EBF38865-EDBB-4B89-9E23-3CCE7EA73491}"/>
            </a:ext>
          </a:extLst>
        </xdr:cNvPr>
        <xdr:cNvCxnSpPr/>
      </xdr:nvCxnSpPr>
      <xdr:spPr>
        <a:xfrm>
          <a:off x="13787438" y="6286500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-1</xdr:colOff>
      <xdr:row>23</xdr:row>
      <xdr:rowOff>261937</xdr:rowOff>
    </xdr:from>
    <xdr:to>
      <xdr:col>12</xdr:col>
      <xdr:colOff>892968</xdr:colOff>
      <xdr:row>23</xdr:row>
      <xdr:rowOff>261937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C0D0B45D-E3B6-44EE-91C4-CEE344FED60A}"/>
            </a:ext>
          </a:extLst>
        </xdr:cNvPr>
        <xdr:cNvCxnSpPr/>
      </xdr:nvCxnSpPr>
      <xdr:spPr>
        <a:xfrm>
          <a:off x="15740062" y="6131718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964406</xdr:colOff>
      <xdr:row>23</xdr:row>
      <xdr:rowOff>392906</xdr:rowOff>
    </xdr:from>
    <xdr:to>
      <xdr:col>12</xdr:col>
      <xdr:colOff>881062</xdr:colOff>
      <xdr:row>23</xdr:row>
      <xdr:rowOff>392906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0D9D929-5A8B-4388-AC24-3FC7C80B2AC4}"/>
            </a:ext>
          </a:extLst>
        </xdr:cNvPr>
        <xdr:cNvCxnSpPr/>
      </xdr:nvCxnSpPr>
      <xdr:spPr>
        <a:xfrm>
          <a:off x="15728156" y="6262687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35719</xdr:colOff>
      <xdr:row>23</xdr:row>
      <xdr:rowOff>250031</xdr:rowOff>
    </xdr:from>
    <xdr:to>
      <xdr:col>16</xdr:col>
      <xdr:colOff>928688</xdr:colOff>
      <xdr:row>23</xdr:row>
      <xdr:rowOff>250031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D2C8594-DB00-4D92-8B11-E832DD590E4B}"/>
            </a:ext>
          </a:extLst>
        </xdr:cNvPr>
        <xdr:cNvCxnSpPr/>
      </xdr:nvCxnSpPr>
      <xdr:spPr>
        <a:xfrm>
          <a:off x="19681032" y="6119812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59531</xdr:colOff>
      <xdr:row>23</xdr:row>
      <xdr:rowOff>392906</xdr:rowOff>
    </xdr:from>
    <xdr:to>
      <xdr:col>16</xdr:col>
      <xdr:colOff>952500</xdr:colOff>
      <xdr:row>23</xdr:row>
      <xdr:rowOff>392906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0339C26-6E20-4499-AF0B-ADE673120E68}"/>
            </a:ext>
          </a:extLst>
        </xdr:cNvPr>
        <xdr:cNvCxnSpPr/>
      </xdr:nvCxnSpPr>
      <xdr:spPr>
        <a:xfrm>
          <a:off x="19704844" y="6262687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71437</xdr:colOff>
      <xdr:row>23</xdr:row>
      <xdr:rowOff>273844</xdr:rowOff>
    </xdr:from>
    <xdr:to>
      <xdr:col>11</xdr:col>
      <xdr:colOff>964406</xdr:colOff>
      <xdr:row>23</xdr:row>
      <xdr:rowOff>273844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3C88DD1C-F6ED-44E5-A1C4-6A6DE0108EA9}"/>
            </a:ext>
          </a:extLst>
        </xdr:cNvPr>
        <xdr:cNvCxnSpPr/>
      </xdr:nvCxnSpPr>
      <xdr:spPr>
        <a:xfrm>
          <a:off x="14835187" y="6143625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23813</xdr:colOff>
      <xdr:row>23</xdr:row>
      <xdr:rowOff>261937</xdr:rowOff>
    </xdr:from>
    <xdr:to>
      <xdr:col>7</xdr:col>
      <xdr:colOff>916782</xdr:colOff>
      <xdr:row>23</xdr:row>
      <xdr:rowOff>261937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DDF82DA-0D9A-464E-8E3E-E986B8D07D4F}"/>
            </a:ext>
          </a:extLst>
        </xdr:cNvPr>
        <xdr:cNvCxnSpPr/>
      </xdr:nvCxnSpPr>
      <xdr:spPr>
        <a:xfrm>
          <a:off x="10882313" y="6131718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23813</xdr:colOff>
      <xdr:row>23</xdr:row>
      <xdr:rowOff>238125</xdr:rowOff>
    </xdr:from>
    <xdr:to>
      <xdr:col>5</xdr:col>
      <xdr:colOff>916782</xdr:colOff>
      <xdr:row>23</xdr:row>
      <xdr:rowOff>238125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946AF02-7B4A-4E64-AEA2-F877DB1B4CA2}"/>
            </a:ext>
          </a:extLst>
        </xdr:cNvPr>
        <xdr:cNvCxnSpPr/>
      </xdr:nvCxnSpPr>
      <xdr:spPr>
        <a:xfrm>
          <a:off x="8929688" y="6107906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B4112-38CA-4FB1-ADD2-C69B06C78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42E096A-D1DB-4B60-AB1A-A489F52F1061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3B28A23-CD26-41BD-A494-6E2B3E2E4F2F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FECBF17-393F-485B-87D9-54E4E046BEE5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3B03D81-B8EA-4816-8EC8-6233421A1CFF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CB02233-377F-4EEA-B52C-AC0C0F570C47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7589FB0-0F2E-48B8-AC27-9C1EC5116F30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312738</xdr:rowOff>
    </xdr:from>
    <xdr:to>
      <xdr:col>6</xdr:col>
      <xdr:colOff>288925</xdr:colOff>
      <xdr:row>23</xdr:row>
      <xdr:rowOff>455613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55BC652-5141-44CE-99E1-051645B9F5AE}"/>
            </a:ext>
          </a:extLst>
        </xdr:cNvPr>
        <xdr:cNvSpPr/>
      </xdr:nvSpPr>
      <xdr:spPr>
        <a:xfrm>
          <a:off x="10033000" y="6142038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195BA12-0DED-4A89-B7D3-9C6196ED1AF3}"/>
            </a:ext>
          </a:extLst>
        </xdr:cNvPr>
        <xdr:cNvSpPr/>
      </xdr:nvSpPr>
      <xdr:spPr>
        <a:xfrm rot="5197496"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90A3379-E0D9-4868-B94C-3D17019E558D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5F80D05B-CBB4-4D0C-BB90-692458E9923A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0512385-5251-4FC7-B124-343A7D18E004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D2838FB3-018E-46E8-ACF4-D4011C934B2C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FC5CA4F-4C47-4BCD-90E6-0FBFE348017A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E2EDFA50-23EE-4373-9A6A-F8B128C47445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683352C-6952-4CDE-9DB7-5A97269FCEF3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4AE71DEE-5876-4568-9F94-2027B1880E4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4E92F6D-D1E2-47A3-A744-0BB8D3468E78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B333CBA-4CB8-47BE-9228-565A198EF814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CB16D28-8F61-4784-81FF-5917516A3F7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4A830B7-8DC9-4EA2-8AA0-3789483D413E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4D30845-ED5F-4257-8829-6221CF4CD4BF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E0F7F6F4-EAFF-44C3-BAB6-DA5D76914E86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6D5F2D9-AECA-4F66-BE4B-D4CAFE0FC079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8353028-2039-4ED8-B9D7-491655B485EF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25A8C2A-3555-49D4-87BB-6CAD248A0570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A6907E13-C7C5-4D7B-9472-94B29218E8E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78B70C9-0264-40A6-BD4F-CF3F750AF428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33EEABA8-EDF4-4173-8958-8DC192A3D7A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8859E8EE-7D16-458E-864C-D0FE5DE49D5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E75A21A-ACDD-4A47-9258-CD1D26B2E7FC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6046949-3FE6-40B8-B608-25C624C770B4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404BA654-174C-4112-9CAD-D196C2BEA28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B8E90C59-9983-446A-8406-6954F296ADD1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51D642D-A9DE-44A4-BE7A-BF1470422F5E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C4396A7-AFA2-4CF6-814F-1B74416CB83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614353A-7893-43CD-915B-664563C0375D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2204C5F-7AFE-442E-BEB0-9ADB8401C28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A06516A3-45E0-423E-926B-C3600538B16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2842FA24-7C21-453C-9256-A287B30280C0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E4670C11-2EA5-4B8A-A2A8-43E4C58C4B48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105E287-E49E-436F-BB13-61181F05D1B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561FFA3F-9B23-42C1-A10E-F55150E88E0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02A5116-215F-4EC0-8ABB-FEF39B746AC6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BC13F1FD-6536-4538-B0BB-00555407A37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8C04B8FB-9FC6-4341-948E-CCF8DE68067D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250031</xdr:rowOff>
    </xdr:from>
    <xdr:to>
      <xdr:col>6</xdr:col>
      <xdr:colOff>892968</xdr:colOff>
      <xdr:row>23</xdr:row>
      <xdr:rowOff>261938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505A7B-B93A-4882-A348-874C0FAAA887}"/>
            </a:ext>
          </a:extLst>
        </xdr:cNvPr>
        <xdr:cNvCxnSpPr/>
      </xdr:nvCxnSpPr>
      <xdr:spPr>
        <a:xfrm>
          <a:off x="9958387" y="6079331"/>
          <a:ext cx="821531" cy="11907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71437</xdr:colOff>
      <xdr:row>23</xdr:row>
      <xdr:rowOff>392906</xdr:rowOff>
    </xdr:from>
    <xdr:to>
      <xdr:col>6</xdr:col>
      <xdr:colOff>964406</xdr:colOff>
      <xdr:row>23</xdr:row>
      <xdr:rowOff>392906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C3C2E22-206E-4C51-81CD-5A53B2975E02}"/>
            </a:ext>
          </a:extLst>
        </xdr:cNvPr>
        <xdr:cNvCxnSpPr/>
      </xdr:nvCxnSpPr>
      <xdr:spPr>
        <a:xfrm>
          <a:off x="9958387" y="6222206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261938</xdr:rowOff>
    </xdr:from>
    <xdr:to>
      <xdr:col>8</xdr:col>
      <xdr:colOff>892969</xdr:colOff>
      <xdr:row>23</xdr:row>
      <xdr:rowOff>261938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9D4C06D-C366-4B44-B58A-E0CC3EA3167E}"/>
            </a:ext>
          </a:extLst>
        </xdr:cNvPr>
        <xdr:cNvCxnSpPr/>
      </xdr:nvCxnSpPr>
      <xdr:spPr>
        <a:xfrm>
          <a:off x="11849100" y="6091238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23812</xdr:colOff>
      <xdr:row>23</xdr:row>
      <xdr:rowOff>392907</xdr:rowOff>
    </xdr:from>
    <xdr:to>
      <xdr:col>8</xdr:col>
      <xdr:colOff>916781</xdr:colOff>
      <xdr:row>23</xdr:row>
      <xdr:rowOff>392907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E9A21FD1-CEC2-402D-9DCA-BFE96B749F75}"/>
            </a:ext>
          </a:extLst>
        </xdr:cNvPr>
        <xdr:cNvCxnSpPr/>
      </xdr:nvCxnSpPr>
      <xdr:spPr>
        <a:xfrm>
          <a:off x="11872912" y="6222207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23812</xdr:colOff>
      <xdr:row>23</xdr:row>
      <xdr:rowOff>297657</xdr:rowOff>
    </xdr:from>
    <xdr:to>
      <xdr:col>10</xdr:col>
      <xdr:colOff>916781</xdr:colOff>
      <xdr:row>23</xdr:row>
      <xdr:rowOff>297657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5315375C-FDD3-4F4E-B6BE-516A13C85DC5}"/>
            </a:ext>
          </a:extLst>
        </xdr:cNvPr>
        <xdr:cNvCxnSpPr/>
      </xdr:nvCxnSpPr>
      <xdr:spPr>
        <a:xfrm>
          <a:off x="13835062" y="6126957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0</xdr:colOff>
      <xdr:row>23</xdr:row>
      <xdr:rowOff>416719</xdr:rowOff>
    </xdr:from>
    <xdr:to>
      <xdr:col>10</xdr:col>
      <xdr:colOff>892969</xdr:colOff>
      <xdr:row>23</xdr:row>
      <xdr:rowOff>416719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FF3C0233-3EBA-4780-861F-D1C9D1433E98}"/>
            </a:ext>
          </a:extLst>
        </xdr:cNvPr>
        <xdr:cNvCxnSpPr/>
      </xdr:nvCxnSpPr>
      <xdr:spPr>
        <a:xfrm>
          <a:off x="13811250" y="6246019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-1</xdr:colOff>
      <xdr:row>23</xdr:row>
      <xdr:rowOff>261937</xdr:rowOff>
    </xdr:from>
    <xdr:to>
      <xdr:col>12</xdr:col>
      <xdr:colOff>892968</xdr:colOff>
      <xdr:row>23</xdr:row>
      <xdr:rowOff>261937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69E0F816-66FD-42D6-834C-23D99C56EF5C}"/>
            </a:ext>
          </a:extLst>
        </xdr:cNvPr>
        <xdr:cNvCxnSpPr/>
      </xdr:nvCxnSpPr>
      <xdr:spPr>
        <a:xfrm>
          <a:off x="15773399" y="6091237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964406</xdr:colOff>
      <xdr:row>23</xdr:row>
      <xdr:rowOff>392906</xdr:rowOff>
    </xdr:from>
    <xdr:to>
      <xdr:col>12</xdr:col>
      <xdr:colOff>881062</xdr:colOff>
      <xdr:row>23</xdr:row>
      <xdr:rowOff>392906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A2C0D3F-E728-4280-9BAB-39615C38BACA}"/>
            </a:ext>
          </a:extLst>
        </xdr:cNvPr>
        <xdr:cNvCxnSpPr/>
      </xdr:nvCxnSpPr>
      <xdr:spPr>
        <a:xfrm>
          <a:off x="15756731" y="6222206"/>
          <a:ext cx="897731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35719</xdr:colOff>
      <xdr:row>23</xdr:row>
      <xdr:rowOff>250031</xdr:rowOff>
    </xdr:from>
    <xdr:to>
      <xdr:col>16</xdr:col>
      <xdr:colOff>928688</xdr:colOff>
      <xdr:row>23</xdr:row>
      <xdr:rowOff>250031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CB2F64EC-FFE7-40F5-B851-A8E412597B1A}"/>
            </a:ext>
          </a:extLst>
        </xdr:cNvPr>
        <xdr:cNvCxnSpPr/>
      </xdr:nvCxnSpPr>
      <xdr:spPr>
        <a:xfrm>
          <a:off x="19733419" y="6079331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59531</xdr:colOff>
      <xdr:row>23</xdr:row>
      <xdr:rowOff>392906</xdr:rowOff>
    </xdr:from>
    <xdr:to>
      <xdr:col>16</xdr:col>
      <xdr:colOff>952500</xdr:colOff>
      <xdr:row>23</xdr:row>
      <xdr:rowOff>392906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AF295CE5-97B1-42F6-9556-8E31288563FE}"/>
            </a:ext>
          </a:extLst>
        </xdr:cNvPr>
        <xdr:cNvCxnSpPr/>
      </xdr:nvCxnSpPr>
      <xdr:spPr>
        <a:xfrm>
          <a:off x="19757231" y="6222206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71437</xdr:colOff>
      <xdr:row>23</xdr:row>
      <xdr:rowOff>273844</xdr:rowOff>
    </xdr:from>
    <xdr:to>
      <xdr:col>11</xdr:col>
      <xdr:colOff>964406</xdr:colOff>
      <xdr:row>23</xdr:row>
      <xdr:rowOff>273844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25D9DA1-38E4-4A3D-A313-2433EBAA3211}"/>
            </a:ext>
          </a:extLst>
        </xdr:cNvPr>
        <xdr:cNvCxnSpPr/>
      </xdr:nvCxnSpPr>
      <xdr:spPr>
        <a:xfrm>
          <a:off x="14863762" y="6103144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23813</xdr:colOff>
      <xdr:row>23</xdr:row>
      <xdr:rowOff>261937</xdr:rowOff>
    </xdr:from>
    <xdr:to>
      <xdr:col>7</xdr:col>
      <xdr:colOff>916782</xdr:colOff>
      <xdr:row>23</xdr:row>
      <xdr:rowOff>261937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741E0EE-777A-4F1E-88ED-2259A99F1156}"/>
            </a:ext>
          </a:extLst>
        </xdr:cNvPr>
        <xdr:cNvCxnSpPr/>
      </xdr:nvCxnSpPr>
      <xdr:spPr>
        <a:xfrm>
          <a:off x="10891838" y="6091237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952500</xdr:colOff>
      <xdr:row>23</xdr:row>
      <xdr:rowOff>238125</xdr:rowOff>
    </xdr:from>
    <xdr:to>
      <xdr:col>9</xdr:col>
      <xdr:colOff>869157</xdr:colOff>
      <xdr:row>23</xdr:row>
      <xdr:rowOff>238125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CC2BCC86-412F-46DA-9588-E808EC7B3CB2}"/>
            </a:ext>
          </a:extLst>
        </xdr:cNvPr>
        <xdr:cNvCxnSpPr/>
      </xdr:nvCxnSpPr>
      <xdr:spPr>
        <a:xfrm>
          <a:off x="12787313" y="6107906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59532</xdr:colOff>
      <xdr:row>23</xdr:row>
      <xdr:rowOff>404813</xdr:rowOff>
    </xdr:from>
    <xdr:to>
      <xdr:col>7</xdr:col>
      <xdr:colOff>952501</xdr:colOff>
      <xdr:row>23</xdr:row>
      <xdr:rowOff>404813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5E99EBF-50AA-4D80-A4C3-3048F89AFCA3}"/>
            </a:ext>
          </a:extLst>
        </xdr:cNvPr>
        <xdr:cNvCxnSpPr/>
      </xdr:nvCxnSpPr>
      <xdr:spPr>
        <a:xfrm>
          <a:off x="10918032" y="6274594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9</xdr:col>
      <xdr:colOff>23812</xdr:colOff>
      <xdr:row>23</xdr:row>
      <xdr:rowOff>404812</xdr:rowOff>
    </xdr:from>
    <xdr:to>
      <xdr:col>9</xdr:col>
      <xdr:colOff>916781</xdr:colOff>
      <xdr:row>23</xdr:row>
      <xdr:rowOff>404812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2B19183-9DAE-41E3-98C2-316DCBB3D27D}"/>
            </a:ext>
          </a:extLst>
        </xdr:cNvPr>
        <xdr:cNvCxnSpPr/>
      </xdr:nvCxnSpPr>
      <xdr:spPr>
        <a:xfrm>
          <a:off x="12834937" y="6274593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47625</xdr:colOff>
      <xdr:row>23</xdr:row>
      <xdr:rowOff>416718</xdr:rowOff>
    </xdr:from>
    <xdr:to>
      <xdr:col>11</xdr:col>
      <xdr:colOff>940594</xdr:colOff>
      <xdr:row>23</xdr:row>
      <xdr:rowOff>416718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58768F38-F4E0-44E8-A7CB-0659C4A7643F}"/>
            </a:ext>
          </a:extLst>
        </xdr:cNvPr>
        <xdr:cNvCxnSpPr/>
      </xdr:nvCxnSpPr>
      <xdr:spPr>
        <a:xfrm>
          <a:off x="14811375" y="6286499"/>
          <a:ext cx="892969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8CB94-AB67-4F60-83A0-72BB16DE6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3750545-0BFF-4438-A8C5-30A3CAF0EF88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F115464-E66A-4961-87C0-FB4DD8170A6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45AEADE-5DE0-46CB-B30F-8C6C5B682B00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2123AE3-E2F0-4AB7-A423-FCBBC15DA014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F3F82BB-2CB3-48B5-A14E-A27B3D6C853D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1234179-2355-4D34-A47A-D950F65ADE31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83F33E3D-F952-4D70-97D9-EB14B8B57A59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B903FBE-A26A-4A7F-A0BF-10261A72EEC6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659F0B1-8820-4C63-B8E3-9693DFD2A4F0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29314B5-B7C3-4601-95AD-DAA9983F657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91067148-19C4-45A0-820A-30470F8E2B39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0E7F4F8-DE8C-4C65-A3EA-FA87BF1F0B1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765DDDC-DFD4-482A-A1C8-842F627B90F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FEBCFD08-BA97-458E-8F34-C9B260B1491C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48F79B3-F801-4DFB-87F7-EC067A04EBB1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353EC64-94BD-43BD-BDCD-FB0BCC7C53BE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30DE4007-4D01-4B8D-AA79-2CE7F31BEFE0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5095C39-FBC1-49C7-9983-19E8311A4A5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ED09EAD1-FE25-43FE-887F-31E666005BF6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C8ECA7C9-4B7C-4631-AE7E-C0374A026144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9B3CB56-AA31-4630-B4E8-2F0701506580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6D014EE-4754-4FF6-B90B-FCE42705947D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EB171DE-2E60-4684-834D-6183D5198376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97A83AF6-8D7C-47CF-A015-0B0A56AB41FE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82E50495-D681-465C-85A0-6F59549BB086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D102C008-DB92-472E-AF04-2D503934EB5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2DA57D97-3B94-4A16-82CA-2FAE4AFC569C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7296DCBA-2086-431B-9F8E-AAD91ABEB84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863584E-E677-41BA-8538-3A4E03C612FE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21BD093-AEB4-4980-B588-09EB0B2FB766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0E9E05F-C15A-47CC-9D1E-243EEB406A3F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14F1AA0E-A9DD-44CE-9429-E28542CE02A9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A8D219B1-F4B9-4B8D-8C42-7986009851EB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B3DB3969-C6C6-4003-8440-E5BE5A97F5B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F7B50D47-F464-4D4A-9215-9DED5906C48F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99431C1-E9E1-4A18-9DAA-E74C8AC9291C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8875EC8-1723-4456-B033-8DC51CE37CB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38A0CD9E-35A8-4832-B7B4-6C056C447E76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21971E77-6711-4259-90CC-0ED5BCAC140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735045D7-8A73-40C7-B2AF-062C187861B8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47E9F4EA-C006-47E6-B97B-75153B8FE26A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973FAEF-0077-40A0-8B84-02A079B8DCB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554E2D2-DF7A-46C9-8DA4-A9E4F2471CE1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AA8516F-6245-4884-A064-2E0C74F06A8D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783F52B-B81D-4929-BEDB-875F277597CB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47B11D6-1CE3-4484-B1F1-31FEA189C01C}"/>
            </a:ext>
          </a:extLst>
        </xdr:cNvPr>
        <xdr:cNvCxnSpPr/>
      </xdr:nvCxnSpPr>
      <xdr:spPr>
        <a:xfrm>
          <a:off x="9989343" y="61079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B1017EAC-E60E-4F96-B9BD-C22A008DF1D4}"/>
            </a:ext>
          </a:extLst>
        </xdr:cNvPr>
        <xdr:cNvCxnSpPr/>
      </xdr:nvCxnSpPr>
      <xdr:spPr>
        <a:xfrm>
          <a:off x="9989344" y="62865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83343</xdr:colOff>
      <xdr:row>23</xdr:row>
      <xdr:rowOff>273843</xdr:rowOff>
    </xdr:from>
    <xdr:to>
      <xdr:col>10</xdr:col>
      <xdr:colOff>833437</xdr:colOff>
      <xdr:row>23</xdr:row>
      <xdr:rowOff>285749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A601ABFD-CEA2-4979-A376-5290CCC2983A}"/>
            </a:ext>
          </a:extLst>
        </xdr:cNvPr>
        <xdr:cNvCxnSpPr/>
      </xdr:nvCxnSpPr>
      <xdr:spPr>
        <a:xfrm>
          <a:off x="13870781" y="614362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71437</xdr:colOff>
      <xdr:row>23</xdr:row>
      <xdr:rowOff>416719</xdr:rowOff>
    </xdr:from>
    <xdr:to>
      <xdr:col>10</xdr:col>
      <xdr:colOff>821531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D5EA3F6-1355-4B3C-98B6-716950C28163}"/>
            </a:ext>
          </a:extLst>
        </xdr:cNvPr>
        <xdr:cNvCxnSpPr/>
      </xdr:nvCxnSpPr>
      <xdr:spPr>
        <a:xfrm>
          <a:off x="13858875" y="62865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722145CF-315A-411F-BF62-2673549967B5}"/>
            </a:ext>
          </a:extLst>
        </xdr:cNvPr>
        <xdr:cNvCxnSpPr/>
      </xdr:nvCxnSpPr>
      <xdr:spPr>
        <a:xfrm>
          <a:off x="11918156" y="607218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A3FFC496-4F88-4808-8C70-AD6176A1F80F}"/>
            </a:ext>
          </a:extLst>
        </xdr:cNvPr>
        <xdr:cNvCxnSpPr/>
      </xdr:nvCxnSpPr>
      <xdr:spPr>
        <a:xfrm>
          <a:off x="11834813" y="627459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719B33D-0715-4775-8812-99863E0D23C9}"/>
            </a:ext>
          </a:extLst>
        </xdr:cNvPr>
        <xdr:cNvCxnSpPr/>
      </xdr:nvCxnSpPr>
      <xdr:spPr>
        <a:xfrm>
          <a:off x="15871032" y="61198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A54A63C8-041C-4C4B-8E2B-3944AE21C749}"/>
            </a:ext>
          </a:extLst>
        </xdr:cNvPr>
        <xdr:cNvCxnSpPr/>
      </xdr:nvCxnSpPr>
      <xdr:spPr>
        <a:xfrm>
          <a:off x="15871031" y="622696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D7CB72E-46DC-4E92-9C78-933EF40D7A68}"/>
            </a:ext>
          </a:extLst>
        </xdr:cNvPr>
        <xdr:cNvCxnSpPr/>
      </xdr:nvCxnSpPr>
      <xdr:spPr>
        <a:xfrm>
          <a:off x="19764375" y="61317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CD75ECF-C21E-45FD-82E4-1BDF70DD3423}"/>
            </a:ext>
          </a:extLst>
        </xdr:cNvPr>
        <xdr:cNvCxnSpPr/>
      </xdr:nvCxnSpPr>
      <xdr:spPr>
        <a:xfrm>
          <a:off x="19800094" y="62865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2116DE8-225D-456E-8778-97D52D672042}"/>
            </a:ext>
          </a:extLst>
        </xdr:cNvPr>
        <xdr:cNvCxnSpPr/>
      </xdr:nvCxnSpPr>
      <xdr:spPr>
        <a:xfrm>
          <a:off x="9028113" y="609838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2670CE8-54A1-48F2-9B84-C1757E86158D}"/>
            </a:ext>
          </a:extLst>
        </xdr:cNvPr>
        <xdr:cNvCxnSpPr/>
      </xdr:nvCxnSpPr>
      <xdr:spPr>
        <a:xfrm>
          <a:off x="9060656" y="626268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130969</xdr:colOff>
      <xdr:row>23</xdr:row>
      <xdr:rowOff>223837</xdr:rowOff>
    </xdr:from>
    <xdr:to>
      <xdr:col>7</xdr:col>
      <xdr:colOff>881063</xdr:colOff>
      <xdr:row>23</xdr:row>
      <xdr:rowOff>235743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C3C4BF4-5300-4179-AFC2-35550139527F}"/>
            </a:ext>
          </a:extLst>
        </xdr:cNvPr>
        <xdr:cNvCxnSpPr/>
      </xdr:nvCxnSpPr>
      <xdr:spPr>
        <a:xfrm>
          <a:off x="10989469" y="609361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130969</xdr:colOff>
      <xdr:row>23</xdr:row>
      <xdr:rowOff>402431</xdr:rowOff>
    </xdr:from>
    <xdr:to>
      <xdr:col>7</xdr:col>
      <xdr:colOff>881063</xdr:colOff>
      <xdr:row>23</xdr:row>
      <xdr:rowOff>414337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CEB65651-7A6C-4D04-B204-E6244999E99F}"/>
            </a:ext>
          </a:extLst>
        </xdr:cNvPr>
        <xdr:cNvCxnSpPr/>
      </xdr:nvCxnSpPr>
      <xdr:spPr>
        <a:xfrm>
          <a:off x="10989469" y="62722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95DBFD7-A9E8-4CC1-981B-8BF5F303CF69}"/>
            </a:ext>
          </a:extLst>
        </xdr:cNvPr>
        <xdr:cNvCxnSpPr/>
      </xdr:nvCxnSpPr>
      <xdr:spPr>
        <a:xfrm>
          <a:off x="18789650" y="61325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107156</xdr:colOff>
      <xdr:row>23</xdr:row>
      <xdr:rowOff>404813</xdr:rowOff>
    </xdr:from>
    <xdr:to>
      <xdr:col>15</xdr:col>
      <xdr:colOff>857250</xdr:colOff>
      <xdr:row>23</xdr:row>
      <xdr:rowOff>416719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2BE7BBC8-6C70-4E02-B5B2-302C003F4613}"/>
            </a:ext>
          </a:extLst>
        </xdr:cNvPr>
        <xdr:cNvCxnSpPr/>
      </xdr:nvCxnSpPr>
      <xdr:spPr>
        <a:xfrm>
          <a:off x="18776156" y="6274594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14A2F1-4B1A-4338-A564-46509BA6E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6C68FA5-5DB0-4BF5-8066-BFAE63AFF8FB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8117C14-C658-4729-B2F7-D6EC50CCAFC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D85517B-E4B4-4CF6-9C89-3410728A6C7B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AB52FEB-431A-46A7-B056-FD67744E06BD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0BAE2F5-F170-4F67-A274-6F5FFCC7DF14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D1913FA-1B79-4468-BA90-94D6AFBA8630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E718EC1-38F9-4198-8C93-0D624333C96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0F8D5D4-EFE3-4069-80D9-AE24A4B15A8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5B5E9BE6-7FA7-4B7A-AC3E-882970348EDC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C2EEECB-5970-42F6-B4D7-C5F2D48CB6D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9408F23-DEF6-4D63-A92A-08F7142ACAC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DD627A-59DB-410D-8ECC-CD153769207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045AD66-B9C8-418A-B8D8-5F357AB6BC9F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B422730D-509C-4BBE-8FE0-F9483F177440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B77BEA1A-9248-4072-A299-BD68CAF27E0C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AE25C0C-081B-435D-AD45-005BC1FA5F8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33439B76-21A0-49F2-A001-5180AC8D4E1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A680244-B65C-44E1-BB14-71EA49F3EC25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9FA14AA-419B-484A-940B-A51A6CDCD84E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2DE89F7-960A-4565-9BA7-EA5B8B03B1E9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79B32AF5-F050-4574-B6E2-EA907DE75B6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D3452B8-25FC-4D8E-A259-2050E28DF912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8EB05B9F-2F7E-48F1-90E9-72999DBFBE7E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6A9E2C8-6A35-4EB3-93CE-0BBB663F7619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47F5CF9-CD4B-4286-8D3C-E5A7259AE9C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2F28C10-98A5-4C85-BA7B-E8F5CE69D972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A9A04F5-5643-4824-AF86-8C024F33DCF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ED513CB-1BF5-43F5-9FC8-A7EC8D7E8B5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AEDBE5E-B0FA-4741-88C4-20F29CE8D2C3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FEAC8B48-CF44-472B-98F0-8C6B9DAF8C5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65CC4B6-B94A-444C-B495-7480FE6AB87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D3F61BF-106E-438A-BBCF-57B2D5922F9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B2BFBB-F4E3-4282-8EAF-7ED7E3B480A1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4615D11-0500-416E-9707-DD13D4B0035A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8A154B2-C2FD-417B-B5C8-2CA0A0B074F8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62933180-7CCC-4900-A775-10D168156A8A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11C76BD-515C-4904-98B9-370ABB38E309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31146177-7D83-41D2-9EF4-CBF45FEDAAC0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17BED38-75F5-44F1-8C1B-D86B072BD3BC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8213D524-0C2E-4BA9-AEAD-68C2536932D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E5FB980-DB63-45F5-B0EC-E36E959EA5D7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BB8047D-06B6-44DE-BBE6-628399C6ACF0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24DB659-CCF2-4397-8EF1-28ABC6C7D327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4E377C10-9603-4EEA-ACC6-02A3936A6572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4DF1DF3-9DE1-42DD-AE1D-00286ECE430B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71438</xdr:colOff>
      <xdr:row>23</xdr:row>
      <xdr:rowOff>250031</xdr:rowOff>
    </xdr:from>
    <xdr:to>
      <xdr:col>7</xdr:col>
      <xdr:colOff>940594</xdr:colOff>
      <xdr:row>23</xdr:row>
      <xdr:rowOff>261938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D70C69D-52FA-46D0-B07E-FD094C8CE4DD}"/>
            </a:ext>
          </a:extLst>
        </xdr:cNvPr>
        <xdr:cNvCxnSpPr/>
      </xdr:nvCxnSpPr>
      <xdr:spPr>
        <a:xfrm>
          <a:off x="10929938" y="6119812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71437</xdr:colOff>
      <xdr:row>23</xdr:row>
      <xdr:rowOff>238125</xdr:rowOff>
    </xdr:from>
    <xdr:to>
      <xdr:col>9</xdr:col>
      <xdr:colOff>940593</xdr:colOff>
      <xdr:row>23</xdr:row>
      <xdr:rowOff>250032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8F8D6DD9-A026-4152-8CBE-8B2CB3E41A40}"/>
            </a:ext>
          </a:extLst>
        </xdr:cNvPr>
        <xdr:cNvCxnSpPr/>
      </xdr:nvCxnSpPr>
      <xdr:spPr>
        <a:xfrm>
          <a:off x="12882562" y="6107906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68262</xdr:colOff>
      <xdr:row>23</xdr:row>
      <xdr:rowOff>245269</xdr:rowOff>
    </xdr:from>
    <xdr:to>
      <xdr:col>11</xdr:col>
      <xdr:colOff>937418</xdr:colOff>
      <xdr:row>23</xdr:row>
      <xdr:rowOff>257176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AC2C3F2C-98D5-42EA-9F68-6A18580C0CFD}"/>
            </a:ext>
          </a:extLst>
        </xdr:cNvPr>
        <xdr:cNvCxnSpPr/>
      </xdr:nvCxnSpPr>
      <xdr:spPr>
        <a:xfrm>
          <a:off x="14832012" y="6115050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5A1920-F068-47C0-8D84-CDA5DAB61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689C06D-908A-40F0-86C4-B7ACC617309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648F24FE-3960-4EEE-991B-CD94829D1809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09D253D-BF2E-43D0-AAF1-7ECE1411DDDA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E0D183F-AF69-4FE3-A250-EADC4829FD75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71BDDFC-9566-46A3-8E23-EEB4AAB9CB59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0489338-1B2D-4D87-9893-E77642E50524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625A6DA-CD09-4E21-BDC0-C10DAC1A5E97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82E5CA0-1361-4DDA-9EC8-3C6C0F2E4F14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177E3DD-416A-4198-AD01-6989F52347D1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6589D73-E549-444B-9034-AD185BEE88C9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D61199A-C486-491E-9A10-C20E066CA5C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A5F05F9-7BB7-404A-90BD-BDB911E7E0C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4006EA5E-5978-4A15-AAD1-9A37EE80DF9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C70379E-C457-428F-88CB-6D3D836AE85A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EF118238-D790-4A66-9EF9-CA788A8FC74A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C3C559D-D089-41D0-A1AF-9367C3B42EA2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3185C99-6EAE-4C27-9B46-78D1AA38B35A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F4489451-74DB-446D-9732-1B7932D8C41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F721391-DD42-4643-AB0D-D2501297E91F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48BA78C-8575-47F8-82F4-01BB3505CF2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F0F3A244-D3FA-4A3C-95A2-27B3024B906C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FF70244E-BD9C-4A65-8741-3826387C47B0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DAF2ADF6-87F6-407D-90CB-95A45281ACE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0AF5761-6D2E-4365-B6A7-46B964F878D4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A4DA4F9-C6F7-413F-8C14-E3827EEF088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F3FCAFF4-86EA-427F-B59F-AEEC54FE93A8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2E6D470-1026-4AED-8989-D18EB251E3C4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02FC5F6-8347-40E1-B576-77F7989CBD06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D3677F5-BB67-4B6F-8E67-3C0ADBFCEC88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227D747-6FC4-4283-8062-0FCE3E90A996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A8337B4-7000-4C11-99FF-427464F6C58D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C7470227-0E85-4AA1-96AD-9F522B1EC02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47EE115A-4553-4BF1-9B84-B7BE34ABE160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E10E93F-14CC-4AA7-8F9B-94B60D0E5DDB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AA6C5B1-3543-4F70-AAD9-BB125D7D8C15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59B65904-BEDD-468C-BCB5-49E8BA07F3D7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57A98B2A-D30B-4DB2-BB21-86BF8D179DA8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7BA3C97-93F6-4C09-82DD-A6B82C4B0CF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4224C512-20C3-4C5C-8ED7-0FE785348E7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A3DC2424-04BD-4FBA-BD90-CBD6FD320694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5ADAEF94-13C4-4939-9D07-3FEFB187BDBE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10DA5A1D-807F-4B8B-B5E0-DEB7CA05BC6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DAD90C07-33AF-4F62-B3EB-F9419A781A8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13FB6190-96C6-46C0-906E-32B6B18B972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2AAEF9E6-6C06-4DE0-84B2-B5023ED87FAE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96836</xdr:colOff>
      <xdr:row>23</xdr:row>
      <xdr:rowOff>265907</xdr:rowOff>
    </xdr:from>
    <xdr:to>
      <xdr:col>6</xdr:col>
      <xdr:colOff>965992</xdr:colOff>
      <xdr:row>23</xdr:row>
      <xdr:rowOff>277814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B9A917F-D41B-447C-8042-8689D5C90E9B}"/>
            </a:ext>
          </a:extLst>
        </xdr:cNvPr>
        <xdr:cNvCxnSpPr/>
      </xdr:nvCxnSpPr>
      <xdr:spPr>
        <a:xfrm>
          <a:off x="9979024" y="6135688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130175</xdr:colOff>
      <xdr:row>23</xdr:row>
      <xdr:rowOff>418307</xdr:rowOff>
    </xdr:from>
    <xdr:to>
      <xdr:col>7</xdr:col>
      <xdr:colOff>23019</xdr:colOff>
      <xdr:row>23</xdr:row>
      <xdr:rowOff>430214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62B98DF-97F5-454F-ABC7-3F3DCABC17E0}"/>
            </a:ext>
          </a:extLst>
        </xdr:cNvPr>
        <xdr:cNvCxnSpPr/>
      </xdr:nvCxnSpPr>
      <xdr:spPr>
        <a:xfrm>
          <a:off x="10012363" y="6288088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61912</xdr:colOff>
      <xdr:row>23</xdr:row>
      <xdr:rowOff>241300</xdr:rowOff>
    </xdr:from>
    <xdr:to>
      <xdr:col>8</xdr:col>
      <xdr:colOff>931068</xdr:colOff>
      <xdr:row>23</xdr:row>
      <xdr:rowOff>253207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40E25FC-8C37-4177-AAEF-F4A102195882}"/>
            </a:ext>
          </a:extLst>
        </xdr:cNvPr>
        <xdr:cNvCxnSpPr/>
      </xdr:nvCxnSpPr>
      <xdr:spPr>
        <a:xfrm>
          <a:off x="11896725" y="6111081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71437</xdr:colOff>
      <xdr:row>23</xdr:row>
      <xdr:rowOff>417512</xdr:rowOff>
    </xdr:from>
    <xdr:to>
      <xdr:col>8</xdr:col>
      <xdr:colOff>940593</xdr:colOff>
      <xdr:row>23</xdr:row>
      <xdr:rowOff>429419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A081A4A-2749-43D3-B824-74572B379C34}"/>
            </a:ext>
          </a:extLst>
        </xdr:cNvPr>
        <xdr:cNvCxnSpPr/>
      </xdr:nvCxnSpPr>
      <xdr:spPr>
        <a:xfrm>
          <a:off x="11906250" y="6287293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71437</xdr:colOff>
      <xdr:row>23</xdr:row>
      <xdr:rowOff>262732</xdr:rowOff>
    </xdr:from>
    <xdr:to>
      <xdr:col>10</xdr:col>
      <xdr:colOff>940593</xdr:colOff>
      <xdr:row>23</xdr:row>
      <xdr:rowOff>274639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B08AF28-CAF2-4E35-8628-FAB46E839DF8}"/>
            </a:ext>
          </a:extLst>
        </xdr:cNvPr>
        <xdr:cNvCxnSpPr/>
      </xdr:nvCxnSpPr>
      <xdr:spPr>
        <a:xfrm>
          <a:off x="13858875" y="6132513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23</xdr:row>
      <xdr:rowOff>428625</xdr:rowOff>
    </xdr:from>
    <xdr:to>
      <xdr:col>10</xdr:col>
      <xdr:colOff>964406</xdr:colOff>
      <xdr:row>23</xdr:row>
      <xdr:rowOff>440532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EFF3668-AAEF-4D0E-A846-F02F6C492C27}"/>
            </a:ext>
          </a:extLst>
        </xdr:cNvPr>
        <xdr:cNvCxnSpPr/>
      </xdr:nvCxnSpPr>
      <xdr:spPr>
        <a:xfrm>
          <a:off x="13882688" y="6298406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34925</xdr:colOff>
      <xdr:row>23</xdr:row>
      <xdr:rowOff>250825</xdr:rowOff>
    </xdr:from>
    <xdr:to>
      <xdr:col>12</xdr:col>
      <xdr:colOff>904081</xdr:colOff>
      <xdr:row>23</xdr:row>
      <xdr:rowOff>262732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7AB9020-BDDF-4CBF-835E-4232D0206C5D}"/>
            </a:ext>
          </a:extLst>
        </xdr:cNvPr>
        <xdr:cNvCxnSpPr/>
      </xdr:nvCxnSpPr>
      <xdr:spPr>
        <a:xfrm>
          <a:off x="15774988" y="6120606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23</xdr:row>
      <xdr:rowOff>440531</xdr:rowOff>
    </xdr:from>
    <xdr:to>
      <xdr:col>12</xdr:col>
      <xdr:colOff>964406</xdr:colOff>
      <xdr:row>23</xdr:row>
      <xdr:rowOff>452438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74C9A49A-4910-4E0E-8EDE-E86CB19437A6}"/>
            </a:ext>
          </a:extLst>
        </xdr:cNvPr>
        <xdr:cNvCxnSpPr/>
      </xdr:nvCxnSpPr>
      <xdr:spPr>
        <a:xfrm>
          <a:off x="15835313" y="6310312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75406</xdr:colOff>
      <xdr:row>23</xdr:row>
      <xdr:rowOff>423069</xdr:rowOff>
    </xdr:from>
    <xdr:to>
      <xdr:col>16</xdr:col>
      <xdr:colOff>944562</xdr:colOff>
      <xdr:row>23</xdr:row>
      <xdr:rowOff>434976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99947D6-7A5C-4CBD-8763-9EEC97C42C70}"/>
            </a:ext>
          </a:extLst>
        </xdr:cNvPr>
        <xdr:cNvCxnSpPr/>
      </xdr:nvCxnSpPr>
      <xdr:spPr>
        <a:xfrm>
          <a:off x="19720719" y="6292850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27780</xdr:colOff>
      <xdr:row>23</xdr:row>
      <xdr:rowOff>232569</xdr:rowOff>
    </xdr:from>
    <xdr:to>
      <xdr:col>16</xdr:col>
      <xdr:colOff>896936</xdr:colOff>
      <xdr:row>23</xdr:row>
      <xdr:rowOff>244476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A7F00D9-5E5E-43D2-9338-7D5DC356DE8E}"/>
            </a:ext>
          </a:extLst>
        </xdr:cNvPr>
        <xdr:cNvCxnSpPr/>
      </xdr:nvCxnSpPr>
      <xdr:spPr>
        <a:xfrm>
          <a:off x="19673093" y="6102350"/>
          <a:ext cx="869156" cy="1190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47625</xdr:colOff>
      <xdr:row>23</xdr:row>
      <xdr:rowOff>238125</xdr:rowOff>
    </xdr:from>
    <xdr:to>
      <xdr:col>15</xdr:col>
      <xdr:colOff>916781</xdr:colOff>
      <xdr:row>23</xdr:row>
      <xdr:rowOff>250032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B2DA4F9-9C93-4AD5-A01B-E6C0B2092692}"/>
            </a:ext>
          </a:extLst>
        </xdr:cNvPr>
        <xdr:cNvCxnSpPr/>
      </xdr:nvCxnSpPr>
      <xdr:spPr>
        <a:xfrm>
          <a:off x="18716625" y="6107906"/>
          <a:ext cx="869156" cy="11907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83344</xdr:colOff>
      <xdr:row>23</xdr:row>
      <xdr:rowOff>392906</xdr:rowOff>
    </xdr:from>
    <xdr:to>
      <xdr:col>15</xdr:col>
      <xdr:colOff>952500</xdr:colOff>
      <xdr:row>23</xdr:row>
      <xdr:rowOff>404813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B576D1DB-57F3-43DC-AED6-BD8F24F4B928}"/>
            </a:ext>
          </a:extLst>
        </xdr:cNvPr>
        <xdr:cNvCxnSpPr/>
      </xdr:nvCxnSpPr>
      <xdr:spPr>
        <a:xfrm>
          <a:off x="18752344" y="6262687"/>
          <a:ext cx="869156" cy="11907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11906</xdr:colOff>
      <xdr:row>23</xdr:row>
      <xdr:rowOff>273844</xdr:rowOff>
    </xdr:from>
    <xdr:to>
      <xdr:col>11</xdr:col>
      <xdr:colOff>881062</xdr:colOff>
      <xdr:row>23</xdr:row>
      <xdr:rowOff>285751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FC9248DE-CBAA-4E7E-9E5B-4C803C552F48}"/>
            </a:ext>
          </a:extLst>
        </xdr:cNvPr>
        <xdr:cNvCxnSpPr/>
      </xdr:nvCxnSpPr>
      <xdr:spPr>
        <a:xfrm>
          <a:off x="14775656" y="6143625"/>
          <a:ext cx="869156" cy="11907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83344</xdr:colOff>
      <xdr:row>23</xdr:row>
      <xdr:rowOff>404813</xdr:rowOff>
    </xdr:from>
    <xdr:to>
      <xdr:col>11</xdr:col>
      <xdr:colOff>952500</xdr:colOff>
      <xdr:row>23</xdr:row>
      <xdr:rowOff>416720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7ED857B4-1B4E-418B-91E8-CCE74096F2E9}"/>
            </a:ext>
          </a:extLst>
        </xdr:cNvPr>
        <xdr:cNvCxnSpPr/>
      </xdr:nvCxnSpPr>
      <xdr:spPr>
        <a:xfrm>
          <a:off x="14847094" y="6274594"/>
          <a:ext cx="869156" cy="11907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11906</xdr:colOff>
      <xdr:row>23</xdr:row>
      <xdr:rowOff>226219</xdr:rowOff>
    </xdr:from>
    <xdr:to>
      <xdr:col>5</xdr:col>
      <xdr:colOff>881062</xdr:colOff>
      <xdr:row>23</xdr:row>
      <xdr:rowOff>238126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6E761F2-896C-49D9-A2E3-DB70466A8C25}"/>
            </a:ext>
          </a:extLst>
        </xdr:cNvPr>
        <xdr:cNvCxnSpPr/>
      </xdr:nvCxnSpPr>
      <xdr:spPr>
        <a:xfrm>
          <a:off x="8917781" y="6096000"/>
          <a:ext cx="869156" cy="11907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71437</xdr:colOff>
      <xdr:row>23</xdr:row>
      <xdr:rowOff>369094</xdr:rowOff>
    </xdr:from>
    <xdr:to>
      <xdr:col>5</xdr:col>
      <xdr:colOff>940593</xdr:colOff>
      <xdr:row>23</xdr:row>
      <xdr:rowOff>381001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4B68673-73EE-49A6-B11F-B4874156682E}"/>
            </a:ext>
          </a:extLst>
        </xdr:cNvPr>
        <xdr:cNvCxnSpPr/>
      </xdr:nvCxnSpPr>
      <xdr:spPr>
        <a:xfrm>
          <a:off x="8977312" y="6238875"/>
          <a:ext cx="869156" cy="11907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7D202-7ACC-4925-8AA3-5963B8B8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766C1E0-1DCF-429F-9C07-402AD069B9E7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9CBDFF1-70A2-4CAF-8BD8-A320F02D593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22435F6-729A-413F-8EC6-73A56DB321B1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E90F117-7FEE-4EFB-AFE7-63E501639191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8945F7E-D956-4FE6-86AF-A27302C582A1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566ED78-6A99-432B-B925-DA92C880F2B1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FEEA31A-9A6E-4F6C-AA28-B5B61F0E37CC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9085F4B-794D-456B-944F-C47338D6641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645C947-6CF5-435A-A005-F29373805AE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445CC897-C575-4AAB-8368-4E4A9F89AE3E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4C9CDA9-9A79-4E34-8AC7-8735242FF99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0ED5B68-C3BC-4E58-AAF0-57E2B01C4E2B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3BE50DA-B8C1-42D5-A750-87A6670243AA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FC336BE-5585-4906-8E2A-80A3F6EE2CB6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7E5DE2E-2F09-4D04-A8BF-A75CAAAEB44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AE458DA-5E24-44DA-94D9-AB314BAD33CD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F5653A3-EA61-4439-BAF4-482F6E92529A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57D0E4F-4DBB-4774-9DB1-5A397FA53784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DAA796A-AAF9-4F50-BE21-5034BE0471A8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FFFC824-2B4E-480B-B600-D9731DC923F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AFB95B44-2DFA-45E9-BE2D-608C42B21F1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6DB69FF1-89F9-41C4-BE25-4B23E5F0B71A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7026783-CD33-4BD0-90FA-25775A3B159B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89E8354-01BE-466B-968A-A8C3124F2E83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BF3F47D-40B8-45B2-9979-1745EE069E7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7DEF6AC-7ED8-49B0-BBB1-7495C59662E5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7A54D5A1-024C-4A7A-BC9D-031FDEBB91F4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C9D894AA-89D4-4E96-B59A-4D41BD808131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F017B438-F1F3-4D2B-8196-0A36AC4DB52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48B8115-9A03-4A0A-A750-3E8D9BD08BA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7516F58-61D2-4144-854F-D6C6D197BA2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64A478F-9DF7-4830-9B2E-1971636FA000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300FF1B9-7DBD-4783-92B3-A7D329DFAE5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36A97150-0C6E-4019-874A-FE4D6C2376F1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8CB35ED-BF5A-4B55-A4B7-2405871ECC80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8E060B3-2985-4726-BBE1-62F8A039DBDD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9CB71171-764A-438E-B8A6-26A8F223728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094D787-2DF6-4D48-BD78-F8F7E149321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83AC278D-C250-4566-814D-FED8486D5F58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490949E6-893F-4099-B0CC-86DBA81C8A5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60D7D8F-B734-4C41-834B-48C11873662A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EF9C74A7-09C5-483B-9922-AE5297E24041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5BCC3CC0-B9C3-4AA4-ACAD-0F3286ACCC7E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ABCB81CA-1051-419B-B931-DB66ADF83B71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57C0C4B-7F0D-4FFC-AF22-461AC6E159B2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79F76F6-31F1-45EA-9EBC-D8F8D97A37FB}"/>
            </a:ext>
          </a:extLst>
        </xdr:cNvPr>
        <xdr:cNvCxnSpPr/>
      </xdr:nvCxnSpPr>
      <xdr:spPr>
        <a:xfrm>
          <a:off x="9953625" y="6143625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CD1B1A2D-A775-441B-8661-9C77B43BC7BA}"/>
            </a:ext>
          </a:extLst>
        </xdr:cNvPr>
        <xdr:cNvCxnSpPr/>
      </xdr:nvCxnSpPr>
      <xdr:spPr>
        <a:xfrm>
          <a:off x="9965531" y="6238875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72BCBA4-715A-4FF3-BB52-CB799F82E530}"/>
            </a:ext>
          </a:extLst>
        </xdr:cNvPr>
        <xdr:cNvCxnSpPr/>
      </xdr:nvCxnSpPr>
      <xdr:spPr>
        <a:xfrm>
          <a:off x="11906251" y="6238875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F168F959-B9E0-47E1-9D9B-C50A6D084454}"/>
            </a:ext>
          </a:extLst>
        </xdr:cNvPr>
        <xdr:cNvCxnSpPr/>
      </xdr:nvCxnSpPr>
      <xdr:spPr>
        <a:xfrm>
          <a:off x="11918156" y="60960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EAB210BE-801C-403F-98D0-B4F1F2CF79BF}"/>
            </a:ext>
          </a:extLst>
        </xdr:cNvPr>
        <xdr:cNvCxnSpPr/>
      </xdr:nvCxnSpPr>
      <xdr:spPr>
        <a:xfrm>
          <a:off x="13858876" y="6119812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49430598-7898-4637-A242-0DF2AD55F033}"/>
            </a:ext>
          </a:extLst>
        </xdr:cNvPr>
        <xdr:cNvCxnSpPr/>
      </xdr:nvCxnSpPr>
      <xdr:spPr>
        <a:xfrm>
          <a:off x="13918406" y="623887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57B9BA14-B2AE-4C42-B693-7231DF909FCB}"/>
            </a:ext>
          </a:extLst>
        </xdr:cNvPr>
        <xdr:cNvCxnSpPr/>
      </xdr:nvCxnSpPr>
      <xdr:spPr>
        <a:xfrm>
          <a:off x="15847219" y="625078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BBE708EE-515F-4427-99AB-D31FC91CE096}"/>
            </a:ext>
          </a:extLst>
        </xdr:cNvPr>
        <xdr:cNvCxnSpPr/>
      </xdr:nvCxnSpPr>
      <xdr:spPr>
        <a:xfrm>
          <a:off x="15880556" y="61174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D7B388D4-5443-4747-BF02-43F6AE297CA2}"/>
            </a:ext>
          </a:extLst>
        </xdr:cNvPr>
        <xdr:cNvCxnSpPr/>
      </xdr:nvCxnSpPr>
      <xdr:spPr>
        <a:xfrm>
          <a:off x="19692938" y="626268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4C8C7200-85A5-4FEE-AFEB-9162C6B5CE06}"/>
            </a:ext>
          </a:extLst>
        </xdr:cNvPr>
        <xdr:cNvCxnSpPr/>
      </xdr:nvCxnSpPr>
      <xdr:spPr>
        <a:xfrm>
          <a:off x="19726275" y="612933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1CB89D-72EA-4832-9E5E-42ABFF506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BACECAD-79A9-493B-8F00-F063BDA47AF7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96D5B8C1-9F75-4C99-A954-D7B566AE7C55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59CEB00-8C31-453E-A070-0755A01004D7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0C48484-F8D7-44B9-B73B-73D3701F5597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A6B0D8A-C5CD-4453-9307-48FBAA33F487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11D321D-236D-42AF-8B33-1F20946DC72E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1FC7F58-9273-4F2A-BC91-DF7B3134B32F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4B7AA03-7B9B-495A-B16C-8BECC9D1F77E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2EE3CFF-E4F1-4247-AA75-72C249BF4568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A5DC42F-F851-471F-BBB4-AF3223AF2912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B67B1F9-BA43-457A-B721-3BF3D73D8040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8E01D41-00CD-4393-9133-C1A7797C7DE9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06C80CD-29B7-43AE-8F2F-D14DF2A8D5B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95717B7E-D401-4726-84E3-1707C2BAA4BB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3F0D7A2A-800C-4E2E-AACA-48C49B007AC5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B26501D-B0D9-4BF6-8585-760581ACA717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72552B2-002F-4BEC-AF13-55368B20E31C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28621DE1-537D-4112-A788-77001AF2E28B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E2E057E-3BFB-4A0D-972C-46AC11F1628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80718CA-8893-4503-A62F-A773DCE35419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3AA64A8C-E748-483C-99A0-1A5D176CD4B8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D68866D4-5A5A-4072-965A-46B2B07EA869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57695E8-426E-4A43-AA2C-12EC739B9258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5E04679-056D-4618-A05A-B947CB94DBAE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155903D-B845-4389-AB18-3F8A02599029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D30A60E-3898-47C8-AB22-1AA53C7919C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45F2663-C802-46DF-BD54-B59EF9B5D8D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CEF060D-0B22-44C1-99C3-279A2185978B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63B12C4-ADA8-4D45-9769-E4ECC919C2AB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6BC3B519-6FF5-45C0-8DB5-4257BD512324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1890187-FCF6-46C3-80D6-AA436C76C806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413A7F06-97D0-460E-9C56-C2A4434A82A2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9AFAEAEB-144F-45A5-96E7-303F90608626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ED97BAF-20F8-4A57-9B06-B676198A2935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242DE3D4-5CB6-4133-98CE-E770C8347B6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F982FE47-E489-4B0C-9284-985A8103AA05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61D9698-7F8F-4745-B001-20D79851D0F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BF61BF70-8DB1-41F6-B0F3-CFC0AB7813E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E1DE969F-5CAB-496E-9950-947D015DE89E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DEBA7145-5B1A-4676-B1E0-BC872DB53CFF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CB67813-2FEA-4EC5-A030-AA8587184C41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7DF723DC-0AE1-4E6E-B4F3-2D67E5AC9E6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48A3DE39-1FF3-49C8-941F-9ACF651CB6F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78F3E2D-AADC-4E9E-A713-08187C5C4374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7CA7F29-0FB0-420D-9A39-12D3EE537E82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B5B40BE-DC28-4BF1-8D0A-AFD31737392D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B464CF6-1665-4C9C-8687-518A781881ED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8B616B4-DECE-4D71-B48E-8477E03C0B6F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99BA998-5A9A-4F5F-870B-5BE924F2867B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314CA38B-8AB5-4058-B7D2-DEB06EDEBDD9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73048EED-A663-4221-B89C-E76798734B95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3768D12-45B2-466C-81F3-CE39F5ECEE4F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319C0C2-FE8E-4B94-8EC0-10413DBDCBF8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75708E4-D3B6-4DAC-9061-BBA5774B80E8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557CB67-A0C1-4AA5-BB7A-A6DD339C262F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174624</xdr:colOff>
      <xdr:row>23</xdr:row>
      <xdr:rowOff>231775</xdr:rowOff>
    </xdr:from>
    <xdr:to>
      <xdr:col>7</xdr:col>
      <xdr:colOff>972343</xdr:colOff>
      <xdr:row>23</xdr:row>
      <xdr:rowOff>243681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884F8892-C061-4E24-A06C-840D02D25A4D}"/>
            </a:ext>
          </a:extLst>
        </xdr:cNvPr>
        <xdr:cNvCxnSpPr/>
      </xdr:nvCxnSpPr>
      <xdr:spPr>
        <a:xfrm>
          <a:off x="11054291" y="6020858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137583</xdr:colOff>
      <xdr:row>23</xdr:row>
      <xdr:rowOff>391583</xdr:rowOff>
    </xdr:from>
    <xdr:to>
      <xdr:col>7</xdr:col>
      <xdr:colOff>935302</xdr:colOff>
      <xdr:row>23</xdr:row>
      <xdr:rowOff>403489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A78D762-0300-4E16-9332-8F4777C6DDFD}"/>
            </a:ext>
          </a:extLst>
        </xdr:cNvPr>
        <xdr:cNvCxnSpPr/>
      </xdr:nvCxnSpPr>
      <xdr:spPr>
        <a:xfrm>
          <a:off x="11017250" y="618066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137583</xdr:colOff>
      <xdr:row>23</xdr:row>
      <xdr:rowOff>222250</xdr:rowOff>
    </xdr:from>
    <xdr:to>
      <xdr:col>11</xdr:col>
      <xdr:colOff>935302</xdr:colOff>
      <xdr:row>23</xdr:row>
      <xdr:rowOff>234156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11FA192-906B-4158-B193-33D5C44AFB64}"/>
            </a:ext>
          </a:extLst>
        </xdr:cNvPr>
        <xdr:cNvCxnSpPr/>
      </xdr:nvCxnSpPr>
      <xdr:spPr>
        <a:xfrm>
          <a:off x="14954250" y="601133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148167</xdr:colOff>
      <xdr:row>23</xdr:row>
      <xdr:rowOff>412750</xdr:rowOff>
    </xdr:from>
    <xdr:to>
      <xdr:col>11</xdr:col>
      <xdr:colOff>945886</xdr:colOff>
      <xdr:row>23</xdr:row>
      <xdr:rowOff>424656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56F26FA-1BE5-4455-9FC8-0D5D1880F26D}"/>
            </a:ext>
          </a:extLst>
        </xdr:cNvPr>
        <xdr:cNvCxnSpPr/>
      </xdr:nvCxnSpPr>
      <xdr:spPr>
        <a:xfrm>
          <a:off x="14964834" y="620183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23</xdr:row>
      <xdr:rowOff>243417</xdr:rowOff>
    </xdr:from>
    <xdr:to>
      <xdr:col>15</xdr:col>
      <xdr:colOff>797719</xdr:colOff>
      <xdr:row>23</xdr:row>
      <xdr:rowOff>255323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B2544BA-0701-4413-B7EE-E1781F3E3FEE}"/>
            </a:ext>
          </a:extLst>
        </xdr:cNvPr>
        <xdr:cNvCxnSpPr/>
      </xdr:nvCxnSpPr>
      <xdr:spPr>
        <a:xfrm>
          <a:off x="18753667" y="60325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23</xdr:row>
      <xdr:rowOff>412750</xdr:rowOff>
    </xdr:from>
    <xdr:to>
      <xdr:col>15</xdr:col>
      <xdr:colOff>892969</xdr:colOff>
      <xdr:row>23</xdr:row>
      <xdr:rowOff>424656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B0A4B874-0F72-441A-AFCD-145B95A53F39}"/>
            </a:ext>
          </a:extLst>
        </xdr:cNvPr>
        <xdr:cNvCxnSpPr/>
      </xdr:nvCxnSpPr>
      <xdr:spPr>
        <a:xfrm>
          <a:off x="18848917" y="620183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73CAE-0ED5-499E-B924-3182D1853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984C6B3-5372-435D-BF8C-DA14D29432A2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2EF632E-7C15-4753-95AB-EF3A61A35D7A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CCD88D7-AB3F-4EE6-9F21-133CFD272EB4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275F1843-7250-46BA-8A85-D60FCDD72825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759C2D7-4C09-43DA-8736-EE016C5E5783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EC813C9-873D-4E7E-BA60-477F080FF569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95244C4-A3DC-4C3F-9DAA-3643332D1E2B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B613C35-0516-427C-A533-6BD741ACFD7C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7286D52-A2DC-4426-9EC3-462332B6AF39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E7045059-338A-4858-937C-3FA73E3A1BF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8EEA6819-3173-497E-8FF8-937C598B30D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E81C205-C768-4DA6-9242-64E9293850EB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F28E5FA5-1EF6-4FF8-9BFA-DE5FBFDD1DF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D85C2E9-68E6-412E-9425-BA7D052F15D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51F6A72-0421-4442-9BDB-02360F743DF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D7F0F2DF-094C-473F-BD0C-1A0456F6A06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29F2977-3886-4E29-82EC-BD9295E6A151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691C378-B73A-4386-B6B5-1D37AA06FBEE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677D0F78-5FA4-4601-9E94-8C46BDD3A12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746A554E-B8D7-4EB0-B167-23FDA0065980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9BBDC25B-BD3E-4DB6-B8BD-E84599F34AF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6BB4D869-3085-428C-A3EA-61F2EE3049C1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C6E4E8EC-48D5-47FF-B7F7-0F3C6077CC45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372B22F-CB1F-49B1-B556-FAB089B53BFE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4C7950C2-D43F-4285-9872-92FE32E1E63B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C82C2BF-18F4-49E7-825E-9CEC05E2B00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2C968E2-B44C-4F9F-9B62-8A1B15083B87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903E5AF-2362-438F-B1CA-E17D5FD1363F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FE175F8B-D320-47B2-8A2A-CDDD656B8A77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B6324FE-DFF6-4AEC-8BED-70893869A46F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FAE9C550-DB45-490F-963D-921601FFC518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344E9D3-2B5C-4367-BDA6-58DCBA01A61F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8DDD137-5C96-4864-ABCA-037D00F31F0C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D5E1C7B-DFC3-490D-8FBC-E936493C9C36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17375640-4CDC-4C72-81B2-C4F9EFDA7E49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A0D96B0B-A7A8-46AC-BEBA-C0168E7C096B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E10453B-02AB-46F0-880A-3B55D2B50D6D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FCA0A926-E745-4CF7-BECA-65C7DD6D649C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3834BACA-4B9F-4831-9597-AAA3E9C3D06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B7D9F25A-6F4C-4458-9CB4-1E114FE1A27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2F64A495-E1BF-420D-8291-F771747F2DC5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7CBC5454-02BD-41EE-9A1E-9737700561FC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80EB5318-DECE-4D49-AC1B-1F1FCB11CD2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909BDC05-9981-4AB3-971F-53AFD1D4E3E2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2EE2819-C6AF-456F-9D1B-C14EAFC1B907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46F3E7B-4A68-4E3E-996B-50FBA656D7D1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F3A01B3-D0CA-424F-8BD2-0FA154BAA713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DBCE2E6-FAEC-4089-96D0-A7E1A1F970B1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DE956538-E34D-42B3-ADFD-7C7A1608A9BC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3CFC172-8916-408A-A063-122342FB8B89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9BC3044-73E8-4D44-A66B-3AD57A86FEE5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0B54C1A-E552-4271-92C9-C98127378255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6FA4648-C323-4766-A023-9A0636BAB336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DFAE6A9-28E5-4BA5-971D-1BE7B38629CE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5603F53-4672-4136-89B3-31AE55B07362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142874</xdr:colOff>
      <xdr:row>23</xdr:row>
      <xdr:rowOff>327025</xdr:rowOff>
    </xdr:from>
    <xdr:to>
      <xdr:col>9</xdr:col>
      <xdr:colOff>940593</xdr:colOff>
      <xdr:row>23</xdr:row>
      <xdr:rowOff>338931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A58DA69-7068-4F1E-91F8-044A3E00EB1F}"/>
            </a:ext>
          </a:extLst>
        </xdr:cNvPr>
        <xdr:cNvCxnSpPr/>
      </xdr:nvCxnSpPr>
      <xdr:spPr>
        <a:xfrm>
          <a:off x="12991041" y="6116108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127000</xdr:colOff>
      <xdr:row>23</xdr:row>
      <xdr:rowOff>444500</xdr:rowOff>
    </xdr:from>
    <xdr:to>
      <xdr:col>9</xdr:col>
      <xdr:colOff>924719</xdr:colOff>
      <xdr:row>23</xdr:row>
      <xdr:rowOff>456406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1B5A3F04-E87F-4955-A061-18CC779F6DD3}"/>
            </a:ext>
          </a:extLst>
        </xdr:cNvPr>
        <xdr:cNvCxnSpPr/>
      </xdr:nvCxnSpPr>
      <xdr:spPr>
        <a:xfrm>
          <a:off x="12975167" y="623358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116416</xdr:colOff>
      <xdr:row>23</xdr:row>
      <xdr:rowOff>254000</xdr:rowOff>
    </xdr:from>
    <xdr:to>
      <xdr:col>13</xdr:col>
      <xdr:colOff>914135</xdr:colOff>
      <xdr:row>23</xdr:row>
      <xdr:rowOff>265906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E1A1804-8707-43E0-9BD8-DB39DDE9B061}"/>
            </a:ext>
          </a:extLst>
        </xdr:cNvPr>
        <xdr:cNvCxnSpPr/>
      </xdr:nvCxnSpPr>
      <xdr:spPr>
        <a:xfrm>
          <a:off x="16901583" y="604308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84667</xdr:colOff>
      <xdr:row>23</xdr:row>
      <xdr:rowOff>391584</xdr:rowOff>
    </xdr:from>
    <xdr:to>
      <xdr:col>13</xdr:col>
      <xdr:colOff>882386</xdr:colOff>
      <xdr:row>23</xdr:row>
      <xdr:rowOff>403490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3630DA2E-6635-4561-9866-9D76312F1634}"/>
            </a:ext>
          </a:extLst>
        </xdr:cNvPr>
        <xdr:cNvCxnSpPr/>
      </xdr:nvCxnSpPr>
      <xdr:spPr>
        <a:xfrm>
          <a:off x="16869834" y="618066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23</xdr:row>
      <xdr:rowOff>243417</xdr:rowOff>
    </xdr:from>
    <xdr:to>
      <xdr:col>15</xdr:col>
      <xdr:colOff>797719</xdr:colOff>
      <xdr:row>23</xdr:row>
      <xdr:rowOff>255323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6FC5CE09-5C45-49E0-BC50-AEBA183C8B0E}"/>
            </a:ext>
          </a:extLst>
        </xdr:cNvPr>
        <xdr:cNvCxnSpPr/>
      </xdr:nvCxnSpPr>
      <xdr:spPr>
        <a:xfrm>
          <a:off x="18716625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23</xdr:row>
      <xdr:rowOff>412750</xdr:rowOff>
    </xdr:from>
    <xdr:to>
      <xdr:col>15</xdr:col>
      <xdr:colOff>892969</xdr:colOff>
      <xdr:row>23</xdr:row>
      <xdr:rowOff>424656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3C6E1A3-BCF0-4966-BE38-8FCAF117DD0E}"/>
            </a:ext>
          </a:extLst>
        </xdr:cNvPr>
        <xdr:cNvCxnSpPr/>
      </xdr:nvCxnSpPr>
      <xdr:spPr>
        <a:xfrm>
          <a:off x="18811875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84667</xdr:colOff>
      <xdr:row>23</xdr:row>
      <xdr:rowOff>243417</xdr:rowOff>
    </xdr:from>
    <xdr:to>
      <xdr:col>14</xdr:col>
      <xdr:colOff>882386</xdr:colOff>
      <xdr:row>23</xdr:row>
      <xdr:rowOff>255323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FB539F48-C565-41B3-B171-A1AC69544D7E}"/>
            </a:ext>
          </a:extLst>
        </xdr:cNvPr>
        <xdr:cNvCxnSpPr/>
      </xdr:nvCxnSpPr>
      <xdr:spPr>
        <a:xfrm>
          <a:off x="17854084" y="60325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23</xdr:row>
      <xdr:rowOff>412750</xdr:rowOff>
    </xdr:from>
    <xdr:to>
      <xdr:col>14</xdr:col>
      <xdr:colOff>871802</xdr:colOff>
      <xdr:row>23</xdr:row>
      <xdr:rowOff>424656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F3D48AA5-E3D4-4A04-8233-AF3B38E9A46A}"/>
            </a:ext>
          </a:extLst>
        </xdr:cNvPr>
        <xdr:cNvCxnSpPr/>
      </xdr:nvCxnSpPr>
      <xdr:spPr>
        <a:xfrm>
          <a:off x="17843500" y="620183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23</xdr:row>
      <xdr:rowOff>391584</xdr:rowOff>
    </xdr:from>
    <xdr:to>
      <xdr:col>5</xdr:col>
      <xdr:colOff>940594</xdr:colOff>
      <xdr:row>23</xdr:row>
      <xdr:rowOff>391584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F1B249A-3BF8-4E2F-9671-D9C92D7518EC}"/>
            </a:ext>
          </a:extLst>
        </xdr:cNvPr>
        <xdr:cNvCxnSpPr/>
      </xdr:nvCxnSpPr>
      <xdr:spPr>
        <a:xfrm>
          <a:off x="9006417" y="6180667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120650</xdr:colOff>
      <xdr:row>23</xdr:row>
      <xdr:rowOff>289984</xdr:rowOff>
    </xdr:from>
    <xdr:to>
      <xdr:col>5</xdr:col>
      <xdr:colOff>965994</xdr:colOff>
      <xdr:row>23</xdr:row>
      <xdr:rowOff>289984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7C6969E-16E4-4D74-B54A-39672DC565EA}"/>
            </a:ext>
          </a:extLst>
        </xdr:cNvPr>
        <xdr:cNvCxnSpPr/>
      </xdr:nvCxnSpPr>
      <xdr:spPr>
        <a:xfrm>
          <a:off x="9031817" y="6079067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63383D-C886-451D-9E8E-29059BC86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BCF4428-D349-4CFA-ACA3-01E7FD9D70A2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1B85A76-228A-4B3B-ADEC-BDAF182EBB5C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1D36787-B734-4345-B79C-2BA22710EE65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5FC5A98-D80F-461F-9D89-F1454932BBA7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47D2B70-41D0-4AAF-8A9E-A0C64777482A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DBF2CEA-933E-4CBF-AE39-6B48D28F8FAC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19E1E1F-A0B1-4EF3-8CD4-65CC9E1FC64C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84A6AC28-6F2F-453F-9515-B65D386D0A12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CF4D34EA-A054-4A11-BD8D-F6FECAC148F7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C35B1C4E-2217-4C39-A2F1-D2D498157DCA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550611C-FB48-4703-8588-3D4971AE3BC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F8CD554-49BA-4B59-B0F1-FD2F0646EAE2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CB6BA740-3345-4F18-AC79-B17A5D96B73E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F657C3ED-A15A-42D2-8D56-8D2C902C762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8C78DD62-2256-4814-B63A-EFCA26893BF1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0476C35-9253-4E7F-87C1-C3F70941F61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3B25F928-8878-4AA9-958D-852F1C8E07D9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B95A650-D024-4AF1-A48A-F2F44A622614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D05B0F7B-A221-4783-8A4E-2418223199B9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F82DFDE1-D391-4B11-9727-68CEA1E4DF27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CB6D1F8-F4EF-4F6F-BCEF-E23001B0209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90A1115-58BE-4A60-B563-E3E76A34E1FB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2B20B03A-8AB0-4F44-B65B-9B16CB65E229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25AD420-15CD-440A-B628-E3C77967C108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BCA65B5B-37CB-4D8B-99B3-A0B349C1BD35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90E552FA-5B6B-474B-9457-17F304828C20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1A035882-F4EB-4AAF-BBDC-8CF3F90F99F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874F38F-D32E-45AC-A72A-32C8F23ED353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52F8D7AF-BEAF-48A3-8850-A933A842E07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55D0290-A28A-4C3D-803A-3C30F78E4C1A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F28BAF02-7105-4236-8E9C-C38C18E1029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3F2FCF4E-E7AE-44F0-A7BB-093A48695299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59A7E08D-BA34-45FE-8541-E449ED719118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A60BFB4C-F34E-4A86-8CCE-B0D44706A00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8D8A332-D2A9-4F49-92D5-306032519EE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635FD917-3332-4593-9CAD-79F69EA72002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1A81B63-1EFC-4117-AB7A-52D7261A968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7BA83B20-43E4-41B4-BE9E-D23779FA449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1B799CCD-6227-4E8B-9EAD-13D1F781D5FB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B46A13EF-1662-4114-AB35-85EA0C86A74B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40D89088-E939-4056-AEFC-A553BC61D3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8478FB84-A7EE-409C-BE2C-9DC2C4EF804B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C3AC360-5A6D-4B64-BC33-2C64821AB84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969BA08-6104-456B-8962-2B39A3766CFC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F6AFB268-FB39-419B-9BF7-BB70BF805C53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CE145997-147D-4D9D-99B5-2EAAD4634FAB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7A19FE99-6559-4144-A61E-097AFEF589CB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CFB0060-F283-4202-B33B-6E789BA49AD4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2506581-F2EB-4E8F-9557-2D95D9896A6E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D4D38D7C-774C-40D6-A297-3C40F92636D7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FA562B1-0449-4FC8-867A-CF5B89BBEF05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B4DA2CD-8F8E-4F30-AB6C-855565F5BDEB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8CCD3045-CF7B-4DE3-B33C-1747EC5617CA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CBE4589-614E-436F-AC93-8FEE020710AF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0C4FB10-FE57-4460-B02D-43C07ACFB62A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142874</xdr:colOff>
      <xdr:row>23</xdr:row>
      <xdr:rowOff>327025</xdr:rowOff>
    </xdr:from>
    <xdr:to>
      <xdr:col>9</xdr:col>
      <xdr:colOff>940593</xdr:colOff>
      <xdr:row>23</xdr:row>
      <xdr:rowOff>338931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563CF83-5ACF-4B35-BD4D-86F6DA93457D}"/>
            </a:ext>
          </a:extLst>
        </xdr:cNvPr>
        <xdr:cNvCxnSpPr/>
      </xdr:nvCxnSpPr>
      <xdr:spPr>
        <a:xfrm>
          <a:off x="12973049" y="6156325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127000</xdr:colOff>
      <xdr:row>23</xdr:row>
      <xdr:rowOff>444500</xdr:rowOff>
    </xdr:from>
    <xdr:to>
      <xdr:col>9</xdr:col>
      <xdr:colOff>924719</xdr:colOff>
      <xdr:row>23</xdr:row>
      <xdr:rowOff>456406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E8D86CC3-BA3A-459F-A0C9-1B89C064A8BB}"/>
            </a:ext>
          </a:extLst>
        </xdr:cNvPr>
        <xdr:cNvCxnSpPr/>
      </xdr:nvCxnSpPr>
      <xdr:spPr>
        <a:xfrm>
          <a:off x="12957175" y="62738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116416</xdr:colOff>
      <xdr:row>23</xdr:row>
      <xdr:rowOff>254000</xdr:rowOff>
    </xdr:from>
    <xdr:to>
      <xdr:col>13</xdr:col>
      <xdr:colOff>914135</xdr:colOff>
      <xdr:row>23</xdr:row>
      <xdr:rowOff>265906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F4308C25-C468-472A-8698-CCA7721A9449}"/>
            </a:ext>
          </a:extLst>
        </xdr:cNvPr>
        <xdr:cNvCxnSpPr/>
      </xdr:nvCxnSpPr>
      <xdr:spPr>
        <a:xfrm>
          <a:off x="16870891" y="6083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84667</xdr:colOff>
      <xdr:row>23</xdr:row>
      <xdr:rowOff>391584</xdr:rowOff>
    </xdr:from>
    <xdr:to>
      <xdr:col>13</xdr:col>
      <xdr:colOff>882386</xdr:colOff>
      <xdr:row>23</xdr:row>
      <xdr:rowOff>403490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16B1002-4994-4439-8BFA-0093F8316C90}"/>
            </a:ext>
          </a:extLst>
        </xdr:cNvPr>
        <xdr:cNvCxnSpPr/>
      </xdr:nvCxnSpPr>
      <xdr:spPr>
        <a:xfrm>
          <a:off x="16839142" y="622088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23</xdr:row>
      <xdr:rowOff>243417</xdr:rowOff>
    </xdr:from>
    <xdr:to>
      <xdr:col>15</xdr:col>
      <xdr:colOff>797719</xdr:colOff>
      <xdr:row>23</xdr:row>
      <xdr:rowOff>255323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7685E3BF-5DE0-4B8B-870D-067181DD4159}"/>
            </a:ext>
          </a:extLst>
        </xdr:cNvPr>
        <xdr:cNvCxnSpPr/>
      </xdr:nvCxnSpPr>
      <xdr:spPr>
        <a:xfrm>
          <a:off x="18716625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23</xdr:row>
      <xdr:rowOff>412750</xdr:rowOff>
    </xdr:from>
    <xdr:to>
      <xdr:col>15</xdr:col>
      <xdr:colOff>892969</xdr:colOff>
      <xdr:row>23</xdr:row>
      <xdr:rowOff>424656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9A5C5169-E8A8-4B6D-9E9D-450986781D0D}"/>
            </a:ext>
          </a:extLst>
        </xdr:cNvPr>
        <xdr:cNvCxnSpPr/>
      </xdr:nvCxnSpPr>
      <xdr:spPr>
        <a:xfrm>
          <a:off x="18811875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84667</xdr:colOff>
      <xdr:row>23</xdr:row>
      <xdr:rowOff>243417</xdr:rowOff>
    </xdr:from>
    <xdr:to>
      <xdr:col>14</xdr:col>
      <xdr:colOff>882386</xdr:colOff>
      <xdr:row>23</xdr:row>
      <xdr:rowOff>255323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39F1D777-9AFF-467A-AF41-D2D4F017202F}"/>
            </a:ext>
          </a:extLst>
        </xdr:cNvPr>
        <xdr:cNvCxnSpPr/>
      </xdr:nvCxnSpPr>
      <xdr:spPr>
        <a:xfrm>
          <a:off x="17820217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23</xdr:row>
      <xdr:rowOff>412750</xdr:rowOff>
    </xdr:from>
    <xdr:to>
      <xdr:col>14</xdr:col>
      <xdr:colOff>871802</xdr:colOff>
      <xdr:row>23</xdr:row>
      <xdr:rowOff>424656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EC39F74F-0C8A-4BC3-AAC5-BEB3B1B3D4C3}"/>
            </a:ext>
          </a:extLst>
        </xdr:cNvPr>
        <xdr:cNvCxnSpPr/>
      </xdr:nvCxnSpPr>
      <xdr:spPr>
        <a:xfrm>
          <a:off x="17809633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23</xdr:row>
      <xdr:rowOff>391584</xdr:rowOff>
    </xdr:from>
    <xdr:to>
      <xdr:col>5</xdr:col>
      <xdr:colOff>940594</xdr:colOff>
      <xdr:row>23</xdr:row>
      <xdr:rowOff>391584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1BB97AF9-F19F-4AC8-90F8-FF66632675EB}"/>
            </a:ext>
          </a:extLst>
        </xdr:cNvPr>
        <xdr:cNvCxnSpPr/>
      </xdr:nvCxnSpPr>
      <xdr:spPr>
        <a:xfrm>
          <a:off x="9001125" y="622088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120650</xdr:colOff>
      <xdr:row>23</xdr:row>
      <xdr:rowOff>289984</xdr:rowOff>
    </xdr:from>
    <xdr:to>
      <xdr:col>5</xdr:col>
      <xdr:colOff>965994</xdr:colOff>
      <xdr:row>23</xdr:row>
      <xdr:rowOff>289984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64BD4F9C-C5C5-4CAE-99FA-987E0FC3212F}"/>
            </a:ext>
          </a:extLst>
        </xdr:cNvPr>
        <xdr:cNvCxnSpPr/>
      </xdr:nvCxnSpPr>
      <xdr:spPr>
        <a:xfrm>
          <a:off x="9026525" y="611928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7FD88-88D9-44DD-A778-410B98E8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95ABB246-B6F9-462C-960A-FE389AAD3C05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E9A33B6B-1884-4B20-8C26-E1E984E8D95F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F7C6081-E2FF-410F-A81F-B68BC0801887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FCB46E0-7FBE-4327-BE57-0B3BA07A4915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5BA3574-1C81-4771-8FC3-8BA4E7E37956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6449C36-7409-4FCC-B4A6-40F2D364FB7C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BE82D41-79AE-4A45-9BD9-BE1EFA737430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50A9676-DAE8-420C-B92D-F457C03BB500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F29A13B-6435-443B-861B-A8F0473D3016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121C0F7-B311-4C3B-8348-0F36AEEBC7FD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642A53B-011F-484F-B82D-21C4419FC9D9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AAC1B1C-86E7-4AFC-A9DD-02A84EF66CF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773920A6-18D5-47DB-8D3A-7C460718EB27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1EE4388-81DF-4EB2-AC45-B1481F6958A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EC179B6-0031-4378-9E85-6842833536F7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12C8B57E-E788-407A-B70D-71713BBE6CB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8BAA3A3-BA0E-4F0A-B9C7-0F9CBA857E7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D9A4846C-E877-4EE9-85AA-FE76E729BC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F4A36D6A-1C58-4845-8E86-CC3C34A5783E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4D7ADAC-6ADA-4649-AA46-82A9AA8E8DC4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0E097AE-9997-4A09-A61E-8CF30E19ADB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2348168-A751-4D1B-88D4-C11D6AA22B8A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D9ED109-B0AF-426A-AD41-DDBF603DDE39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E11FB74-A05A-4C80-91A2-F9E09B239902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BEED327F-E7A3-4540-9EE2-4DBB42F7D8F9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369B2C1-D2B0-4EFD-A746-98A10A973E8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947F6F8-B5B4-43A2-BC19-FD7AF6998FC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577C534-CBBE-413B-BBDE-50BD11023D4D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A72FFC00-6FD9-4B63-9089-88D7C13D743D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BFB9068-1B52-4D27-A168-22A58C242D31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3A4412F-62C9-486B-9DBC-6E8787855368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5C6DA8A-CA19-41A0-AA86-0D9216C50948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60A15048-F2C7-45C6-9991-2EF8F33FB19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CE7AC59-B04D-4143-B1A8-8BDBFEE0D588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B5203E84-4398-47DA-8168-EF42A3475FD4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C055A47-8DBB-41E3-918B-8F941FE953D7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245FF11-7502-499C-AB02-6D0A44478FC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8D1A2066-1069-41E8-B82F-8DE8567ED505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FB899EB4-94DF-46D0-95CE-D1DD69F64DD6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CEFB6ED4-B146-4772-BD54-951363FC0C21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854FA060-9442-4ED4-A35A-A288792633EC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9DF48A6D-4009-4647-9953-C52EB45ECC27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92248CA-C05D-4D08-8451-F0C403CD57A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609D8CA-4C2D-4CDD-B619-52E97C7E5567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BF1F700-4F02-41DD-A75A-6CA0038201BA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681E594-045C-4F20-A7AE-96FF28C02F2E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5BC6D2D-246B-4DC1-97AE-C995A4A88CD3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01B149E-79A7-427B-8AD2-C637076CB8A5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D5CB589-FC9F-4BED-B43B-6960C875EA6E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4383983D-7244-40A3-A11C-F9E3DA70ABB1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5F9699E9-FED9-4D05-A897-26F7670DC1B3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AAA543F0-B550-4128-B00E-2724E6FF039A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D75475F6-A403-49EE-8492-EA3CB2845BC2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E34724B-C6A5-40CB-AF2B-CAC26CC207E6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08B8384-F732-4CA9-A46E-02DE75E699DD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142874</xdr:colOff>
      <xdr:row>23</xdr:row>
      <xdr:rowOff>327025</xdr:rowOff>
    </xdr:from>
    <xdr:to>
      <xdr:col>9</xdr:col>
      <xdr:colOff>940593</xdr:colOff>
      <xdr:row>23</xdr:row>
      <xdr:rowOff>338931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74514D40-52FC-4FB4-83D0-9703EEBE01A9}"/>
            </a:ext>
          </a:extLst>
        </xdr:cNvPr>
        <xdr:cNvCxnSpPr/>
      </xdr:nvCxnSpPr>
      <xdr:spPr>
        <a:xfrm>
          <a:off x="12973049" y="6156325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127000</xdr:colOff>
      <xdr:row>23</xdr:row>
      <xdr:rowOff>444500</xdr:rowOff>
    </xdr:from>
    <xdr:to>
      <xdr:col>9</xdr:col>
      <xdr:colOff>924719</xdr:colOff>
      <xdr:row>23</xdr:row>
      <xdr:rowOff>456406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875E3CA7-19D6-4C59-92FE-FAACE7FB9314}"/>
            </a:ext>
          </a:extLst>
        </xdr:cNvPr>
        <xdr:cNvCxnSpPr/>
      </xdr:nvCxnSpPr>
      <xdr:spPr>
        <a:xfrm>
          <a:off x="12957175" y="62738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116416</xdr:colOff>
      <xdr:row>23</xdr:row>
      <xdr:rowOff>254000</xdr:rowOff>
    </xdr:from>
    <xdr:to>
      <xdr:col>13</xdr:col>
      <xdr:colOff>914135</xdr:colOff>
      <xdr:row>23</xdr:row>
      <xdr:rowOff>265906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F18DB28-EF07-4384-B880-84DA2216BFF8}"/>
            </a:ext>
          </a:extLst>
        </xdr:cNvPr>
        <xdr:cNvCxnSpPr/>
      </xdr:nvCxnSpPr>
      <xdr:spPr>
        <a:xfrm>
          <a:off x="16870891" y="6083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84667</xdr:colOff>
      <xdr:row>23</xdr:row>
      <xdr:rowOff>391584</xdr:rowOff>
    </xdr:from>
    <xdr:to>
      <xdr:col>13</xdr:col>
      <xdr:colOff>882386</xdr:colOff>
      <xdr:row>23</xdr:row>
      <xdr:rowOff>403490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973B6749-8100-4435-9598-F5A134E1C0B5}"/>
            </a:ext>
          </a:extLst>
        </xdr:cNvPr>
        <xdr:cNvCxnSpPr/>
      </xdr:nvCxnSpPr>
      <xdr:spPr>
        <a:xfrm>
          <a:off x="16839142" y="622088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23</xdr:row>
      <xdr:rowOff>243417</xdr:rowOff>
    </xdr:from>
    <xdr:to>
      <xdr:col>15</xdr:col>
      <xdr:colOff>797719</xdr:colOff>
      <xdr:row>23</xdr:row>
      <xdr:rowOff>255323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AC946CD2-80C9-48E9-9E9E-F7C33D39D738}"/>
            </a:ext>
          </a:extLst>
        </xdr:cNvPr>
        <xdr:cNvCxnSpPr/>
      </xdr:nvCxnSpPr>
      <xdr:spPr>
        <a:xfrm>
          <a:off x="18716625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95250</xdr:colOff>
      <xdr:row>23</xdr:row>
      <xdr:rowOff>412750</xdr:rowOff>
    </xdr:from>
    <xdr:to>
      <xdr:col>15</xdr:col>
      <xdr:colOff>892969</xdr:colOff>
      <xdr:row>23</xdr:row>
      <xdr:rowOff>424656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E78FF9FC-4459-4A08-A24A-986C039BBE70}"/>
            </a:ext>
          </a:extLst>
        </xdr:cNvPr>
        <xdr:cNvCxnSpPr/>
      </xdr:nvCxnSpPr>
      <xdr:spPr>
        <a:xfrm>
          <a:off x="18811875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84667</xdr:colOff>
      <xdr:row>23</xdr:row>
      <xdr:rowOff>243417</xdr:rowOff>
    </xdr:from>
    <xdr:to>
      <xdr:col>14</xdr:col>
      <xdr:colOff>882386</xdr:colOff>
      <xdr:row>23</xdr:row>
      <xdr:rowOff>255323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D7AE0469-936A-40A8-AFC1-5B63A2797208}"/>
            </a:ext>
          </a:extLst>
        </xdr:cNvPr>
        <xdr:cNvCxnSpPr/>
      </xdr:nvCxnSpPr>
      <xdr:spPr>
        <a:xfrm>
          <a:off x="17820217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23</xdr:row>
      <xdr:rowOff>412750</xdr:rowOff>
    </xdr:from>
    <xdr:to>
      <xdr:col>14</xdr:col>
      <xdr:colOff>871802</xdr:colOff>
      <xdr:row>23</xdr:row>
      <xdr:rowOff>424656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4F26E76D-2ABA-4497-B889-6F2675AA44B4}"/>
            </a:ext>
          </a:extLst>
        </xdr:cNvPr>
        <xdr:cNvCxnSpPr/>
      </xdr:nvCxnSpPr>
      <xdr:spPr>
        <a:xfrm>
          <a:off x="17809633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23</xdr:row>
      <xdr:rowOff>391584</xdr:rowOff>
    </xdr:from>
    <xdr:to>
      <xdr:col>5</xdr:col>
      <xdr:colOff>940594</xdr:colOff>
      <xdr:row>23</xdr:row>
      <xdr:rowOff>391584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2AA7BCF5-80C7-41D0-B84C-94BC5C8E5F71}"/>
            </a:ext>
          </a:extLst>
        </xdr:cNvPr>
        <xdr:cNvCxnSpPr/>
      </xdr:nvCxnSpPr>
      <xdr:spPr>
        <a:xfrm>
          <a:off x="9001125" y="622088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120650</xdr:colOff>
      <xdr:row>23</xdr:row>
      <xdr:rowOff>289984</xdr:rowOff>
    </xdr:from>
    <xdr:to>
      <xdr:col>5</xdr:col>
      <xdr:colOff>965994</xdr:colOff>
      <xdr:row>23</xdr:row>
      <xdr:rowOff>289984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BB57B637-F119-4041-9D35-0DF44F20D802}"/>
            </a:ext>
          </a:extLst>
        </xdr:cNvPr>
        <xdr:cNvCxnSpPr/>
      </xdr:nvCxnSpPr>
      <xdr:spPr>
        <a:xfrm>
          <a:off x="9026525" y="611928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1317F-DBB2-4636-A3A2-7388ED5A1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66F4EE5-8C5C-4510-8C8B-3A3BB3FEBF10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C832848-6CD4-4F32-856C-4EECA18C8824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CB2EAF4B-27A9-47BA-A9A2-E28DAFF15ADA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5090774-E88F-40C6-90E0-130D466AF302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3CE7612-8026-419B-B83A-49741A6B82F2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ABA8A3E8-B41F-4735-8A0D-3BCBA2608CD7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5C3A02C-0C6B-4DC3-81B9-CB84E7827175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405FDCAE-A25E-4B16-80E0-6DB4A706EFF1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19245ED-9BF1-445A-B04B-F3FDE907A88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8FA5E84-29C5-467B-BC86-9B45887487BB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A00F9BC-E88D-4ACF-9C39-D63AF73EC761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E09CB5E6-D3A6-4E30-8F6E-DA368CC4553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D00E50F5-4324-4BB2-8EC0-B2E99396C9A2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92EE310-16D4-4F3C-866C-1116729EC9B9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1876FBEA-8426-434A-B9E6-E3616D2A40F9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425F4A2-601D-4073-B8CC-9210EF7E517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911B6811-1678-4F74-BC70-F43CF309DDBF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377C0F5-B604-4763-B1D4-58B6B24DFFD2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332AC6E5-BAE3-4158-B1F8-6E555340314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DA3C60F-DBC1-4870-BF79-62ACF05B340A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119052A-BF34-468C-9AC2-C05B5643A1C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E5C67643-AE1A-4726-931A-5CB9429384FC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605EC1D-CF0A-450A-B85A-449E5645DEF3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15E7B6E-3D33-49A0-8492-B1D935C07503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B4B5A25D-916F-4FBD-8CC9-436D10789C6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56081745-428A-4926-AF37-D44719CB72FB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85031C0A-B396-4D25-BB4A-A3469D0DDE44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876187C-63FC-49A5-96BC-94684521931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5BF51BC-FB3E-49E5-A47C-5F42E1E1A20A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94F870DA-E01E-4DAD-9F3D-A86B735F1D09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84DBD997-F4A7-4B41-86A5-85FE4726B5E7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FA2309B-606C-4E7B-B419-64DA2A4B5C0F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517C987F-9995-449F-9B1A-D9C8C4F6AFA5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438017B9-33DA-4565-A914-A31E5C1B442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C69F91AE-65F9-4432-A118-86371210C8C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E258381-00CE-4715-80ED-2A30E55FC7C4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663C74B-59DB-42E9-9FB4-BBA86629742C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3E3CB5E6-D80C-4CD1-8E09-C4527CC308D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D742A364-08E4-446E-A355-F51F846C5888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EC4F96F8-82A0-487B-B76D-0837D4DB40F0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D6CE1A51-7C53-4AEF-B13F-7A84D9FCFA83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6F81F2A8-DB93-415F-A8A3-83448B7CCA34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F10AA94-D8C4-4403-B417-48C11838751C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D28E81BF-5AAA-4471-AB32-04D6B9ECD4B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A88E2FD-4932-4632-98C1-C030C4CCCB60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C9BE0CA-5B63-404D-A190-F4AA7138780E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1E85E187-A966-426D-A460-9FD894005F51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ED96D2E-47D6-4FF4-9297-2142FE1FFC32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10E3165-1B29-4F23-AC6C-1F8B1BF76E28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19186D8-866D-47FF-86EF-6896D514E4BA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C680B74-5B44-4460-A281-82806FCCE957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32F76265-C3BE-479E-A838-C0CB60C5DDC2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81432836-D3BC-410D-8E79-EA6F46A4B98F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57367711-C31F-4A15-8E52-F39EB9F2ADEE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42E05F2-B51C-4BE1-B8A9-809A670C9DAD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84667</xdr:colOff>
      <xdr:row>23</xdr:row>
      <xdr:rowOff>243417</xdr:rowOff>
    </xdr:from>
    <xdr:to>
      <xdr:col>14</xdr:col>
      <xdr:colOff>882386</xdr:colOff>
      <xdr:row>23</xdr:row>
      <xdr:rowOff>255323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3F3645CE-AFAD-4F3B-9BA1-748488C1E907}"/>
            </a:ext>
          </a:extLst>
        </xdr:cNvPr>
        <xdr:cNvCxnSpPr/>
      </xdr:nvCxnSpPr>
      <xdr:spPr>
        <a:xfrm>
          <a:off x="17820217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23</xdr:row>
      <xdr:rowOff>412750</xdr:rowOff>
    </xdr:from>
    <xdr:to>
      <xdr:col>14</xdr:col>
      <xdr:colOff>871802</xdr:colOff>
      <xdr:row>23</xdr:row>
      <xdr:rowOff>424656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8A48D98E-BB06-4B0A-B3C4-1E5B3E544916}"/>
            </a:ext>
          </a:extLst>
        </xdr:cNvPr>
        <xdr:cNvCxnSpPr/>
      </xdr:nvCxnSpPr>
      <xdr:spPr>
        <a:xfrm>
          <a:off x="17809633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146050</xdr:colOff>
      <xdr:row>23</xdr:row>
      <xdr:rowOff>336550</xdr:rowOff>
    </xdr:from>
    <xdr:to>
      <xdr:col>7</xdr:col>
      <xdr:colOff>288925</xdr:colOff>
      <xdr:row>23</xdr:row>
      <xdr:rowOff>479425</xdr:rowOff>
    </xdr:to>
    <xdr:sp macro="" textlink="">
      <xdr:nvSpPr>
        <xdr:cNvPr id="58" name="Oval 57">
          <a:extLst>
            <a:ext uri="{FF2B5EF4-FFF2-40B4-BE49-F238E27FC236}">
              <a16:creationId xmlns:a16="http://schemas.microsoft.com/office/drawing/2014/main" id="{C4AE6DFE-C8FF-4141-8BC0-1B032B94D444}"/>
            </a:ext>
          </a:extLst>
        </xdr:cNvPr>
        <xdr:cNvSpPr/>
      </xdr:nvSpPr>
      <xdr:spPr>
        <a:xfrm>
          <a:off x="10029638" y="6163609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425450</xdr:colOff>
      <xdr:row>23</xdr:row>
      <xdr:rowOff>187325</xdr:rowOff>
    </xdr:from>
    <xdr:to>
      <xdr:col>7</xdr:col>
      <xdr:colOff>568325</xdr:colOff>
      <xdr:row>23</xdr:row>
      <xdr:rowOff>330200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D5447ABA-B163-4389-8804-3FE4E4D67D32}"/>
            </a:ext>
          </a:extLst>
        </xdr:cNvPr>
        <xdr:cNvSpPr/>
      </xdr:nvSpPr>
      <xdr:spPr>
        <a:xfrm>
          <a:off x="10309038" y="6014384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752475</xdr:colOff>
      <xdr:row>23</xdr:row>
      <xdr:rowOff>69850</xdr:rowOff>
    </xdr:from>
    <xdr:to>
      <xdr:col>7</xdr:col>
      <xdr:colOff>895350</xdr:colOff>
      <xdr:row>23</xdr:row>
      <xdr:rowOff>212725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796EA1B4-014F-4F9B-AA28-6C681784062D}"/>
            </a:ext>
          </a:extLst>
        </xdr:cNvPr>
        <xdr:cNvSpPr/>
      </xdr:nvSpPr>
      <xdr:spPr>
        <a:xfrm>
          <a:off x="10636063" y="5896909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71437</xdr:colOff>
      <xdr:row>23</xdr:row>
      <xdr:rowOff>273844</xdr:rowOff>
    </xdr:from>
    <xdr:to>
      <xdr:col>7</xdr:col>
      <xdr:colOff>916781</xdr:colOff>
      <xdr:row>23</xdr:row>
      <xdr:rowOff>273844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89C567C-9BE7-478D-957E-1337A16BE4DF}"/>
            </a:ext>
          </a:extLst>
        </xdr:cNvPr>
        <xdr:cNvCxnSpPr/>
      </xdr:nvCxnSpPr>
      <xdr:spPr>
        <a:xfrm>
          <a:off x="9955025" y="6100903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83343</xdr:colOff>
      <xdr:row>23</xdr:row>
      <xdr:rowOff>369094</xdr:rowOff>
    </xdr:from>
    <xdr:to>
      <xdr:col>7</xdr:col>
      <xdr:colOff>881062</xdr:colOff>
      <xdr:row>23</xdr:row>
      <xdr:rowOff>381000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A18EBF95-F7FA-4CE4-B7B7-46F8B157AA0A}"/>
            </a:ext>
          </a:extLst>
        </xdr:cNvPr>
        <xdr:cNvCxnSpPr/>
      </xdr:nvCxnSpPr>
      <xdr:spPr>
        <a:xfrm>
          <a:off x="9966931" y="619615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180975</xdr:colOff>
      <xdr:row>23</xdr:row>
      <xdr:rowOff>339725</xdr:rowOff>
    </xdr:from>
    <xdr:to>
      <xdr:col>13</xdr:col>
      <xdr:colOff>323850</xdr:colOff>
      <xdr:row>23</xdr:row>
      <xdr:rowOff>482600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CFE15709-2AB1-4FE5-8A67-274E6FA0B735}"/>
            </a:ext>
          </a:extLst>
        </xdr:cNvPr>
        <xdr:cNvSpPr/>
      </xdr:nvSpPr>
      <xdr:spPr>
        <a:xfrm>
          <a:off x="17953504" y="6166784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460375</xdr:colOff>
      <xdr:row>23</xdr:row>
      <xdr:rowOff>190500</xdr:rowOff>
    </xdr:from>
    <xdr:to>
      <xdr:col>13</xdr:col>
      <xdr:colOff>603250</xdr:colOff>
      <xdr:row>23</xdr:row>
      <xdr:rowOff>333375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2E779EA9-D76E-44A4-8400-D7B6D4E8F69C}"/>
            </a:ext>
          </a:extLst>
        </xdr:cNvPr>
        <xdr:cNvSpPr/>
      </xdr:nvSpPr>
      <xdr:spPr>
        <a:xfrm>
          <a:off x="18232904" y="6017559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787400</xdr:colOff>
      <xdr:row>23</xdr:row>
      <xdr:rowOff>73025</xdr:rowOff>
    </xdr:from>
    <xdr:to>
      <xdr:col>13</xdr:col>
      <xdr:colOff>930275</xdr:colOff>
      <xdr:row>23</xdr:row>
      <xdr:rowOff>215900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2B3A144B-8BF6-4694-8CB0-BB85CC672BCC}"/>
            </a:ext>
          </a:extLst>
        </xdr:cNvPr>
        <xdr:cNvSpPr/>
      </xdr:nvSpPr>
      <xdr:spPr>
        <a:xfrm>
          <a:off x="18559929" y="5900084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84667</xdr:colOff>
      <xdr:row>23</xdr:row>
      <xdr:rowOff>243417</xdr:rowOff>
    </xdr:from>
    <xdr:to>
      <xdr:col>13</xdr:col>
      <xdr:colOff>882386</xdr:colOff>
      <xdr:row>23</xdr:row>
      <xdr:rowOff>255323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3F5BE8E-FDAC-4413-8A4B-1F472C3C89E8}"/>
            </a:ext>
          </a:extLst>
        </xdr:cNvPr>
        <xdr:cNvCxnSpPr/>
      </xdr:nvCxnSpPr>
      <xdr:spPr>
        <a:xfrm>
          <a:off x="17857196" y="607047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74083</xdr:colOff>
      <xdr:row>23</xdr:row>
      <xdr:rowOff>412750</xdr:rowOff>
    </xdr:from>
    <xdr:to>
      <xdr:col>13</xdr:col>
      <xdr:colOff>871802</xdr:colOff>
      <xdr:row>23</xdr:row>
      <xdr:rowOff>424656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F1AF91BF-56FB-400A-9311-7EE8155673F4}"/>
            </a:ext>
          </a:extLst>
        </xdr:cNvPr>
        <xdr:cNvCxnSpPr/>
      </xdr:nvCxnSpPr>
      <xdr:spPr>
        <a:xfrm>
          <a:off x="17846612" y="623980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A3549C-658A-43DB-9CBB-F4590A58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FACCC8E-3F0C-4DAB-8669-07636B088DAF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79E04119-383D-485D-9BA7-D52368BB8FE7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D393FC5-A571-43A7-9069-8EB9A44FF88E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02B05B5-BDDE-4162-9CDC-67E6800264AB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C0E3A0D-F89E-4ECC-92A9-CD05C10EEE79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CDFA6AF-B404-4F60-A9E6-EA1471018704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301497B-CDAA-4862-B417-C4F4C000C182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82D58CE-B73D-4F21-A754-A5614D1EFF4C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9D4F36CB-13C2-4781-9EC6-307674302738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F56C739-BC25-45FD-838D-F3F31339F70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76E71453-740F-4F73-9A18-1642453A920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296F6CE-6C71-4F61-B512-638BB383E13F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FE200404-91C5-4CBC-8CB9-A6B6D7AC15CD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6D301B06-FC2F-4FEF-9760-A899E6137B3D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F779F22C-7EEB-444D-8FB2-A39884AB3394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5CC2DF4-A1E8-4ED2-B0DD-7D6F8F349C2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3F12F29B-916F-47AF-A91B-3C8E855ECE7E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F1654E5-2BDB-4992-BC07-90F20ECE1034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E2E25C7-5BB7-4449-9184-FF47A690123C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F77136B-7D41-4E70-B960-1DF0432CBD6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7D183B1A-BC7A-492B-8130-1922768FCB52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177255B-1F76-4B9D-AFC7-BC788F5074DF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B14BE500-AB5B-4473-8F88-8DD15D845F52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3500CF8F-D881-4482-86A5-E92765E6B013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16D0374-9931-495F-A0FD-787CDCB8CCF6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7111496-20B5-43D0-B385-C73952A2D1BE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ED865C9-BA7B-4A30-B958-18749C770B6E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DDDCD7B-6B34-476D-AE41-4213D930AF2C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6BC5104-12C2-4E93-B21B-8E5EDB89109E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7E4F9970-2274-4145-9B0E-E5512068C74E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1AF9D975-BE46-43B9-A117-45E884917920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FF2CD00-1E03-4AA5-8D88-D70DB9F34D6A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6AE4DD4-3A88-4270-9785-200BD49E453B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B8588CDF-AED0-4428-8B1F-E02373215631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62FA0CE-CE91-4B03-B130-C5B250FB4912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BAD8235-789F-44C4-97EC-7C1DE4378440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373B521-A699-4A20-B708-EB845A2D06A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7055C405-3D92-432C-B41B-E656DDCB65A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8A571F4C-7207-4C66-AD1E-31045CAF2FF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AAE9253-7201-4EB3-BB92-98CE2A01695C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23BDCB21-84BB-4DE7-B790-29352A54ECCF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3E0A9F3F-457C-4AC8-BE97-F3EA4A59F7FB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E00EC148-B87C-4926-AEFE-24ADDE311D26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6A00F25-5214-4A65-8451-DB65CDB73A2B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E44561F1-3B6A-4CB7-9AF8-6E84D3746FD5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2D10D3C-673B-4477-B534-A10D28E945A7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9F6FD0B2-E525-4713-99DF-34AA0E493092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E8D1EDC-5C20-488F-AD48-5E31C3BB0229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F883F87B-0946-429C-90A8-F3AC4CE412E9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6FA6A3FB-5E83-4064-BF1A-6CAA8BFE1326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146C9DB5-B2DA-4E9A-A0CC-A50EED3E5F35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7B82A74-685A-4E99-A488-B143236AA60E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687361F-C2A2-4C10-B12B-89D4DCDF0F4F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A3CA2006-7FEA-4979-8682-434345CBADAA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61DAE61-3EFF-43BE-86BD-914E0429A0B7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84667</xdr:colOff>
      <xdr:row>23</xdr:row>
      <xdr:rowOff>243417</xdr:rowOff>
    </xdr:from>
    <xdr:to>
      <xdr:col>14</xdr:col>
      <xdr:colOff>882386</xdr:colOff>
      <xdr:row>23</xdr:row>
      <xdr:rowOff>255323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B5D9932-06C0-4D61-8743-EBF8B2447276}"/>
            </a:ext>
          </a:extLst>
        </xdr:cNvPr>
        <xdr:cNvCxnSpPr/>
      </xdr:nvCxnSpPr>
      <xdr:spPr>
        <a:xfrm>
          <a:off x="17820217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23</xdr:row>
      <xdr:rowOff>412750</xdr:rowOff>
    </xdr:from>
    <xdr:to>
      <xdr:col>14</xdr:col>
      <xdr:colOff>871802</xdr:colOff>
      <xdr:row>23</xdr:row>
      <xdr:rowOff>424656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C5FDB9F-0FDA-4E67-82B1-16C84D79C018}"/>
            </a:ext>
          </a:extLst>
        </xdr:cNvPr>
        <xdr:cNvCxnSpPr/>
      </xdr:nvCxnSpPr>
      <xdr:spPr>
        <a:xfrm>
          <a:off x="17809633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146050</xdr:colOff>
      <xdr:row>23</xdr:row>
      <xdr:rowOff>336550</xdr:rowOff>
    </xdr:from>
    <xdr:to>
      <xdr:col>7</xdr:col>
      <xdr:colOff>288925</xdr:colOff>
      <xdr:row>23</xdr:row>
      <xdr:rowOff>479425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AB156C22-AFA2-4A23-9CF9-98D71F02FE87}"/>
            </a:ext>
          </a:extLst>
        </xdr:cNvPr>
        <xdr:cNvSpPr/>
      </xdr:nvSpPr>
      <xdr:spPr>
        <a:xfrm>
          <a:off x="1101407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425450</xdr:colOff>
      <xdr:row>23</xdr:row>
      <xdr:rowOff>187325</xdr:rowOff>
    </xdr:from>
    <xdr:to>
      <xdr:col>7</xdr:col>
      <xdr:colOff>568325</xdr:colOff>
      <xdr:row>23</xdr:row>
      <xdr:rowOff>330200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87714DC2-FA2D-4A1B-AA7E-9F151C01B352}"/>
            </a:ext>
          </a:extLst>
        </xdr:cNvPr>
        <xdr:cNvSpPr/>
      </xdr:nvSpPr>
      <xdr:spPr>
        <a:xfrm>
          <a:off x="1129347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752475</xdr:colOff>
      <xdr:row>23</xdr:row>
      <xdr:rowOff>69850</xdr:rowOff>
    </xdr:from>
    <xdr:to>
      <xdr:col>7</xdr:col>
      <xdr:colOff>895350</xdr:colOff>
      <xdr:row>23</xdr:row>
      <xdr:rowOff>212725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ED2C710B-52FC-470E-B4C5-1A509655F5D3}"/>
            </a:ext>
          </a:extLst>
        </xdr:cNvPr>
        <xdr:cNvSpPr/>
      </xdr:nvSpPr>
      <xdr:spPr>
        <a:xfrm>
          <a:off x="1162050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71437</xdr:colOff>
      <xdr:row>23</xdr:row>
      <xdr:rowOff>273844</xdr:rowOff>
    </xdr:from>
    <xdr:to>
      <xdr:col>7</xdr:col>
      <xdr:colOff>916781</xdr:colOff>
      <xdr:row>23</xdr:row>
      <xdr:rowOff>273844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32F3DCE5-1E02-4145-93AD-81C384D01D49}"/>
            </a:ext>
          </a:extLst>
        </xdr:cNvPr>
        <xdr:cNvCxnSpPr/>
      </xdr:nvCxnSpPr>
      <xdr:spPr>
        <a:xfrm>
          <a:off x="10939462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83343</xdr:colOff>
      <xdr:row>23</xdr:row>
      <xdr:rowOff>369094</xdr:rowOff>
    </xdr:from>
    <xdr:to>
      <xdr:col>7</xdr:col>
      <xdr:colOff>881062</xdr:colOff>
      <xdr:row>23</xdr:row>
      <xdr:rowOff>381000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66867A92-D7C4-4029-A890-7ADFB0D809D5}"/>
            </a:ext>
          </a:extLst>
        </xdr:cNvPr>
        <xdr:cNvCxnSpPr/>
      </xdr:nvCxnSpPr>
      <xdr:spPr>
        <a:xfrm>
          <a:off x="1095136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180975</xdr:colOff>
      <xdr:row>23</xdr:row>
      <xdr:rowOff>339725</xdr:rowOff>
    </xdr:from>
    <xdr:to>
      <xdr:col>13</xdr:col>
      <xdr:colOff>323850</xdr:colOff>
      <xdr:row>23</xdr:row>
      <xdr:rowOff>482600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68FA1F0E-3603-4F1E-9629-C1E683039794}"/>
            </a:ext>
          </a:extLst>
        </xdr:cNvPr>
        <xdr:cNvSpPr/>
      </xdr:nvSpPr>
      <xdr:spPr>
        <a:xfrm>
          <a:off x="16935450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460375</xdr:colOff>
      <xdr:row>23</xdr:row>
      <xdr:rowOff>190500</xdr:rowOff>
    </xdr:from>
    <xdr:to>
      <xdr:col>13</xdr:col>
      <xdr:colOff>603250</xdr:colOff>
      <xdr:row>23</xdr:row>
      <xdr:rowOff>333375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49AC0878-3998-4BD5-A484-B336C732EBA6}"/>
            </a:ext>
          </a:extLst>
        </xdr:cNvPr>
        <xdr:cNvSpPr/>
      </xdr:nvSpPr>
      <xdr:spPr>
        <a:xfrm>
          <a:off x="17214850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787400</xdr:colOff>
      <xdr:row>23</xdr:row>
      <xdr:rowOff>73025</xdr:rowOff>
    </xdr:from>
    <xdr:to>
      <xdr:col>13</xdr:col>
      <xdr:colOff>930275</xdr:colOff>
      <xdr:row>23</xdr:row>
      <xdr:rowOff>215900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ED8C53DF-5068-4FCB-8A70-1178CCBF9064}"/>
            </a:ext>
          </a:extLst>
        </xdr:cNvPr>
        <xdr:cNvSpPr/>
      </xdr:nvSpPr>
      <xdr:spPr>
        <a:xfrm>
          <a:off x="17541875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84667</xdr:colOff>
      <xdr:row>23</xdr:row>
      <xdr:rowOff>243417</xdr:rowOff>
    </xdr:from>
    <xdr:to>
      <xdr:col>13</xdr:col>
      <xdr:colOff>882386</xdr:colOff>
      <xdr:row>23</xdr:row>
      <xdr:rowOff>255323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62A1A2FD-74C4-42C5-BE72-65A40D1CE8DC}"/>
            </a:ext>
          </a:extLst>
        </xdr:cNvPr>
        <xdr:cNvCxnSpPr/>
      </xdr:nvCxnSpPr>
      <xdr:spPr>
        <a:xfrm>
          <a:off x="16839142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74083</xdr:colOff>
      <xdr:row>23</xdr:row>
      <xdr:rowOff>412750</xdr:rowOff>
    </xdr:from>
    <xdr:to>
      <xdr:col>13</xdr:col>
      <xdr:colOff>871802</xdr:colOff>
      <xdr:row>23</xdr:row>
      <xdr:rowOff>424656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AF08ABB0-0A2B-4F09-9603-3D5CDD9C3E58}"/>
            </a:ext>
          </a:extLst>
        </xdr:cNvPr>
        <xdr:cNvCxnSpPr/>
      </xdr:nvCxnSpPr>
      <xdr:spPr>
        <a:xfrm>
          <a:off x="16828558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134471</xdr:colOff>
      <xdr:row>23</xdr:row>
      <xdr:rowOff>246529</xdr:rowOff>
    </xdr:from>
    <xdr:to>
      <xdr:col>15</xdr:col>
      <xdr:colOff>932190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8BF2C4D0-C4B8-4CFB-9A57-14A23D9D7D6E}"/>
            </a:ext>
          </a:extLst>
        </xdr:cNvPr>
        <xdr:cNvCxnSpPr/>
      </xdr:nvCxnSpPr>
      <xdr:spPr>
        <a:xfrm>
          <a:off x="18893118" y="6073588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100853</xdr:colOff>
      <xdr:row>23</xdr:row>
      <xdr:rowOff>403412</xdr:rowOff>
    </xdr:from>
    <xdr:to>
      <xdr:col>15</xdr:col>
      <xdr:colOff>898572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38F07090-2571-4875-8908-6400FB3C9FBF}"/>
            </a:ext>
          </a:extLst>
        </xdr:cNvPr>
        <xdr:cNvCxnSpPr/>
      </xdr:nvCxnSpPr>
      <xdr:spPr>
        <a:xfrm>
          <a:off x="18859500" y="623047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89647</xdr:colOff>
      <xdr:row>23</xdr:row>
      <xdr:rowOff>246529</xdr:rowOff>
    </xdr:from>
    <xdr:to>
      <xdr:col>5</xdr:col>
      <xdr:colOff>887366</xdr:colOff>
      <xdr:row>23</xdr:row>
      <xdr:rowOff>258435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237FCFA5-685C-48F2-B783-150482C82BA2}"/>
            </a:ext>
          </a:extLst>
        </xdr:cNvPr>
        <xdr:cNvCxnSpPr/>
      </xdr:nvCxnSpPr>
      <xdr:spPr>
        <a:xfrm>
          <a:off x="8987118" y="6073588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78441</xdr:colOff>
      <xdr:row>23</xdr:row>
      <xdr:rowOff>403411</xdr:rowOff>
    </xdr:from>
    <xdr:to>
      <xdr:col>5</xdr:col>
      <xdr:colOff>876160</xdr:colOff>
      <xdr:row>23</xdr:row>
      <xdr:rowOff>415317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869F564F-8CCB-4190-B05E-5D7948670A36}"/>
            </a:ext>
          </a:extLst>
        </xdr:cNvPr>
        <xdr:cNvCxnSpPr/>
      </xdr:nvCxnSpPr>
      <xdr:spPr>
        <a:xfrm>
          <a:off x="8975912" y="623047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9C56C3-1E7A-4813-87DF-9CA6B748A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C7A70E2-7DC5-48E7-A7D4-6CFF2BAF422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1ADEC37-E22B-477C-B38F-25211D30D88F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CF8B0B6-9529-42D9-BF48-2A70A508C222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4E77A2E6-914D-4B7E-ACD5-30FB07820416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9F86B450-E8C7-4254-AD02-4FCCB1F94B3F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E64CDEC-80DE-47A1-8B58-FD3F17497177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A80C30E-457A-4583-BD39-9FD628650ECA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933BAC6-39F0-4B5D-8A5A-D652540B7129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075B8F8-D254-4A44-8E95-DA6757234C40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EDAA594-F1D4-40A4-8D7C-70152940580A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57CC165-36D2-404E-9059-9BE714ABB519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4A539579-BAC6-4370-8684-6291FAC8356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C074849-8E4F-4C46-BACC-7F187AAF8CC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4019CFBC-EB77-4310-AB88-3A3AC1DC7BF0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0E6CFD9-E46E-4FAA-81BC-E72F4998B05E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F0EFF678-EF74-4309-BE42-4AC600F9762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D94D5B0F-6005-4890-8C54-D9F73DAD2804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8D1566FC-6CF3-475E-B838-C9F709A20F5F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7CCAE92-1838-4E82-8108-A6AB8B6AC863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D5162592-D0AD-4A79-96F4-E57D767CE910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0C8CC5A-7940-4021-94A8-CFE3A4B81F16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D1749F44-A7B5-4641-9830-FD4C6007E4E7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0A5DE03-3AE3-4F71-8D95-94C1FDD05C1A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6A432BE-0111-4644-9C93-D333CFB4060E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71E2549-951F-4833-A20C-7E1A4AF935EA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1943FC63-9ABC-4CCA-B44F-AEBCEC6E9846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D3827447-FBCB-413A-8D79-8DB970C897C3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BC9FB60B-8B45-4F5E-9C74-4345653902F7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7E1DDBD-9DB2-4D02-8FAD-AAD21555D00F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BD506400-2C6A-420F-A210-FF6B074517FC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C14ABDF-C996-40F6-889A-1471A4561CC5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8FFB4158-E500-4027-993B-A91B2D9C0825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C2691E23-61D7-44B4-9774-5C339BD59298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F17A876-4526-44BB-B95A-2BB186B8499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766ED3F3-3945-4F4A-B69A-48035C4053EB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D4467E9E-FE17-463F-B5DB-E27BD8503329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F5F80821-800E-465F-A447-4FE9971005D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3EDB8414-C9D8-4CCA-85F6-099923D53A2C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26C1C926-B1EB-4288-8003-D10446AE584C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E901FD08-4A74-4FD1-B757-EC26681E011B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4933495F-A812-4D72-8788-788683BF0E15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B1BB1F6D-588C-4549-A931-00215ACAD7FD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60D87CC-E650-4117-B9A1-931F34C7FA26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F12386F-09EF-4C83-8084-BA984EF2026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9EBEEFAA-6E7F-4CF1-9DA2-8718A6C8CE24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DFD6454A-E36C-4BD6-888A-78E58E708DED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C2DBDAF-BC4A-4585-B071-9375F2245645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BA68301-0A4D-4F3A-84E3-3E548E864BF9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92C6420-9DD8-45F2-90C1-4E3E730C11D8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C4FA616-4154-41F5-B523-10981D399187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E4E253F-FDBB-4DBD-8779-A516567EE7EB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60D1F70-8CD1-423B-8518-36FE961AABF5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3BF8E9F-8EFE-4352-A0F2-0167AC4FA6F9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A33A978-1BF3-4318-9CAA-FA3881B5C0CB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BC96F26-A3CA-4029-AC11-BCF7128F488A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84667</xdr:colOff>
      <xdr:row>23</xdr:row>
      <xdr:rowOff>243417</xdr:rowOff>
    </xdr:from>
    <xdr:to>
      <xdr:col>14</xdr:col>
      <xdr:colOff>882386</xdr:colOff>
      <xdr:row>23</xdr:row>
      <xdr:rowOff>255323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C6D5C52-F41E-4218-96E2-10287DF955CE}"/>
            </a:ext>
          </a:extLst>
        </xdr:cNvPr>
        <xdr:cNvCxnSpPr/>
      </xdr:nvCxnSpPr>
      <xdr:spPr>
        <a:xfrm>
          <a:off x="17820217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23</xdr:row>
      <xdr:rowOff>412750</xdr:rowOff>
    </xdr:from>
    <xdr:to>
      <xdr:col>14</xdr:col>
      <xdr:colOff>871802</xdr:colOff>
      <xdr:row>23</xdr:row>
      <xdr:rowOff>424656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3E14069-92D3-4404-8171-9CB9D8C7E709}"/>
            </a:ext>
          </a:extLst>
        </xdr:cNvPr>
        <xdr:cNvCxnSpPr/>
      </xdr:nvCxnSpPr>
      <xdr:spPr>
        <a:xfrm>
          <a:off x="17809633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146050</xdr:colOff>
      <xdr:row>23</xdr:row>
      <xdr:rowOff>336550</xdr:rowOff>
    </xdr:from>
    <xdr:to>
      <xdr:col>7</xdr:col>
      <xdr:colOff>288925</xdr:colOff>
      <xdr:row>23</xdr:row>
      <xdr:rowOff>479425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CE29D42B-2EC1-471A-89F6-D9F39A0BD7D7}"/>
            </a:ext>
          </a:extLst>
        </xdr:cNvPr>
        <xdr:cNvSpPr/>
      </xdr:nvSpPr>
      <xdr:spPr>
        <a:xfrm>
          <a:off x="1101407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425450</xdr:colOff>
      <xdr:row>23</xdr:row>
      <xdr:rowOff>187325</xdr:rowOff>
    </xdr:from>
    <xdr:to>
      <xdr:col>7</xdr:col>
      <xdr:colOff>568325</xdr:colOff>
      <xdr:row>23</xdr:row>
      <xdr:rowOff>330200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2401F80B-CB7C-4FC1-95F7-A01DCDCEFDEA}"/>
            </a:ext>
          </a:extLst>
        </xdr:cNvPr>
        <xdr:cNvSpPr/>
      </xdr:nvSpPr>
      <xdr:spPr>
        <a:xfrm>
          <a:off x="1129347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752475</xdr:colOff>
      <xdr:row>23</xdr:row>
      <xdr:rowOff>69850</xdr:rowOff>
    </xdr:from>
    <xdr:to>
      <xdr:col>7</xdr:col>
      <xdr:colOff>895350</xdr:colOff>
      <xdr:row>23</xdr:row>
      <xdr:rowOff>212725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DA120D2A-E616-4611-A218-F7DD56526099}"/>
            </a:ext>
          </a:extLst>
        </xdr:cNvPr>
        <xdr:cNvSpPr/>
      </xdr:nvSpPr>
      <xdr:spPr>
        <a:xfrm>
          <a:off x="1162050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71437</xdr:colOff>
      <xdr:row>23</xdr:row>
      <xdr:rowOff>273844</xdr:rowOff>
    </xdr:from>
    <xdr:to>
      <xdr:col>7</xdr:col>
      <xdr:colOff>916781</xdr:colOff>
      <xdr:row>23</xdr:row>
      <xdr:rowOff>273844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41C2B27-B96E-4B08-9994-DAB487897E4A}"/>
            </a:ext>
          </a:extLst>
        </xdr:cNvPr>
        <xdr:cNvCxnSpPr/>
      </xdr:nvCxnSpPr>
      <xdr:spPr>
        <a:xfrm>
          <a:off x="10939462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83343</xdr:colOff>
      <xdr:row>23</xdr:row>
      <xdr:rowOff>369094</xdr:rowOff>
    </xdr:from>
    <xdr:to>
      <xdr:col>7</xdr:col>
      <xdr:colOff>881062</xdr:colOff>
      <xdr:row>23</xdr:row>
      <xdr:rowOff>381000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F0798A3F-4535-40B7-918A-BC6AC4799083}"/>
            </a:ext>
          </a:extLst>
        </xdr:cNvPr>
        <xdr:cNvCxnSpPr/>
      </xdr:nvCxnSpPr>
      <xdr:spPr>
        <a:xfrm>
          <a:off x="1095136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180975</xdr:colOff>
      <xdr:row>23</xdr:row>
      <xdr:rowOff>339725</xdr:rowOff>
    </xdr:from>
    <xdr:to>
      <xdr:col>13</xdr:col>
      <xdr:colOff>323850</xdr:colOff>
      <xdr:row>23</xdr:row>
      <xdr:rowOff>482600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E2B9C706-E619-4458-9DDE-E132EACB5AAF}"/>
            </a:ext>
          </a:extLst>
        </xdr:cNvPr>
        <xdr:cNvSpPr/>
      </xdr:nvSpPr>
      <xdr:spPr>
        <a:xfrm>
          <a:off x="16935450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460375</xdr:colOff>
      <xdr:row>23</xdr:row>
      <xdr:rowOff>190500</xdr:rowOff>
    </xdr:from>
    <xdr:to>
      <xdr:col>13</xdr:col>
      <xdr:colOff>603250</xdr:colOff>
      <xdr:row>23</xdr:row>
      <xdr:rowOff>333375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20415851-D3B3-455E-A5A0-59E9C5F98BA3}"/>
            </a:ext>
          </a:extLst>
        </xdr:cNvPr>
        <xdr:cNvSpPr/>
      </xdr:nvSpPr>
      <xdr:spPr>
        <a:xfrm>
          <a:off x="17214850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787400</xdr:colOff>
      <xdr:row>23</xdr:row>
      <xdr:rowOff>73025</xdr:rowOff>
    </xdr:from>
    <xdr:to>
      <xdr:col>13</xdr:col>
      <xdr:colOff>930275</xdr:colOff>
      <xdr:row>23</xdr:row>
      <xdr:rowOff>215900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52E35F21-3106-408F-89AC-8810808F385A}"/>
            </a:ext>
          </a:extLst>
        </xdr:cNvPr>
        <xdr:cNvSpPr/>
      </xdr:nvSpPr>
      <xdr:spPr>
        <a:xfrm>
          <a:off x="17541875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84667</xdr:colOff>
      <xdr:row>23</xdr:row>
      <xdr:rowOff>243417</xdr:rowOff>
    </xdr:from>
    <xdr:to>
      <xdr:col>13</xdr:col>
      <xdr:colOff>882386</xdr:colOff>
      <xdr:row>23</xdr:row>
      <xdr:rowOff>255323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18E0D36-F5EF-44F0-827C-2369ACD3B5DC}"/>
            </a:ext>
          </a:extLst>
        </xdr:cNvPr>
        <xdr:cNvCxnSpPr/>
      </xdr:nvCxnSpPr>
      <xdr:spPr>
        <a:xfrm>
          <a:off x="16839142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74083</xdr:colOff>
      <xdr:row>23</xdr:row>
      <xdr:rowOff>412750</xdr:rowOff>
    </xdr:from>
    <xdr:to>
      <xdr:col>13</xdr:col>
      <xdr:colOff>871802</xdr:colOff>
      <xdr:row>23</xdr:row>
      <xdr:rowOff>424656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20FEE16-2195-4B94-938D-3A5E750B8046}"/>
            </a:ext>
          </a:extLst>
        </xdr:cNvPr>
        <xdr:cNvCxnSpPr/>
      </xdr:nvCxnSpPr>
      <xdr:spPr>
        <a:xfrm>
          <a:off x="16828558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134471</xdr:colOff>
      <xdr:row>23</xdr:row>
      <xdr:rowOff>246529</xdr:rowOff>
    </xdr:from>
    <xdr:to>
      <xdr:col>15</xdr:col>
      <xdr:colOff>932190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118518B5-8AC6-4BA9-ACCB-B271F1B7B230}"/>
            </a:ext>
          </a:extLst>
        </xdr:cNvPr>
        <xdr:cNvCxnSpPr/>
      </xdr:nvCxnSpPr>
      <xdr:spPr>
        <a:xfrm>
          <a:off x="18851096" y="607582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100853</xdr:colOff>
      <xdr:row>23</xdr:row>
      <xdr:rowOff>403412</xdr:rowOff>
    </xdr:from>
    <xdr:to>
      <xdr:col>15</xdr:col>
      <xdr:colOff>898572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6A71A1E7-9525-4906-9535-BC65BC25751D}"/>
            </a:ext>
          </a:extLst>
        </xdr:cNvPr>
        <xdr:cNvCxnSpPr/>
      </xdr:nvCxnSpPr>
      <xdr:spPr>
        <a:xfrm>
          <a:off x="18817478" y="6232712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89647</xdr:colOff>
      <xdr:row>23</xdr:row>
      <xdr:rowOff>246529</xdr:rowOff>
    </xdr:from>
    <xdr:to>
      <xdr:col>5</xdr:col>
      <xdr:colOff>887366</xdr:colOff>
      <xdr:row>23</xdr:row>
      <xdr:rowOff>258435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87CA78FC-AF84-4D3B-8FB8-A80B57CD1E3F}"/>
            </a:ext>
          </a:extLst>
        </xdr:cNvPr>
        <xdr:cNvCxnSpPr/>
      </xdr:nvCxnSpPr>
      <xdr:spPr>
        <a:xfrm>
          <a:off x="8995522" y="607582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78441</xdr:colOff>
      <xdr:row>23</xdr:row>
      <xdr:rowOff>403411</xdr:rowOff>
    </xdr:from>
    <xdr:to>
      <xdr:col>5</xdr:col>
      <xdr:colOff>876160</xdr:colOff>
      <xdr:row>23</xdr:row>
      <xdr:rowOff>415317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2D378B38-4F40-40FC-80E5-9F44933C0441}"/>
            </a:ext>
          </a:extLst>
        </xdr:cNvPr>
        <xdr:cNvCxnSpPr/>
      </xdr:nvCxnSpPr>
      <xdr:spPr>
        <a:xfrm>
          <a:off x="8984316" y="623271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89647</xdr:colOff>
      <xdr:row>23</xdr:row>
      <xdr:rowOff>246529</xdr:rowOff>
    </xdr:from>
    <xdr:to>
      <xdr:col>11</xdr:col>
      <xdr:colOff>887366</xdr:colOff>
      <xdr:row>23</xdr:row>
      <xdr:rowOff>258435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1F9CEE5C-4D6D-490D-8342-CBC20014812C}"/>
            </a:ext>
          </a:extLst>
        </xdr:cNvPr>
        <xdr:cNvCxnSpPr/>
      </xdr:nvCxnSpPr>
      <xdr:spPr>
        <a:xfrm>
          <a:off x="14903823" y="6073588"/>
          <a:ext cx="797719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100854</xdr:colOff>
      <xdr:row>23</xdr:row>
      <xdr:rowOff>403412</xdr:rowOff>
    </xdr:from>
    <xdr:to>
      <xdr:col>11</xdr:col>
      <xdr:colOff>898573</xdr:colOff>
      <xdr:row>23</xdr:row>
      <xdr:rowOff>415318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697A3E01-EA11-4C58-915F-9E3202B9C4BB}"/>
            </a:ext>
          </a:extLst>
        </xdr:cNvPr>
        <xdr:cNvCxnSpPr/>
      </xdr:nvCxnSpPr>
      <xdr:spPr>
        <a:xfrm>
          <a:off x="14915030" y="6230471"/>
          <a:ext cx="797719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7746BE-167E-4D39-B021-098B79503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85A5B78-A018-4B12-B0E9-2A741FF68333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66BED02-61E8-456C-9FBA-A7044321990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63579C1D-1848-4059-8288-5FF18B5646B3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893365C-5839-4EB3-9A3B-9A4A4F90A4B3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6C00BEA8-4ED4-48A8-A70A-23E35F3EFAEF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12A38E1-8DBA-4452-941D-008179C2CA16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508A8A38-98B0-4240-B6AB-3DEB6448E4BE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2DB54D17-6205-4981-AF6F-7512491C693C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F404F151-1E1A-4B66-B87E-495C4EFE674B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08BA7CE-5465-4F57-8414-0589A4F76A5E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421181E-B074-4F35-910F-245C0FC29F25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4CB8A7B-7878-4CFD-88FC-34786DF9CE5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19AAA2BC-DDDC-442B-A9DE-79DF3A76216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5B6A2B7A-001C-408F-94D3-821880D754A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6ED299DA-2A37-41A6-BF49-1C5FE3DD557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51609CFB-A544-4580-8AF9-B0E5F961981A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EF748B2-53B8-4092-A563-5F3356EDEF7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DC76AF10-D2E7-4E5D-AFF7-726852F1F3A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2C79B4-AE99-479B-8230-91A6B6C48276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F68CA80-3DB5-4F40-8716-137FE887950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C3042DE-77C9-4DC8-88E5-89D75CC48E7E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9BB8D756-BE82-4C4D-BD29-5CCFCB8FB835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4B98DF3A-C77A-4E19-B98C-C0F9ABEB7BBF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31B357B-EDA0-4EE3-8BAF-237FF03525C5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67773762-9492-40D6-AF7B-D5C4556B683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3A504E04-A52E-40CF-9995-D0ADBA7B119A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0CD1816-6659-4A38-813F-D11D2CD565BA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8C95760-5A37-4ED6-85CF-F54B3F98AF59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EEA4B28-1F61-4E7D-AF34-5E6039A93C02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5268A966-3FB6-45A4-8DC4-EB05CCAEBD38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DCA140F2-AC6C-448F-92FC-71E66B18A56F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B139DB79-CB62-4678-90E3-BC6EE64BBDDB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B0C004C-7426-4256-85CF-A8DC3118E78B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E5D7CB84-8639-44F0-B307-04FC7EC9553C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9737AE0-23A6-4FC7-B585-4784ECE66E71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D29EBD0-5E07-4397-A82B-07A617FFFA9A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2F0606EE-BAD8-4402-ABD3-37461FBB70D1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8FFDCF27-B8F0-480B-A3D7-31A7E4AD1EA9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40EE46D1-2CF1-45B2-805D-617F014B2419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36E35552-84AF-4490-A360-A09E48C0EE4A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66E04C54-9702-4E85-8828-E0BF7A7CF22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C4E894FE-B189-4262-9E65-AAD85034AF1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82C50A9-82B2-40DE-91D3-5788D85E5397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6B02460-6D6A-4D67-872C-0D0D17C3FECC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6FD1C71-697B-40A3-8622-235BD19AE2E2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245A1D93-C5E0-4A9D-96AB-6DFA75C74D1F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CAF227BE-3FD7-42BB-87A1-9EF21D6A4076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897B232E-C980-4DD1-A7E7-A3092420B94F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CBB57011-CFC1-48C2-97C2-DADE595E47D5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CF03E6B7-8F03-46C3-B0CA-B0D57EDF609A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AF798EC-666F-4216-BD8F-6C1B63E9B0A3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6CC5174-B65B-46BF-9338-86E9E06386D5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F1966A1-0EF5-4AA4-9180-28329A9F0061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44BA40D7-FA87-4200-8A92-B697B7630CE4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6D4870B5-8B38-4F51-9F43-767087CD9A40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84667</xdr:colOff>
      <xdr:row>23</xdr:row>
      <xdr:rowOff>243417</xdr:rowOff>
    </xdr:from>
    <xdr:to>
      <xdr:col>14</xdr:col>
      <xdr:colOff>882386</xdr:colOff>
      <xdr:row>23</xdr:row>
      <xdr:rowOff>255323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8630CFD-3BD7-4151-B169-B7B017016563}"/>
            </a:ext>
          </a:extLst>
        </xdr:cNvPr>
        <xdr:cNvCxnSpPr/>
      </xdr:nvCxnSpPr>
      <xdr:spPr>
        <a:xfrm>
          <a:off x="17820217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23</xdr:row>
      <xdr:rowOff>412750</xdr:rowOff>
    </xdr:from>
    <xdr:to>
      <xdr:col>14</xdr:col>
      <xdr:colOff>871802</xdr:colOff>
      <xdr:row>23</xdr:row>
      <xdr:rowOff>424656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BC57D6E8-64D7-43B8-BFD2-8CD7C7E42316}"/>
            </a:ext>
          </a:extLst>
        </xdr:cNvPr>
        <xdr:cNvCxnSpPr/>
      </xdr:nvCxnSpPr>
      <xdr:spPr>
        <a:xfrm>
          <a:off x="17809633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146050</xdr:colOff>
      <xdr:row>23</xdr:row>
      <xdr:rowOff>336550</xdr:rowOff>
    </xdr:from>
    <xdr:to>
      <xdr:col>7</xdr:col>
      <xdr:colOff>288925</xdr:colOff>
      <xdr:row>23</xdr:row>
      <xdr:rowOff>479425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24E9F9D2-6E8E-45F6-9B1A-3D31F88C6379}"/>
            </a:ext>
          </a:extLst>
        </xdr:cNvPr>
        <xdr:cNvSpPr/>
      </xdr:nvSpPr>
      <xdr:spPr>
        <a:xfrm>
          <a:off x="1101407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425450</xdr:colOff>
      <xdr:row>23</xdr:row>
      <xdr:rowOff>187325</xdr:rowOff>
    </xdr:from>
    <xdr:to>
      <xdr:col>7</xdr:col>
      <xdr:colOff>568325</xdr:colOff>
      <xdr:row>23</xdr:row>
      <xdr:rowOff>330200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7B56E15F-CF37-4B9C-9287-FEAFCB62AD4F}"/>
            </a:ext>
          </a:extLst>
        </xdr:cNvPr>
        <xdr:cNvSpPr/>
      </xdr:nvSpPr>
      <xdr:spPr>
        <a:xfrm>
          <a:off x="1129347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752475</xdr:colOff>
      <xdr:row>23</xdr:row>
      <xdr:rowOff>69850</xdr:rowOff>
    </xdr:from>
    <xdr:to>
      <xdr:col>7</xdr:col>
      <xdr:colOff>895350</xdr:colOff>
      <xdr:row>23</xdr:row>
      <xdr:rowOff>212725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243B97D4-98F4-4495-8149-1F8C5FA0AA60}"/>
            </a:ext>
          </a:extLst>
        </xdr:cNvPr>
        <xdr:cNvSpPr/>
      </xdr:nvSpPr>
      <xdr:spPr>
        <a:xfrm>
          <a:off x="1162050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180975</xdr:colOff>
      <xdr:row>23</xdr:row>
      <xdr:rowOff>339725</xdr:rowOff>
    </xdr:from>
    <xdr:to>
      <xdr:col>13</xdr:col>
      <xdr:colOff>323850</xdr:colOff>
      <xdr:row>23</xdr:row>
      <xdr:rowOff>482600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CB36FAC8-6025-4F23-8586-65375FF6C3AC}"/>
            </a:ext>
          </a:extLst>
        </xdr:cNvPr>
        <xdr:cNvSpPr/>
      </xdr:nvSpPr>
      <xdr:spPr>
        <a:xfrm>
          <a:off x="16935450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460375</xdr:colOff>
      <xdr:row>23</xdr:row>
      <xdr:rowOff>190500</xdr:rowOff>
    </xdr:from>
    <xdr:to>
      <xdr:col>13</xdr:col>
      <xdr:colOff>603250</xdr:colOff>
      <xdr:row>23</xdr:row>
      <xdr:rowOff>333375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31735E95-C91F-4E6C-A4C5-83548BFD0F5D}"/>
            </a:ext>
          </a:extLst>
        </xdr:cNvPr>
        <xdr:cNvSpPr/>
      </xdr:nvSpPr>
      <xdr:spPr>
        <a:xfrm>
          <a:off x="17214850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787400</xdr:colOff>
      <xdr:row>23</xdr:row>
      <xdr:rowOff>73025</xdr:rowOff>
    </xdr:from>
    <xdr:to>
      <xdr:col>13</xdr:col>
      <xdr:colOff>930275</xdr:colOff>
      <xdr:row>23</xdr:row>
      <xdr:rowOff>215900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DE31F4B4-1DF1-4F1F-A684-E3A04587256F}"/>
            </a:ext>
          </a:extLst>
        </xdr:cNvPr>
        <xdr:cNvSpPr/>
      </xdr:nvSpPr>
      <xdr:spPr>
        <a:xfrm>
          <a:off x="17541875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84667</xdr:colOff>
      <xdr:row>23</xdr:row>
      <xdr:rowOff>243417</xdr:rowOff>
    </xdr:from>
    <xdr:to>
      <xdr:col>13</xdr:col>
      <xdr:colOff>882386</xdr:colOff>
      <xdr:row>23</xdr:row>
      <xdr:rowOff>255323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28602B9-830C-4705-B8D1-7422D9F2F331}"/>
            </a:ext>
          </a:extLst>
        </xdr:cNvPr>
        <xdr:cNvCxnSpPr/>
      </xdr:nvCxnSpPr>
      <xdr:spPr>
        <a:xfrm>
          <a:off x="16839142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74083</xdr:colOff>
      <xdr:row>23</xdr:row>
      <xdr:rowOff>412750</xdr:rowOff>
    </xdr:from>
    <xdr:to>
      <xdr:col>13</xdr:col>
      <xdr:colOff>871802</xdr:colOff>
      <xdr:row>23</xdr:row>
      <xdr:rowOff>424656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0A17A586-D96F-4409-89ED-DB9D8ED01305}"/>
            </a:ext>
          </a:extLst>
        </xdr:cNvPr>
        <xdr:cNvCxnSpPr/>
      </xdr:nvCxnSpPr>
      <xdr:spPr>
        <a:xfrm>
          <a:off x="16828558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134471</xdr:colOff>
      <xdr:row>23</xdr:row>
      <xdr:rowOff>246529</xdr:rowOff>
    </xdr:from>
    <xdr:to>
      <xdr:col>15</xdr:col>
      <xdr:colOff>932190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EBDE9CB2-D563-453E-899A-0283878E3A6B}"/>
            </a:ext>
          </a:extLst>
        </xdr:cNvPr>
        <xdr:cNvCxnSpPr/>
      </xdr:nvCxnSpPr>
      <xdr:spPr>
        <a:xfrm>
          <a:off x="18851096" y="607582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100853</xdr:colOff>
      <xdr:row>23</xdr:row>
      <xdr:rowOff>403412</xdr:rowOff>
    </xdr:from>
    <xdr:to>
      <xdr:col>15</xdr:col>
      <xdr:colOff>898572</xdr:colOff>
      <xdr:row>23</xdr:row>
      <xdr:rowOff>415318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6146E93-0B40-4246-8534-F5F3C550E5F7}"/>
            </a:ext>
          </a:extLst>
        </xdr:cNvPr>
        <xdr:cNvCxnSpPr/>
      </xdr:nvCxnSpPr>
      <xdr:spPr>
        <a:xfrm>
          <a:off x="18817478" y="6232712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37575D-1F71-4629-9D67-29C56396B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6EB78049-755A-4191-9E23-04C4136B44D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86439D71-977A-48BA-B65C-C6B91D59B779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A6D8BF5-0CFF-4D3D-8C18-30C547B02E9D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98B2F2BB-0FDA-4433-A5B1-ADCDD628B898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C09DF8CE-D8BB-4871-BA90-D3B62AE07553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E08F6FB-5F4B-478E-B068-FA8CF7FB983B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F442BAB-99CC-4BA1-AADD-D760CD587138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4366D5E-01E6-4070-B2BB-74A98C1CC1A9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20A1AEB-98B2-46FA-BD22-CF6EBAABE911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FA1C2B4-BC72-45AC-A71B-33D5DED7F5EC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A473B46F-B28C-4F5E-9B77-C6409900C1BA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2E2DF712-D9FE-4110-8648-F6EA7FD75F07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8138E20-5879-46E6-817B-04F2E3E21362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7745DFC4-E3F6-4129-9F9B-16CDD3BBD4E4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483B8C30-789C-4E7A-AC02-64789C0B3149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B60F502-122B-44CB-8648-889C4155F161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244DFE1B-0AA7-4753-BE41-1BDAF9E73146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C3312A7-3DF6-444F-B8DB-7E1E4225BB9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53413187-BFAF-4D2C-8AE6-031E6034541A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EBF516FE-1620-416A-9E0A-CB01AB09A0C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CCB82CC-90EF-42DE-8BC3-E2CF261F32C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175A3864-DA05-4C1B-868F-5EFAE7739ADD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5FE2896-7714-46F1-808E-7D58A176E37C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84E9251-FB6A-48F4-AB34-D93793280399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A1261881-9B58-4AB2-A5A1-BA08D57283F4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777DE4FC-C583-44B1-8E94-BEB5E25D76E9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BBFEB88-168D-457F-B96D-33397C05032C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DB9DFC4A-C61A-484A-A025-A84D763D9F85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7B2F2C7-EFEE-40F9-BCAA-AAAF25FB9DA2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DCB7B4AF-FF4B-4805-8E65-EBCC8151FDEE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4216F953-8CA8-418E-9347-46042782C65A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88F7FA19-5358-4167-911F-32DA698FE540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7B759B55-D637-4853-AD47-33946166D130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20E86F5-9F86-47DF-8A6F-9424CF7B98F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AA5C2CBE-4BFD-443B-B37B-1AB69033DB0F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E4462DEF-EBF0-4A14-87FD-FEC119715511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7CAD7614-7E4F-4E98-A252-0F253D380650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1760A2A3-6A98-45FC-B325-8710CD9BF1C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E1CEBB2C-FF8B-4F09-A55A-3DAA124CDDF5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564DC293-BB30-4383-9FD3-F5DBE6BC5133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67E7585-E05B-4B32-936B-2C9C503FC95A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D7423CB0-6FD1-43B6-9277-042E12443F89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0E29B1EA-1454-4A4C-AB34-6142CA08347C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512B7559-1505-4044-91F0-B57AA9AFA71B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371F7403-C22F-4CF6-8225-8A9EB1E3F9B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9F2F84EC-20AF-43A3-9801-4864E1CB4029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F6890139-A8D6-46DD-8A47-0C6A1F3B06C7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E200867-9530-488A-BDB4-39BA9B309F2C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53BD3F6B-DCFF-4387-851E-2B842D0C0733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698F1EA-3E95-442D-AE90-BD285360D5D1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E109C6E-3466-4E1B-B8AB-6F345FCB065E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7CFFFF1-DA4D-4FEC-9340-3557355B9D37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617B42CB-A03A-436E-89B4-96EE9F100686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94D4456-8B41-4331-8EEB-0581490AF39C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E38E1CA-4485-4BF5-86A5-6E318ACB654B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84667</xdr:colOff>
      <xdr:row>23</xdr:row>
      <xdr:rowOff>243417</xdr:rowOff>
    </xdr:from>
    <xdr:to>
      <xdr:col>14</xdr:col>
      <xdr:colOff>882386</xdr:colOff>
      <xdr:row>23</xdr:row>
      <xdr:rowOff>255323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654C1AF4-3743-4AF6-9995-6CA09A29BC99}"/>
            </a:ext>
          </a:extLst>
        </xdr:cNvPr>
        <xdr:cNvCxnSpPr/>
      </xdr:nvCxnSpPr>
      <xdr:spPr>
        <a:xfrm>
          <a:off x="17820217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23</xdr:row>
      <xdr:rowOff>412750</xdr:rowOff>
    </xdr:from>
    <xdr:to>
      <xdr:col>14</xdr:col>
      <xdr:colOff>871802</xdr:colOff>
      <xdr:row>23</xdr:row>
      <xdr:rowOff>424656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FCE8A2C4-AA38-4EC9-815A-E39B1DAF2B1D}"/>
            </a:ext>
          </a:extLst>
        </xdr:cNvPr>
        <xdr:cNvCxnSpPr/>
      </xdr:nvCxnSpPr>
      <xdr:spPr>
        <a:xfrm>
          <a:off x="17809633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146050</xdr:colOff>
      <xdr:row>23</xdr:row>
      <xdr:rowOff>336550</xdr:rowOff>
    </xdr:from>
    <xdr:to>
      <xdr:col>7</xdr:col>
      <xdr:colOff>288925</xdr:colOff>
      <xdr:row>23</xdr:row>
      <xdr:rowOff>479425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3F33B7D0-BE0D-467C-9A50-E73FDFEC20D7}"/>
            </a:ext>
          </a:extLst>
        </xdr:cNvPr>
        <xdr:cNvSpPr/>
      </xdr:nvSpPr>
      <xdr:spPr>
        <a:xfrm>
          <a:off x="1101407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425450</xdr:colOff>
      <xdr:row>23</xdr:row>
      <xdr:rowOff>187325</xdr:rowOff>
    </xdr:from>
    <xdr:to>
      <xdr:col>7</xdr:col>
      <xdr:colOff>568325</xdr:colOff>
      <xdr:row>23</xdr:row>
      <xdr:rowOff>330200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E05D0798-5F11-4F75-A31F-A5F3A4D000EF}"/>
            </a:ext>
          </a:extLst>
        </xdr:cNvPr>
        <xdr:cNvSpPr/>
      </xdr:nvSpPr>
      <xdr:spPr>
        <a:xfrm>
          <a:off x="1129347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752475</xdr:colOff>
      <xdr:row>23</xdr:row>
      <xdr:rowOff>69850</xdr:rowOff>
    </xdr:from>
    <xdr:to>
      <xdr:col>7</xdr:col>
      <xdr:colOff>895350</xdr:colOff>
      <xdr:row>23</xdr:row>
      <xdr:rowOff>212725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9EE7DBCE-7222-48A6-96D5-B084CFF106F8}"/>
            </a:ext>
          </a:extLst>
        </xdr:cNvPr>
        <xdr:cNvSpPr/>
      </xdr:nvSpPr>
      <xdr:spPr>
        <a:xfrm>
          <a:off x="1162050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180975</xdr:colOff>
      <xdr:row>23</xdr:row>
      <xdr:rowOff>339725</xdr:rowOff>
    </xdr:from>
    <xdr:to>
      <xdr:col>13</xdr:col>
      <xdr:colOff>323850</xdr:colOff>
      <xdr:row>23</xdr:row>
      <xdr:rowOff>482600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C9BAA799-C512-4FA1-B923-532EC88C355D}"/>
            </a:ext>
          </a:extLst>
        </xdr:cNvPr>
        <xdr:cNvSpPr/>
      </xdr:nvSpPr>
      <xdr:spPr>
        <a:xfrm>
          <a:off x="16935450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460375</xdr:colOff>
      <xdr:row>23</xdr:row>
      <xdr:rowOff>190500</xdr:rowOff>
    </xdr:from>
    <xdr:to>
      <xdr:col>13</xdr:col>
      <xdr:colOff>603250</xdr:colOff>
      <xdr:row>23</xdr:row>
      <xdr:rowOff>333375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6103836D-F470-4FB0-812A-7B0427C38A37}"/>
            </a:ext>
          </a:extLst>
        </xdr:cNvPr>
        <xdr:cNvSpPr/>
      </xdr:nvSpPr>
      <xdr:spPr>
        <a:xfrm>
          <a:off x="17214850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787400</xdr:colOff>
      <xdr:row>23</xdr:row>
      <xdr:rowOff>73025</xdr:rowOff>
    </xdr:from>
    <xdr:to>
      <xdr:col>13</xdr:col>
      <xdr:colOff>930275</xdr:colOff>
      <xdr:row>23</xdr:row>
      <xdr:rowOff>215900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720C836C-5005-4814-85D1-9C396A059372}"/>
            </a:ext>
          </a:extLst>
        </xdr:cNvPr>
        <xdr:cNvSpPr/>
      </xdr:nvSpPr>
      <xdr:spPr>
        <a:xfrm>
          <a:off x="17541875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84667</xdr:colOff>
      <xdr:row>23</xdr:row>
      <xdr:rowOff>243417</xdr:rowOff>
    </xdr:from>
    <xdr:to>
      <xdr:col>13</xdr:col>
      <xdr:colOff>882386</xdr:colOff>
      <xdr:row>23</xdr:row>
      <xdr:rowOff>255323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7A29A76B-D071-437D-8BB8-34EED35F1888}"/>
            </a:ext>
          </a:extLst>
        </xdr:cNvPr>
        <xdr:cNvCxnSpPr/>
      </xdr:nvCxnSpPr>
      <xdr:spPr>
        <a:xfrm>
          <a:off x="16839142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74083</xdr:colOff>
      <xdr:row>23</xdr:row>
      <xdr:rowOff>412750</xdr:rowOff>
    </xdr:from>
    <xdr:to>
      <xdr:col>13</xdr:col>
      <xdr:colOff>871802</xdr:colOff>
      <xdr:row>23</xdr:row>
      <xdr:rowOff>424656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433C159-AEC9-4A50-93EC-82747194B746}"/>
            </a:ext>
          </a:extLst>
        </xdr:cNvPr>
        <xdr:cNvCxnSpPr/>
      </xdr:nvCxnSpPr>
      <xdr:spPr>
        <a:xfrm>
          <a:off x="16828558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134471</xdr:colOff>
      <xdr:row>23</xdr:row>
      <xdr:rowOff>246529</xdr:rowOff>
    </xdr:from>
    <xdr:to>
      <xdr:col>15</xdr:col>
      <xdr:colOff>932190</xdr:colOff>
      <xdr:row>23</xdr:row>
      <xdr:rowOff>258435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CDB767C-277D-45AE-A664-7AAD8475705E}"/>
            </a:ext>
          </a:extLst>
        </xdr:cNvPr>
        <xdr:cNvCxnSpPr/>
      </xdr:nvCxnSpPr>
      <xdr:spPr>
        <a:xfrm>
          <a:off x="18851096" y="607582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100853</xdr:colOff>
      <xdr:row>23</xdr:row>
      <xdr:rowOff>403412</xdr:rowOff>
    </xdr:from>
    <xdr:to>
      <xdr:col>15</xdr:col>
      <xdr:colOff>898572</xdr:colOff>
      <xdr:row>23</xdr:row>
      <xdr:rowOff>415318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75799580-0DAB-4002-9363-AE7D71F800EA}"/>
            </a:ext>
          </a:extLst>
        </xdr:cNvPr>
        <xdr:cNvCxnSpPr/>
      </xdr:nvCxnSpPr>
      <xdr:spPr>
        <a:xfrm>
          <a:off x="18817478" y="6232712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78441</xdr:colOff>
      <xdr:row>23</xdr:row>
      <xdr:rowOff>246529</xdr:rowOff>
    </xdr:from>
    <xdr:to>
      <xdr:col>7</xdr:col>
      <xdr:colOff>876160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24FEF8A8-CB2E-44CF-B8F9-86FD36F26BBC}"/>
            </a:ext>
          </a:extLst>
        </xdr:cNvPr>
        <xdr:cNvCxnSpPr/>
      </xdr:nvCxnSpPr>
      <xdr:spPr>
        <a:xfrm>
          <a:off x="10948147" y="6073588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110005</xdr:colOff>
      <xdr:row>23</xdr:row>
      <xdr:rowOff>357654</xdr:rowOff>
    </xdr:from>
    <xdr:to>
      <xdr:col>7</xdr:col>
      <xdr:colOff>907724</xdr:colOff>
      <xdr:row>23</xdr:row>
      <xdr:rowOff>369560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E95DBFCB-9431-43BD-8AEE-2073225AD014}"/>
            </a:ext>
          </a:extLst>
        </xdr:cNvPr>
        <xdr:cNvCxnSpPr/>
      </xdr:nvCxnSpPr>
      <xdr:spPr>
        <a:xfrm>
          <a:off x="10979711" y="618471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3B0907-BCAE-4800-A8F4-AB97B8A8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E5A52D5B-C01E-41C5-8D41-143FAA5C0EB3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D6F76AB-3614-4431-993D-F74C41A2317B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E58F90C-A7AC-4413-9E6B-1D444A6004EB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BF1F6F5-53C8-439C-86C3-C4EB02CE7DF8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B79AC88-5100-4868-BD51-4CB04779609F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F4ECEBF-E597-4D9D-8623-A678A711E11E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68BF7E19-61B9-4282-BAA0-3A5B9E6DAFA0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296E7CA7-B338-4251-8EAB-B709BDD34014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C07B5BA-A780-4F6C-8DF3-E309998AE7D6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35E07E2-D264-42F9-9A1B-B7A82AFD2D5F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7A0B9B51-67D7-4035-9A74-7663B47459C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E94AA1E9-F86C-40DF-9400-BB10ACB3065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CA067665-919C-449E-BE17-EECFF2B817C2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200231EA-D6EB-41A3-8FFB-7A012D8BC523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A9E9009-CE4F-4DE0-9BC3-55BFC15EF1A5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3D06A60B-3D7B-4BD4-9C3F-59259A54CC99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39B2FEE1-1B48-4C6A-A803-9F8F0FE05379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E5A1B66-640F-4FCB-A7D7-82B0763E4291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D987201-94DF-4A91-86AE-866EFD905FEB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B0299F95-C9B3-4068-9ED9-199ADFB919FA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A74BA27D-3970-455A-861A-CA945B2B881A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7EC9736F-8451-4A2A-9BE2-144AC7212F8F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29EA6F72-EE75-4C3D-8B5A-BC1A506CB6E9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AD29B53-30A5-4E1A-AF15-745C9A77FD1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16165FF9-645C-417C-9D2A-37283E419931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37B34C2-A1DF-4375-B557-05D75CA56CCC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1230B30-0110-441B-9B68-D70658C0D2A0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ABFECBA-6EA3-4585-952C-65456D09A650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783F656-1CA0-4CD5-9E95-AA6CB9CC07A2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C4DEA0E-9220-47E1-8BF9-A4333932F5A5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161DCA10-4ACB-4120-BE0A-0095B2205B6C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2D2B6C88-C138-4F7D-A87C-6F3B995C35A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9989A111-ECCF-43F0-9110-F38F58780E75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4BA4671-707D-4675-9567-86739F871F8C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455283D-9E61-466D-B4E5-077D1256C689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7E9AA69-E80D-4007-A34F-A6E614F0CFAC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6F8BE5D-E56B-4C5D-8C31-7B99F7480C93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AE0DB27-672B-4703-B24D-0FB922E5E69E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B2721905-8C41-40EC-879D-3BD134B342E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FF15294C-13F8-4282-B584-D79D37C34D2B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4D6B0190-CE25-416D-96DB-13D695FB1C9A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24CDCF54-EFAC-4BF1-836E-D4EF10BFD0FC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CCB8DF9-DD67-4DCF-8085-99A663B78AD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E17E871-3BE1-44AD-99F0-1F861F99CA60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EDFDA5C-2854-4A56-973F-BE4E6B7D198C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B79B7EA-1BC1-4B2D-B885-2752A924EE53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74C5A5C-B68B-4DDB-9A57-4CB83A3C7DC0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B224A3A8-2485-46BE-BDAD-834776CABE17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A11C60CF-F190-4217-AF3F-D04E8816B185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C73B1CA-6F60-4018-A66D-6267E05FAFE9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7A435689-767D-4959-8DCB-9B2DEC126F53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228C1AD-D120-4097-B428-BCC744068C77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AF07BF8-C95A-4907-9E04-00D1AAF9FA59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21EEEAC-E5E4-46F4-91C5-70D5F3463ED4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84667</xdr:colOff>
      <xdr:row>23</xdr:row>
      <xdr:rowOff>243417</xdr:rowOff>
    </xdr:from>
    <xdr:to>
      <xdr:col>14</xdr:col>
      <xdr:colOff>882386</xdr:colOff>
      <xdr:row>23</xdr:row>
      <xdr:rowOff>255323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5A53D550-D5AE-4E69-90C0-F8C8C0DC5F06}"/>
            </a:ext>
          </a:extLst>
        </xdr:cNvPr>
        <xdr:cNvCxnSpPr/>
      </xdr:nvCxnSpPr>
      <xdr:spPr>
        <a:xfrm>
          <a:off x="17820217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74083</xdr:colOff>
      <xdr:row>23</xdr:row>
      <xdr:rowOff>412750</xdr:rowOff>
    </xdr:from>
    <xdr:to>
      <xdr:col>14</xdr:col>
      <xdr:colOff>871802</xdr:colOff>
      <xdr:row>23</xdr:row>
      <xdr:rowOff>424656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28E78E92-44C6-4241-B3A9-A77EB464E567}"/>
            </a:ext>
          </a:extLst>
        </xdr:cNvPr>
        <xdr:cNvCxnSpPr/>
      </xdr:nvCxnSpPr>
      <xdr:spPr>
        <a:xfrm>
          <a:off x="17809633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146050</xdr:colOff>
      <xdr:row>23</xdr:row>
      <xdr:rowOff>336550</xdr:rowOff>
    </xdr:from>
    <xdr:to>
      <xdr:col>7</xdr:col>
      <xdr:colOff>288925</xdr:colOff>
      <xdr:row>23</xdr:row>
      <xdr:rowOff>479425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5726BFCE-BE0C-4754-A176-4C849333A52C}"/>
            </a:ext>
          </a:extLst>
        </xdr:cNvPr>
        <xdr:cNvSpPr/>
      </xdr:nvSpPr>
      <xdr:spPr>
        <a:xfrm>
          <a:off x="1101407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425450</xdr:colOff>
      <xdr:row>23</xdr:row>
      <xdr:rowOff>187325</xdr:rowOff>
    </xdr:from>
    <xdr:to>
      <xdr:col>7</xdr:col>
      <xdr:colOff>568325</xdr:colOff>
      <xdr:row>23</xdr:row>
      <xdr:rowOff>330200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2E03A2EF-E79E-4010-B525-70F21309F585}"/>
            </a:ext>
          </a:extLst>
        </xdr:cNvPr>
        <xdr:cNvSpPr/>
      </xdr:nvSpPr>
      <xdr:spPr>
        <a:xfrm>
          <a:off x="1129347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752475</xdr:colOff>
      <xdr:row>23</xdr:row>
      <xdr:rowOff>69850</xdr:rowOff>
    </xdr:from>
    <xdr:to>
      <xdr:col>7</xdr:col>
      <xdr:colOff>895350</xdr:colOff>
      <xdr:row>23</xdr:row>
      <xdr:rowOff>212725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7F3BFFC2-F0F7-46F2-B898-B74C7F1474B5}"/>
            </a:ext>
          </a:extLst>
        </xdr:cNvPr>
        <xdr:cNvSpPr/>
      </xdr:nvSpPr>
      <xdr:spPr>
        <a:xfrm>
          <a:off x="1162050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180975</xdr:colOff>
      <xdr:row>23</xdr:row>
      <xdr:rowOff>339725</xdr:rowOff>
    </xdr:from>
    <xdr:to>
      <xdr:col>13</xdr:col>
      <xdr:colOff>323850</xdr:colOff>
      <xdr:row>23</xdr:row>
      <xdr:rowOff>482600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5EE7579C-62DC-4572-A87D-3AF0D42624C3}"/>
            </a:ext>
          </a:extLst>
        </xdr:cNvPr>
        <xdr:cNvSpPr/>
      </xdr:nvSpPr>
      <xdr:spPr>
        <a:xfrm>
          <a:off x="16935450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460375</xdr:colOff>
      <xdr:row>23</xdr:row>
      <xdr:rowOff>190500</xdr:rowOff>
    </xdr:from>
    <xdr:to>
      <xdr:col>13</xdr:col>
      <xdr:colOff>603250</xdr:colOff>
      <xdr:row>23</xdr:row>
      <xdr:rowOff>333375</xdr:rowOff>
    </xdr:to>
    <xdr:sp macro="" textlink="">
      <xdr:nvSpPr>
        <xdr:cNvPr id="64" name="Oval 63">
          <a:extLst>
            <a:ext uri="{FF2B5EF4-FFF2-40B4-BE49-F238E27FC236}">
              <a16:creationId xmlns:a16="http://schemas.microsoft.com/office/drawing/2014/main" id="{87C0DCAB-0017-4FAD-9F5E-AEA6BF48B553}"/>
            </a:ext>
          </a:extLst>
        </xdr:cNvPr>
        <xdr:cNvSpPr/>
      </xdr:nvSpPr>
      <xdr:spPr>
        <a:xfrm>
          <a:off x="17214850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787400</xdr:colOff>
      <xdr:row>23</xdr:row>
      <xdr:rowOff>73025</xdr:rowOff>
    </xdr:from>
    <xdr:to>
      <xdr:col>13</xdr:col>
      <xdr:colOff>930275</xdr:colOff>
      <xdr:row>23</xdr:row>
      <xdr:rowOff>215900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9735E807-296B-4402-B486-D58B65640316}"/>
            </a:ext>
          </a:extLst>
        </xdr:cNvPr>
        <xdr:cNvSpPr/>
      </xdr:nvSpPr>
      <xdr:spPr>
        <a:xfrm>
          <a:off x="17541875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84667</xdr:colOff>
      <xdr:row>23</xdr:row>
      <xdr:rowOff>243417</xdr:rowOff>
    </xdr:from>
    <xdr:to>
      <xdr:col>13</xdr:col>
      <xdr:colOff>882386</xdr:colOff>
      <xdr:row>23</xdr:row>
      <xdr:rowOff>255323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B82C30-3E70-4AE9-ABD9-E0F9892C7BA5}"/>
            </a:ext>
          </a:extLst>
        </xdr:cNvPr>
        <xdr:cNvCxnSpPr/>
      </xdr:nvCxnSpPr>
      <xdr:spPr>
        <a:xfrm>
          <a:off x="16839142" y="607271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74083</xdr:colOff>
      <xdr:row>23</xdr:row>
      <xdr:rowOff>412750</xdr:rowOff>
    </xdr:from>
    <xdr:to>
      <xdr:col>13</xdr:col>
      <xdr:colOff>871802</xdr:colOff>
      <xdr:row>23</xdr:row>
      <xdr:rowOff>424656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18D23EF2-53DB-4486-957C-262F4E93C079}"/>
            </a:ext>
          </a:extLst>
        </xdr:cNvPr>
        <xdr:cNvCxnSpPr/>
      </xdr:nvCxnSpPr>
      <xdr:spPr>
        <a:xfrm>
          <a:off x="16828558" y="62420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134471</xdr:colOff>
      <xdr:row>23</xdr:row>
      <xdr:rowOff>246529</xdr:rowOff>
    </xdr:from>
    <xdr:to>
      <xdr:col>15</xdr:col>
      <xdr:colOff>932190</xdr:colOff>
      <xdr:row>23</xdr:row>
      <xdr:rowOff>258435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F8FB2E8-EB47-4368-BE90-F5E8EA82D527}"/>
            </a:ext>
          </a:extLst>
        </xdr:cNvPr>
        <xdr:cNvCxnSpPr/>
      </xdr:nvCxnSpPr>
      <xdr:spPr>
        <a:xfrm>
          <a:off x="18851096" y="607582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100853</xdr:colOff>
      <xdr:row>23</xdr:row>
      <xdr:rowOff>403412</xdr:rowOff>
    </xdr:from>
    <xdr:to>
      <xdr:col>15</xdr:col>
      <xdr:colOff>898572</xdr:colOff>
      <xdr:row>23</xdr:row>
      <xdr:rowOff>415318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CD27B5B2-2391-44FB-840E-A7C1B0E2B92D}"/>
            </a:ext>
          </a:extLst>
        </xdr:cNvPr>
        <xdr:cNvCxnSpPr/>
      </xdr:nvCxnSpPr>
      <xdr:spPr>
        <a:xfrm>
          <a:off x="18817478" y="6232712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78441</xdr:colOff>
      <xdr:row>23</xdr:row>
      <xdr:rowOff>246529</xdr:rowOff>
    </xdr:from>
    <xdr:to>
      <xdr:col>7</xdr:col>
      <xdr:colOff>876160</xdr:colOff>
      <xdr:row>23</xdr:row>
      <xdr:rowOff>258435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F2472E23-6885-4852-A518-0768D9F83065}"/>
            </a:ext>
          </a:extLst>
        </xdr:cNvPr>
        <xdr:cNvCxnSpPr/>
      </xdr:nvCxnSpPr>
      <xdr:spPr>
        <a:xfrm>
          <a:off x="10946466" y="607582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110005</xdr:colOff>
      <xdr:row>23</xdr:row>
      <xdr:rowOff>357654</xdr:rowOff>
    </xdr:from>
    <xdr:to>
      <xdr:col>7</xdr:col>
      <xdr:colOff>907724</xdr:colOff>
      <xdr:row>23</xdr:row>
      <xdr:rowOff>369560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C4144DCE-44FB-4835-8478-EF3EBAFAF064}"/>
            </a:ext>
          </a:extLst>
        </xdr:cNvPr>
        <xdr:cNvCxnSpPr/>
      </xdr:nvCxnSpPr>
      <xdr:spPr>
        <a:xfrm>
          <a:off x="10978030" y="618695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67236</xdr:colOff>
      <xdr:row>23</xdr:row>
      <xdr:rowOff>403412</xdr:rowOff>
    </xdr:from>
    <xdr:to>
      <xdr:col>5</xdr:col>
      <xdr:colOff>912580</xdr:colOff>
      <xdr:row>23</xdr:row>
      <xdr:rowOff>403412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856D71B3-A181-49D8-A782-0542D5DD88A1}"/>
            </a:ext>
          </a:extLst>
        </xdr:cNvPr>
        <xdr:cNvCxnSpPr/>
      </xdr:nvCxnSpPr>
      <xdr:spPr>
        <a:xfrm>
          <a:off x="8964707" y="6230471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67235</xdr:colOff>
      <xdr:row>23</xdr:row>
      <xdr:rowOff>268941</xdr:rowOff>
    </xdr:from>
    <xdr:to>
      <xdr:col>5</xdr:col>
      <xdr:colOff>912579</xdr:colOff>
      <xdr:row>23</xdr:row>
      <xdr:rowOff>268941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BA9A5AAE-62C3-4D0B-A7CE-49D15FA11737}"/>
            </a:ext>
          </a:extLst>
        </xdr:cNvPr>
        <xdr:cNvCxnSpPr/>
      </xdr:nvCxnSpPr>
      <xdr:spPr>
        <a:xfrm>
          <a:off x="8964706" y="6096000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67236</xdr:colOff>
      <xdr:row>23</xdr:row>
      <xdr:rowOff>425823</xdr:rowOff>
    </xdr:from>
    <xdr:to>
      <xdr:col>11</xdr:col>
      <xdr:colOff>912580</xdr:colOff>
      <xdr:row>23</xdr:row>
      <xdr:rowOff>425823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89DC6D76-C838-45B2-A579-60C01BC89ACA}"/>
            </a:ext>
          </a:extLst>
        </xdr:cNvPr>
        <xdr:cNvCxnSpPr/>
      </xdr:nvCxnSpPr>
      <xdr:spPr>
        <a:xfrm>
          <a:off x="14881412" y="6252882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67236</xdr:colOff>
      <xdr:row>23</xdr:row>
      <xdr:rowOff>291353</xdr:rowOff>
    </xdr:from>
    <xdr:to>
      <xdr:col>11</xdr:col>
      <xdr:colOff>912580</xdr:colOff>
      <xdr:row>23</xdr:row>
      <xdr:rowOff>291353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95F4778E-9AF3-4806-88B1-4AE683DC21B1}"/>
            </a:ext>
          </a:extLst>
        </xdr:cNvPr>
        <xdr:cNvCxnSpPr/>
      </xdr:nvCxnSpPr>
      <xdr:spPr>
        <a:xfrm>
          <a:off x="14881412" y="6118412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C5842-AD77-4EAB-8E09-F86AED672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D7F2F0B-CEC7-43B7-937D-38FCD5C0E383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335A38B-8049-42B3-84D5-58D5A111FE2B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03AF22D-94D0-4E71-856F-44ED9E60E8A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507ADF5-C4D6-434A-A9EC-D91DA12EC66E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1165F1-4478-4D15-ACD3-2F068758D35A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79B1B1F8-E134-4551-87B1-BC83D6B7DA59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5FD19B0-6531-4EE7-A383-DD99659C2AD2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3EEF0B0-B692-4AB1-BED6-A0143F350A28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843474C0-68A8-4813-B7DF-C5ED5DE7BF84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DD3B4557-1AFC-4038-AB79-5F6F1EF02938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C51546C5-3B15-41DF-9ED1-9B8749731E2D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E0A7464-7D65-452D-9A0E-C672AED1B70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4C40B03-18A9-47DF-877E-5A160CFDB9F3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2AD843FE-9F53-405A-BE0E-AA4FF545BBBE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397E3537-6773-4F61-9052-087035699820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8E494FD9-E746-4E1F-9CAB-B8E62B1F2FEB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7A21920D-8BEE-46FC-9DC6-46CAE1FE9A51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94CED2AC-E5ED-4AA7-98C5-2FF1B67276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5AC9A44-B6E0-4FD1-ABB0-3DB6EFAAC4B2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4CC78BC4-8D62-47E3-A2C1-AB99DAA77954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6192E1CA-4799-4B37-9E0B-8A013C6B5F6F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E40A5820-F70D-462F-8EB1-AD5217FB3823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F29A16EC-569F-4F1B-85F0-136792E2314A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CBB90FAA-5455-4E58-84AF-F4504783801B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2C2C663E-B562-4A61-A34C-75199014C838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4CE13971-3AA1-4EE9-82E3-4869D7B9D1C3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928AE288-0EF6-4A9A-8C00-C176B4A6EAD3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EBF3796-0C9E-42E4-929E-2984F4575B9A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3686FCAD-2F1A-469A-B02F-FEB9F6C4BBF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67E5D869-BF3B-4085-9735-C7A3327BE64B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29A51846-F409-4351-BBF2-9C009E7F037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56A8F361-E2AC-4901-BD58-6DDED272AB8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563D5511-06EC-4E00-9AD9-C15DD0C0BA8B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CA4A5BB-8623-4775-BE74-D957CBDC9F5B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8C7CD744-07B6-41C5-B959-4EDA8D995850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302E4721-F931-4DD6-9DE9-287559BF69B7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BB9E3857-035E-48D2-B3A4-B0F246B73DE6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700B62F4-CC3B-4B41-BB05-846BA285E5B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E097F3A4-F2E9-4806-B683-B582E9D0C554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62AD128-9B31-4125-9070-4FCBEE3AF8E7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CA25AB67-90B7-43D2-A659-C4804ED4BADF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3EEDCE56-90C4-4680-9585-3866BF821EB4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CDFB9C13-2E9D-4418-B649-4BFDAA159E8F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F99272B4-448E-4F65-B202-8F83F0EF97D2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993D079-9628-4EB5-B180-B72CE0EBF7BB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A391AF2-678E-4D67-A973-9490311122CA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60EDC346-0A1B-479B-BC93-CAE9F64D4D25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B84E8ABB-1794-4886-B4BE-9FE9B48EC8FC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312113-BDAB-48F9-9205-173440ECCB99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5B949BE-8F21-416B-9617-56622069600F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36C42A8-A892-4995-8E15-DF016A57080F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0CBABA8-ECC3-4CA5-BB8D-C1DE872E5451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D20A681-B5A6-49D6-BB0C-86BF3D4A6F67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C8AAF58B-B1EC-42AA-BA4C-AB70B160BAF1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235D6453-C3D8-4C34-BC97-C144DC6B0908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146050</xdr:colOff>
      <xdr:row>23</xdr:row>
      <xdr:rowOff>336550</xdr:rowOff>
    </xdr:from>
    <xdr:to>
      <xdr:col>7</xdr:col>
      <xdr:colOff>288925</xdr:colOff>
      <xdr:row>23</xdr:row>
      <xdr:rowOff>479425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8D9DF356-FF92-4DD2-9FB3-2A8B7FD4A60F}"/>
            </a:ext>
          </a:extLst>
        </xdr:cNvPr>
        <xdr:cNvSpPr/>
      </xdr:nvSpPr>
      <xdr:spPr>
        <a:xfrm>
          <a:off x="11014075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425450</xdr:colOff>
      <xdr:row>23</xdr:row>
      <xdr:rowOff>187325</xdr:rowOff>
    </xdr:from>
    <xdr:to>
      <xdr:col>7</xdr:col>
      <xdr:colOff>568325</xdr:colOff>
      <xdr:row>23</xdr:row>
      <xdr:rowOff>330200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3A14D6CB-F377-483F-A5C2-7D3A05D8F3AD}"/>
            </a:ext>
          </a:extLst>
        </xdr:cNvPr>
        <xdr:cNvSpPr/>
      </xdr:nvSpPr>
      <xdr:spPr>
        <a:xfrm>
          <a:off x="11293475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752475</xdr:colOff>
      <xdr:row>23</xdr:row>
      <xdr:rowOff>69850</xdr:rowOff>
    </xdr:from>
    <xdr:to>
      <xdr:col>7</xdr:col>
      <xdr:colOff>895350</xdr:colOff>
      <xdr:row>23</xdr:row>
      <xdr:rowOff>212725</xdr:rowOff>
    </xdr:to>
    <xdr:sp macro="" textlink="">
      <xdr:nvSpPr>
        <xdr:cNvPr id="62" name="Oval 61">
          <a:extLst>
            <a:ext uri="{FF2B5EF4-FFF2-40B4-BE49-F238E27FC236}">
              <a16:creationId xmlns:a16="http://schemas.microsoft.com/office/drawing/2014/main" id="{8D342E82-3DA9-416C-8162-F1BE9F6363BA}"/>
            </a:ext>
          </a:extLst>
        </xdr:cNvPr>
        <xdr:cNvSpPr/>
      </xdr:nvSpPr>
      <xdr:spPr>
        <a:xfrm>
          <a:off x="11620500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71437</xdr:colOff>
      <xdr:row>23</xdr:row>
      <xdr:rowOff>273844</xdr:rowOff>
    </xdr:from>
    <xdr:to>
      <xdr:col>7</xdr:col>
      <xdr:colOff>916781</xdr:colOff>
      <xdr:row>23</xdr:row>
      <xdr:rowOff>273844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F84AFC0-A001-4CD8-B8BA-586DEA5B0BCF}"/>
            </a:ext>
          </a:extLst>
        </xdr:cNvPr>
        <xdr:cNvCxnSpPr/>
      </xdr:nvCxnSpPr>
      <xdr:spPr>
        <a:xfrm>
          <a:off x="10939462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83343</xdr:colOff>
      <xdr:row>23</xdr:row>
      <xdr:rowOff>369094</xdr:rowOff>
    </xdr:from>
    <xdr:to>
      <xdr:col>7</xdr:col>
      <xdr:colOff>881062</xdr:colOff>
      <xdr:row>23</xdr:row>
      <xdr:rowOff>381000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6ACCDB59-5068-45F9-9E05-CFEACABB88AE}"/>
            </a:ext>
          </a:extLst>
        </xdr:cNvPr>
        <xdr:cNvCxnSpPr/>
      </xdr:nvCxnSpPr>
      <xdr:spPr>
        <a:xfrm>
          <a:off x="1095136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180975</xdr:colOff>
      <xdr:row>23</xdr:row>
      <xdr:rowOff>339725</xdr:rowOff>
    </xdr:from>
    <xdr:to>
      <xdr:col>13</xdr:col>
      <xdr:colOff>323850</xdr:colOff>
      <xdr:row>23</xdr:row>
      <xdr:rowOff>482600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D3534AC2-5927-4D49-AED9-D601D0F8F480}"/>
            </a:ext>
          </a:extLst>
        </xdr:cNvPr>
        <xdr:cNvSpPr/>
      </xdr:nvSpPr>
      <xdr:spPr>
        <a:xfrm>
          <a:off x="16935450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460375</xdr:colOff>
      <xdr:row>23</xdr:row>
      <xdr:rowOff>190500</xdr:rowOff>
    </xdr:from>
    <xdr:to>
      <xdr:col>13</xdr:col>
      <xdr:colOff>603250</xdr:colOff>
      <xdr:row>23</xdr:row>
      <xdr:rowOff>333375</xdr:rowOff>
    </xdr:to>
    <xdr:sp macro="" textlink="">
      <xdr:nvSpPr>
        <xdr:cNvPr id="66" name="Oval 65">
          <a:extLst>
            <a:ext uri="{FF2B5EF4-FFF2-40B4-BE49-F238E27FC236}">
              <a16:creationId xmlns:a16="http://schemas.microsoft.com/office/drawing/2014/main" id="{0570B592-32D1-41AC-A4C2-8A039E2A1C39}"/>
            </a:ext>
          </a:extLst>
        </xdr:cNvPr>
        <xdr:cNvSpPr/>
      </xdr:nvSpPr>
      <xdr:spPr>
        <a:xfrm>
          <a:off x="17214850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787400</xdr:colOff>
      <xdr:row>23</xdr:row>
      <xdr:rowOff>73025</xdr:rowOff>
    </xdr:from>
    <xdr:to>
      <xdr:col>13</xdr:col>
      <xdr:colOff>930275</xdr:colOff>
      <xdr:row>23</xdr:row>
      <xdr:rowOff>215900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CA304EC8-D01D-407A-8ACD-B599AD0CD3AA}"/>
            </a:ext>
          </a:extLst>
        </xdr:cNvPr>
        <xdr:cNvSpPr/>
      </xdr:nvSpPr>
      <xdr:spPr>
        <a:xfrm>
          <a:off x="17541875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100853</xdr:colOff>
      <xdr:row>23</xdr:row>
      <xdr:rowOff>224118</xdr:rowOff>
    </xdr:from>
    <xdr:to>
      <xdr:col>9</xdr:col>
      <xdr:colOff>898572</xdr:colOff>
      <xdr:row>23</xdr:row>
      <xdr:rowOff>236024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CF9E0C65-8BCD-4E21-8C00-4751E6804140}"/>
            </a:ext>
          </a:extLst>
        </xdr:cNvPr>
        <xdr:cNvCxnSpPr/>
      </xdr:nvCxnSpPr>
      <xdr:spPr>
        <a:xfrm>
          <a:off x="12942794" y="605117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96370</xdr:colOff>
      <xdr:row>23</xdr:row>
      <xdr:rowOff>410135</xdr:rowOff>
    </xdr:from>
    <xdr:to>
      <xdr:col>9</xdr:col>
      <xdr:colOff>894089</xdr:colOff>
      <xdr:row>23</xdr:row>
      <xdr:rowOff>422041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B9505C1-6FE8-48DB-BEDD-46346253FB81}"/>
            </a:ext>
          </a:extLst>
        </xdr:cNvPr>
        <xdr:cNvCxnSpPr/>
      </xdr:nvCxnSpPr>
      <xdr:spPr>
        <a:xfrm>
          <a:off x="12938311" y="62371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100853</xdr:colOff>
      <xdr:row>23</xdr:row>
      <xdr:rowOff>246530</xdr:rowOff>
    </xdr:from>
    <xdr:to>
      <xdr:col>15</xdr:col>
      <xdr:colOff>898572</xdr:colOff>
      <xdr:row>23</xdr:row>
      <xdr:rowOff>258436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56742A05-1E70-4635-8C84-F97020401705}"/>
            </a:ext>
          </a:extLst>
        </xdr:cNvPr>
        <xdr:cNvCxnSpPr/>
      </xdr:nvCxnSpPr>
      <xdr:spPr>
        <a:xfrm>
          <a:off x="18859500" y="607358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107577</xdr:colOff>
      <xdr:row>23</xdr:row>
      <xdr:rowOff>398930</xdr:rowOff>
    </xdr:from>
    <xdr:to>
      <xdr:col>15</xdr:col>
      <xdr:colOff>905296</xdr:colOff>
      <xdr:row>23</xdr:row>
      <xdr:rowOff>410836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9E3E31B9-B51A-4380-819A-D9FAECD4C28B}"/>
            </a:ext>
          </a:extLst>
        </xdr:cNvPr>
        <xdr:cNvCxnSpPr/>
      </xdr:nvCxnSpPr>
      <xdr:spPr>
        <a:xfrm>
          <a:off x="18866224" y="622598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5218E4-4499-48A6-85BB-EE3FF068C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50A339B-AF47-4AB2-A608-4028D8F9B9D4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F656F4EF-CD26-4F02-851B-273A659B0FBB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EEAB558-5FBE-4635-A20D-4592455BB62F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F325FE7-89D1-4D52-92CF-644EB8D986EB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89AD0B0-40E9-41C7-A1FD-31B387C386F1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416BE061-197C-4498-A693-1D45A8B806FC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295252F-1C07-4563-94EA-F7928E8FDB06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54E0FE53-5ACC-4030-AAC3-D548E0270167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E4190421-9410-4A92-967D-F3DD378433CA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51BA16D-DB56-4BD9-B3E4-4D361EDC3122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F14C7D81-81EC-4FDE-9A97-23AF90E17D0C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1A19E829-BC11-47B2-A2A9-0E310222413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B00488EB-EA9E-4F5B-BBD9-6441AD08197D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4483640-E811-4026-9AF6-2154D80A6F38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ACDFD22-E596-49FF-B4C3-443D69EE02A5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231089F-F970-480F-8671-53D4CF53E5E3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A04B0235-CC3B-4800-82A5-04B7B0269A1B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F08232E-037D-4C28-BA5E-C8175CE59819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9873BB4B-DBB1-4F4A-B723-788004F8550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1F51C65-61D0-4B3A-9139-944608D78A7B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543B779B-C4B5-48E6-AF48-A1661CBA5927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93F1B43-59FE-4C9D-8D38-A3731921C021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5BA5D1AD-CAE4-4C82-9D21-73179550BCC7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9BD3DA9-093F-4735-BFAB-F9C4A64C75D0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F37A1A1E-61AB-42AF-99CF-81868E0E56B4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C97D16BA-7B69-45E1-BEB7-AB8062F54458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518796E7-B952-4AE9-AFD5-6296A0098D7F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21CCC6E6-5EBB-407A-9AD4-6DD1B5D7127E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B5986FF1-8A37-4262-A5BC-D4B696F1B24E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6C476B6F-38FA-4C29-A369-7E94E026D020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EFCE4403-A127-4BB1-81C1-E2CC79591ADE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878D6CBA-3762-406A-91A6-C5E12D093533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56DA134-F0FD-4069-83DA-DC05E2754EE6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CB785DBC-36CA-4C10-A09B-D0834E7623D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960C30B-98F1-42E0-80D6-FF8FCBFE9420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7101832-DE64-474F-A2FC-930185DBBF59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E4298E2-AD54-4387-AC44-D983248E010F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853ED0A1-20E5-4479-AA45-D8574DB66E6D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91B959D9-0E84-47CC-9168-4CB6D12ED37C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C0A656B2-31A4-4E41-9195-4F5700C4960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783C7C44-A82D-4DDE-8D10-C806C7C56DC5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9DAB5A43-3D69-4A6A-87BD-E7F2CBEC9CCF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BF318E91-A256-4629-AF29-37D310CA606B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E2040C6-81ED-4B39-8ED7-40094C9FB533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5FBF70C5-1524-43D7-8519-27653C74D430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71437</xdr:colOff>
      <xdr:row>23</xdr:row>
      <xdr:rowOff>273844</xdr:rowOff>
    </xdr:from>
    <xdr:to>
      <xdr:col>6</xdr:col>
      <xdr:colOff>916781</xdr:colOff>
      <xdr:row>23</xdr:row>
      <xdr:rowOff>273844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6AC407A7-1794-4DC5-924B-119C775075B2}"/>
            </a:ext>
          </a:extLst>
        </xdr:cNvPr>
        <xdr:cNvCxnSpPr/>
      </xdr:nvCxnSpPr>
      <xdr:spPr>
        <a:xfrm>
          <a:off x="9958387" y="6103144"/>
          <a:ext cx="84534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83343</xdr:colOff>
      <xdr:row>23</xdr:row>
      <xdr:rowOff>369094</xdr:rowOff>
    </xdr:from>
    <xdr:to>
      <xdr:col>6</xdr:col>
      <xdr:colOff>881062</xdr:colOff>
      <xdr:row>23</xdr:row>
      <xdr:rowOff>381000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A1B8F7F-AEF6-496B-9B0C-5FEA9CD34D57}"/>
            </a:ext>
          </a:extLst>
        </xdr:cNvPr>
        <xdr:cNvCxnSpPr/>
      </xdr:nvCxnSpPr>
      <xdr:spPr>
        <a:xfrm>
          <a:off x="9970293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23</xdr:row>
      <xdr:rowOff>369094</xdr:rowOff>
    </xdr:from>
    <xdr:to>
      <xdr:col>8</xdr:col>
      <xdr:colOff>869157</xdr:colOff>
      <xdr:row>23</xdr:row>
      <xdr:rowOff>381000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273AD507-69C1-48C4-B88A-946CDF8F5477}"/>
            </a:ext>
          </a:extLst>
        </xdr:cNvPr>
        <xdr:cNvCxnSpPr/>
      </xdr:nvCxnSpPr>
      <xdr:spPr>
        <a:xfrm>
          <a:off x="11920538" y="6198394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83343</xdr:colOff>
      <xdr:row>23</xdr:row>
      <xdr:rowOff>226219</xdr:rowOff>
    </xdr:from>
    <xdr:to>
      <xdr:col>8</xdr:col>
      <xdr:colOff>881062</xdr:colOff>
      <xdr:row>23</xdr:row>
      <xdr:rowOff>238125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06201B7-DBF3-4960-8F6A-FC354FE14F7D}"/>
            </a:ext>
          </a:extLst>
        </xdr:cNvPr>
        <xdr:cNvCxnSpPr/>
      </xdr:nvCxnSpPr>
      <xdr:spPr>
        <a:xfrm>
          <a:off x="11932443" y="6055519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71438</xdr:colOff>
      <xdr:row>23</xdr:row>
      <xdr:rowOff>250031</xdr:rowOff>
    </xdr:from>
    <xdr:to>
      <xdr:col>10</xdr:col>
      <xdr:colOff>869157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2EA6D776-053D-4AE5-A2AD-2520AE4B5A63}"/>
            </a:ext>
          </a:extLst>
        </xdr:cNvPr>
        <xdr:cNvCxnSpPr/>
      </xdr:nvCxnSpPr>
      <xdr:spPr>
        <a:xfrm>
          <a:off x="13882688" y="6079331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130968</xdr:colOff>
      <xdr:row>23</xdr:row>
      <xdr:rowOff>369093</xdr:rowOff>
    </xdr:from>
    <xdr:to>
      <xdr:col>10</xdr:col>
      <xdr:colOff>928687</xdr:colOff>
      <xdr:row>23</xdr:row>
      <xdr:rowOff>380999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4AF02E5-B178-45F0-991C-68FC20D06C08}"/>
            </a:ext>
          </a:extLst>
        </xdr:cNvPr>
        <xdr:cNvCxnSpPr/>
      </xdr:nvCxnSpPr>
      <xdr:spPr>
        <a:xfrm>
          <a:off x="13942218" y="6198393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107156</xdr:colOff>
      <xdr:row>23</xdr:row>
      <xdr:rowOff>381000</xdr:rowOff>
    </xdr:from>
    <xdr:to>
      <xdr:col>12</xdr:col>
      <xdr:colOff>904875</xdr:colOff>
      <xdr:row>23</xdr:row>
      <xdr:rowOff>392906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1284ED62-8662-4C29-84C0-30765420C9BB}"/>
            </a:ext>
          </a:extLst>
        </xdr:cNvPr>
        <xdr:cNvCxnSpPr/>
      </xdr:nvCxnSpPr>
      <xdr:spPr>
        <a:xfrm>
          <a:off x="15880556" y="621030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140493</xdr:colOff>
      <xdr:row>23</xdr:row>
      <xdr:rowOff>247650</xdr:rowOff>
    </xdr:from>
    <xdr:to>
      <xdr:col>12</xdr:col>
      <xdr:colOff>938212</xdr:colOff>
      <xdr:row>23</xdr:row>
      <xdr:rowOff>259556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84E19F5-CCFC-4F36-A3E4-C0960A721D58}"/>
            </a:ext>
          </a:extLst>
        </xdr:cNvPr>
        <xdr:cNvCxnSpPr/>
      </xdr:nvCxnSpPr>
      <xdr:spPr>
        <a:xfrm>
          <a:off x="15913893" y="6076950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47625</xdr:colOff>
      <xdr:row>23</xdr:row>
      <xdr:rowOff>392906</xdr:rowOff>
    </xdr:from>
    <xdr:to>
      <xdr:col>16</xdr:col>
      <xdr:colOff>845344</xdr:colOff>
      <xdr:row>23</xdr:row>
      <xdr:rowOff>404812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CD5BFDD-93BE-4706-A2B8-469EFA491353}"/>
            </a:ext>
          </a:extLst>
        </xdr:cNvPr>
        <xdr:cNvCxnSpPr/>
      </xdr:nvCxnSpPr>
      <xdr:spPr>
        <a:xfrm>
          <a:off x="19745325" y="62222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80962</xdr:colOff>
      <xdr:row>23</xdr:row>
      <xdr:rowOff>259556</xdr:rowOff>
    </xdr:from>
    <xdr:to>
      <xdr:col>16</xdr:col>
      <xdr:colOff>878681</xdr:colOff>
      <xdr:row>23</xdr:row>
      <xdr:rowOff>271462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AC6F47B-BE91-4392-B09A-752DD322CD38}"/>
            </a:ext>
          </a:extLst>
        </xdr:cNvPr>
        <xdr:cNvCxnSpPr/>
      </xdr:nvCxnSpPr>
      <xdr:spPr>
        <a:xfrm>
          <a:off x="19778662" y="608885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154781</xdr:colOff>
      <xdr:row>23</xdr:row>
      <xdr:rowOff>238125</xdr:rowOff>
    </xdr:from>
    <xdr:to>
      <xdr:col>15</xdr:col>
      <xdr:colOff>952500</xdr:colOff>
      <xdr:row>23</xdr:row>
      <xdr:rowOff>250031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5C8C52B-A1A5-4B06-8FBE-5B064C8BFA39}"/>
            </a:ext>
          </a:extLst>
        </xdr:cNvPr>
        <xdr:cNvCxnSpPr/>
      </xdr:nvCxnSpPr>
      <xdr:spPr>
        <a:xfrm>
          <a:off x="18823781" y="61079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166688</xdr:colOff>
      <xdr:row>23</xdr:row>
      <xdr:rowOff>392906</xdr:rowOff>
    </xdr:from>
    <xdr:to>
      <xdr:col>15</xdr:col>
      <xdr:colOff>964407</xdr:colOff>
      <xdr:row>23</xdr:row>
      <xdr:rowOff>404812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4E45A11-1A12-49FA-9E17-A2E48182E7FD}"/>
            </a:ext>
          </a:extLst>
        </xdr:cNvPr>
        <xdr:cNvCxnSpPr/>
      </xdr:nvCxnSpPr>
      <xdr:spPr>
        <a:xfrm>
          <a:off x="18835688" y="6262687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95250</xdr:colOff>
      <xdr:row>23</xdr:row>
      <xdr:rowOff>250031</xdr:rowOff>
    </xdr:from>
    <xdr:to>
      <xdr:col>11</xdr:col>
      <xdr:colOff>892969</xdr:colOff>
      <xdr:row>23</xdr:row>
      <xdr:rowOff>261937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D4328F1C-3ECB-486B-BCFA-E6026E027C94}"/>
            </a:ext>
          </a:extLst>
        </xdr:cNvPr>
        <xdr:cNvCxnSpPr/>
      </xdr:nvCxnSpPr>
      <xdr:spPr>
        <a:xfrm>
          <a:off x="14859000" y="6119812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140493</xdr:colOff>
      <xdr:row>23</xdr:row>
      <xdr:rowOff>402431</xdr:rowOff>
    </xdr:from>
    <xdr:to>
      <xdr:col>11</xdr:col>
      <xdr:colOff>938212</xdr:colOff>
      <xdr:row>23</xdr:row>
      <xdr:rowOff>414337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E97A2026-8255-4080-8C8A-14CCD629CB8C}"/>
            </a:ext>
          </a:extLst>
        </xdr:cNvPr>
        <xdr:cNvCxnSpPr/>
      </xdr:nvCxnSpPr>
      <xdr:spPr>
        <a:xfrm>
          <a:off x="14904243" y="6272212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119062</xdr:colOff>
      <xdr:row>23</xdr:row>
      <xdr:rowOff>238125</xdr:rowOff>
    </xdr:from>
    <xdr:to>
      <xdr:col>9</xdr:col>
      <xdr:colOff>916781</xdr:colOff>
      <xdr:row>23</xdr:row>
      <xdr:rowOff>250031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D22552C-C31E-4EB3-8729-297C882822AB}"/>
            </a:ext>
          </a:extLst>
        </xdr:cNvPr>
        <xdr:cNvCxnSpPr/>
      </xdr:nvCxnSpPr>
      <xdr:spPr>
        <a:xfrm>
          <a:off x="12930187" y="6107906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140494</xdr:colOff>
      <xdr:row>23</xdr:row>
      <xdr:rowOff>402431</xdr:rowOff>
    </xdr:from>
    <xdr:to>
      <xdr:col>9</xdr:col>
      <xdr:colOff>938213</xdr:colOff>
      <xdr:row>23</xdr:row>
      <xdr:rowOff>414337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F6F3DE1C-37BB-4E21-A0D9-25897B9EAE78}"/>
            </a:ext>
          </a:extLst>
        </xdr:cNvPr>
        <xdr:cNvCxnSpPr/>
      </xdr:nvCxnSpPr>
      <xdr:spPr>
        <a:xfrm>
          <a:off x="12951619" y="6272212"/>
          <a:ext cx="797719" cy="1190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0F1F30-A705-41D8-A130-864855276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76E1978-8EF6-4CC0-9CD7-F4B1578201A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57AD0C5-9276-4FB2-80CC-674C096F3FFB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2BB26118-EFB9-4B66-B33D-37E8486662D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CBA165A0-4D45-427C-B437-4087D6B87E8E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375B112E-8EB4-404D-A2A7-36FB9CCED9C7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C8A7E0E2-FFCA-4A9D-8000-8A36F73DC04A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A8D1E8E-377C-4E25-8D54-4817C3E20C00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CBAB93B6-9B9F-4349-8CD9-D63C9C2FD2FF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13A8F363-0FB8-4B41-AC72-DF576AB2357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83384178-6819-4C22-87A5-0E71E9F1D66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2B10E8F-44EF-4426-AAC6-69521992BE3E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919BB30F-5F08-4C92-B1FA-DBFC32D1D13D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6CD77250-9325-484F-9E77-4CFAC34F24CC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1DD10396-FBB2-4121-BC3C-C9C4978E2387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0FF9AEC-ED30-4D06-A41B-7DF00D973EE1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625444EE-D782-42A3-98E4-D4AE6D7D0B14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54FC90E9-0D46-4FF3-AFCD-2A61301A95AD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71CC3B0A-F8B1-4BF3-B710-174BCECE2441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A404F48F-7FBD-4F57-9C82-694A53866287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5CE18ECA-6DAD-4B55-9471-9373E280CE0C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B22DC79-9C80-4143-A005-136035327485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BD7303F3-2402-411A-A42D-2CFCC5B008C2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6615B297-F743-405C-97F2-491031252996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4512DCCB-0FF7-4C7C-B021-C336B46EB7CD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D80B44E-B8A4-4D8A-8E0E-8DE543C894AE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A69F1B4-00C8-4782-873C-0AD8902D1564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1545791-03BE-4322-AA77-F6EE0DFA006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A26AA5A5-43CA-4C3B-8464-C9CA2EC906C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21A539FD-0C16-497F-846D-89E43184B2AB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19EACD7B-5FEB-4CBB-B607-D2B39E97C514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05E98A8-67FE-4EB6-9037-3D51ADEAC512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BDC8C6B-333B-4011-8144-C004D8928BFE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E8BD996-A049-4835-A57F-25E6CF9ACE2D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11A36AB0-DBD5-4860-97DF-83F21BED555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6743B1A2-F0BB-4C18-8B1A-0EEBA8072790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5D2F8CB4-48E8-48DC-B320-58DEAF8D8FD6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C30383A7-24DB-44BB-8E9B-2CCC13E9E279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6D08C978-1236-422B-AFE4-3863EE7BB11C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A4CFD91D-0489-45FE-B57A-4742A6886F1F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E7C1CD5-87B5-4117-A25B-339C9C80F2DB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ECEFCCF4-E73C-4416-8EC8-DDA07C9C5172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7068138C-CEE3-46AA-954B-E24FD72DD65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A0B87616-2C77-45D0-A618-173471FE5A11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DD50523E-6B86-4F76-A0C7-AA76C1E478F0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4A2C7C6-91B1-4771-BE3B-AD064CD043A1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7FD3FE3-DAFF-4D2E-91B3-31A8FF8428A8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D0A1AB0-B7A5-4523-9CEB-6FCBFD385677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83343</xdr:colOff>
      <xdr:row>23</xdr:row>
      <xdr:rowOff>273843</xdr:rowOff>
    </xdr:from>
    <xdr:to>
      <xdr:col>10</xdr:col>
      <xdr:colOff>833437</xdr:colOff>
      <xdr:row>23</xdr:row>
      <xdr:rowOff>285749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4ACCA5D1-8C04-4DAA-9EF3-B1955A4F2F05}"/>
            </a:ext>
          </a:extLst>
        </xdr:cNvPr>
        <xdr:cNvCxnSpPr/>
      </xdr:nvCxnSpPr>
      <xdr:spPr>
        <a:xfrm>
          <a:off x="13894593" y="610314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71437</xdr:colOff>
      <xdr:row>23</xdr:row>
      <xdr:rowOff>416719</xdr:rowOff>
    </xdr:from>
    <xdr:to>
      <xdr:col>10</xdr:col>
      <xdr:colOff>821531</xdr:colOff>
      <xdr:row>23</xdr:row>
      <xdr:rowOff>428625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B6511B3-A65A-4D1C-B535-66AC55B7B998}"/>
            </a:ext>
          </a:extLst>
        </xdr:cNvPr>
        <xdr:cNvCxnSpPr/>
      </xdr:nvCxnSpPr>
      <xdr:spPr>
        <a:xfrm>
          <a:off x="13882687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937ED3D-DE9D-4804-BD26-6C8A42F28BD9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65A4AB4-D8CE-42E2-AEE9-1C51C2AC800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B864FC10-0476-4FBC-A4FB-1E770603BD9E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3B5B9244-CCDC-473C-9D79-3A9800DB3BB4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602939E-D585-4AA6-9B67-E3CB224063A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1E2B4B3-17EB-4521-A20D-10A3B4278370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142C6E8-C7B5-4ED3-8835-4DE3E46B9696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C573A438-65A4-4F5B-857B-2C36769FB991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130969</xdr:colOff>
      <xdr:row>23</xdr:row>
      <xdr:rowOff>223837</xdr:rowOff>
    </xdr:from>
    <xdr:to>
      <xdr:col>7</xdr:col>
      <xdr:colOff>881063</xdr:colOff>
      <xdr:row>23</xdr:row>
      <xdr:rowOff>235743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A1C83CB8-2FA7-4403-B38E-DFCE0688B4CD}"/>
            </a:ext>
          </a:extLst>
        </xdr:cNvPr>
        <xdr:cNvCxnSpPr/>
      </xdr:nvCxnSpPr>
      <xdr:spPr>
        <a:xfrm>
          <a:off x="10998994" y="60531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130969</xdr:colOff>
      <xdr:row>23</xdr:row>
      <xdr:rowOff>402431</xdr:rowOff>
    </xdr:from>
    <xdr:to>
      <xdr:col>7</xdr:col>
      <xdr:colOff>881063</xdr:colOff>
      <xdr:row>23</xdr:row>
      <xdr:rowOff>414337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3B2B2849-9ADA-4C5E-9322-307DD708E10C}"/>
            </a:ext>
          </a:extLst>
        </xdr:cNvPr>
        <xdr:cNvCxnSpPr/>
      </xdr:nvCxnSpPr>
      <xdr:spPr>
        <a:xfrm>
          <a:off x="10998994" y="62317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97D81B3F-CA1C-49EF-AF8C-3852EC664762}"/>
            </a:ext>
          </a:extLst>
        </xdr:cNvPr>
        <xdr:cNvCxnSpPr/>
      </xdr:nvCxnSpPr>
      <xdr:spPr>
        <a:xfrm>
          <a:off x="18837275" y="60920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107156</xdr:colOff>
      <xdr:row>23</xdr:row>
      <xdr:rowOff>404813</xdr:rowOff>
    </xdr:from>
    <xdr:to>
      <xdr:col>15</xdr:col>
      <xdr:colOff>857250</xdr:colOff>
      <xdr:row>23</xdr:row>
      <xdr:rowOff>416719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DB7B110-0713-45E6-A7D8-6D1E9037AB2E}"/>
            </a:ext>
          </a:extLst>
        </xdr:cNvPr>
        <xdr:cNvCxnSpPr/>
      </xdr:nvCxnSpPr>
      <xdr:spPr>
        <a:xfrm>
          <a:off x="18823781" y="623411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45CC1-018C-4FF1-855A-3C274778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CFB5CAF4-A6AB-434A-BD14-786279891BB9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B378E702-19C3-46E1-B005-109CD7AB7D41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D42ECFBB-FDFB-446F-A161-759E626DBA08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BD6941E-5CDF-4DFC-83BB-3F9A723F410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FA027A46-6AF9-46F5-AFE4-0FB4C728E8C4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98500579-495E-4027-ACF2-8611B74CFD1F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19F991D-5A31-4A9B-8693-1134AF9A90CA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24D4CC1-3614-4638-9D2F-70B1519ABBF3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A2D0406-8ED0-4A02-84A9-AC5505DB52AE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0762CA9-E1CD-48E8-B0E7-33138251C4CA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C5FC7E1-E181-4150-A249-1D820F9AD50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1407B83-7E7D-40A1-BDF8-567C36785D28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E1625066-B766-4CDA-AED9-7AA8BAF22DA4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E8394A3A-9A53-4768-B776-ACCBBEA24B83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DA1BF585-B22A-47A7-9A96-6E2D79B7FDA3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7C2D3742-BBBB-4210-9CDB-6A3D8C5BE01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F6DA920-C995-4913-9905-A5031A91CAEF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1FE1F484-128D-4EF2-BEFA-D36B0E90E807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C5A86DBD-93CF-4B0D-9A8D-D39F1E2198E5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206D6F6-ECD9-4A94-B12E-D06402713327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4F28E0E3-6F87-4F60-92A9-B4879D1EEAA3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587046B2-1DCF-4A6A-96AD-D06F522927B9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800E6613-FB45-40C8-84CC-531FCDD18F12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64C500F4-DF43-4093-ADE2-062C3594E6BA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601FDF3A-1F94-43D5-AAEE-128F426002E0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E033A594-DF54-44EB-90AB-70D275E1AFE0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0B81111-CE63-4480-AABA-1BD43A846D5B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9E565AB-163F-4336-B585-9922313D7C78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78BA42F7-24EA-4415-BB19-9F242BA93261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5DE160C-2926-4F73-8D10-2A60B6CD6DF5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5FEE08C1-49D6-40BD-ADC4-A824262459FE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844D093E-94E2-4128-A294-EC99D2E7296B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3EE07D3-CE8E-48C7-8215-150E12A8A145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6EE0F22-0232-4A14-8A17-47F6DAA45DC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E610C01-8DC5-4CA5-B77D-BD44C5D91FE7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7396500C-EB81-470F-8050-0BE2CD6C4503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35468675-22F0-47C1-BE1B-5706CB27B6CE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44A9B6A2-613D-44F8-B16A-18C41E53993E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825F0F4C-0F39-4A8D-805E-F77A7D9E3DA7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42DD80B1-08E5-4A61-B94D-5B15F3F3950E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F5E7400F-6CA8-4670-8B1B-D89198F60376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A624C556-9C25-4834-B3AD-764CFC32466B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108E8E1B-0D29-4BF4-8A04-B7FD70F686F2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2C7C6CDA-7628-42D2-A43C-249929855FF8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579BCE2-6955-4A3C-BAFF-32BF40E9E95B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8FD9E3D7-F80A-4E57-8089-ADA566936C9A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97B4F198-B77C-4FF7-A84C-549C08B75F88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83343</xdr:colOff>
      <xdr:row>23</xdr:row>
      <xdr:rowOff>273843</xdr:rowOff>
    </xdr:from>
    <xdr:to>
      <xdr:col>10</xdr:col>
      <xdr:colOff>833437</xdr:colOff>
      <xdr:row>23</xdr:row>
      <xdr:rowOff>285749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ABA378DA-A5C0-4968-8199-3ECB6D469403}"/>
            </a:ext>
          </a:extLst>
        </xdr:cNvPr>
        <xdr:cNvCxnSpPr/>
      </xdr:nvCxnSpPr>
      <xdr:spPr>
        <a:xfrm>
          <a:off x="13894593" y="610314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10</xdr:col>
      <xdr:colOff>71437</xdr:colOff>
      <xdr:row>23</xdr:row>
      <xdr:rowOff>416719</xdr:rowOff>
    </xdr:from>
    <xdr:to>
      <xdr:col>10</xdr:col>
      <xdr:colOff>821531</xdr:colOff>
      <xdr:row>23</xdr:row>
      <xdr:rowOff>428625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20581790-A645-4F92-8B6A-592DB87AC046}"/>
            </a:ext>
          </a:extLst>
        </xdr:cNvPr>
        <xdr:cNvCxnSpPr/>
      </xdr:nvCxnSpPr>
      <xdr:spPr>
        <a:xfrm>
          <a:off x="13882687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1FC97387-A15F-41DA-9EC7-880ED11C32B9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D96ECDF9-7D77-4ABF-A7CF-086D2DC08FC1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8EB83E2-0A28-4220-89A2-48D959F8DF65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3C25408D-959A-41D1-939C-BF3738F557D6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DD11E2EA-44AA-4258-83A4-A235CC1A386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5D59764-A2BD-4CD9-B51A-43AFA094E1D3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A49702B-9BBA-4F40-BB43-85048CFFF220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1C9627A4-6F0B-46BC-815E-F541902D71CB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130969</xdr:colOff>
      <xdr:row>23</xdr:row>
      <xdr:rowOff>223837</xdr:rowOff>
    </xdr:from>
    <xdr:to>
      <xdr:col>7</xdr:col>
      <xdr:colOff>881063</xdr:colOff>
      <xdr:row>23</xdr:row>
      <xdr:rowOff>235743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5EDD2A98-5E96-460E-B52A-00975B0D55F9}"/>
            </a:ext>
          </a:extLst>
        </xdr:cNvPr>
        <xdr:cNvCxnSpPr/>
      </xdr:nvCxnSpPr>
      <xdr:spPr>
        <a:xfrm>
          <a:off x="10998994" y="60531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7</xdr:col>
      <xdr:colOff>130969</xdr:colOff>
      <xdr:row>23</xdr:row>
      <xdr:rowOff>402431</xdr:rowOff>
    </xdr:from>
    <xdr:to>
      <xdr:col>7</xdr:col>
      <xdr:colOff>881063</xdr:colOff>
      <xdr:row>23</xdr:row>
      <xdr:rowOff>414337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B55E244-C6F8-4B5D-B28E-1B6AC34C0E5F}"/>
            </a:ext>
          </a:extLst>
        </xdr:cNvPr>
        <xdr:cNvCxnSpPr/>
      </xdr:nvCxnSpPr>
      <xdr:spPr>
        <a:xfrm>
          <a:off x="10998994" y="62317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2518BC2-B55F-4435-B944-7C972F95C4F6}"/>
            </a:ext>
          </a:extLst>
        </xdr:cNvPr>
        <xdr:cNvCxnSpPr/>
      </xdr:nvCxnSpPr>
      <xdr:spPr>
        <a:xfrm>
          <a:off x="18837275" y="60920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107156</xdr:colOff>
      <xdr:row>23</xdr:row>
      <xdr:rowOff>404813</xdr:rowOff>
    </xdr:from>
    <xdr:to>
      <xdr:col>15</xdr:col>
      <xdr:colOff>857250</xdr:colOff>
      <xdr:row>23</xdr:row>
      <xdr:rowOff>416719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57B566C-4C8F-45D4-8AA2-622C22D4C289}"/>
            </a:ext>
          </a:extLst>
        </xdr:cNvPr>
        <xdr:cNvCxnSpPr/>
      </xdr:nvCxnSpPr>
      <xdr:spPr>
        <a:xfrm>
          <a:off x="18823781" y="623411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BC5674-E57E-4B69-9AE5-88EA1DFC6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B5CD8A8B-6375-4E72-806B-1C7A06B3BCEE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A7DE8EDF-0893-4138-AB9C-7B25090FBA8C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8D97DBD9-736C-4E53-A60B-77E6DACD1319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70788CE7-14EB-4BE8-8A13-AD7612FF3DB8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8280CF6F-4E73-4FE6-A3A5-2519CBE6245E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CCAC8A5-D811-4D8D-B155-8BFB15F65BEE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45E8C93E-84A4-4DE7-932F-EB2C4FDB0047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B58B2DD1-351F-4F82-9664-6097F39ACB89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9B505A6-7FF1-4DA8-AE7C-9214CE123003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2BB63396-D507-436B-9A8D-A10F477CCB71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328350AB-F59D-46F9-B5FB-C0260BB218C3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2AF5173-3BE7-4F20-AD06-EFAC761B29A3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E971068A-0122-45E1-BE4C-9FEC1E9ECE46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3CBC7574-BD5C-4F16-9E1A-B7A3A1443DFA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0771231-5A09-48AE-B1D5-A0E9E97897FD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A7910B34-6056-4A97-BD92-6E8D52A220CF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82993E6A-96C9-4F53-8AB0-D135F0663E45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677BD27A-60FD-42FF-845D-F2C81139D9E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1D874640-C910-4B9F-9E20-557634580A34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85EBDC1C-928A-44A2-887F-2054209FBE78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CFDB911A-E916-4554-8C01-BDE98E80EC9D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9DFD621-8A5B-4DB5-AB1F-F570A31E78E7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346BCD66-7FF1-4FD3-B74A-BE9A6EF5C39F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BAFF181E-E187-4C45-975C-8C346699E08B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DCB1FF3B-C4EF-4509-A665-8E93E3189A43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75254F9E-C3B5-4F20-8079-8529428FFE34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264C7AA3-36F0-4679-9163-9471D04762F9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F79D041D-DEE5-47E1-BE71-C3954B8CB5CD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47F800FE-DA9E-41D0-9482-B17C585C642E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BDE40FD-F49C-4891-99E4-581CDA31629B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BF8CB0B9-F73A-404E-BABF-6E17CA4263BB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289F2B70-3A35-4EC0-A825-46A59F998990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5627424-4742-482A-BB3F-67005D5BAED9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8E082028-4638-4FA9-89B6-E343677777EF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BA5CDAE-60D9-4B73-8F76-D8C3296883C3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CD04B9E0-C9A3-4FEA-9761-CD3E174F7EC9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A79295ED-3DB6-481B-9310-FE784B34F5EA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8ED53D48-8BE6-4551-BBC6-501DACA04AE7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7F3BFC81-6E2D-481E-9F5F-56FDAD393113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12564C23-8C0C-49B2-AA19-60C1CB66DD14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17E5ED0D-3357-4FC0-ADF5-530AF22A32D3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26274E31-766F-4487-B3B2-FF466C201DBB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B79C444B-5FBA-4810-93B5-F17FEF07BD80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EFA0C95D-9CC1-4E12-A5BA-0D7419941C89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10A1BC23-1C45-4EEA-BFD3-FEED4B9B9C3F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6478EAB5-94AD-4812-8909-9461439A4018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CBFD192-96BE-48F5-B865-3BE7BB8E01E3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EAAE33D-9216-4FD6-AF8F-EA0F641EA348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8F4059CA-25F3-47F3-97B3-96226A5E542F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EEC65327-01FF-4CC6-B767-E1F094DB9E15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4C031F4-9A41-4FE3-A62C-A1C2F5ABCB1E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8F32CCED-8D0D-4A9C-90C6-A58DD4F847CA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8E443286-DFB7-488F-8AC7-48E5A28EDD0B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B2B63DD3-9E2F-48F4-B13A-EA6443512F49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D54052F2-04E8-4589-8B40-0B153BB985DA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E658BC7-07ED-437E-A1BC-50BC7249A96A}"/>
            </a:ext>
          </a:extLst>
        </xdr:cNvPr>
        <xdr:cNvCxnSpPr/>
      </xdr:nvCxnSpPr>
      <xdr:spPr>
        <a:xfrm>
          <a:off x="18837275" y="60920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107156</xdr:colOff>
      <xdr:row>23</xdr:row>
      <xdr:rowOff>404813</xdr:rowOff>
    </xdr:from>
    <xdr:to>
      <xdr:col>15</xdr:col>
      <xdr:colOff>857250</xdr:colOff>
      <xdr:row>23</xdr:row>
      <xdr:rowOff>416719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C4BDBC23-C684-4A30-8207-9AD5E81CBD23}"/>
            </a:ext>
          </a:extLst>
        </xdr:cNvPr>
        <xdr:cNvCxnSpPr/>
      </xdr:nvCxnSpPr>
      <xdr:spPr>
        <a:xfrm>
          <a:off x="18823781" y="623411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3B2B7E06-96C9-44B1-80F3-C5DEFE1CDEC0}"/>
            </a:ext>
          </a:extLst>
        </xdr:cNvPr>
        <xdr:cNvCxnSpPr/>
      </xdr:nvCxnSpPr>
      <xdr:spPr>
        <a:xfrm>
          <a:off x="17826131" y="607582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4E583C34-0AE4-4ED2-9CD6-FDD71115A6E4}"/>
            </a:ext>
          </a:extLst>
        </xdr:cNvPr>
        <xdr:cNvCxnSpPr/>
      </xdr:nvCxnSpPr>
      <xdr:spPr>
        <a:xfrm>
          <a:off x="17828558" y="623047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156883</xdr:colOff>
      <xdr:row>23</xdr:row>
      <xdr:rowOff>268941</xdr:rowOff>
    </xdr:from>
    <xdr:to>
      <xdr:col>11</xdr:col>
      <xdr:colOff>906977</xdr:colOff>
      <xdr:row>23</xdr:row>
      <xdr:rowOff>280847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8C005E6-BF4B-4B80-8620-9CBEEC976853}"/>
            </a:ext>
          </a:extLst>
        </xdr:cNvPr>
        <xdr:cNvCxnSpPr/>
      </xdr:nvCxnSpPr>
      <xdr:spPr>
        <a:xfrm>
          <a:off x="14971059" y="60960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123265</xdr:colOff>
      <xdr:row>23</xdr:row>
      <xdr:rowOff>403412</xdr:rowOff>
    </xdr:from>
    <xdr:to>
      <xdr:col>11</xdr:col>
      <xdr:colOff>873359</xdr:colOff>
      <xdr:row>23</xdr:row>
      <xdr:rowOff>415318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9EF725E-2C77-4EAA-8D95-92C457DE4071}"/>
            </a:ext>
          </a:extLst>
        </xdr:cNvPr>
        <xdr:cNvCxnSpPr/>
      </xdr:nvCxnSpPr>
      <xdr:spPr>
        <a:xfrm>
          <a:off x="14937441" y="623047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D35E8-2E04-470F-8C8F-FA8618165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46A72FE8-9A4C-4425-B19D-29AB02A1F5E9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41DA2B2F-8FB1-44B7-BBBE-810318BAC8C2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B2BC0816-AF01-4094-BD16-45072B698D2C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F67F5968-2FA7-4186-8220-ECEDA782AC90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1017D57-BEB5-4A0F-94CD-F5B1EDC03195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5B0631CF-84E1-4B16-9811-283A58ECE1F3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E4A1571B-655F-4253-A659-723CBEDC5B97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D8F856FD-5B13-4018-852D-9E74D7BC1490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7ABEBB2D-A686-4881-8E2B-2EB5A17DB3E2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085F1B8-6FC3-4BB3-AFD8-E1BFDFC2E803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DCBA8F6A-F028-4DDB-ACA6-682B61A5E768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5F791F4E-6A17-4877-8E6E-80383CD7CBD4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9851D243-113E-441A-A965-708EFBDBA629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DB6F77B-0C8B-4F08-8207-A96123EDA788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5404BD8B-7992-448E-BA7A-B4D73F9A13B8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C0CE3B0A-F9EA-4CE4-BF1F-5A3F9B51E2CA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6E7303B0-1FEC-41D5-BBEA-D5624B9370D2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CE4B55EB-B395-4199-9535-7E17CA67E953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ABA18277-234D-42A7-A36A-327FF21206C0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2D1AC4E7-6B7A-420E-AE04-45A1F2A4A116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88F6F268-BB2D-463F-A7EC-FA50B1F7C3D4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DEFDE7A5-9F44-4F71-94D3-F757948D6AB5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67A5345E-E2BF-4E56-A6E4-2B1CA3402760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86B5E93B-D703-4333-8331-67E7F12B4E2A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CF2676B4-024C-4E81-AA4A-067C6952DE99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713B532-2A0D-4709-B938-A003844313D1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37BF9532-BB1E-460A-B7C2-C631E9A89BEC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EBB475D0-AA7D-4D27-AD99-4123122F1932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EF6CE82A-4D16-496E-99A1-8252A4F5AFB0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8566EA0D-D683-4D0B-B65E-DE04C13A0D73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85B77D89-A2A1-4096-A233-B2A651DB64B1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E75454F8-A91C-440F-9A2A-499A107937C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1D712DAC-059F-4FC4-8857-A44BDDB5B409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A9DE4782-7870-4185-A0E2-70E9813BF147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91ED7106-5A73-4B4D-B3C3-308FB005933F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45EA8EC3-BF7D-45EE-BDEB-4B09B06736CC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D7EC400B-14DE-44AD-B367-6E2EC572B703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88142CC4-B3FE-4A65-A855-C31ABD330640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BE1E1BF4-8CD8-4926-812D-EAEFCE400632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7F03D6D-8EA5-46D6-9CE3-0A087409E372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58E1ECF6-17A7-4CBE-A2EC-53F052E3C8D7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95F0CE26-D2A6-4172-A806-F719EFBCAC15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36C0A7F4-1236-40A9-8B03-FF8B2726797A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A94A23F-87D1-48D2-8D6F-FEE1FC761E3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31467B4-AF84-4628-84AE-0C246C3BB952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F3A9092E-8F91-429F-B48F-9D2CA308BAE1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32FCA12B-D82B-482A-9334-8FC54D87BF9F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DA682CCD-C5F2-4F63-AE67-9DB2DE9C700B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86903550-BD9E-4E72-A712-ED499360F9C3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BC571939-D10A-4D35-AF00-F85268C3285E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B289541-DC2D-4E32-A27C-ED8FF279E88B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4AEF7FB1-7175-4163-82BF-B0B12860F1C7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80839CB9-CDC4-42F9-BFB5-8AFED236D03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3A33047E-2F94-499D-96BB-4971D1B53E63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DA4D1FB2-23C5-40D2-B820-5F64EF4DBD82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AF2F428-8B2C-4A0F-9893-0F9899A13497}"/>
            </a:ext>
          </a:extLst>
        </xdr:cNvPr>
        <xdr:cNvCxnSpPr/>
      </xdr:nvCxnSpPr>
      <xdr:spPr>
        <a:xfrm>
          <a:off x="18837275" y="60920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107156</xdr:colOff>
      <xdr:row>23</xdr:row>
      <xdr:rowOff>404813</xdr:rowOff>
    </xdr:from>
    <xdr:to>
      <xdr:col>15</xdr:col>
      <xdr:colOff>857250</xdr:colOff>
      <xdr:row>23</xdr:row>
      <xdr:rowOff>416719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71EFC53F-2234-49C4-BA72-03CC9C745A45}"/>
            </a:ext>
          </a:extLst>
        </xdr:cNvPr>
        <xdr:cNvCxnSpPr/>
      </xdr:nvCxnSpPr>
      <xdr:spPr>
        <a:xfrm>
          <a:off x="18823781" y="623411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96B8A2A-8BB5-4809-9298-99CC300AF4F1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9B25042-7CB7-4B9C-8E16-99A4C5DA24F0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156883</xdr:colOff>
      <xdr:row>23</xdr:row>
      <xdr:rowOff>268941</xdr:rowOff>
    </xdr:from>
    <xdr:to>
      <xdr:col>11</xdr:col>
      <xdr:colOff>906977</xdr:colOff>
      <xdr:row>23</xdr:row>
      <xdr:rowOff>280847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D2A07E91-946B-4A64-9B8E-6CF1657B903D}"/>
            </a:ext>
          </a:extLst>
        </xdr:cNvPr>
        <xdr:cNvCxnSpPr/>
      </xdr:nvCxnSpPr>
      <xdr:spPr>
        <a:xfrm>
          <a:off x="14949208" y="609824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123265</xdr:colOff>
      <xdr:row>23</xdr:row>
      <xdr:rowOff>403412</xdr:rowOff>
    </xdr:from>
    <xdr:to>
      <xdr:col>11</xdr:col>
      <xdr:colOff>873359</xdr:colOff>
      <xdr:row>23</xdr:row>
      <xdr:rowOff>415318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5C49C803-8913-454D-9626-EA207E1218EC}"/>
            </a:ext>
          </a:extLst>
        </xdr:cNvPr>
        <xdr:cNvCxnSpPr/>
      </xdr:nvCxnSpPr>
      <xdr:spPr>
        <a:xfrm>
          <a:off x="14915590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317500</xdr:colOff>
      <xdr:row>1</xdr:row>
      <xdr:rowOff>36194</xdr:rowOff>
    </xdr:from>
    <xdr:to>
      <xdr:col>1</xdr:col>
      <xdr:colOff>1285875</xdr:colOff>
      <xdr:row>4</xdr:row>
      <xdr:rowOff>153034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E93304-A649-49DE-8A63-810069124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4675" y="236219"/>
          <a:ext cx="968375" cy="716915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23</xdr:row>
      <xdr:rowOff>333375</xdr:rowOff>
    </xdr:from>
    <xdr:to>
      <xdr:col>3</xdr:col>
      <xdr:colOff>381000</xdr:colOff>
      <xdr:row>23</xdr:row>
      <xdr:rowOff>476250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E539C59-FA74-4F5D-8906-F2ED3D4792F4}"/>
            </a:ext>
          </a:extLst>
        </xdr:cNvPr>
        <xdr:cNvSpPr/>
      </xdr:nvSpPr>
      <xdr:spPr>
        <a:xfrm>
          <a:off x="6257925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517525</xdr:colOff>
      <xdr:row>23</xdr:row>
      <xdr:rowOff>184150</xdr:rowOff>
    </xdr:from>
    <xdr:to>
      <xdr:col>3</xdr:col>
      <xdr:colOff>660400</xdr:colOff>
      <xdr:row>23</xdr:row>
      <xdr:rowOff>327025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C33EBF27-F08D-4FFD-BD8B-75108D802CC8}"/>
            </a:ext>
          </a:extLst>
        </xdr:cNvPr>
        <xdr:cNvSpPr/>
      </xdr:nvSpPr>
      <xdr:spPr>
        <a:xfrm>
          <a:off x="6537325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844550</xdr:colOff>
      <xdr:row>23</xdr:row>
      <xdr:rowOff>66675</xdr:rowOff>
    </xdr:from>
    <xdr:to>
      <xdr:col>3</xdr:col>
      <xdr:colOff>987425</xdr:colOff>
      <xdr:row>23</xdr:row>
      <xdr:rowOff>209550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EA63DBC4-115C-4D02-BF50-EC32B25E08EB}"/>
            </a:ext>
          </a:extLst>
        </xdr:cNvPr>
        <xdr:cNvSpPr/>
      </xdr:nvSpPr>
      <xdr:spPr>
        <a:xfrm>
          <a:off x="6864350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104775</xdr:colOff>
      <xdr:row>23</xdr:row>
      <xdr:rowOff>311150</xdr:rowOff>
    </xdr:from>
    <xdr:to>
      <xdr:col>5</xdr:col>
      <xdr:colOff>247650</xdr:colOff>
      <xdr:row>23</xdr:row>
      <xdr:rowOff>454025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5DF1084E-EB59-477E-B885-14E57E85751C}"/>
            </a:ext>
          </a:extLst>
        </xdr:cNvPr>
        <xdr:cNvSpPr/>
      </xdr:nvSpPr>
      <xdr:spPr>
        <a:xfrm>
          <a:off x="9010650" y="6140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384175</xdr:colOff>
      <xdr:row>23</xdr:row>
      <xdr:rowOff>161925</xdr:rowOff>
    </xdr:from>
    <xdr:to>
      <xdr:col>5</xdr:col>
      <xdr:colOff>527050</xdr:colOff>
      <xdr:row>23</xdr:row>
      <xdr:rowOff>304800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0E06DB2-0FEC-418D-8B85-05D01366127D}"/>
            </a:ext>
          </a:extLst>
        </xdr:cNvPr>
        <xdr:cNvSpPr/>
      </xdr:nvSpPr>
      <xdr:spPr>
        <a:xfrm>
          <a:off x="9290050" y="5991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711200</xdr:colOff>
      <xdr:row>23</xdr:row>
      <xdr:rowOff>44450</xdr:rowOff>
    </xdr:from>
    <xdr:to>
      <xdr:col>5</xdr:col>
      <xdr:colOff>854075</xdr:colOff>
      <xdr:row>23</xdr:row>
      <xdr:rowOff>187325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FFECC9A6-5163-458B-8593-619F7A079040}"/>
            </a:ext>
          </a:extLst>
        </xdr:cNvPr>
        <xdr:cNvSpPr/>
      </xdr:nvSpPr>
      <xdr:spPr>
        <a:xfrm>
          <a:off x="9617075" y="5873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146050</xdr:colOff>
      <xdr:row>23</xdr:row>
      <xdr:rowOff>336550</xdr:rowOff>
    </xdr:from>
    <xdr:to>
      <xdr:col>6</xdr:col>
      <xdr:colOff>288925</xdr:colOff>
      <xdr:row>23</xdr:row>
      <xdr:rowOff>479425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2C0F7E7-180D-477E-B9F4-E3078BF9C793}"/>
            </a:ext>
          </a:extLst>
        </xdr:cNvPr>
        <xdr:cNvSpPr/>
      </xdr:nvSpPr>
      <xdr:spPr>
        <a:xfrm>
          <a:off x="10033000" y="61658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425450</xdr:colOff>
      <xdr:row>23</xdr:row>
      <xdr:rowOff>187325</xdr:rowOff>
    </xdr:from>
    <xdr:to>
      <xdr:col>6</xdr:col>
      <xdr:colOff>568325</xdr:colOff>
      <xdr:row>23</xdr:row>
      <xdr:rowOff>330200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1666DE8C-0521-46DE-A206-7527C16F34A5}"/>
            </a:ext>
          </a:extLst>
        </xdr:cNvPr>
        <xdr:cNvSpPr/>
      </xdr:nvSpPr>
      <xdr:spPr>
        <a:xfrm>
          <a:off x="10312400" y="6016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752475</xdr:colOff>
      <xdr:row>23</xdr:row>
      <xdr:rowOff>69850</xdr:rowOff>
    </xdr:from>
    <xdr:to>
      <xdr:col>6</xdr:col>
      <xdr:colOff>895350</xdr:colOff>
      <xdr:row>23</xdr:row>
      <xdr:rowOff>212725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62FB1986-BE01-4468-B085-FAC16E4B5F26}"/>
            </a:ext>
          </a:extLst>
        </xdr:cNvPr>
        <xdr:cNvSpPr/>
      </xdr:nvSpPr>
      <xdr:spPr>
        <a:xfrm>
          <a:off x="10639425" y="5899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139700</xdr:colOff>
      <xdr:row>23</xdr:row>
      <xdr:rowOff>330200</xdr:rowOff>
    </xdr:from>
    <xdr:to>
      <xdr:col>7</xdr:col>
      <xdr:colOff>282575</xdr:colOff>
      <xdr:row>23</xdr:row>
      <xdr:rowOff>473075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1F65FEBD-E27F-4558-B7EF-44403E7C2A17}"/>
            </a:ext>
          </a:extLst>
        </xdr:cNvPr>
        <xdr:cNvSpPr/>
      </xdr:nvSpPr>
      <xdr:spPr>
        <a:xfrm>
          <a:off x="1100772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419100</xdr:colOff>
      <xdr:row>23</xdr:row>
      <xdr:rowOff>180975</xdr:rowOff>
    </xdr:from>
    <xdr:to>
      <xdr:col>7</xdr:col>
      <xdr:colOff>561975</xdr:colOff>
      <xdr:row>23</xdr:row>
      <xdr:rowOff>323850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5AB6DE3A-90EF-4AB9-A19D-63DD9342B30B}"/>
            </a:ext>
          </a:extLst>
        </xdr:cNvPr>
        <xdr:cNvSpPr/>
      </xdr:nvSpPr>
      <xdr:spPr>
        <a:xfrm>
          <a:off x="1128712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746125</xdr:colOff>
      <xdr:row>23</xdr:row>
      <xdr:rowOff>63500</xdr:rowOff>
    </xdr:from>
    <xdr:to>
      <xdr:col>7</xdr:col>
      <xdr:colOff>889000</xdr:colOff>
      <xdr:row>23</xdr:row>
      <xdr:rowOff>206375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358C7AA4-8048-4438-80DB-1EDE7FB8D59E}"/>
            </a:ext>
          </a:extLst>
        </xdr:cNvPr>
        <xdr:cNvSpPr/>
      </xdr:nvSpPr>
      <xdr:spPr>
        <a:xfrm>
          <a:off x="1161415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101600</xdr:colOff>
      <xdr:row>23</xdr:row>
      <xdr:rowOff>323850</xdr:rowOff>
    </xdr:from>
    <xdr:to>
      <xdr:col>8</xdr:col>
      <xdr:colOff>244475</xdr:colOff>
      <xdr:row>23</xdr:row>
      <xdr:rowOff>466725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211DC7DB-117D-4CF4-847C-11ED9E8296A1}"/>
            </a:ext>
          </a:extLst>
        </xdr:cNvPr>
        <xdr:cNvSpPr/>
      </xdr:nvSpPr>
      <xdr:spPr>
        <a:xfrm>
          <a:off x="11950700" y="6153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381000</xdr:colOff>
      <xdr:row>23</xdr:row>
      <xdr:rowOff>174625</xdr:rowOff>
    </xdr:from>
    <xdr:to>
      <xdr:col>8</xdr:col>
      <xdr:colOff>523875</xdr:colOff>
      <xdr:row>23</xdr:row>
      <xdr:rowOff>317500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590413-2CA5-4C6E-9BFB-7CB4B370AC45}"/>
            </a:ext>
          </a:extLst>
        </xdr:cNvPr>
        <xdr:cNvSpPr/>
      </xdr:nvSpPr>
      <xdr:spPr>
        <a:xfrm>
          <a:off x="12230100" y="6003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708025</xdr:colOff>
      <xdr:row>23</xdr:row>
      <xdr:rowOff>57150</xdr:rowOff>
    </xdr:from>
    <xdr:to>
      <xdr:col>8</xdr:col>
      <xdr:colOff>850900</xdr:colOff>
      <xdr:row>23</xdr:row>
      <xdr:rowOff>200025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7A1D59B-972F-432E-8337-E1492ECA4399}"/>
            </a:ext>
          </a:extLst>
        </xdr:cNvPr>
        <xdr:cNvSpPr/>
      </xdr:nvSpPr>
      <xdr:spPr>
        <a:xfrm>
          <a:off x="12557125" y="5886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130175</xdr:colOff>
      <xdr:row>23</xdr:row>
      <xdr:rowOff>320675</xdr:rowOff>
    </xdr:from>
    <xdr:to>
      <xdr:col>9</xdr:col>
      <xdr:colOff>273050</xdr:colOff>
      <xdr:row>23</xdr:row>
      <xdr:rowOff>463550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972E92DC-3912-4F16-9F27-4D511AB6A7B8}"/>
            </a:ext>
          </a:extLst>
        </xdr:cNvPr>
        <xdr:cNvSpPr/>
      </xdr:nvSpPr>
      <xdr:spPr>
        <a:xfrm>
          <a:off x="12960350" y="6149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409575</xdr:colOff>
      <xdr:row>23</xdr:row>
      <xdr:rowOff>171450</xdr:rowOff>
    </xdr:from>
    <xdr:to>
      <xdr:col>9</xdr:col>
      <xdr:colOff>552450</xdr:colOff>
      <xdr:row>23</xdr:row>
      <xdr:rowOff>314325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187B1AE-4990-43B7-92CE-5866EDE6B948}"/>
            </a:ext>
          </a:extLst>
        </xdr:cNvPr>
        <xdr:cNvSpPr/>
      </xdr:nvSpPr>
      <xdr:spPr>
        <a:xfrm>
          <a:off x="13239750" y="60007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736600</xdr:colOff>
      <xdr:row>23</xdr:row>
      <xdr:rowOff>53975</xdr:rowOff>
    </xdr:from>
    <xdr:to>
      <xdr:col>9</xdr:col>
      <xdr:colOff>879475</xdr:colOff>
      <xdr:row>23</xdr:row>
      <xdr:rowOff>196850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7FF360E3-DD08-41E4-BBB9-8E42E419FD48}"/>
            </a:ext>
          </a:extLst>
        </xdr:cNvPr>
        <xdr:cNvSpPr/>
      </xdr:nvSpPr>
      <xdr:spPr>
        <a:xfrm>
          <a:off x="13566775" y="5883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23</xdr:row>
      <xdr:rowOff>346075</xdr:rowOff>
    </xdr:from>
    <xdr:to>
      <xdr:col>10</xdr:col>
      <xdr:colOff>314325</xdr:colOff>
      <xdr:row>23</xdr:row>
      <xdr:rowOff>488950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B7C346AB-1F8C-4170-82AC-BE235354EC1A}"/>
            </a:ext>
          </a:extLst>
        </xdr:cNvPr>
        <xdr:cNvSpPr/>
      </xdr:nvSpPr>
      <xdr:spPr>
        <a:xfrm>
          <a:off x="13982700" y="6175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450850</xdr:colOff>
      <xdr:row>23</xdr:row>
      <xdr:rowOff>196850</xdr:rowOff>
    </xdr:from>
    <xdr:to>
      <xdr:col>10</xdr:col>
      <xdr:colOff>593725</xdr:colOff>
      <xdr:row>23</xdr:row>
      <xdr:rowOff>339725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1232D7CC-CDED-4042-8EDD-963B6D9B9C80}"/>
            </a:ext>
          </a:extLst>
        </xdr:cNvPr>
        <xdr:cNvSpPr/>
      </xdr:nvSpPr>
      <xdr:spPr>
        <a:xfrm>
          <a:off x="14262100" y="60261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777875</xdr:colOff>
      <xdr:row>23</xdr:row>
      <xdr:rowOff>79375</xdr:rowOff>
    </xdr:from>
    <xdr:to>
      <xdr:col>10</xdr:col>
      <xdr:colOff>920750</xdr:colOff>
      <xdr:row>23</xdr:row>
      <xdr:rowOff>222250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E1D2BC02-FE41-490C-BB1B-7A20699C7A19}"/>
            </a:ext>
          </a:extLst>
        </xdr:cNvPr>
        <xdr:cNvSpPr/>
      </xdr:nvSpPr>
      <xdr:spPr>
        <a:xfrm>
          <a:off x="14589125" y="5908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165100</xdr:colOff>
      <xdr:row>23</xdr:row>
      <xdr:rowOff>339725</xdr:rowOff>
    </xdr:from>
    <xdr:to>
      <xdr:col>11</xdr:col>
      <xdr:colOff>307975</xdr:colOff>
      <xdr:row>23</xdr:row>
      <xdr:rowOff>482600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2DCCE45B-340F-4936-A546-8151D1A0F74B}"/>
            </a:ext>
          </a:extLst>
        </xdr:cNvPr>
        <xdr:cNvSpPr/>
      </xdr:nvSpPr>
      <xdr:spPr>
        <a:xfrm>
          <a:off x="149574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444500</xdr:colOff>
      <xdr:row>23</xdr:row>
      <xdr:rowOff>190500</xdr:rowOff>
    </xdr:from>
    <xdr:to>
      <xdr:col>11</xdr:col>
      <xdr:colOff>587375</xdr:colOff>
      <xdr:row>23</xdr:row>
      <xdr:rowOff>333375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930BC0E3-5D01-47BA-A035-2C6479BA92FF}"/>
            </a:ext>
          </a:extLst>
        </xdr:cNvPr>
        <xdr:cNvSpPr/>
      </xdr:nvSpPr>
      <xdr:spPr>
        <a:xfrm>
          <a:off x="152368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771525</xdr:colOff>
      <xdr:row>23</xdr:row>
      <xdr:rowOff>73025</xdr:rowOff>
    </xdr:from>
    <xdr:to>
      <xdr:col>11</xdr:col>
      <xdr:colOff>914400</xdr:colOff>
      <xdr:row>23</xdr:row>
      <xdr:rowOff>215900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FEFA3BA8-21AF-4ED7-8234-81C79A53B920}"/>
            </a:ext>
          </a:extLst>
        </xdr:cNvPr>
        <xdr:cNvSpPr/>
      </xdr:nvSpPr>
      <xdr:spPr>
        <a:xfrm>
          <a:off x="155638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127000</xdr:colOff>
      <xdr:row>23</xdr:row>
      <xdr:rowOff>333375</xdr:rowOff>
    </xdr:from>
    <xdr:to>
      <xdr:col>12</xdr:col>
      <xdr:colOff>269875</xdr:colOff>
      <xdr:row>23</xdr:row>
      <xdr:rowOff>476250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E929D248-F369-4B87-8DD4-35E2AA86F944}"/>
            </a:ext>
          </a:extLst>
        </xdr:cNvPr>
        <xdr:cNvSpPr/>
      </xdr:nvSpPr>
      <xdr:spPr>
        <a:xfrm>
          <a:off x="1590040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406400</xdr:colOff>
      <xdr:row>23</xdr:row>
      <xdr:rowOff>184150</xdr:rowOff>
    </xdr:from>
    <xdr:to>
      <xdr:col>12</xdr:col>
      <xdr:colOff>549275</xdr:colOff>
      <xdr:row>23</xdr:row>
      <xdr:rowOff>327025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604E1C4-5BB4-4B10-9AA6-89ECAC59A550}"/>
            </a:ext>
          </a:extLst>
        </xdr:cNvPr>
        <xdr:cNvSpPr/>
      </xdr:nvSpPr>
      <xdr:spPr>
        <a:xfrm>
          <a:off x="1617980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733425</xdr:colOff>
      <xdr:row>23</xdr:row>
      <xdr:rowOff>66675</xdr:rowOff>
    </xdr:from>
    <xdr:to>
      <xdr:col>12</xdr:col>
      <xdr:colOff>876300</xdr:colOff>
      <xdr:row>23</xdr:row>
      <xdr:rowOff>209550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E8B689B9-8EF7-49B4-9F71-AFD4A56C0015}"/>
            </a:ext>
          </a:extLst>
        </xdr:cNvPr>
        <xdr:cNvSpPr/>
      </xdr:nvSpPr>
      <xdr:spPr>
        <a:xfrm>
          <a:off x="1650682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139700</xdr:colOff>
      <xdr:row>23</xdr:row>
      <xdr:rowOff>314325</xdr:rowOff>
    </xdr:from>
    <xdr:to>
      <xdr:col>13</xdr:col>
      <xdr:colOff>282575</xdr:colOff>
      <xdr:row>23</xdr:row>
      <xdr:rowOff>457200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5CEC163C-5270-4FC2-ADC9-A13BEDD461C8}"/>
            </a:ext>
          </a:extLst>
        </xdr:cNvPr>
        <xdr:cNvSpPr/>
      </xdr:nvSpPr>
      <xdr:spPr>
        <a:xfrm>
          <a:off x="16894175" y="6143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419100</xdr:colOff>
      <xdr:row>23</xdr:row>
      <xdr:rowOff>165100</xdr:rowOff>
    </xdr:from>
    <xdr:to>
      <xdr:col>13</xdr:col>
      <xdr:colOff>561975</xdr:colOff>
      <xdr:row>23</xdr:row>
      <xdr:rowOff>307975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C4989DB4-0985-4114-82F3-FB98C2096FBC}"/>
            </a:ext>
          </a:extLst>
        </xdr:cNvPr>
        <xdr:cNvSpPr/>
      </xdr:nvSpPr>
      <xdr:spPr>
        <a:xfrm>
          <a:off x="17173575" y="59944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746125</xdr:colOff>
      <xdr:row>23</xdr:row>
      <xdr:rowOff>47625</xdr:rowOff>
    </xdr:from>
    <xdr:to>
      <xdr:col>13</xdr:col>
      <xdr:colOff>889000</xdr:colOff>
      <xdr:row>23</xdr:row>
      <xdr:rowOff>190500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42857AC1-4E97-4588-A333-901A7C6EBEEB}"/>
            </a:ext>
          </a:extLst>
        </xdr:cNvPr>
        <xdr:cNvSpPr/>
      </xdr:nvSpPr>
      <xdr:spPr>
        <a:xfrm>
          <a:off x="17500600" y="58769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180975</xdr:colOff>
      <xdr:row>23</xdr:row>
      <xdr:rowOff>339725</xdr:rowOff>
    </xdr:from>
    <xdr:to>
      <xdr:col>14</xdr:col>
      <xdr:colOff>323850</xdr:colOff>
      <xdr:row>23</xdr:row>
      <xdr:rowOff>482600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A727F333-FAC9-45AC-BB3E-79378CC1301E}"/>
            </a:ext>
          </a:extLst>
        </xdr:cNvPr>
        <xdr:cNvSpPr/>
      </xdr:nvSpPr>
      <xdr:spPr>
        <a:xfrm>
          <a:off x="17916525" y="61690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460375</xdr:colOff>
      <xdr:row>23</xdr:row>
      <xdr:rowOff>190500</xdr:rowOff>
    </xdr:from>
    <xdr:to>
      <xdr:col>14</xdr:col>
      <xdr:colOff>603250</xdr:colOff>
      <xdr:row>23</xdr:row>
      <xdr:rowOff>333375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6E3748C4-2E7F-47D6-BC77-AEE5F96EB506}"/>
            </a:ext>
          </a:extLst>
        </xdr:cNvPr>
        <xdr:cNvSpPr/>
      </xdr:nvSpPr>
      <xdr:spPr>
        <a:xfrm>
          <a:off x="18195925" y="6019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787400</xdr:colOff>
      <xdr:row>23</xdr:row>
      <xdr:rowOff>73025</xdr:rowOff>
    </xdr:from>
    <xdr:to>
      <xdr:col>14</xdr:col>
      <xdr:colOff>930275</xdr:colOff>
      <xdr:row>23</xdr:row>
      <xdr:rowOff>215900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EC29F843-ECB9-4552-9FC0-D08F213F7AC3}"/>
            </a:ext>
          </a:extLst>
        </xdr:cNvPr>
        <xdr:cNvSpPr/>
      </xdr:nvSpPr>
      <xdr:spPr>
        <a:xfrm>
          <a:off x="18522950" y="5902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174625</xdr:colOff>
      <xdr:row>23</xdr:row>
      <xdr:rowOff>333375</xdr:rowOff>
    </xdr:from>
    <xdr:to>
      <xdr:col>15</xdr:col>
      <xdr:colOff>317500</xdr:colOff>
      <xdr:row>23</xdr:row>
      <xdr:rowOff>476250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523BD6F2-CB2B-4480-A329-214FB6BF3744}"/>
            </a:ext>
          </a:extLst>
        </xdr:cNvPr>
        <xdr:cNvSpPr/>
      </xdr:nvSpPr>
      <xdr:spPr>
        <a:xfrm>
          <a:off x="18891250" y="61626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454025</xdr:colOff>
      <xdr:row>23</xdr:row>
      <xdr:rowOff>184150</xdr:rowOff>
    </xdr:from>
    <xdr:to>
      <xdr:col>15</xdr:col>
      <xdr:colOff>596900</xdr:colOff>
      <xdr:row>23</xdr:row>
      <xdr:rowOff>327025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64CF37E-7620-4951-8935-C36D8E0C41BF}"/>
            </a:ext>
          </a:extLst>
        </xdr:cNvPr>
        <xdr:cNvSpPr/>
      </xdr:nvSpPr>
      <xdr:spPr>
        <a:xfrm>
          <a:off x="19170650" y="601345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781050</xdr:colOff>
      <xdr:row>23</xdr:row>
      <xdr:rowOff>66675</xdr:rowOff>
    </xdr:from>
    <xdr:to>
      <xdr:col>15</xdr:col>
      <xdr:colOff>923925</xdr:colOff>
      <xdr:row>23</xdr:row>
      <xdr:rowOff>209550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8C492FF7-3EFF-4A4B-A3C6-88F936FF068C}"/>
            </a:ext>
          </a:extLst>
        </xdr:cNvPr>
        <xdr:cNvSpPr/>
      </xdr:nvSpPr>
      <xdr:spPr>
        <a:xfrm>
          <a:off x="19497675" y="5895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136525</xdr:colOff>
      <xdr:row>23</xdr:row>
      <xdr:rowOff>327025</xdr:rowOff>
    </xdr:from>
    <xdr:to>
      <xdr:col>16</xdr:col>
      <xdr:colOff>279400</xdr:colOff>
      <xdr:row>23</xdr:row>
      <xdr:rowOff>469900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8901F9DC-B467-4043-96F7-6B49D9E189C5}"/>
            </a:ext>
          </a:extLst>
        </xdr:cNvPr>
        <xdr:cNvSpPr/>
      </xdr:nvSpPr>
      <xdr:spPr>
        <a:xfrm>
          <a:off x="19834225" y="61563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415925</xdr:colOff>
      <xdr:row>23</xdr:row>
      <xdr:rowOff>177800</xdr:rowOff>
    </xdr:from>
    <xdr:to>
      <xdr:col>16</xdr:col>
      <xdr:colOff>558800</xdr:colOff>
      <xdr:row>23</xdr:row>
      <xdr:rowOff>320675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9576326A-8B8E-48DF-8961-FFF0F4D859F4}"/>
            </a:ext>
          </a:extLst>
        </xdr:cNvPr>
        <xdr:cNvSpPr/>
      </xdr:nvSpPr>
      <xdr:spPr>
        <a:xfrm>
          <a:off x="20113625" y="60071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742950</xdr:colOff>
      <xdr:row>23</xdr:row>
      <xdr:rowOff>60325</xdr:rowOff>
    </xdr:from>
    <xdr:to>
      <xdr:col>16</xdr:col>
      <xdr:colOff>885825</xdr:colOff>
      <xdr:row>23</xdr:row>
      <xdr:rowOff>203200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4F7D4D2A-F295-4266-90F5-F617FBBD15D1}"/>
            </a:ext>
          </a:extLst>
        </xdr:cNvPr>
        <xdr:cNvSpPr/>
      </xdr:nvSpPr>
      <xdr:spPr>
        <a:xfrm>
          <a:off x="20440650" y="58896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396875</xdr:colOff>
      <xdr:row>23</xdr:row>
      <xdr:rowOff>330200</xdr:rowOff>
    </xdr:from>
    <xdr:to>
      <xdr:col>4</xdr:col>
      <xdr:colOff>539750</xdr:colOff>
      <xdr:row>23</xdr:row>
      <xdr:rowOff>473075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60C8C690-2EC6-43B9-B01C-E6B1CC14EDE6}"/>
            </a:ext>
          </a:extLst>
        </xdr:cNvPr>
        <xdr:cNvSpPr/>
      </xdr:nvSpPr>
      <xdr:spPr>
        <a:xfrm>
          <a:off x="7788275" y="61595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676275</xdr:colOff>
      <xdr:row>23</xdr:row>
      <xdr:rowOff>180975</xdr:rowOff>
    </xdr:from>
    <xdr:to>
      <xdr:col>4</xdr:col>
      <xdr:colOff>819150</xdr:colOff>
      <xdr:row>23</xdr:row>
      <xdr:rowOff>323850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92CA5D7D-51E3-4865-84B8-58EB7AE08D59}"/>
            </a:ext>
          </a:extLst>
        </xdr:cNvPr>
        <xdr:cNvSpPr/>
      </xdr:nvSpPr>
      <xdr:spPr>
        <a:xfrm>
          <a:off x="8067675" y="60102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23</xdr:row>
      <xdr:rowOff>63500</xdr:rowOff>
    </xdr:from>
    <xdr:to>
      <xdr:col>4</xdr:col>
      <xdr:colOff>1146175</xdr:colOff>
      <xdr:row>23</xdr:row>
      <xdr:rowOff>206375</xdr:rowOff>
    </xdr:to>
    <xdr:sp macro="" textlink="">
      <xdr:nvSpPr>
        <xdr:cNvPr id="44" name="Oval 43">
          <a:extLst>
            <a:ext uri="{FF2B5EF4-FFF2-40B4-BE49-F238E27FC236}">
              <a16:creationId xmlns:a16="http://schemas.microsoft.com/office/drawing/2014/main" id="{75EBC93F-8A93-4CC6-BC58-F26380360238}"/>
            </a:ext>
          </a:extLst>
        </xdr:cNvPr>
        <xdr:cNvSpPr/>
      </xdr:nvSpPr>
      <xdr:spPr>
        <a:xfrm>
          <a:off x="8394700" y="5892800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679450</xdr:colOff>
      <xdr:row>38</xdr:row>
      <xdr:rowOff>57150</xdr:rowOff>
    </xdr:from>
    <xdr:to>
      <xdr:col>4</xdr:col>
      <xdr:colOff>822325</xdr:colOff>
      <xdr:row>38</xdr:row>
      <xdr:rowOff>200025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6657B125-5E5F-48CE-8012-6F4BC3E300F6}"/>
            </a:ext>
          </a:extLst>
        </xdr:cNvPr>
        <xdr:cNvSpPr/>
      </xdr:nvSpPr>
      <xdr:spPr>
        <a:xfrm>
          <a:off x="8070850" y="98583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111125</xdr:colOff>
      <xdr:row>23</xdr:row>
      <xdr:rowOff>254000</xdr:rowOff>
    </xdr:from>
    <xdr:to>
      <xdr:col>4</xdr:col>
      <xdr:colOff>1444625</xdr:colOff>
      <xdr:row>23</xdr:row>
      <xdr:rowOff>254000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666A8F65-4893-4B39-A3B4-80C133D6E0EA}"/>
            </a:ext>
          </a:extLst>
        </xdr:cNvPr>
        <xdr:cNvCxnSpPr/>
      </xdr:nvCxnSpPr>
      <xdr:spPr>
        <a:xfrm>
          <a:off x="7502525" y="60833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23</xdr:row>
      <xdr:rowOff>406400</xdr:rowOff>
    </xdr:from>
    <xdr:to>
      <xdr:col>4</xdr:col>
      <xdr:colOff>1438275</xdr:colOff>
      <xdr:row>23</xdr:row>
      <xdr:rowOff>406400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CA4AD66F-CD48-4355-A62B-5BB8B4A29D15}"/>
            </a:ext>
          </a:extLst>
        </xdr:cNvPr>
        <xdr:cNvCxnSpPr/>
      </xdr:nvCxnSpPr>
      <xdr:spPr>
        <a:xfrm>
          <a:off x="7496175" y="6235700"/>
          <a:ext cx="13335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107155</xdr:colOff>
      <xdr:row>23</xdr:row>
      <xdr:rowOff>238125</xdr:rowOff>
    </xdr:from>
    <xdr:to>
      <xdr:col>6</xdr:col>
      <xdr:colOff>857249</xdr:colOff>
      <xdr:row>23</xdr:row>
      <xdr:rowOff>250031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2BE743D-29B4-4FE4-970E-D7FAF4E01B53}"/>
            </a:ext>
          </a:extLst>
        </xdr:cNvPr>
        <xdr:cNvCxnSpPr/>
      </xdr:nvCxnSpPr>
      <xdr:spPr>
        <a:xfrm>
          <a:off x="9994105" y="6067425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6</xdr:col>
      <xdr:colOff>107156</xdr:colOff>
      <xdr:row>23</xdr:row>
      <xdr:rowOff>416719</xdr:rowOff>
    </xdr:from>
    <xdr:to>
      <xdr:col>6</xdr:col>
      <xdr:colOff>857250</xdr:colOff>
      <xdr:row>23</xdr:row>
      <xdr:rowOff>428625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5135CC3B-00C1-4F35-A0F9-1205A80CB2EC}"/>
            </a:ext>
          </a:extLst>
        </xdr:cNvPr>
        <xdr:cNvCxnSpPr/>
      </xdr:nvCxnSpPr>
      <xdr:spPr>
        <a:xfrm>
          <a:off x="9994106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83343</xdr:colOff>
      <xdr:row>23</xdr:row>
      <xdr:rowOff>202406</xdr:rowOff>
    </xdr:from>
    <xdr:to>
      <xdr:col>8</xdr:col>
      <xdr:colOff>833437</xdr:colOff>
      <xdr:row>23</xdr:row>
      <xdr:rowOff>214312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70BF5C0B-86DA-4D9C-9ADE-B3C302A6F3C1}"/>
            </a:ext>
          </a:extLst>
        </xdr:cNvPr>
        <xdr:cNvCxnSpPr/>
      </xdr:nvCxnSpPr>
      <xdr:spPr>
        <a:xfrm>
          <a:off x="11932443" y="60317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8</xdr:col>
      <xdr:colOff>0</xdr:colOff>
      <xdr:row>23</xdr:row>
      <xdr:rowOff>404812</xdr:rowOff>
    </xdr:from>
    <xdr:to>
      <xdr:col>8</xdr:col>
      <xdr:colOff>750094</xdr:colOff>
      <xdr:row>23</xdr:row>
      <xdr:rowOff>416718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34090FF8-4E76-4228-BA54-8DB169C4F0B8}"/>
            </a:ext>
          </a:extLst>
        </xdr:cNvPr>
        <xdr:cNvCxnSpPr/>
      </xdr:nvCxnSpPr>
      <xdr:spPr>
        <a:xfrm>
          <a:off x="11849100" y="62341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130969</xdr:colOff>
      <xdr:row>23</xdr:row>
      <xdr:rowOff>250031</xdr:rowOff>
    </xdr:from>
    <xdr:to>
      <xdr:col>12</xdr:col>
      <xdr:colOff>881063</xdr:colOff>
      <xdr:row>23</xdr:row>
      <xdr:rowOff>261937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639BA282-518C-4B17-B202-0953170EBB5D}"/>
            </a:ext>
          </a:extLst>
        </xdr:cNvPr>
        <xdr:cNvCxnSpPr/>
      </xdr:nvCxnSpPr>
      <xdr:spPr>
        <a:xfrm>
          <a:off x="15904369" y="60793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12</xdr:col>
      <xdr:colOff>130968</xdr:colOff>
      <xdr:row>23</xdr:row>
      <xdr:rowOff>357188</xdr:rowOff>
    </xdr:from>
    <xdr:to>
      <xdr:col>12</xdr:col>
      <xdr:colOff>881062</xdr:colOff>
      <xdr:row>23</xdr:row>
      <xdr:rowOff>369094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2EFF0582-CD28-4E26-911F-D8073D88F155}"/>
            </a:ext>
          </a:extLst>
        </xdr:cNvPr>
        <xdr:cNvCxnSpPr/>
      </xdr:nvCxnSpPr>
      <xdr:spPr>
        <a:xfrm>
          <a:off x="15904368" y="6186488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119062</xdr:colOff>
      <xdr:row>23</xdr:row>
      <xdr:rowOff>261937</xdr:rowOff>
    </xdr:from>
    <xdr:to>
      <xdr:col>16</xdr:col>
      <xdr:colOff>869156</xdr:colOff>
      <xdr:row>23</xdr:row>
      <xdr:rowOff>273843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F0A89ED-7908-4468-B565-D421D5107C56}"/>
            </a:ext>
          </a:extLst>
        </xdr:cNvPr>
        <xdr:cNvCxnSpPr/>
      </xdr:nvCxnSpPr>
      <xdr:spPr>
        <a:xfrm>
          <a:off x="19816762" y="6091237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16</xdr:col>
      <xdr:colOff>154781</xdr:colOff>
      <xdr:row>23</xdr:row>
      <xdr:rowOff>416719</xdr:rowOff>
    </xdr:from>
    <xdr:to>
      <xdr:col>16</xdr:col>
      <xdr:colOff>904875</xdr:colOff>
      <xdr:row>23</xdr:row>
      <xdr:rowOff>428625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BD5BB469-5767-4C56-B91A-CAE79C1B80D2}"/>
            </a:ext>
          </a:extLst>
        </xdr:cNvPr>
        <xdr:cNvCxnSpPr/>
      </xdr:nvCxnSpPr>
      <xdr:spPr>
        <a:xfrm>
          <a:off x="19852481" y="6246019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122238</xdr:colOff>
      <xdr:row>23</xdr:row>
      <xdr:rowOff>228600</xdr:rowOff>
    </xdr:from>
    <xdr:to>
      <xdr:col>5</xdr:col>
      <xdr:colOff>872332</xdr:colOff>
      <xdr:row>23</xdr:row>
      <xdr:rowOff>240506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919BB8F3-A0C3-4602-895A-41A09444FD4B}"/>
            </a:ext>
          </a:extLst>
        </xdr:cNvPr>
        <xdr:cNvCxnSpPr/>
      </xdr:nvCxnSpPr>
      <xdr:spPr>
        <a:xfrm>
          <a:off x="9028113" y="605790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5</xdr:col>
      <xdr:colOff>154781</xdr:colOff>
      <xdr:row>23</xdr:row>
      <xdr:rowOff>392906</xdr:rowOff>
    </xdr:from>
    <xdr:to>
      <xdr:col>5</xdr:col>
      <xdr:colOff>904875</xdr:colOff>
      <xdr:row>23</xdr:row>
      <xdr:rowOff>404812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8EE7A58-2E17-4545-896A-BAB73A14516B}"/>
            </a:ext>
          </a:extLst>
        </xdr:cNvPr>
        <xdr:cNvCxnSpPr/>
      </xdr:nvCxnSpPr>
      <xdr:spPr>
        <a:xfrm>
          <a:off x="9060656" y="6222206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120650</xdr:colOff>
      <xdr:row>23</xdr:row>
      <xdr:rowOff>262731</xdr:rowOff>
    </xdr:from>
    <xdr:to>
      <xdr:col>15</xdr:col>
      <xdr:colOff>870744</xdr:colOff>
      <xdr:row>23</xdr:row>
      <xdr:rowOff>274637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1334695F-FF1F-40F6-8CA4-8C6300311455}"/>
            </a:ext>
          </a:extLst>
        </xdr:cNvPr>
        <xdr:cNvCxnSpPr/>
      </xdr:nvCxnSpPr>
      <xdr:spPr>
        <a:xfrm>
          <a:off x="18837275" y="609203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107156</xdr:colOff>
      <xdr:row>23</xdr:row>
      <xdr:rowOff>404813</xdr:rowOff>
    </xdr:from>
    <xdr:to>
      <xdr:col>15</xdr:col>
      <xdr:colOff>857250</xdr:colOff>
      <xdr:row>23</xdr:row>
      <xdr:rowOff>416719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9513D529-4135-4D71-96BF-741FA8D318A4}"/>
            </a:ext>
          </a:extLst>
        </xdr:cNvPr>
        <xdr:cNvCxnSpPr/>
      </xdr:nvCxnSpPr>
      <xdr:spPr>
        <a:xfrm>
          <a:off x="18823781" y="6234113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53602</xdr:colOff>
      <xdr:row>23</xdr:row>
      <xdr:rowOff>248770</xdr:rowOff>
    </xdr:from>
    <xdr:to>
      <xdr:col>14</xdr:col>
      <xdr:colOff>803696</xdr:colOff>
      <xdr:row>23</xdr:row>
      <xdr:rowOff>260676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231CDC4-ADFB-47B8-83C8-FC36EEFF9712}"/>
            </a:ext>
          </a:extLst>
        </xdr:cNvPr>
        <xdr:cNvCxnSpPr/>
      </xdr:nvCxnSpPr>
      <xdr:spPr>
        <a:xfrm>
          <a:off x="17789152" y="60780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14</xdr:col>
      <xdr:colOff>56029</xdr:colOff>
      <xdr:row>23</xdr:row>
      <xdr:rowOff>403412</xdr:rowOff>
    </xdr:from>
    <xdr:to>
      <xdr:col>14</xdr:col>
      <xdr:colOff>806123</xdr:colOff>
      <xdr:row>23</xdr:row>
      <xdr:rowOff>415318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845B8B92-1F4C-413F-9D38-7D911F6C8EEA}"/>
            </a:ext>
          </a:extLst>
        </xdr:cNvPr>
        <xdr:cNvCxnSpPr/>
      </xdr:nvCxnSpPr>
      <xdr:spPr>
        <a:xfrm>
          <a:off x="17791579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156883</xdr:colOff>
      <xdr:row>23</xdr:row>
      <xdr:rowOff>268941</xdr:rowOff>
    </xdr:from>
    <xdr:to>
      <xdr:col>11</xdr:col>
      <xdr:colOff>906977</xdr:colOff>
      <xdr:row>23</xdr:row>
      <xdr:rowOff>280847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8D05B495-A475-4656-B60D-A994FA6FFEE9}"/>
            </a:ext>
          </a:extLst>
        </xdr:cNvPr>
        <xdr:cNvCxnSpPr/>
      </xdr:nvCxnSpPr>
      <xdr:spPr>
        <a:xfrm>
          <a:off x="14949208" y="609824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11</xdr:col>
      <xdr:colOff>123265</xdr:colOff>
      <xdr:row>23</xdr:row>
      <xdr:rowOff>403412</xdr:rowOff>
    </xdr:from>
    <xdr:to>
      <xdr:col>11</xdr:col>
      <xdr:colOff>873359</xdr:colOff>
      <xdr:row>23</xdr:row>
      <xdr:rowOff>415318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4CF71788-3DE6-452D-8F03-160E6EC97591}"/>
            </a:ext>
          </a:extLst>
        </xdr:cNvPr>
        <xdr:cNvCxnSpPr/>
      </xdr:nvCxnSpPr>
      <xdr:spPr>
        <a:xfrm>
          <a:off x="14915590" y="6232712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140634</xdr:colOff>
      <xdr:row>23</xdr:row>
      <xdr:rowOff>245782</xdr:rowOff>
    </xdr:from>
    <xdr:to>
      <xdr:col>13</xdr:col>
      <xdr:colOff>890728</xdr:colOff>
      <xdr:row>23</xdr:row>
      <xdr:rowOff>257688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AB6F746D-4F86-4B2A-B473-2B2D99D77233}"/>
            </a:ext>
          </a:extLst>
        </xdr:cNvPr>
        <xdr:cNvCxnSpPr/>
      </xdr:nvCxnSpPr>
      <xdr:spPr>
        <a:xfrm>
          <a:off x="16927046" y="6072841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  <xdr:twoCellAnchor>
    <xdr:from>
      <xdr:col>13</xdr:col>
      <xdr:colOff>78441</xdr:colOff>
      <xdr:row>23</xdr:row>
      <xdr:rowOff>403411</xdr:rowOff>
    </xdr:from>
    <xdr:to>
      <xdr:col>13</xdr:col>
      <xdr:colOff>828535</xdr:colOff>
      <xdr:row>23</xdr:row>
      <xdr:rowOff>415317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A405BB98-6F4B-4422-AD7A-FC4C1FAC9C3D}"/>
            </a:ext>
          </a:extLst>
        </xdr:cNvPr>
        <xdr:cNvCxnSpPr/>
      </xdr:nvCxnSpPr>
      <xdr:spPr>
        <a:xfrm>
          <a:off x="16864853" y="6230470"/>
          <a:ext cx="750094" cy="11906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59"/>
  <sheetViews>
    <sheetView view="pageBreakPreview" topLeftCell="A19" zoomScale="80" zoomScaleNormal="60" zoomScaleSheetLayoutView="80" workbookViewId="0">
      <selection activeCell="G29" sqref="G2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7" t="s">
        <v>64</v>
      </c>
      <c r="O2" s="8"/>
      <c r="P2" s="8"/>
      <c r="Q2" s="9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13" t="s">
        <v>63</v>
      </c>
      <c r="O3" s="14" t="s">
        <v>96</v>
      </c>
      <c r="P3" s="14"/>
      <c r="Q3" s="15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13" t="s">
        <v>62</v>
      </c>
      <c r="O4" s="14"/>
      <c r="P4" s="14"/>
      <c r="Q4" s="15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10" t="s">
        <v>61</v>
      </c>
      <c r="O5" s="11"/>
      <c r="P5" s="11"/>
      <c r="Q5" s="12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3">
        <v>0.375</v>
      </c>
      <c r="G9" s="4" t="s">
        <v>60</v>
      </c>
      <c r="H9" s="5">
        <v>0.375</v>
      </c>
      <c r="I9" s="6" t="s">
        <v>60</v>
      </c>
      <c r="J9" s="3">
        <v>0.375</v>
      </c>
      <c r="K9" s="4" t="s">
        <v>60</v>
      </c>
      <c r="L9" s="5">
        <v>0.375</v>
      </c>
      <c r="M9" s="6" t="s">
        <v>60</v>
      </c>
      <c r="N9" s="3">
        <v>0.375</v>
      </c>
      <c r="O9" s="4" t="s">
        <v>60</v>
      </c>
      <c r="P9" s="5">
        <v>0.375</v>
      </c>
      <c r="Q9" s="6" t="s">
        <v>60</v>
      </c>
    </row>
    <row r="10" spans="2:17" ht="26.25" customHeight="1" x14ac:dyDescent="0.25">
      <c r="B10" s="134" t="s">
        <v>66</v>
      </c>
      <c r="C10" s="135"/>
      <c r="D10" s="28" t="s">
        <v>78</v>
      </c>
      <c r="E10" s="27"/>
      <c r="F10" s="40"/>
      <c r="G10" s="41"/>
      <c r="H10" s="42"/>
      <c r="I10" s="43"/>
      <c r="J10" s="40"/>
      <c r="K10" s="41"/>
      <c r="L10" s="42"/>
      <c r="M10" s="43"/>
      <c r="N10" s="40"/>
      <c r="O10" s="41"/>
      <c r="P10" s="42"/>
      <c r="Q10" s="43"/>
    </row>
    <row r="11" spans="2:17" ht="20.100000000000001" customHeight="1" x14ac:dyDescent="0.25">
      <c r="B11" s="156" t="s">
        <v>2</v>
      </c>
      <c r="C11" s="156"/>
      <c r="D11" s="1" t="s">
        <v>4</v>
      </c>
      <c r="E11" s="1" t="s">
        <v>80</v>
      </c>
      <c r="F11" s="26"/>
      <c r="G11" s="26">
        <v>70.5</v>
      </c>
      <c r="H11" s="44">
        <v>77.7</v>
      </c>
      <c r="I11" s="44">
        <v>81.8</v>
      </c>
      <c r="J11" s="26">
        <v>71.2</v>
      </c>
      <c r="K11" s="26">
        <v>74.400000000000006</v>
      </c>
      <c r="L11" s="44">
        <v>73.5</v>
      </c>
      <c r="M11" s="44">
        <v>73.5</v>
      </c>
      <c r="N11" s="26"/>
      <c r="O11" s="26"/>
      <c r="P11" s="44"/>
      <c r="Q11" s="44">
        <v>78.599999999999994</v>
      </c>
    </row>
    <row r="12" spans="2:17" ht="20.100000000000001" customHeight="1" x14ac:dyDescent="0.25">
      <c r="B12" s="156" t="s">
        <v>3</v>
      </c>
      <c r="C12" s="156"/>
      <c r="D12" s="1" t="s">
        <v>4</v>
      </c>
      <c r="E12" s="1" t="s">
        <v>80</v>
      </c>
      <c r="F12" s="26"/>
      <c r="G12" s="26">
        <v>0</v>
      </c>
      <c r="H12" s="44">
        <v>0</v>
      </c>
      <c r="I12" s="44">
        <v>0</v>
      </c>
      <c r="J12" s="26">
        <v>0</v>
      </c>
      <c r="K12" s="26">
        <v>0</v>
      </c>
      <c r="L12" s="44">
        <v>0.1</v>
      </c>
      <c r="M12" s="44">
        <v>0.1</v>
      </c>
      <c r="N12" s="26"/>
      <c r="O12" s="26"/>
      <c r="P12" s="44"/>
      <c r="Q12" s="44">
        <v>0.2</v>
      </c>
    </row>
    <row r="13" spans="2:17" ht="20.100000000000001" customHeight="1" x14ac:dyDescent="0.25">
      <c r="B13" s="156" t="s">
        <v>5</v>
      </c>
      <c r="C13" s="156"/>
      <c r="D13" s="1" t="s">
        <v>4</v>
      </c>
      <c r="E13" s="1" t="s">
        <v>80</v>
      </c>
      <c r="F13" s="26"/>
      <c r="G13" s="26">
        <v>64.3</v>
      </c>
      <c r="H13" s="44">
        <v>75.400000000000006</v>
      </c>
      <c r="I13" s="44">
        <v>77.599999999999994</v>
      </c>
      <c r="J13" s="26">
        <v>67.599999999999994</v>
      </c>
      <c r="K13" s="26">
        <v>68.8</v>
      </c>
      <c r="L13" s="44">
        <v>67.900000000000006</v>
      </c>
      <c r="M13" s="44">
        <v>68.099999999999994</v>
      </c>
      <c r="N13" s="26"/>
      <c r="O13" s="26"/>
      <c r="P13" s="44"/>
      <c r="Q13" s="44">
        <v>73.8</v>
      </c>
    </row>
    <row r="14" spans="2:17" ht="20.100000000000001" customHeight="1" x14ac:dyDescent="0.25">
      <c r="B14" s="156" t="s">
        <v>6</v>
      </c>
      <c r="C14" s="156"/>
      <c r="D14" s="1" t="s">
        <v>4</v>
      </c>
      <c r="E14" s="1" t="s">
        <v>80</v>
      </c>
      <c r="F14" s="26"/>
      <c r="G14" s="26">
        <v>64.400000000000006</v>
      </c>
      <c r="H14" s="44">
        <v>65.900000000000006</v>
      </c>
      <c r="I14" s="44">
        <v>65.599999999999994</v>
      </c>
      <c r="J14" s="26">
        <v>62.6</v>
      </c>
      <c r="K14" s="26">
        <v>62.6</v>
      </c>
      <c r="L14" s="44">
        <v>65.3</v>
      </c>
      <c r="M14" s="44">
        <v>64.900000000000006</v>
      </c>
      <c r="N14" s="26"/>
      <c r="O14" s="26"/>
      <c r="P14" s="44"/>
      <c r="Q14" s="44">
        <v>70.900000000000006</v>
      </c>
    </row>
    <row r="15" spans="2:17" ht="20.100000000000001" customHeight="1" x14ac:dyDescent="0.25">
      <c r="B15" s="156" t="s">
        <v>7</v>
      </c>
      <c r="C15" s="156"/>
      <c r="D15" s="1" t="s">
        <v>4</v>
      </c>
      <c r="E15" s="1" t="s">
        <v>80</v>
      </c>
      <c r="F15" s="26"/>
      <c r="G15" s="26">
        <v>55.8</v>
      </c>
      <c r="H15" s="44">
        <v>46.9</v>
      </c>
      <c r="I15" s="44">
        <v>50.4</v>
      </c>
      <c r="J15" s="26">
        <v>37.1</v>
      </c>
      <c r="K15" s="26">
        <v>39.200000000000003</v>
      </c>
      <c r="L15" s="44">
        <v>32.799999999999997</v>
      </c>
      <c r="M15" s="44">
        <v>35.200000000000003</v>
      </c>
      <c r="N15" s="26"/>
      <c r="O15" s="26"/>
      <c r="P15" s="44"/>
      <c r="Q15" s="44">
        <v>42.4</v>
      </c>
    </row>
    <row r="16" spans="2:17" ht="20.100000000000001" customHeight="1" x14ac:dyDescent="0.25">
      <c r="B16" s="143" t="s">
        <v>8</v>
      </c>
      <c r="C16" s="2" t="s">
        <v>9</v>
      </c>
      <c r="D16" s="1" t="s">
        <v>12</v>
      </c>
      <c r="E16" s="1" t="s">
        <v>81</v>
      </c>
      <c r="F16" s="26"/>
      <c r="G16" s="26">
        <v>6.6</v>
      </c>
      <c r="H16" s="26">
        <v>6.6</v>
      </c>
      <c r="I16" s="26">
        <v>6.6</v>
      </c>
      <c r="J16" s="26">
        <v>6.6</v>
      </c>
      <c r="K16" s="26">
        <v>6.6</v>
      </c>
      <c r="L16" s="26">
        <v>6.6</v>
      </c>
      <c r="M16" s="26">
        <v>6.6</v>
      </c>
      <c r="N16" s="26">
        <v>6.6</v>
      </c>
      <c r="O16" s="26">
        <v>6.6</v>
      </c>
      <c r="P16" s="26">
        <v>6.6</v>
      </c>
      <c r="Q16" s="26">
        <v>6.6</v>
      </c>
    </row>
    <row r="17" spans="2:17" ht="20.100000000000001" customHeight="1" x14ac:dyDescent="0.25">
      <c r="B17" s="143"/>
      <c r="C17" s="2" t="s">
        <v>10</v>
      </c>
      <c r="D17" s="1" t="s">
        <v>13</v>
      </c>
      <c r="E17" s="1" t="s">
        <v>82</v>
      </c>
      <c r="F17" s="26"/>
      <c r="G17" s="26">
        <v>116.5</v>
      </c>
      <c r="H17" s="44">
        <v>117.4</v>
      </c>
      <c r="I17" s="44">
        <v>119.4</v>
      </c>
      <c r="J17" s="26">
        <v>115.2</v>
      </c>
      <c r="K17" s="26">
        <v>117.7</v>
      </c>
      <c r="L17" s="44">
        <v>118.8</v>
      </c>
      <c r="M17" s="44">
        <v>118.6</v>
      </c>
      <c r="N17" s="26"/>
      <c r="O17" s="26"/>
      <c r="P17" s="44"/>
      <c r="Q17" s="44">
        <v>120</v>
      </c>
    </row>
    <row r="18" spans="2:17" ht="20.100000000000001" customHeight="1" x14ac:dyDescent="0.25">
      <c r="B18" s="143"/>
      <c r="C18" s="2" t="s">
        <v>11</v>
      </c>
      <c r="D18" s="1" t="s">
        <v>14</v>
      </c>
      <c r="E18" s="1" t="s">
        <v>83</v>
      </c>
      <c r="F18" s="26"/>
      <c r="G18" s="26">
        <v>1139</v>
      </c>
      <c r="H18" s="44">
        <v>1206</v>
      </c>
      <c r="I18" s="44">
        <v>1212</v>
      </c>
      <c r="J18" s="26">
        <v>1191</v>
      </c>
      <c r="K18" s="26">
        <v>1209</v>
      </c>
      <c r="L18" s="44">
        <v>1215</v>
      </c>
      <c r="M18" s="44">
        <v>1212</v>
      </c>
      <c r="N18" s="26"/>
      <c r="O18" s="26"/>
      <c r="P18" s="44"/>
      <c r="Q18" s="44">
        <v>1221</v>
      </c>
    </row>
    <row r="19" spans="2:17" ht="20.100000000000001" customHeight="1" x14ac:dyDescent="0.25">
      <c r="B19" s="143" t="s">
        <v>24</v>
      </c>
      <c r="C19" s="2" t="s">
        <v>15</v>
      </c>
      <c r="D19" s="1" t="s">
        <v>16</v>
      </c>
      <c r="E19" s="35" t="s">
        <v>84</v>
      </c>
      <c r="F19" s="26"/>
      <c r="G19" s="26">
        <v>45688.6</v>
      </c>
      <c r="H19" s="44">
        <v>46437</v>
      </c>
      <c r="I19" s="44">
        <v>46429.2</v>
      </c>
      <c r="J19" s="26">
        <v>44240</v>
      </c>
      <c r="K19" s="26">
        <v>44231.8</v>
      </c>
      <c r="L19" s="44">
        <v>46453</v>
      </c>
      <c r="M19" s="44">
        <v>46445</v>
      </c>
      <c r="N19" s="26"/>
      <c r="O19" s="26"/>
      <c r="P19" s="44"/>
      <c r="Q19" s="44">
        <v>47572.800000000003</v>
      </c>
    </row>
    <row r="20" spans="2:17" ht="20.100000000000001" customHeight="1" x14ac:dyDescent="0.25">
      <c r="B20" s="143"/>
      <c r="C20" s="2" t="s">
        <v>17</v>
      </c>
      <c r="D20" s="1" t="s">
        <v>77</v>
      </c>
      <c r="E20" s="1" t="s">
        <v>85</v>
      </c>
      <c r="F20" s="26"/>
      <c r="G20" s="26"/>
      <c r="H20" s="44"/>
      <c r="I20" s="44"/>
      <c r="J20" s="26"/>
      <c r="K20" s="26"/>
      <c r="L20" s="44"/>
      <c r="M20" s="44"/>
      <c r="N20" s="26"/>
      <c r="O20" s="26"/>
      <c r="P20" s="44"/>
      <c r="Q20" s="44"/>
    </row>
    <row r="21" spans="2:17" ht="20.100000000000001" customHeight="1" x14ac:dyDescent="0.25">
      <c r="B21" s="143"/>
      <c r="C21" s="2" t="s">
        <v>18</v>
      </c>
      <c r="D21" s="1" t="s">
        <v>77</v>
      </c>
      <c r="E21" s="1" t="s">
        <v>75</v>
      </c>
      <c r="F21" s="26"/>
      <c r="G21" s="26"/>
      <c r="H21" s="44"/>
      <c r="I21" s="44"/>
      <c r="J21" s="26"/>
      <c r="K21" s="26"/>
      <c r="L21" s="44"/>
      <c r="M21" s="44"/>
      <c r="N21" s="26"/>
      <c r="O21" s="26"/>
      <c r="P21" s="44"/>
      <c r="Q21" s="44"/>
    </row>
    <row r="22" spans="2:17" ht="20.100000000000001" customHeight="1" x14ac:dyDescent="0.25">
      <c r="B22" s="143"/>
      <c r="C22" s="2" t="s">
        <v>19</v>
      </c>
      <c r="D22" s="1" t="s">
        <v>77</v>
      </c>
      <c r="E22" s="1" t="s">
        <v>73</v>
      </c>
      <c r="F22" s="26"/>
      <c r="G22" s="26">
        <v>57.9</v>
      </c>
      <c r="H22" s="44">
        <v>59.2</v>
      </c>
      <c r="I22" s="44">
        <v>59.2</v>
      </c>
      <c r="J22" s="26">
        <v>58.2</v>
      </c>
      <c r="K22" s="26">
        <v>58</v>
      </c>
      <c r="L22" s="44">
        <v>57.5</v>
      </c>
      <c r="M22" s="44">
        <v>57.5</v>
      </c>
      <c r="N22" s="26"/>
      <c r="O22" s="26"/>
      <c r="P22" s="44"/>
      <c r="Q22" s="44">
        <v>59.4</v>
      </c>
    </row>
    <row r="23" spans="2:17" ht="60" x14ac:dyDescent="0.25">
      <c r="B23" s="143"/>
      <c r="C23" s="30" t="s">
        <v>20</v>
      </c>
      <c r="D23" s="26" t="s">
        <v>22</v>
      </c>
      <c r="E23" s="29" t="s">
        <v>76</v>
      </c>
      <c r="F23" s="26"/>
      <c r="G23" s="26">
        <v>5.2</v>
      </c>
      <c r="H23" s="44">
        <v>4.49</v>
      </c>
      <c r="I23" s="44">
        <v>0.49</v>
      </c>
      <c r="J23" s="26">
        <v>0.59</v>
      </c>
      <c r="K23" s="26">
        <v>0.59</v>
      </c>
      <c r="L23" s="44">
        <v>0.54</v>
      </c>
      <c r="M23" s="44">
        <v>0.54</v>
      </c>
      <c r="N23" s="26"/>
      <c r="O23" s="26"/>
      <c r="P23" s="44"/>
      <c r="Q23" s="44">
        <v>0.48</v>
      </c>
    </row>
    <row r="24" spans="2:17" ht="39.75" customHeight="1" x14ac:dyDescent="0.25">
      <c r="B24" s="143"/>
      <c r="C24" s="30" t="s">
        <v>21</v>
      </c>
      <c r="D24" s="1"/>
      <c r="E24" s="1"/>
      <c r="F24" s="26"/>
      <c r="G24" s="26"/>
      <c r="H24" s="44"/>
      <c r="I24" s="44"/>
      <c r="J24" s="26"/>
      <c r="K24" s="26"/>
      <c r="L24" s="44"/>
      <c r="M24" s="44"/>
      <c r="N24" s="26"/>
      <c r="O24" s="26"/>
      <c r="P24" s="44"/>
      <c r="Q24" s="44"/>
    </row>
    <row r="25" spans="2:17" ht="20.100000000000001" customHeight="1" x14ac:dyDescent="0.25">
      <c r="B25" s="143"/>
      <c r="C25" s="2" t="s">
        <v>23</v>
      </c>
      <c r="D25" s="1" t="s">
        <v>77</v>
      </c>
      <c r="E25" s="1" t="s">
        <v>74</v>
      </c>
      <c r="F25" s="26"/>
      <c r="G25" s="26">
        <v>45.2</v>
      </c>
      <c r="H25" s="44">
        <v>45</v>
      </c>
      <c r="I25" s="44">
        <v>45</v>
      </c>
      <c r="J25" s="26">
        <v>45.1</v>
      </c>
      <c r="K25" s="26">
        <v>44.7</v>
      </c>
      <c r="L25" s="44">
        <v>44.9</v>
      </c>
      <c r="M25" s="44">
        <v>44.7</v>
      </c>
      <c r="N25" s="26"/>
      <c r="O25" s="26"/>
      <c r="P25" s="44"/>
      <c r="Q25" s="44">
        <v>44.8</v>
      </c>
    </row>
    <row r="26" spans="2:17" ht="20.100000000000001" customHeight="1" x14ac:dyDescent="0.25">
      <c r="B26" s="143" t="s">
        <v>25</v>
      </c>
      <c r="C26" s="2" t="s">
        <v>26</v>
      </c>
      <c r="D26" s="1" t="s">
        <v>22</v>
      </c>
      <c r="E26" s="36" t="s">
        <v>86</v>
      </c>
      <c r="F26" s="26"/>
      <c r="G26" s="26">
        <v>0.23</v>
      </c>
      <c r="H26" s="44">
        <v>0.22</v>
      </c>
      <c r="I26" s="44">
        <v>0.21</v>
      </c>
      <c r="J26" s="26">
        <v>0.23</v>
      </c>
      <c r="K26" s="26">
        <v>0.23</v>
      </c>
      <c r="L26" s="44">
        <v>0.23</v>
      </c>
      <c r="M26" s="44">
        <v>0.23</v>
      </c>
      <c r="N26" s="26"/>
      <c r="O26" s="26"/>
      <c r="P26" s="44"/>
      <c r="Q26" s="44">
        <v>0.22</v>
      </c>
    </row>
    <row r="27" spans="2:17" ht="20.100000000000001" customHeight="1" x14ac:dyDescent="0.25">
      <c r="B27" s="143"/>
      <c r="C27" s="2" t="s">
        <v>27</v>
      </c>
      <c r="D27" s="1" t="s">
        <v>77</v>
      </c>
      <c r="E27" s="1" t="s">
        <v>85</v>
      </c>
      <c r="F27" s="26"/>
      <c r="G27" s="26">
        <v>4.2</v>
      </c>
      <c r="H27" s="44">
        <v>3.9</v>
      </c>
      <c r="I27" s="44">
        <v>3.3</v>
      </c>
      <c r="J27" s="26">
        <v>4.8</v>
      </c>
      <c r="K27" s="26">
        <v>4.7</v>
      </c>
      <c r="L27" s="44">
        <v>4.8</v>
      </c>
      <c r="M27" s="44">
        <v>4.7</v>
      </c>
      <c r="N27" s="26"/>
      <c r="O27" s="26"/>
      <c r="P27" s="44"/>
      <c r="Q27" s="44">
        <v>4.3</v>
      </c>
    </row>
    <row r="28" spans="2:17" ht="20.100000000000001" customHeight="1" x14ac:dyDescent="0.25">
      <c r="B28" s="143"/>
      <c r="C28" s="2" t="s">
        <v>28</v>
      </c>
      <c r="D28" s="1" t="s">
        <v>77</v>
      </c>
      <c r="E28" s="1" t="s">
        <v>85</v>
      </c>
      <c r="F28" s="26"/>
      <c r="G28" s="26">
        <v>3.9</v>
      </c>
      <c r="H28" s="44">
        <v>2.8</v>
      </c>
      <c r="I28" s="44">
        <v>2.5</v>
      </c>
      <c r="J28" s="26">
        <v>3.9</v>
      </c>
      <c r="K28" s="26">
        <v>3.7</v>
      </c>
      <c r="L28" s="44">
        <v>3.7</v>
      </c>
      <c r="M28" s="44">
        <v>3.6</v>
      </c>
      <c r="N28" s="26"/>
      <c r="O28" s="26"/>
      <c r="P28" s="44"/>
      <c r="Q28" s="44">
        <v>3.7</v>
      </c>
    </row>
    <row r="29" spans="2:17" ht="20.100000000000001" customHeight="1" x14ac:dyDescent="0.25">
      <c r="B29" s="143"/>
      <c r="C29" s="2" t="s">
        <v>98</v>
      </c>
      <c r="D29" s="1" t="s">
        <v>77</v>
      </c>
      <c r="E29" s="1" t="s">
        <v>85</v>
      </c>
      <c r="F29" s="53">
        <f>F32-F27</f>
        <v>0</v>
      </c>
      <c r="G29" s="53">
        <f t="shared" ref="G29:Q29" si="0">G32-G27</f>
        <v>0.5</v>
      </c>
      <c r="H29" s="53">
        <f t="shared" si="0"/>
        <v>1.1000000000000001</v>
      </c>
      <c r="I29" s="53">
        <f t="shared" si="0"/>
        <v>1.4000000000000004</v>
      </c>
      <c r="J29" s="53">
        <f t="shared" si="0"/>
        <v>-0.29999999999999982</v>
      </c>
      <c r="K29" s="53">
        <f t="shared" si="0"/>
        <v>-0.29999999999999982</v>
      </c>
      <c r="L29" s="53">
        <f t="shared" si="0"/>
        <v>0.29999999999999982</v>
      </c>
      <c r="M29" s="53">
        <f t="shared" si="0"/>
        <v>0.29999999999999982</v>
      </c>
      <c r="N29" s="53">
        <f t="shared" si="0"/>
        <v>0</v>
      </c>
      <c r="O29" s="53">
        <f t="shared" si="0"/>
        <v>0</v>
      </c>
      <c r="P29" s="53">
        <f t="shared" si="0"/>
        <v>0</v>
      </c>
      <c r="Q29" s="53">
        <f t="shared" si="0"/>
        <v>0.79999999999999982</v>
      </c>
    </row>
    <row r="30" spans="2:17" ht="20.100000000000001" customHeight="1" x14ac:dyDescent="0.25">
      <c r="B30" s="143"/>
      <c r="C30" s="2" t="s">
        <v>29</v>
      </c>
      <c r="D30" s="1" t="s">
        <v>35</v>
      </c>
      <c r="E30" s="1" t="s">
        <v>87</v>
      </c>
      <c r="F30" s="26"/>
      <c r="G30" s="26">
        <v>696.3</v>
      </c>
      <c r="H30" s="44">
        <v>712</v>
      </c>
      <c r="I30" s="44">
        <v>668.1</v>
      </c>
      <c r="J30" s="26">
        <v>702</v>
      </c>
      <c r="K30" s="26">
        <v>661.2</v>
      </c>
      <c r="L30" s="44">
        <v>748</v>
      </c>
      <c r="M30" s="44">
        <v>701.4</v>
      </c>
      <c r="N30" s="26"/>
      <c r="O30" s="26"/>
      <c r="P30" s="44"/>
      <c r="Q30" s="44">
        <v>687</v>
      </c>
    </row>
    <row r="31" spans="2:17" ht="20.100000000000001" customHeight="1" x14ac:dyDescent="0.25">
      <c r="B31" s="143"/>
      <c r="C31" s="2" t="s">
        <v>30</v>
      </c>
      <c r="D31" s="1" t="s">
        <v>77</v>
      </c>
      <c r="E31" s="1">
        <v>13.5</v>
      </c>
      <c r="F31" s="26"/>
      <c r="G31" s="26">
        <v>13.3</v>
      </c>
      <c r="H31" s="44">
        <v>12.7</v>
      </c>
      <c r="I31" s="44">
        <v>13.3</v>
      </c>
      <c r="J31" s="26">
        <v>12.7</v>
      </c>
      <c r="K31" s="26">
        <v>13.2</v>
      </c>
      <c r="L31" s="44">
        <v>12.8</v>
      </c>
      <c r="M31" s="44">
        <v>13.2</v>
      </c>
      <c r="N31" s="26"/>
      <c r="O31" s="26"/>
      <c r="P31" s="44"/>
      <c r="Q31" s="44">
        <v>13.3</v>
      </c>
    </row>
    <row r="32" spans="2:17" ht="20.100000000000001" customHeight="1" x14ac:dyDescent="0.25">
      <c r="B32" s="143"/>
      <c r="C32" s="2" t="s">
        <v>31</v>
      </c>
      <c r="D32" s="1" t="s">
        <v>77</v>
      </c>
      <c r="E32" s="1">
        <v>4</v>
      </c>
      <c r="F32" s="26"/>
      <c r="G32" s="26">
        <v>4.7</v>
      </c>
      <c r="H32" s="44">
        <v>5</v>
      </c>
      <c r="I32" s="44">
        <v>4.7</v>
      </c>
      <c r="J32" s="26">
        <v>4.5</v>
      </c>
      <c r="K32" s="26">
        <v>4.4000000000000004</v>
      </c>
      <c r="L32" s="44">
        <v>5.0999999999999996</v>
      </c>
      <c r="M32" s="44">
        <v>5</v>
      </c>
      <c r="N32" s="26"/>
      <c r="O32" s="26"/>
      <c r="P32" s="44"/>
      <c r="Q32" s="44">
        <v>5.0999999999999996</v>
      </c>
    </row>
    <row r="33" spans="2:17" ht="20.100000000000001" customHeight="1" x14ac:dyDescent="0.25">
      <c r="B33" s="143"/>
      <c r="C33" s="2" t="s">
        <v>32</v>
      </c>
      <c r="D33" s="1" t="s">
        <v>77</v>
      </c>
      <c r="E33" s="1">
        <v>9.5</v>
      </c>
      <c r="F33" s="53">
        <f>F31-F32</f>
        <v>0</v>
      </c>
      <c r="G33" s="53">
        <f>G31-G32</f>
        <v>8.6000000000000014</v>
      </c>
      <c r="H33" s="53">
        <f t="shared" ref="H33:Q33" si="1">H31-H32</f>
        <v>7.6999999999999993</v>
      </c>
      <c r="I33" s="53">
        <f t="shared" si="1"/>
        <v>8.6000000000000014</v>
      </c>
      <c r="J33" s="53">
        <f t="shared" si="1"/>
        <v>8.1999999999999993</v>
      </c>
      <c r="K33" s="53">
        <f t="shared" si="1"/>
        <v>8.7999999999999989</v>
      </c>
      <c r="L33" s="53">
        <f t="shared" si="1"/>
        <v>7.7000000000000011</v>
      </c>
      <c r="M33" s="53">
        <f t="shared" si="1"/>
        <v>8.1999999999999993</v>
      </c>
      <c r="N33" s="53">
        <f t="shared" si="1"/>
        <v>0</v>
      </c>
      <c r="O33" s="53">
        <f t="shared" si="1"/>
        <v>0</v>
      </c>
      <c r="P33" s="53">
        <f t="shared" si="1"/>
        <v>0</v>
      </c>
      <c r="Q33" s="53">
        <f t="shared" si="1"/>
        <v>8.2000000000000011</v>
      </c>
    </row>
    <row r="34" spans="2:17" ht="20.100000000000001" customHeight="1" x14ac:dyDescent="0.25">
      <c r="B34" s="143"/>
      <c r="C34" s="2" t="s">
        <v>33</v>
      </c>
      <c r="D34" s="1" t="s">
        <v>34</v>
      </c>
      <c r="E34" s="1" t="s">
        <v>88</v>
      </c>
      <c r="F34" s="54">
        <f>(F33*F30)/0.866</f>
        <v>0</v>
      </c>
      <c r="G34" s="54">
        <f>(G33*G30)/0.866</f>
        <v>6914.7575057736722</v>
      </c>
      <c r="H34" s="54">
        <f t="shared" ref="H34:Q34" si="2">(H33*H30)/0.866</f>
        <v>6330.7159353348725</v>
      </c>
      <c r="I34" s="54">
        <f t="shared" si="2"/>
        <v>6634.7113163972299</v>
      </c>
      <c r="J34" s="54">
        <f t="shared" si="2"/>
        <v>6647.1131639722862</v>
      </c>
      <c r="K34" s="54">
        <f t="shared" si="2"/>
        <v>6718.8914549653573</v>
      </c>
      <c r="L34" s="54">
        <f t="shared" si="2"/>
        <v>6650.8083140877607</v>
      </c>
      <c r="M34" s="54">
        <f t="shared" si="2"/>
        <v>6641.4318706697459</v>
      </c>
      <c r="N34" s="54">
        <f t="shared" si="2"/>
        <v>0</v>
      </c>
      <c r="O34" s="54">
        <f t="shared" si="2"/>
        <v>0</v>
      </c>
      <c r="P34" s="54">
        <f t="shared" si="2"/>
        <v>0</v>
      </c>
      <c r="Q34" s="54">
        <f t="shared" si="2"/>
        <v>6505.0808314087762</v>
      </c>
    </row>
    <row r="35" spans="2:17" ht="20.100000000000001" customHeight="1" x14ac:dyDescent="0.25">
      <c r="B35" s="143" t="s">
        <v>36</v>
      </c>
      <c r="C35" s="2" t="s">
        <v>37</v>
      </c>
      <c r="D35" s="1" t="s">
        <v>22</v>
      </c>
      <c r="E35" s="1" t="s">
        <v>89</v>
      </c>
      <c r="F35" s="26"/>
      <c r="G35" s="26">
        <v>0.83</v>
      </c>
      <c r="H35" s="44">
        <v>0.87</v>
      </c>
      <c r="I35" s="44">
        <v>0.87</v>
      </c>
      <c r="J35" s="26">
        <v>0.85</v>
      </c>
      <c r="K35" s="26">
        <v>0.85</v>
      </c>
      <c r="L35" s="44">
        <v>0.87</v>
      </c>
      <c r="M35" s="44">
        <v>0.86</v>
      </c>
      <c r="N35" s="26"/>
      <c r="O35" s="26"/>
      <c r="P35" s="44"/>
      <c r="Q35" s="44">
        <v>0.84</v>
      </c>
    </row>
    <row r="36" spans="2:17" ht="20.100000000000001" customHeight="1" x14ac:dyDescent="0.25">
      <c r="B36" s="143"/>
      <c r="C36" s="2" t="s">
        <v>38</v>
      </c>
      <c r="D36" s="1" t="s">
        <v>77</v>
      </c>
      <c r="E36" s="1" t="s">
        <v>85</v>
      </c>
      <c r="F36" s="26"/>
      <c r="G36" s="26">
        <v>36.6</v>
      </c>
      <c r="H36" s="44">
        <v>37.9</v>
      </c>
      <c r="I36" s="44">
        <v>37.5</v>
      </c>
      <c r="J36" s="26">
        <v>37.1</v>
      </c>
      <c r="K36" s="26">
        <v>36.9</v>
      </c>
      <c r="L36" s="44">
        <v>38.200000000000003</v>
      </c>
      <c r="M36" s="44">
        <v>38</v>
      </c>
      <c r="N36" s="26"/>
      <c r="O36" s="26"/>
      <c r="P36" s="44"/>
      <c r="Q36" s="44">
        <v>37.1</v>
      </c>
    </row>
    <row r="37" spans="2:17" ht="20.100000000000001" customHeight="1" x14ac:dyDescent="0.25">
      <c r="B37" s="143"/>
      <c r="C37" s="2" t="s">
        <v>39</v>
      </c>
      <c r="D37" s="1" t="s">
        <v>77</v>
      </c>
      <c r="E37" s="1" t="s">
        <v>85</v>
      </c>
      <c r="F37" s="26"/>
      <c r="G37" s="26">
        <v>37</v>
      </c>
      <c r="H37" s="44">
        <v>38.6</v>
      </c>
      <c r="I37" s="44">
        <v>38.4</v>
      </c>
      <c r="J37" s="26">
        <v>37.799999999999997</v>
      </c>
      <c r="K37" s="26">
        <v>37.5</v>
      </c>
      <c r="L37" s="44">
        <v>38.4</v>
      </c>
      <c r="M37" s="44">
        <v>38.299999999999997</v>
      </c>
      <c r="N37" s="26"/>
      <c r="O37" s="26"/>
      <c r="P37" s="44"/>
      <c r="Q37" s="44">
        <v>37.299999999999997</v>
      </c>
    </row>
    <row r="38" spans="2:17" ht="20.100000000000001" customHeight="1" x14ac:dyDescent="0.25">
      <c r="B38" s="143"/>
      <c r="C38" s="30" t="s">
        <v>97</v>
      </c>
      <c r="D38" s="1" t="s">
        <v>77</v>
      </c>
      <c r="E38" s="1"/>
      <c r="F38" s="53">
        <f>F37-F41</f>
        <v>0</v>
      </c>
      <c r="G38" s="53">
        <f>G37-G41</f>
        <v>2</v>
      </c>
      <c r="H38" s="53">
        <f t="shared" ref="H38:Q38" si="3">H37-H41</f>
        <v>4.1000000000000014</v>
      </c>
      <c r="I38" s="53">
        <f t="shared" si="3"/>
        <v>4.2999999999999972</v>
      </c>
      <c r="J38" s="53">
        <f t="shared" si="3"/>
        <v>2.6999999999999957</v>
      </c>
      <c r="K38" s="53">
        <f t="shared" si="3"/>
        <v>2.6000000000000014</v>
      </c>
      <c r="L38" s="53">
        <f t="shared" si="3"/>
        <v>3.2999999999999972</v>
      </c>
      <c r="M38" s="53">
        <f t="shared" si="3"/>
        <v>3.3999999999999986</v>
      </c>
      <c r="N38" s="53">
        <f t="shared" si="3"/>
        <v>0</v>
      </c>
      <c r="O38" s="53">
        <f t="shared" si="3"/>
        <v>0</v>
      </c>
      <c r="P38" s="53">
        <f t="shared" si="3"/>
        <v>0</v>
      </c>
      <c r="Q38" s="53">
        <f t="shared" si="3"/>
        <v>2.2999999999999972</v>
      </c>
    </row>
    <row r="39" spans="2:17" ht="20.100000000000001" customHeight="1" x14ac:dyDescent="0.25">
      <c r="B39" s="143"/>
      <c r="C39" s="2" t="s">
        <v>90</v>
      </c>
      <c r="D39" s="1" t="s">
        <v>45</v>
      </c>
      <c r="E39" s="1"/>
      <c r="F39" s="26"/>
      <c r="G39" s="26"/>
      <c r="H39" s="44"/>
      <c r="I39" s="44"/>
      <c r="J39" s="26"/>
      <c r="K39" s="26"/>
      <c r="L39" s="44"/>
      <c r="M39" s="44"/>
      <c r="N39" s="26"/>
      <c r="O39" s="26"/>
      <c r="P39" s="44"/>
      <c r="Q39" s="44"/>
    </row>
    <row r="40" spans="2:17" ht="20.100000000000001" customHeight="1" x14ac:dyDescent="0.25">
      <c r="B40" s="143"/>
      <c r="C40" s="2" t="s">
        <v>41</v>
      </c>
      <c r="D40" s="1" t="s">
        <v>77</v>
      </c>
      <c r="E40" s="1">
        <v>30.8</v>
      </c>
      <c r="F40" s="26"/>
      <c r="G40" s="26">
        <v>29.4</v>
      </c>
      <c r="H40" s="44">
        <v>29.4</v>
      </c>
      <c r="I40" s="44">
        <v>29.2</v>
      </c>
      <c r="J40" s="26">
        <v>29.6</v>
      </c>
      <c r="K40" s="26">
        <v>29.3</v>
      </c>
      <c r="L40" s="44">
        <v>29.5</v>
      </c>
      <c r="M40" s="44">
        <v>29.2</v>
      </c>
      <c r="N40" s="26"/>
      <c r="O40" s="26"/>
      <c r="P40" s="44"/>
      <c r="Q40" s="44">
        <v>29.1</v>
      </c>
    </row>
    <row r="41" spans="2:17" ht="20.100000000000001" customHeight="1" x14ac:dyDescent="0.25">
      <c r="B41" s="143"/>
      <c r="C41" s="2" t="s">
        <v>42</v>
      </c>
      <c r="D41" s="1" t="s">
        <v>77</v>
      </c>
      <c r="E41" s="1">
        <v>36.4</v>
      </c>
      <c r="F41" s="26"/>
      <c r="G41" s="26">
        <v>35</v>
      </c>
      <c r="H41" s="44">
        <v>34.5</v>
      </c>
      <c r="I41" s="44">
        <v>34.1</v>
      </c>
      <c r="J41" s="26">
        <v>35.1</v>
      </c>
      <c r="K41" s="26">
        <v>34.9</v>
      </c>
      <c r="L41" s="44">
        <v>35.1</v>
      </c>
      <c r="M41" s="44">
        <v>34.9</v>
      </c>
      <c r="N41" s="26"/>
      <c r="O41" s="26"/>
      <c r="P41" s="44"/>
      <c r="Q41" s="44">
        <v>35</v>
      </c>
    </row>
    <row r="42" spans="2:17" ht="20.100000000000001" customHeight="1" x14ac:dyDescent="0.25">
      <c r="B42" s="143"/>
      <c r="C42" s="2" t="s">
        <v>91</v>
      </c>
      <c r="D42" s="1" t="s">
        <v>77</v>
      </c>
      <c r="E42" s="1">
        <v>5.6</v>
      </c>
      <c r="F42" s="26"/>
      <c r="G42" s="26">
        <f>G41-G40</f>
        <v>5.6000000000000014</v>
      </c>
      <c r="H42" s="26">
        <f t="shared" ref="H42:Q42" si="4">H41-H40</f>
        <v>5.1000000000000014</v>
      </c>
      <c r="I42" s="26">
        <f t="shared" si="4"/>
        <v>4.9000000000000021</v>
      </c>
      <c r="J42" s="26">
        <f t="shared" si="4"/>
        <v>5.5</v>
      </c>
      <c r="K42" s="26">
        <f t="shared" si="4"/>
        <v>5.5999999999999979</v>
      </c>
      <c r="L42" s="26">
        <f t="shared" si="4"/>
        <v>5.6000000000000014</v>
      </c>
      <c r="M42" s="26">
        <f t="shared" si="4"/>
        <v>5.6999999999999993</v>
      </c>
      <c r="N42" s="26">
        <f t="shared" si="4"/>
        <v>0</v>
      </c>
      <c r="O42" s="26">
        <f t="shared" si="4"/>
        <v>0</v>
      </c>
      <c r="P42" s="26">
        <f t="shared" si="4"/>
        <v>0</v>
      </c>
      <c r="Q42" s="26">
        <f t="shared" si="4"/>
        <v>5.8999999999999986</v>
      </c>
    </row>
    <row r="43" spans="2:17" ht="20.100000000000001" customHeight="1" x14ac:dyDescent="0.25">
      <c r="B43" s="143"/>
      <c r="C43" s="2" t="s">
        <v>43</v>
      </c>
      <c r="D43" s="1" t="s">
        <v>35</v>
      </c>
      <c r="E43" s="1">
        <v>1273.0999999999999</v>
      </c>
      <c r="F43" s="26">
        <v>1225.3</v>
      </c>
      <c r="G43" s="26">
        <v>1225.3</v>
      </c>
      <c r="H43" s="44">
        <v>1286</v>
      </c>
      <c r="I43" s="44">
        <v>1264.7</v>
      </c>
      <c r="J43" s="26">
        <v>1297</v>
      </c>
      <c r="K43" s="26">
        <v>1294</v>
      </c>
      <c r="L43" s="44">
        <v>1220</v>
      </c>
      <c r="M43" s="44">
        <v>1198</v>
      </c>
      <c r="N43" s="26"/>
      <c r="O43" s="26"/>
      <c r="P43" s="44"/>
      <c r="Q43" s="44">
        <v>1215</v>
      </c>
    </row>
    <row r="44" spans="2:17" ht="20.100000000000001" customHeight="1" x14ac:dyDescent="0.25">
      <c r="B44" s="143"/>
      <c r="C44" s="2" t="s">
        <v>44</v>
      </c>
      <c r="D44" s="1" t="s">
        <v>34</v>
      </c>
      <c r="E44" s="1">
        <v>8226.9</v>
      </c>
      <c r="F44" s="54">
        <f>F42*F43/0.866</f>
        <v>0</v>
      </c>
      <c r="G44" s="54">
        <f>G42*G43/0.866</f>
        <v>7923.4180138568145</v>
      </c>
      <c r="H44" s="54">
        <f t="shared" ref="H44:Q44" si="5">H42*H43/0.866</f>
        <v>7573.4411085450374</v>
      </c>
      <c r="I44" s="54">
        <f t="shared" si="5"/>
        <v>7155.9237875288709</v>
      </c>
      <c r="J44" s="54">
        <f t="shared" si="5"/>
        <v>8237.2979214780607</v>
      </c>
      <c r="K44" s="54">
        <f t="shared" si="5"/>
        <v>8367.6674364896044</v>
      </c>
      <c r="L44" s="54">
        <f t="shared" si="5"/>
        <v>7889.1454965357989</v>
      </c>
      <c r="M44" s="54">
        <f t="shared" si="5"/>
        <v>7885.2193995381058</v>
      </c>
      <c r="N44" s="54">
        <f t="shared" si="5"/>
        <v>0</v>
      </c>
      <c r="O44" s="54">
        <f t="shared" si="5"/>
        <v>0</v>
      </c>
      <c r="P44" s="54">
        <f t="shared" si="5"/>
        <v>0</v>
      </c>
      <c r="Q44" s="54">
        <f t="shared" si="5"/>
        <v>8277.7136258660485</v>
      </c>
    </row>
    <row r="45" spans="2:17" ht="20.100000000000001" customHeight="1" x14ac:dyDescent="0.25">
      <c r="B45" s="143" t="s">
        <v>46</v>
      </c>
      <c r="C45" s="2" t="s">
        <v>47</v>
      </c>
      <c r="D45" s="1" t="s">
        <v>22</v>
      </c>
      <c r="E45" s="1" t="s">
        <v>92</v>
      </c>
      <c r="F45" s="26"/>
      <c r="G45" s="26">
        <v>0.47</v>
      </c>
      <c r="H45" s="44">
        <v>0.47</v>
      </c>
      <c r="I45" s="44">
        <v>0.47</v>
      </c>
      <c r="J45" s="26">
        <v>0.47</v>
      </c>
      <c r="K45" s="26">
        <v>0.46</v>
      </c>
      <c r="L45" s="44">
        <v>0.49</v>
      </c>
      <c r="M45" s="44">
        <v>0.48</v>
      </c>
      <c r="N45" s="26"/>
      <c r="O45" s="26"/>
      <c r="P45" s="44"/>
      <c r="Q45" s="44">
        <v>0.47</v>
      </c>
    </row>
    <row r="46" spans="2:17" ht="20.100000000000001" customHeight="1" x14ac:dyDescent="0.25">
      <c r="B46" s="143"/>
      <c r="C46" s="2" t="s">
        <v>48</v>
      </c>
      <c r="D46" s="1" t="s">
        <v>77</v>
      </c>
      <c r="E46" s="1" t="s">
        <v>85</v>
      </c>
      <c r="F46" s="26"/>
      <c r="G46" s="26">
        <v>20.3</v>
      </c>
      <c r="H46" s="44">
        <v>20.3</v>
      </c>
      <c r="I46" s="44">
        <v>19.8</v>
      </c>
      <c r="J46" s="26">
        <v>20.100000000000001</v>
      </c>
      <c r="K46" s="26">
        <v>19.8</v>
      </c>
      <c r="L46" s="44">
        <v>21.2</v>
      </c>
      <c r="M46" s="44">
        <v>21</v>
      </c>
      <c r="N46" s="26"/>
      <c r="O46" s="26"/>
      <c r="P46" s="44"/>
      <c r="Q46" s="44">
        <v>20.399999999999999</v>
      </c>
    </row>
    <row r="47" spans="2:17" ht="20.100000000000001" customHeight="1" x14ac:dyDescent="0.25">
      <c r="B47" s="143"/>
      <c r="C47" s="2" t="s">
        <v>40</v>
      </c>
      <c r="D47" s="1" t="s">
        <v>45</v>
      </c>
      <c r="E47" s="1" t="s">
        <v>45</v>
      </c>
      <c r="F47" s="26"/>
      <c r="G47" s="26">
        <v>203.8</v>
      </c>
      <c r="H47" s="44">
        <v>136.19999999999999</v>
      </c>
      <c r="I47" s="44">
        <v>121.3</v>
      </c>
      <c r="J47" s="26">
        <v>203.2</v>
      </c>
      <c r="K47" s="26">
        <v>197.3</v>
      </c>
      <c r="L47" s="44">
        <v>217.4</v>
      </c>
      <c r="M47" s="44">
        <v>205.9</v>
      </c>
      <c r="N47" s="26"/>
      <c r="O47" s="26"/>
      <c r="P47" s="44"/>
      <c r="Q47" s="44">
        <v>203.1</v>
      </c>
    </row>
    <row r="48" spans="2:17" ht="20.100000000000001" customHeight="1" x14ac:dyDescent="0.25">
      <c r="B48" s="156" t="s">
        <v>49</v>
      </c>
      <c r="C48" s="156"/>
      <c r="D48" s="156"/>
      <c r="E48" s="37" t="s">
        <v>93</v>
      </c>
      <c r="F48" s="26"/>
      <c r="G48" s="26"/>
      <c r="H48" s="44"/>
      <c r="I48" s="44"/>
      <c r="J48" s="26"/>
      <c r="K48" s="26"/>
      <c r="L48" s="44"/>
      <c r="M48" s="44"/>
      <c r="N48" s="26"/>
      <c r="O48" s="26"/>
      <c r="P48" s="44"/>
      <c r="Q48" s="44"/>
    </row>
    <row r="49" spans="2:17" ht="20.100000000000001" customHeight="1" x14ac:dyDescent="0.25">
      <c r="B49" s="156" t="s">
        <v>50</v>
      </c>
      <c r="C49" s="156"/>
      <c r="D49" s="156"/>
      <c r="E49" s="31">
        <v>5.89</v>
      </c>
      <c r="F49" s="26"/>
      <c r="G49" s="26">
        <v>5.52</v>
      </c>
      <c r="H49" s="44">
        <v>4.76</v>
      </c>
      <c r="I49" s="44">
        <v>5.23</v>
      </c>
      <c r="J49" s="26">
        <v>5.08</v>
      </c>
      <c r="K49" s="26">
        <v>5.33</v>
      </c>
      <c r="L49" s="44">
        <v>4.68</v>
      </c>
      <c r="M49" s="44">
        <v>4.9800000000000004</v>
      </c>
      <c r="N49" s="26"/>
      <c r="O49" s="26"/>
      <c r="P49" s="44"/>
      <c r="Q49" s="44">
        <v>4.8899999999999997</v>
      </c>
    </row>
    <row r="50" spans="2:17" ht="20.100000000000001" customHeight="1" x14ac:dyDescent="0.25">
      <c r="B50" s="156" t="s">
        <v>51</v>
      </c>
      <c r="C50" s="156"/>
      <c r="D50" s="156"/>
      <c r="E50" s="31"/>
      <c r="F50" s="26"/>
      <c r="G50" s="26"/>
      <c r="H50" s="44"/>
      <c r="I50" s="44"/>
      <c r="J50" s="26"/>
      <c r="K50" s="26"/>
      <c r="L50" s="44"/>
      <c r="M50" s="44"/>
      <c r="N50" s="26"/>
      <c r="O50" s="26"/>
      <c r="P50" s="44"/>
      <c r="Q50" s="44"/>
    </row>
    <row r="51" spans="2:17" ht="20.100000000000001" customHeight="1" thickBot="1" x14ac:dyDescent="0.3">
      <c r="B51" s="156" t="s">
        <v>52</v>
      </c>
      <c r="C51" s="156"/>
      <c r="D51" s="156"/>
      <c r="E51" s="16"/>
      <c r="F51" s="26"/>
      <c r="G51" s="26"/>
      <c r="H51" s="44"/>
      <c r="I51" s="44"/>
      <c r="J51" s="26"/>
      <c r="K51" s="26"/>
      <c r="L51" s="44"/>
      <c r="M51" s="44"/>
      <c r="N51" s="26"/>
      <c r="O51" s="26"/>
      <c r="P51" s="44"/>
      <c r="Q51" s="44"/>
    </row>
    <row r="52" spans="2:17" x14ac:dyDescent="0.25">
      <c r="B52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/>
    </row>
    <row r="54" spans="2:17" x14ac:dyDescent="0.25">
      <c r="C54" s="20" t="s">
        <v>95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2"/>
    </row>
    <row r="55" spans="2:17" x14ac:dyDescent="0.25"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2"/>
    </row>
    <row r="56" spans="2:17" x14ac:dyDescent="0.25"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2"/>
    </row>
    <row r="57" spans="2:17" x14ac:dyDescent="0.25">
      <c r="C57" s="20" t="s">
        <v>69</v>
      </c>
      <c r="D57" s="21"/>
      <c r="E57" s="21"/>
      <c r="F57" s="32" t="b">
        <v>0</v>
      </c>
      <c r="G57" s="34" t="s">
        <v>79</v>
      </c>
      <c r="H57" s="21"/>
      <c r="I57" s="21"/>
      <c r="J57" s="21"/>
      <c r="K57" s="21"/>
      <c r="L57" s="21"/>
      <c r="M57" s="21"/>
      <c r="N57" s="21"/>
      <c r="O57" s="21"/>
      <c r="P57" s="21"/>
      <c r="Q57" s="22"/>
    </row>
    <row r="58" spans="2:17" x14ac:dyDescent="0.25">
      <c r="C58" s="20" t="s">
        <v>69</v>
      </c>
      <c r="D58" s="21"/>
      <c r="E58" s="21"/>
      <c r="F58" s="26" t="s">
        <v>70</v>
      </c>
      <c r="G58" s="33" t="s">
        <v>71</v>
      </c>
      <c r="H58" s="21"/>
      <c r="I58" s="21"/>
      <c r="J58" s="21"/>
      <c r="K58" s="21"/>
      <c r="L58" s="21"/>
      <c r="M58" s="21"/>
      <c r="N58" s="21"/>
      <c r="O58" s="21"/>
      <c r="P58" s="21"/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49:D49"/>
    <mergeCell ref="B50:D50"/>
    <mergeCell ref="B51:D51"/>
    <mergeCell ref="B19:B25"/>
    <mergeCell ref="B11:C11"/>
    <mergeCell ref="B12:C12"/>
    <mergeCell ref="B13:C13"/>
    <mergeCell ref="B14:C14"/>
    <mergeCell ref="B15:C15"/>
    <mergeCell ref="B16:B18"/>
    <mergeCell ref="B26:B34"/>
    <mergeCell ref="B35:B44"/>
    <mergeCell ref="B45:B47"/>
    <mergeCell ref="B48:D48"/>
    <mergeCell ref="C2:M5"/>
    <mergeCell ref="B2:B5"/>
    <mergeCell ref="F8:G8"/>
    <mergeCell ref="H8:I8"/>
    <mergeCell ref="J8:K8"/>
    <mergeCell ref="L8:M8"/>
    <mergeCell ref="B8:D8"/>
    <mergeCell ref="E8:E9"/>
    <mergeCell ref="B10:C10"/>
    <mergeCell ref="P8:Q8"/>
    <mergeCell ref="D7:Q7"/>
    <mergeCell ref="B9:D9"/>
    <mergeCell ref="B7:C7"/>
    <mergeCell ref="N8:O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E37D-820D-42CA-9F76-FDBC957E3D6A}">
  <dimension ref="B1:Q59"/>
  <sheetViews>
    <sheetView view="pageBreakPreview" zoomScale="80" zoomScaleNormal="60" zoomScaleSheetLayoutView="80" workbookViewId="0">
      <selection activeCell="K40" sqref="K40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7" t="s">
        <v>64</v>
      </c>
      <c r="O2" s="8"/>
      <c r="P2" s="8"/>
      <c r="Q2" s="9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13" t="s">
        <v>63</v>
      </c>
      <c r="O3" s="14" t="s">
        <v>96</v>
      </c>
      <c r="P3" s="14"/>
      <c r="Q3" s="15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13" t="s">
        <v>62</v>
      </c>
      <c r="O4" s="14"/>
      <c r="P4" s="14"/>
      <c r="Q4" s="15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10" t="s">
        <v>61</v>
      </c>
      <c r="O5" s="11"/>
      <c r="P5" s="11"/>
      <c r="Q5" s="12"/>
    </row>
    <row r="7" spans="2:17" x14ac:dyDescent="0.25">
      <c r="B7" s="140" t="s">
        <v>0</v>
      </c>
      <c r="C7" s="142"/>
      <c r="D7" s="159">
        <v>45449</v>
      </c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3">
        <v>0.375</v>
      </c>
      <c r="G9" s="4" t="s">
        <v>60</v>
      </c>
      <c r="H9" s="5">
        <v>0.375</v>
      </c>
      <c r="I9" s="6" t="s">
        <v>60</v>
      </c>
      <c r="J9" s="3">
        <v>0.375</v>
      </c>
      <c r="K9" s="4" t="s">
        <v>60</v>
      </c>
      <c r="L9" s="5">
        <v>0.375</v>
      </c>
      <c r="M9" s="6" t="s">
        <v>60</v>
      </c>
      <c r="N9" s="3">
        <v>0.375</v>
      </c>
      <c r="O9" s="4" t="s">
        <v>60</v>
      </c>
      <c r="P9" s="5">
        <v>0.375</v>
      </c>
      <c r="Q9" s="6" t="s">
        <v>60</v>
      </c>
    </row>
    <row r="10" spans="2:17" ht="26.25" customHeight="1" x14ac:dyDescent="0.25">
      <c r="B10" s="134" t="s">
        <v>66</v>
      </c>
      <c r="C10" s="135"/>
      <c r="D10" s="39" t="s">
        <v>78</v>
      </c>
      <c r="E10" s="27"/>
      <c r="F10" s="40" t="s">
        <v>100</v>
      </c>
      <c r="G10" s="41" t="s">
        <v>100</v>
      </c>
      <c r="H10" s="42" t="s">
        <v>100</v>
      </c>
      <c r="I10" s="43" t="s">
        <v>100</v>
      </c>
      <c r="J10" s="40"/>
      <c r="K10" s="41" t="s">
        <v>100</v>
      </c>
      <c r="L10" s="42"/>
      <c r="M10" s="43" t="s">
        <v>100</v>
      </c>
      <c r="N10" s="40"/>
      <c r="O10" s="41"/>
      <c r="P10" s="42" t="s">
        <v>100</v>
      </c>
      <c r="Q10" s="43" t="s">
        <v>100</v>
      </c>
    </row>
    <row r="11" spans="2:17" ht="20.100000000000001" customHeight="1" x14ac:dyDescent="0.25">
      <c r="B11" s="156" t="s">
        <v>2</v>
      </c>
      <c r="C11" s="156"/>
      <c r="D11" s="1" t="s">
        <v>4</v>
      </c>
      <c r="E11" s="1" t="s">
        <v>80</v>
      </c>
      <c r="F11" s="26">
        <v>71.3</v>
      </c>
      <c r="G11" s="26">
        <v>71.7</v>
      </c>
      <c r="H11" s="44">
        <v>76.7</v>
      </c>
      <c r="I11" s="44">
        <v>77.7</v>
      </c>
      <c r="J11" s="26"/>
      <c r="K11" s="26">
        <v>70.8</v>
      </c>
      <c r="L11" s="44"/>
      <c r="M11" s="44">
        <v>73.5</v>
      </c>
      <c r="N11" s="26"/>
      <c r="O11" s="26"/>
      <c r="P11" s="44">
        <v>77.3</v>
      </c>
      <c r="Q11" s="44">
        <v>71.900000000000006</v>
      </c>
    </row>
    <row r="12" spans="2:17" ht="20.100000000000001" customHeight="1" x14ac:dyDescent="0.25">
      <c r="B12" s="156" t="s">
        <v>3</v>
      </c>
      <c r="C12" s="156"/>
      <c r="D12" s="1" t="s">
        <v>4</v>
      </c>
      <c r="E12" s="1" t="s">
        <v>80</v>
      </c>
      <c r="F12" s="26">
        <v>0.8</v>
      </c>
      <c r="G12" s="26">
        <v>0.8</v>
      </c>
      <c r="H12" s="44">
        <v>0</v>
      </c>
      <c r="I12" s="44">
        <v>0</v>
      </c>
      <c r="J12" s="26"/>
      <c r="K12" s="26">
        <v>0</v>
      </c>
      <c r="L12" s="44"/>
      <c r="M12" s="44">
        <v>0.1</v>
      </c>
      <c r="N12" s="26"/>
      <c r="O12" s="26"/>
      <c r="P12" s="44">
        <v>0.3</v>
      </c>
      <c r="Q12" s="44">
        <v>0.3</v>
      </c>
    </row>
    <row r="13" spans="2:17" ht="20.100000000000001" customHeight="1" x14ac:dyDescent="0.25">
      <c r="B13" s="156" t="s">
        <v>5</v>
      </c>
      <c r="C13" s="156"/>
      <c r="D13" s="1" t="s">
        <v>4</v>
      </c>
      <c r="E13" s="1" t="s">
        <v>80</v>
      </c>
      <c r="F13" s="26">
        <v>66.2</v>
      </c>
      <c r="G13" s="26">
        <v>66.2</v>
      </c>
      <c r="H13" s="44">
        <v>74.5</v>
      </c>
      <c r="I13" s="44">
        <v>75.400000000000006</v>
      </c>
      <c r="J13" s="26"/>
      <c r="K13" s="26">
        <v>67.7</v>
      </c>
      <c r="L13" s="44"/>
      <c r="M13" s="44">
        <v>67.900000000000006</v>
      </c>
      <c r="N13" s="26"/>
      <c r="O13" s="26"/>
      <c r="P13" s="44">
        <v>73.5</v>
      </c>
      <c r="Q13" s="44">
        <v>66.5</v>
      </c>
    </row>
    <row r="14" spans="2:17" ht="20.100000000000001" customHeight="1" x14ac:dyDescent="0.25">
      <c r="B14" s="156" t="s">
        <v>6</v>
      </c>
      <c r="C14" s="156"/>
      <c r="D14" s="1" t="s">
        <v>4</v>
      </c>
      <c r="E14" s="1" t="s">
        <v>80</v>
      </c>
      <c r="F14" s="26">
        <v>63.2</v>
      </c>
      <c r="G14" s="26">
        <v>64.900000000000006</v>
      </c>
      <c r="H14" s="44">
        <v>66.8</v>
      </c>
      <c r="I14" s="44">
        <v>67</v>
      </c>
      <c r="J14" s="26"/>
      <c r="K14" s="26">
        <v>62.8</v>
      </c>
      <c r="L14" s="44"/>
      <c r="M14" s="44">
        <v>65.7</v>
      </c>
      <c r="N14" s="26"/>
      <c r="O14" s="26"/>
      <c r="P14" s="44">
        <v>71.8</v>
      </c>
      <c r="Q14" s="44">
        <v>72.8</v>
      </c>
    </row>
    <row r="15" spans="2:17" ht="20.100000000000001" customHeight="1" x14ac:dyDescent="0.25">
      <c r="B15" s="156" t="s">
        <v>7</v>
      </c>
      <c r="C15" s="156"/>
      <c r="D15" s="1" t="s">
        <v>4</v>
      </c>
      <c r="E15" s="1" t="s">
        <v>80</v>
      </c>
      <c r="F15" s="26">
        <v>57.4</v>
      </c>
      <c r="G15" s="26">
        <v>56.8</v>
      </c>
      <c r="H15" s="44">
        <v>47.3</v>
      </c>
      <c r="I15" s="44">
        <v>49.2</v>
      </c>
      <c r="J15" s="26"/>
      <c r="K15" s="26">
        <v>35.1</v>
      </c>
      <c r="L15" s="44"/>
      <c r="M15" s="44">
        <v>33.1</v>
      </c>
      <c r="N15" s="26"/>
      <c r="O15" s="26"/>
      <c r="P15" s="44">
        <v>42</v>
      </c>
      <c r="Q15" s="44">
        <v>39.5</v>
      </c>
    </row>
    <row r="16" spans="2:17" ht="20.100000000000001" customHeight="1" x14ac:dyDescent="0.25">
      <c r="B16" s="143" t="s">
        <v>8</v>
      </c>
      <c r="C16" s="2" t="s">
        <v>9</v>
      </c>
      <c r="D16" s="1" t="s">
        <v>12</v>
      </c>
      <c r="E16" s="1" t="s">
        <v>81</v>
      </c>
      <c r="F16" s="26">
        <v>6.6</v>
      </c>
      <c r="G16" s="26">
        <v>6.6</v>
      </c>
      <c r="H16" s="26">
        <v>6.6</v>
      </c>
      <c r="I16" s="26">
        <v>6.6</v>
      </c>
      <c r="J16" s="26"/>
      <c r="K16" s="26">
        <v>6.6</v>
      </c>
      <c r="L16" s="26"/>
      <c r="M16" s="26">
        <v>6.6</v>
      </c>
      <c r="N16" s="26"/>
      <c r="O16" s="26"/>
      <c r="P16" s="26">
        <v>6.6</v>
      </c>
      <c r="Q16" s="26">
        <v>6.6</v>
      </c>
    </row>
    <row r="17" spans="2:17" ht="20.100000000000001" customHeight="1" x14ac:dyDescent="0.25">
      <c r="B17" s="143"/>
      <c r="C17" s="2" t="s">
        <v>10</v>
      </c>
      <c r="D17" s="1" t="s">
        <v>13</v>
      </c>
      <c r="E17" s="1" t="s">
        <v>82</v>
      </c>
      <c r="F17" s="26">
        <v>116</v>
      </c>
      <c r="G17" s="26">
        <v>117</v>
      </c>
      <c r="H17" s="44">
        <v>117.8</v>
      </c>
      <c r="I17" s="44">
        <v>117.3</v>
      </c>
      <c r="J17" s="26"/>
      <c r="K17" s="26">
        <v>115.3</v>
      </c>
      <c r="L17" s="44"/>
      <c r="M17" s="44">
        <v>119.4</v>
      </c>
      <c r="N17" s="26"/>
      <c r="O17" s="26"/>
      <c r="P17" s="44">
        <v>121</v>
      </c>
      <c r="Q17" s="44">
        <v>115.1</v>
      </c>
    </row>
    <row r="18" spans="2:17" ht="20.100000000000001" customHeight="1" x14ac:dyDescent="0.25">
      <c r="B18" s="143"/>
      <c r="C18" s="2" t="s">
        <v>11</v>
      </c>
      <c r="D18" s="1" t="s">
        <v>14</v>
      </c>
      <c r="E18" s="1" t="s">
        <v>83</v>
      </c>
      <c r="F18" s="26">
        <v>1159</v>
      </c>
      <c r="G18" s="26">
        <v>1159</v>
      </c>
      <c r="H18" s="44">
        <v>1200</v>
      </c>
      <c r="I18" s="44">
        <v>1204</v>
      </c>
      <c r="J18" s="26"/>
      <c r="K18" s="26">
        <v>1191</v>
      </c>
      <c r="L18" s="44"/>
      <c r="M18" s="44">
        <v>1216</v>
      </c>
      <c r="N18" s="26"/>
      <c r="O18" s="26"/>
      <c r="P18" s="44">
        <v>1218</v>
      </c>
      <c r="Q18" s="44">
        <v>1171</v>
      </c>
    </row>
    <row r="19" spans="2:17" ht="20.100000000000001" customHeight="1" x14ac:dyDescent="0.25">
      <c r="B19" s="143" t="s">
        <v>24</v>
      </c>
      <c r="C19" s="2" t="s">
        <v>15</v>
      </c>
      <c r="D19" s="1" t="s">
        <v>16</v>
      </c>
      <c r="E19" s="35" t="s">
        <v>84</v>
      </c>
      <c r="F19" s="26">
        <v>45706.2</v>
      </c>
      <c r="G19" s="26">
        <v>45697.9</v>
      </c>
      <c r="H19" s="44">
        <v>46461</v>
      </c>
      <c r="I19" s="44">
        <v>46452.7</v>
      </c>
      <c r="J19" s="26"/>
      <c r="K19" s="26">
        <v>44255.3</v>
      </c>
      <c r="L19" s="44"/>
      <c r="M19" s="44">
        <v>46468.5</v>
      </c>
      <c r="N19" s="26"/>
      <c r="O19" s="26"/>
      <c r="P19" s="44">
        <v>47595.7</v>
      </c>
      <c r="Q19" s="44">
        <v>47586.9</v>
      </c>
    </row>
    <row r="20" spans="2:17" ht="20.100000000000001" customHeight="1" x14ac:dyDescent="0.25">
      <c r="B20" s="143"/>
      <c r="C20" s="2" t="s">
        <v>17</v>
      </c>
      <c r="D20" s="1" t="s">
        <v>77</v>
      </c>
      <c r="E20" s="1" t="s">
        <v>85</v>
      </c>
      <c r="F20" s="26"/>
      <c r="G20" s="26"/>
      <c r="H20" s="44"/>
      <c r="I20" s="44"/>
      <c r="J20" s="26"/>
      <c r="K20" s="26"/>
      <c r="L20" s="44"/>
      <c r="M20" s="44"/>
      <c r="N20" s="26"/>
      <c r="O20" s="26"/>
      <c r="P20" s="44"/>
      <c r="Q20" s="44"/>
    </row>
    <row r="21" spans="2:17" ht="20.100000000000001" customHeight="1" x14ac:dyDescent="0.25">
      <c r="B21" s="143"/>
      <c r="C21" s="2" t="s">
        <v>18</v>
      </c>
      <c r="D21" s="1" t="s">
        <v>77</v>
      </c>
      <c r="E21" s="1" t="s">
        <v>75</v>
      </c>
      <c r="F21" s="26"/>
      <c r="G21" s="26"/>
      <c r="H21" s="44"/>
      <c r="I21" s="44"/>
      <c r="J21" s="26"/>
      <c r="K21" s="26"/>
      <c r="L21" s="44"/>
      <c r="M21" s="44"/>
      <c r="N21" s="26"/>
      <c r="O21" s="26"/>
      <c r="P21" s="44"/>
      <c r="Q21" s="44"/>
    </row>
    <row r="22" spans="2:17" ht="20.100000000000001" customHeight="1" x14ac:dyDescent="0.25">
      <c r="B22" s="143"/>
      <c r="C22" s="2" t="s">
        <v>19</v>
      </c>
      <c r="D22" s="1" t="s">
        <v>77</v>
      </c>
      <c r="E22" s="1" t="s">
        <v>73</v>
      </c>
      <c r="F22" s="26">
        <v>58.1</v>
      </c>
      <c r="G22" s="26">
        <v>58.1</v>
      </c>
      <c r="H22" s="44">
        <v>59.2</v>
      </c>
      <c r="I22" s="44">
        <v>59.5</v>
      </c>
      <c r="J22" s="26"/>
      <c r="K22" s="26">
        <v>57.7</v>
      </c>
      <c r="L22" s="44"/>
      <c r="M22" s="44">
        <v>57.5</v>
      </c>
      <c r="N22" s="26"/>
      <c r="O22" s="26"/>
      <c r="P22" s="44">
        <v>59.4</v>
      </c>
      <c r="Q22" s="44">
        <v>59.6</v>
      </c>
    </row>
    <row r="23" spans="2:17" ht="60" x14ac:dyDescent="0.25">
      <c r="B23" s="143"/>
      <c r="C23" s="30" t="s">
        <v>20</v>
      </c>
      <c r="D23" s="26" t="s">
        <v>22</v>
      </c>
      <c r="E23" s="29" t="s">
        <v>76</v>
      </c>
      <c r="F23" s="26">
        <v>0.53</v>
      </c>
      <c r="G23" s="26">
        <v>0.53</v>
      </c>
      <c r="H23" s="44">
        <v>0.49</v>
      </c>
      <c r="I23" s="44">
        <v>0.49</v>
      </c>
      <c r="J23" s="26"/>
      <c r="K23" s="26">
        <v>0.59</v>
      </c>
      <c r="L23" s="44"/>
      <c r="M23" s="44">
        <v>0.54</v>
      </c>
      <c r="N23" s="26"/>
      <c r="O23" s="26"/>
      <c r="P23" s="44">
        <v>0.48</v>
      </c>
      <c r="Q23" s="44">
        <v>0.48</v>
      </c>
    </row>
    <row r="24" spans="2:17" ht="39.75" customHeight="1" x14ac:dyDescent="0.25">
      <c r="B24" s="143"/>
      <c r="C24" s="30" t="s">
        <v>21</v>
      </c>
      <c r="D24" s="1"/>
      <c r="E24" s="1"/>
      <c r="F24" s="26"/>
      <c r="G24" s="26"/>
      <c r="H24" s="44"/>
      <c r="I24" s="44"/>
      <c r="J24" s="26"/>
      <c r="K24" s="26"/>
      <c r="L24" s="44"/>
      <c r="M24" s="44"/>
      <c r="N24" s="26"/>
      <c r="O24" s="26"/>
      <c r="P24" s="44"/>
      <c r="Q24" s="44"/>
    </row>
    <row r="25" spans="2:17" ht="20.100000000000001" customHeight="1" x14ac:dyDescent="0.25">
      <c r="B25" s="143"/>
      <c r="C25" s="2" t="s">
        <v>23</v>
      </c>
      <c r="D25" s="1" t="s">
        <v>77</v>
      </c>
      <c r="E25" s="1" t="s">
        <v>74</v>
      </c>
      <c r="F25" s="26">
        <v>45.2</v>
      </c>
      <c r="G25" s="26">
        <v>44.8</v>
      </c>
      <c r="H25" s="44">
        <v>44.9</v>
      </c>
      <c r="I25" s="44">
        <v>44.8</v>
      </c>
      <c r="J25" s="26"/>
      <c r="K25" s="26">
        <v>44.8</v>
      </c>
      <c r="L25" s="44"/>
      <c r="M25" s="44">
        <v>45</v>
      </c>
      <c r="N25" s="26"/>
      <c r="O25" s="26"/>
      <c r="P25" s="44">
        <v>35.200000000000003</v>
      </c>
      <c r="Q25" s="44">
        <v>45</v>
      </c>
    </row>
    <row r="26" spans="2:17" ht="20.100000000000001" customHeight="1" x14ac:dyDescent="0.25">
      <c r="B26" s="143" t="s">
        <v>25</v>
      </c>
      <c r="C26" s="2" t="s">
        <v>26</v>
      </c>
      <c r="D26" s="1" t="s">
        <v>22</v>
      </c>
      <c r="E26" s="36" t="s">
        <v>86</v>
      </c>
      <c r="F26" s="26">
        <v>0.24</v>
      </c>
      <c r="G26" s="26">
        <v>0.23</v>
      </c>
      <c r="H26" s="44">
        <v>0.22</v>
      </c>
      <c r="I26" s="44">
        <v>0.22</v>
      </c>
      <c r="J26" s="26"/>
      <c r="K26" s="26">
        <v>0.28000000000000003</v>
      </c>
      <c r="L26" s="44"/>
      <c r="M26" s="44">
        <v>0.23</v>
      </c>
      <c r="N26" s="26"/>
      <c r="O26" s="26"/>
      <c r="P26" s="44">
        <v>0.23</v>
      </c>
      <c r="Q26" s="44">
        <v>0.23</v>
      </c>
    </row>
    <row r="27" spans="2:17" ht="20.100000000000001" customHeight="1" x14ac:dyDescent="0.25">
      <c r="B27" s="143"/>
      <c r="C27" s="2" t="s">
        <v>27</v>
      </c>
      <c r="D27" s="1" t="s">
        <v>77</v>
      </c>
      <c r="E27" s="1" t="s">
        <v>85</v>
      </c>
      <c r="F27" s="26">
        <v>3.9</v>
      </c>
      <c r="G27" s="26">
        <v>4.4000000000000004</v>
      </c>
      <c r="H27" s="44">
        <v>3.9</v>
      </c>
      <c r="I27" s="44">
        <v>3.3</v>
      </c>
      <c r="J27" s="26"/>
      <c r="K27" s="26">
        <v>4.4000000000000004</v>
      </c>
      <c r="L27" s="44"/>
      <c r="M27" s="44">
        <v>4.8</v>
      </c>
      <c r="N27" s="26"/>
      <c r="O27" s="26"/>
      <c r="P27" s="44">
        <v>4.4000000000000004</v>
      </c>
      <c r="Q27" s="44">
        <v>4.5</v>
      </c>
    </row>
    <row r="28" spans="2:17" ht="20.100000000000001" customHeight="1" x14ac:dyDescent="0.25">
      <c r="B28" s="143"/>
      <c r="C28" s="2" t="s">
        <v>28</v>
      </c>
      <c r="D28" s="1" t="s">
        <v>77</v>
      </c>
      <c r="E28" s="1" t="s">
        <v>85</v>
      </c>
      <c r="F28" s="26">
        <v>3.9</v>
      </c>
      <c r="G28" s="26">
        <v>4.0999999999999996</v>
      </c>
      <c r="H28" s="44">
        <v>2.9</v>
      </c>
      <c r="I28" s="44">
        <v>2.8</v>
      </c>
      <c r="J28" s="26"/>
      <c r="K28" s="26">
        <v>3.8</v>
      </c>
      <c r="L28" s="44"/>
      <c r="M28" s="44">
        <v>3.5</v>
      </c>
      <c r="N28" s="26"/>
      <c r="O28" s="26"/>
      <c r="P28" s="44">
        <v>3.2</v>
      </c>
      <c r="Q28" s="44">
        <v>3.7</v>
      </c>
    </row>
    <row r="29" spans="2:17" ht="20.100000000000001" customHeight="1" x14ac:dyDescent="0.25">
      <c r="B29" s="143"/>
      <c r="C29" s="2" t="s">
        <v>98</v>
      </c>
      <c r="D29" s="1" t="s">
        <v>77</v>
      </c>
      <c r="E29" s="1" t="s">
        <v>85</v>
      </c>
      <c r="F29" s="53">
        <f>F32-F27</f>
        <v>0.80000000000000027</v>
      </c>
      <c r="G29" s="53">
        <f t="shared" ref="G29:Q29" si="0">G32-G27</f>
        <v>0.5</v>
      </c>
      <c r="H29" s="53">
        <f t="shared" si="0"/>
        <v>1.4</v>
      </c>
      <c r="I29" s="53">
        <f t="shared" si="0"/>
        <v>1.7999999999999998</v>
      </c>
      <c r="J29" s="53">
        <f t="shared" si="0"/>
        <v>0</v>
      </c>
      <c r="K29" s="53">
        <f t="shared" si="0"/>
        <v>9.9999999999999645E-2</v>
      </c>
      <c r="L29" s="53">
        <f t="shared" si="0"/>
        <v>0</v>
      </c>
      <c r="M29" s="53">
        <f t="shared" si="0"/>
        <v>0.29999999999999982</v>
      </c>
      <c r="N29" s="53">
        <f t="shared" si="0"/>
        <v>0</v>
      </c>
      <c r="O29" s="53">
        <f t="shared" si="0"/>
        <v>0</v>
      </c>
      <c r="P29" s="53">
        <f t="shared" si="0"/>
        <v>1.2999999999999998</v>
      </c>
      <c r="Q29" s="53">
        <f t="shared" si="0"/>
        <v>0.79999999999999982</v>
      </c>
    </row>
    <row r="30" spans="2:17" ht="20.100000000000001" customHeight="1" x14ac:dyDescent="0.25">
      <c r="B30" s="143"/>
      <c r="C30" s="2" t="s">
        <v>29</v>
      </c>
      <c r="D30" s="1" t="s">
        <v>35</v>
      </c>
      <c r="E30" s="1" t="s">
        <v>87</v>
      </c>
      <c r="F30" s="26">
        <v>738.8</v>
      </c>
      <c r="G30" s="26">
        <v>703.1</v>
      </c>
      <c r="H30" s="44">
        <v>710</v>
      </c>
      <c r="I30" s="44">
        <v>675.9</v>
      </c>
      <c r="J30" s="26"/>
      <c r="K30" s="26">
        <v>647.30999999999995</v>
      </c>
      <c r="L30" s="44"/>
      <c r="M30" s="44">
        <v>692.9</v>
      </c>
      <c r="N30" s="26"/>
      <c r="O30" s="26"/>
      <c r="P30" s="44">
        <v>736.24</v>
      </c>
      <c r="Q30" s="44">
        <v>655.9</v>
      </c>
    </row>
    <row r="31" spans="2:17" ht="20.100000000000001" customHeight="1" x14ac:dyDescent="0.25">
      <c r="B31" s="143"/>
      <c r="C31" s="2" t="s">
        <v>30</v>
      </c>
      <c r="D31" s="1" t="s">
        <v>77</v>
      </c>
      <c r="E31" s="1">
        <v>13.5</v>
      </c>
      <c r="F31" s="26">
        <v>12.4</v>
      </c>
      <c r="G31" s="26">
        <v>13.3</v>
      </c>
      <c r="H31" s="44">
        <v>12.9</v>
      </c>
      <c r="I31" s="44">
        <v>13.5</v>
      </c>
      <c r="J31" s="26"/>
      <c r="K31" s="26">
        <v>13.2</v>
      </c>
      <c r="L31" s="44"/>
      <c r="M31" s="44">
        <v>13.4</v>
      </c>
      <c r="N31" s="26"/>
      <c r="O31" s="26"/>
      <c r="P31" s="44">
        <v>13.2</v>
      </c>
      <c r="Q31" s="44">
        <v>13.5</v>
      </c>
    </row>
    <row r="32" spans="2:17" ht="20.100000000000001" customHeight="1" x14ac:dyDescent="0.25">
      <c r="B32" s="143"/>
      <c r="C32" s="2" t="s">
        <v>31</v>
      </c>
      <c r="D32" s="1" t="s">
        <v>77</v>
      </c>
      <c r="E32" s="1">
        <v>4</v>
      </c>
      <c r="F32" s="26">
        <v>4.7</v>
      </c>
      <c r="G32" s="26">
        <v>4.9000000000000004</v>
      </c>
      <c r="H32" s="44">
        <v>5.3</v>
      </c>
      <c r="I32" s="44">
        <v>5.0999999999999996</v>
      </c>
      <c r="J32" s="26"/>
      <c r="K32" s="26">
        <v>4.5</v>
      </c>
      <c r="L32" s="44"/>
      <c r="M32" s="44">
        <v>5.0999999999999996</v>
      </c>
      <c r="N32" s="26"/>
      <c r="O32" s="26"/>
      <c r="P32" s="44">
        <v>5.7</v>
      </c>
      <c r="Q32" s="44">
        <v>5.3</v>
      </c>
    </row>
    <row r="33" spans="2:17" ht="20.100000000000001" customHeight="1" x14ac:dyDescent="0.25">
      <c r="B33" s="143"/>
      <c r="C33" s="2" t="s">
        <v>32</v>
      </c>
      <c r="D33" s="1" t="s">
        <v>77</v>
      </c>
      <c r="E33" s="1">
        <v>9.5</v>
      </c>
      <c r="F33" s="53">
        <v>7.7</v>
      </c>
      <c r="G33" s="53">
        <f>G31-G32</f>
        <v>8.4</v>
      </c>
      <c r="H33" s="53">
        <f>H31-H32</f>
        <v>7.6000000000000005</v>
      </c>
      <c r="I33" s="53">
        <f t="shared" ref="I33:Q33" si="1">I31-I32</f>
        <v>8.4</v>
      </c>
      <c r="J33" s="53"/>
      <c r="K33" s="53">
        <f t="shared" si="1"/>
        <v>8.6999999999999993</v>
      </c>
      <c r="L33" s="53"/>
      <c r="M33" s="53">
        <f t="shared" si="1"/>
        <v>8.3000000000000007</v>
      </c>
      <c r="N33" s="53">
        <f t="shared" si="1"/>
        <v>0</v>
      </c>
      <c r="O33" s="53">
        <f t="shared" si="1"/>
        <v>0</v>
      </c>
      <c r="P33" s="53">
        <f t="shared" si="1"/>
        <v>7.4999999999999991</v>
      </c>
      <c r="Q33" s="53">
        <f t="shared" si="1"/>
        <v>8.1999999999999993</v>
      </c>
    </row>
    <row r="34" spans="2:17" ht="20.100000000000001" customHeight="1" x14ac:dyDescent="0.25">
      <c r="B34" s="143"/>
      <c r="C34" s="2" t="s">
        <v>33</v>
      </c>
      <c r="D34" s="1" t="s">
        <v>34</v>
      </c>
      <c r="E34" s="1" t="s">
        <v>88</v>
      </c>
      <c r="F34" s="55">
        <f>(F30)*(F31-F32)/0.86</f>
        <v>6614.8372093023263</v>
      </c>
      <c r="G34" s="54">
        <f>(G33*G30)/0.866</f>
        <v>6819.9076212471145</v>
      </c>
      <c r="H34" s="54">
        <f>(H30)*(H33)/0.86</f>
        <v>6274.4186046511632</v>
      </c>
      <c r="I34" s="54">
        <f t="shared" ref="I34:Q34" si="2">(I33*I30)/0.866</f>
        <v>6556.0739030023096</v>
      </c>
      <c r="J34" s="54"/>
      <c r="K34" s="54">
        <f t="shared" si="2"/>
        <v>6502.998845265588</v>
      </c>
      <c r="L34" s="54"/>
      <c r="M34" s="54">
        <f t="shared" si="2"/>
        <v>6640.9584295612021</v>
      </c>
      <c r="N34" s="54">
        <f t="shared" si="2"/>
        <v>0</v>
      </c>
      <c r="O34" s="54">
        <f t="shared" si="2"/>
        <v>0</v>
      </c>
      <c r="P34" s="54">
        <f t="shared" si="2"/>
        <v>6376.2124711316392</v>
      </c>
      <c r="Q34" s="54">
        <f t="shared" si="2"/>
        <v>6210.6004618937632</v>
      </c>
    </row>
    <row r="35" spans="2:17" ht="20.100000000000001" customHeight="1" x14ac:dyDescent="0.25">
      <c r="B35" s="143" t="s">
        <v>36</v>
      </c>
      <c r="C35" s="2" t="s">
        <v>37</v>
      </c>
      <c r="D35" s="1" t="s">
        <v>22</v>
      </c>
      <c r="E35" s="1" t="s">
        <v>89</v>
      </c>
      <c r="F35" s="26">
        <v>0.84</v>
      </c>
      <c r="G35" s="26">
        <v>0.84</v>
      </c>
      <c r="H35" s="44">
        <v>0.87</v>
      </c>
      <c r="I35" s="44">
        <v>0.88</v>
      </c>
      <c r="J35" s="26"/>
      <c r="K35" s="26">
        <v>0.85</v>
      </c>
      <c r="L35" s="44"/>
      <c r="M35" s="44">
        <v>0.87</v>
      </c>
      <c r="N35" s="26"/>
      <c r="O35" s="26"/>
      <c r="P35" s="44">
        <v>0.86</v>
      </c>
      <c r="Q35" s="44">
        <v>0.84</v>
      </c>
    </row>
    <row r="36" spans="2:17" ht="20.100000000000001" customHeight="1" x14ac:dyDescent="0.25">
      <c r="B36" s="143"/>
      <c r="C36" s="2" t="s">
        <v>38</v>
      </c>
      <c r="D36" s="1" t="s">
        <v>77</v>
      </c>
      <c r="E36" s="1" t="s">
        <v>85</v>
      </c>
      <c r="F36" s="26">
        <v>37.799999999999997</v>
      </c>
      <c r="G36" s="26">
        <v>37.200000000000003</v>
      </c>
      <c r="H36" s="44">
        <v>37.9</v>
      </c>
      <c r="I36" s="44">
        <v>37.9</v>
      </c>
      <c r="J36" s="26"/>
      <c r="K36" s="26">
        <v>37.200000000000003</v>
      </c>
      <c r="L36" s="44"/>
      <c r="M36" s="44">
        <v>38.200000000000003</v>
      </c>
      <c r="N36" s="26"/>
      <c r="O36" s="26"/>
      <c r="P36" s="44">
        <v>37.299999999999997</v>
      </c>
      <c r="Q36" s="44">
        <v>37.299999999999997</v>
      </c>
    </row>
    <row r="37" spans="2:17" ht="20.100000000000001" customHeight="1" x14ac:dyDescent="0.25">
      <c r="B37" s="143"/>
      <c r="C37" s="2" t="s">
        <v>39</v>
      </c>
      <c r="D37" s="1" t="s">
        <v>77</v>
      </c>
      <c r="E37" s="1" t="s">
        <v>85</v>
      </c>
      <c r="F37" s="26">
        <v>37.1</v>
      </c>
      <c r="G37" s="26">
        <v>37.4</v>
      </c>
      <c r="H37" s="44">
        <v>38.6</v>
      </c>
      <c r="I37" s="44">
        <v>38.700000000000003</v>
      </c>
      <c r="J37" s="26"/>
      <c r="K37" s="26">
        <v>37.799999999999997</v>
      </c>
      <c r="L37" s="44"/>
      <c r="M37" s="44">
        <v>38.6</v>
      </c>
      <c r="N37" s="26"/>
      <c r="O37" s="26"/>
      <c r="P37" s="44">
        <v>37.4</v>
      </c>
      <c r="Q37" s="44">
        <v>37.299999999999997</v>
      </c>
    </row>
    <row r="38" spans="2:17" ht="20.100000000000001" customHeight="1" x14ac:dyDescent="0.25">
      <c r="B38" s="143"/>
      <c r="C38" s="30" t="s">
        <v>97</v>
      </c>
      <c r="D38" s="1" t="s">
        <v>77</v>
      </c>
      <c r="E38" s="1"/>
      <c r="F38" s="53">
        <f>F36-F41</f>
        <v>3.3999999999999986</v>
      </c>
      <c r="G38" s="53">
        <f t="shared" ref="G38:Q38" si="3">G36-G41</f>
        <v>1.9000000000000057</v>
      </c>
      <c r="H38" s="53">
        <f>H36-H41</f>
        <v>3.5</v>
      </c>
      <c r="I38" s="53">
        <f t="shared" si="3"/>
        <v>3.2999999999999972</v>
      </c>
      <c r="J38" s="53"/>
      <c r="K38" s="53">
        <f t="shared" si="3"/>
        <v>2</v>
      </c>
      <c r="L38" s="53"/>
      <c r="M38" s="53">
        <f t="shared" si="3"/>
        <v>2.9000000000000057</v>
      </c>
      <c r="N38" s="53">
        <f t="shared" si="3"/>
        <v>0</v>
      </c>
      <c r="O38" s="53">
        <f t="shared" si="3"/>
        <v>0</v>
      </c>
      <c r="P38" s="53">
        <f t="shared" si="3"/>
        <v>2</v>
      </c>
      <c r="Q38" s="53">
        <f t="shared" si="3"/>
        <v>2.0999999999999943</v>
      </c>
    </row>
    <row r="39" spans="2:17" ht="20.100000000000001" customHeight="1" x14ac:dyDescent="0.25">
      <c r="B39" s="143"/>
      <c r="C39" s="2" t="s">
        <v>90</v>
      </c>
      <c r="D39" s="1" t="s">
        <v>45</v>
      </c>
      <c r="E39" s="1"/>
      <c r="F39" s="26"/>
      <c r="G39" s="26"/>
      <c r="H39" s="44"/>
      <c r="I39" s="44"/>
      <c r="J39" s="26"/>
      <c r="K39" s="26"/>
      <c r="L39" s="44"/>
      <c r="M39" s="44"/>
      <c r="N39" s="26"/>
      <c r="O39" s="26"/>
      <c r="P39" s="44"/>
      <c r="Q39" s="44"/>
    </row>
    <row r="40" spans="2:17" ht="20.100000000000001" customHeight="1" x14ac:dyDescent="0.25">
      <c r="B40" s="143"/>
      <c r="C40" s="2" t="s">
        <v>41</v>
      </c>
      <c r="D40" s="1" t="s">
        <v>77</v>
      </c>
      <c r="E40" s="1">
        <v>30.8</v>
      </c>
      <c r="F40" s="26">
        <v>28.8</v>
      </c>
      <c r="G40" s="26">
        <v>29.7</v>
      </c>
      <c r="H40" s="44">
        <v>29.2</v>
      </c>
      <c r="I40" s="44">
        <v>29.4</v>
      </c>
      <c r="J40" s="26"/>
      <c r="K40" s="26">
        <v>29.6</v>
      </c>
      <c r="L40" s="44"/>
      <c r="M40" s="44">
        <v>29.6</v>
      </c>
      <c r="N40" s="26"/>
      <c r="O40" s="26"/>
      <c r="P40" s="44">
        <v>29.5</v>
      </c>
      <c r="Q40" s="44">
        <v>29.5</v>
      </c>
    </row>
    <row r="41" spans="2:17" ht="20.100000000000001" customHeight="1" x14ac:dyDescent="0.25">
      <c r="B41" s="143"/>
      <c r="C41" s="2" t="s">
        <v>42</v>
      </c>
      <c r="D41" s="1" t="s">
        <v>77</v>
      </c>
      <c r="E41" s="1">
        <v>36.4</v>
      </c>
      <c r="F41" s="26">
        <v>34.4</v>
      </c>
      <c r="G41" s="26">
        <v>35.299999999999997</v>
      </c>
      <c r="H41" s="44">
        <v>34.4</v>
      </c>
      <c r="I41" s="44">
        <v>34.6</v>
      </c>
      <c r="J41" s="26"/>
      <c r="K41" s="26">
        <v>35.200000000000003</v>
      </c>
      <c r="L41" s="44"/>
      <c r="M41" s="44">
        <v>35.299999999999997</v>
      </c>
      <c r="N41" s="26"/>
      <c r="O41" s="26"/>
      <c r="P41" s="44">
        <v>35.299999999999997</v>
      </c>
      <c r="Q41" s="44">
        <v>35.200000000000003</v>
      </c>
    </row>
    <row r="42" spans="2:17" ht="20.100000000000001" customHeight="1" x14ac:dyDescent="0.25">
      <c r="B42" s="143"/>
      <c r="C42" s="2" t="s">
        <v>91</v>
      </c>
      <c r="D42" s="1" t="s">
        <v>77</v>
      </c>
      <c r="E42" s="1">
        <v>5.6</v>
      </c>
      <c r="F42" s="53">
        <v>5.6</v>
      </c>
      <c r="G42" s="53">
        <f>G41-G40</f>
        <v>5.5999999999999979</v>
      </c>
      <c r="H42" s="53">
        <v>5.2</v>
      </c>
      <c r="I42" s="53">
        <f t="shared" ref="I42:Q42" si="4">I41-I40</f>
        <v>5.2000000000000028</v>
      </c>
      <c r="J42" s="53"/>
      <c r="K42" s="53">
        <f t="shared" si="4"/>
        <v>5.6000000000000014</v>
      </c>
      <c r="L42" s="53"/>
      <c r="M42" s="53">
        <f t="shared" si="4"/>
        <v>5.6999999999999957</v>
      </c>
      <c r="N42" s="53">
        <f t="shared" si="4"/>
        <v>0</v>
      </c>
      <c r="O42" s="53">
        <f t="shared" si="4"/>
        <v>0</v>
      </c>
      <c r="P42" s="53">
        <f t="shared" si="4"/>
        <v>5.7999999999999972</v>
      </c>
      <c r="Q42" s="53">
        <f t="shared" si="4"/>
        <v>5.7000000000000028</v>
      </c>
    </row>
    <row r="43" spans="2:17" ht="20.100000000000001" customHeight="1" x14ac:dyDescent="0.25">
      <c r="B43" s="143"/>
      <c r="C43" s="2" t="s">
        <v>43</v>
      </c>
      <c r="D43" s="1" t="s">
        <v>35</v>
      </c>
      <c r="E43" s="1">
        <v>1273.0999999999999</v>
      </c>
      <c r="F43" s="26">
        <v>1196.72</v>
      </c>
      <c r="G43" s="26">
        <v>1221.7</v>
      </c>
      <c r="H43" s="44">
        <v>1229.5999999999999</v>
      </c>
      <c r="I43" s="44">
        <v>1255.8</v>
      </c>
      <c r="J43" s="26"/>
      <c r="K43" s="26">
        <v>1290.2</v>
      </c>
      <c r="L43" s="44"/>
      <c r="M43" s="44">
        <v>1197</v>
      </c>
      <c r="N43" s="26"/>
      <c r="O43" s="26"/>
      <c r="P43" s="44">
        <v>1197.56</v>
      </c>
      <c r="Q43" s="44">
        <v>1213.5</v>
      </c>
    </row>
    <row r="44" spans="2:17" ht="20.100000000000001" customHeight="1" x14ac:dyDescent="0.25">
      <c r="B44" s="143"/>
      <c r="C44" s="2" t="s">
        <v>44</v>
      </c>
      <c r="D44" s="1" t="s">
        <v>34</v>
      </c>
      <c r="E44" s="1">
        <v>8226.9</v>
      </c>
      <c r="F44" s="55">
        <f>(F43)*(F41-F40)/0.86</f>
        <v>7792.595348837207</v>
      </c>
      <c r="G44" s="54">
        <f>G42*G43/0.866</f>
        <v>7900.1385681293277</v>
      </c>
      <c r="H44" s="54">
        <f>(H43)*(H42)/0.86</f>
        <v>7434.7906976744189</v>
      </c>
      <c r="I44" s="54">
        <f t="shared" ref="I44:Q44" si="5">I42*I43/0.866</f>
        <v>7540.6004618937686</v>
      </c>
      <c r="J44" s="54"/>
      <c r="K44" s="54">
        <f t="shared" si="5"/>
        <v>8343.0946882217104</v>
      </c>
      <c r="L44" s="54"/>
      <c r="M44" s="54">
        <f t="shared" si="5"/>
        <v>7878.6374133949139</v>
      </c>
      <c r="N44" s="54">
        <f t="shared" si="5"/>
        <v>0</v>
      </c>
      <c r="O44" s="54">
        <f t="shared" si="5"/>
        <v>0</v>
      </c>
      <c r="P44" s="54">
        <f t="shared" si="5"/>
        <v>8020.6096997690493</v>
      </c>
      <c r="Q44" s="54">
        <f t="shared" si="5"/>
        <v>7987.2401847575102</v>
      </c>
    </row>
    <row r="45" spans="2:17" ht="20.100000000000001" customHeight="1" x14ac:dyDescent="0.25">
      <c r="B45" s="143" t="s">
        <v>46</v>
      </c>
      <c r="C45" s="2" t="s">
        <v>47</v>
      </c>
      <c r="D45" s="1" t="s">
        <v>22</v>
      </c>
      <c r="E45" s="1" t="s">
        <v>92</v>
      </c>
      <c r="F45" s="26">
        <v>0.47</v>
      </c>
      <c r="G45" s="26">
        <v>0.48</v>
      </c>
      <c r="H45" s="44">
        <v>0.47</v>
      </c>
      <c r="I45" s="44">
        <v>0.47</v>
      </c>
      <c r="J45" s="26"/>
      <c r="K45" s="26">
        <v>0.47</v>
      </c>
      <c r="L45" s="44"/>
      <c r="M45" s="44">
        <v>0.49</v>
      </c>
      <c r="N45" s="26"/>
      <c r="O45" s="26"/>
      <c r="P45" s="44">
        <v>0.48</v>
      </c>
      <c r="Q45" s="44">
        <v>0.48</v>
      </c>
    </row>
    <row r="46" spans="2:17" ht="20.100000000000001" customHeight="1" x14ac:dyDescent="0.25">
      <c r="B46" s="143"/>
      <c r="C46" s="2" t="s">
        <v>48</v>
      </c>
      <c r="D46" s="1" t="s">
        <v>77</v>
      </c>
      <c r="E46" s="1" t="s">
        <v>85</v>
      </c>
      <c r="F46" s="26">
        <v>20.399999999999999</v>
      </c>
      <c r="G46" s="26">
        <v>20.5</v>
      </c>
      <c r="H46" s="44">
        <v>20.3</v>
      </c>
      <c r="I46" s="44">
        <v>20.3</v>
      </c>
      <c r="J46" s="26"/>
      <c r="K46" s="26">
        <v>20</v>
      </c>
      <c r="L46" s="44"/>
      <c r="M46" s="44">
        <v>21.6</v>
      </c>
      <c r="N46" s="26"/>
      <c r="O46" s="26"/>
      <c r="P46" s="44">
        <v>20.5</v>
      </c>
      <c r="Q46" s="44">
        <v>21</v>
      </c>
    </row>
    <row r="47" spans="2:17" ht="20.100000000000001" customHeight="1" x14ac:dyDescent="0.25">
      <c r="B47" s="143"/>
      <c r="C47" s="2" t="s">
        <v>40</v>
      </c>
      <c r="D47" s="1" t="s">
        <v>45</v>
      </c>
      <c r="E47" s="1" t="s">
        <v>45</v>
      </c>
      <c r="F47" s="26">
        <v>204.1</v>
      </c>
      <c r="G47" s="26">
        <v>217.7</v>
      </c>
      <c r="H47" s="44">
        <v>120.5</v>
      </c>
      <c r="I47" s="44">
        <v>122.5</v>
      </c>
      <c r="J47" s="26"/>
      <c r="K47" s="26">
        <v>202.1</v>
      </c>
      <c r="L47" s="44"/>
      <c r="M47" s="44">
        <v>207</v>
      </c>
      <c r="N47" s="26"/>
      <c r="O47" s="26"/>
      <c r="P47" s="44">
        <v>203.1</v>
      </c>
      <c r="Q47" s="44">
        <v>196.3</v>
      </c>
    </row>
    <row r="48" spans="2:17" ht="20.100000000000001" customHeight="1" x14ac:dyDescent="0.25">
      <c r="B48" s="156" t="s">
        <v>49</v>
      </c>
      <c r="C48" s="156"/>
      <c r="D48" s="156"/>
      <c r="E48" s="37" t="s">
        <v>93</v>
      </c>
      <c r="F48" s="26"/>
      <c r="G48" s="26"/>
      <c r="H48" s="44"/>
      <c r="I48" s="44"/>
      <c r="J48" s="26"/>
      <c r="K48" s="26"/>
      <c r="L48" s="44"/>
      <c r="M48" s="44"/>
      <c r="N48" s="26"/>
      <c r="O48" s="26"/>
      <c r="P48" s="44"/>
      <c r="Q48" s="44"/>
    </row>
    <row r="49" spans="2:17" ht="20.100000000000001" customHeight="1" x14ac:dyDescent="0.25">
      <c r="B49" s="156" t="s">
        <v>50</v>
      </c>
      <c r="C49" s="156"/>
      <c r="D49" s="156"/>
      <c r="E49" s="39">
        <v>5.89</v>
      </c>
      <c r="F49" s="26">
        <v>4.9800000000000004</v>
      </c>
      <c r="G49" s="26">
        <v>5.47</v>
      </c>
      <c r="H49" s="44">
        <v>4.7699999999999996</v>
      </c>
      <c r="I49" s="44">
        <v>5.0199999999999996</v>
      </c>
      <c r="J49" s="26"/>
      <c r="K49" s="26">
        <v>5.45</v>
      </c>
      <c r="L49" s="44"/>
      <c r="M49" s="44">
        <v>5.04</v>
      </c>
      <c r="N49" s="26"/>
      <c r="O49" s="26"/>
      <c r="P49" s="44">
        <v>4.6100000000000003</v>
      </c>
      <c r="Q49" s="44">
        <v>5.26</v>
      </c>
    </row>
    <row r="50" spans="2:17" ht="20.100000000000001" customHeight="1" x14ac:dyDescent="0.25">
      <c r="B50" s="156" t="s">
        <v>51</v>
      </c>
      <c r="C50" s="156"/>
      <c r="D50" s="156"/>
      <c r="E50" s="39"/>
      <c r="F50" s="26"/>
      <c r="G50" s="26"/>
      <c r="H50" s="44"/>
      <c r="I50" s="44"/>
      <c r="J50" s="26"/>
      <c r="K50" s="26"/>
      <c r="L50" s="44"/>
      <c r="M50" s="44"/>
      <c r="N50" s="26"/>
      <c r="O50" s="26"/>
      <c r="P50" s="44"/>
      <c r="Q50" s="44"/>
    </row>
    <row r="51" spans="2:17" ht="20.100000000000001" customHeight="1" thickBot="1" x14ac:dyDescent="0.3">
      <c r="B51" s="156" t="s">
        <v>52</v>
      </c>
      <c r="C51" s="156"/>
      <c r="D51" s="156"/>
      <c r="E51" s="38"/>
      <c r="F51" s="26"/>
      <c r="G51" s="26"/>
      <c r="H51" s="44"/>
      <c r="I51" s="44"/>
      <c r="J51" s="26"/>
      <c r="K51" s="26"/>
      <c r="L51" s="44"/>
      <c r="M51" s="44"/>
      <c r="N51" s="26"/>
      <c r="O51" s="26"/>
      <c r="P51" s="44"/>
      <c r="Q51" s="44"/>
    </row>
    <row r="52" spans="2:17" x14ac:dyDescent="0.25">
      <c r="B52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/>
    </row>
    <row r="54" spans="2:17" x14ac:dyDescent="0.25">
      <c r="C54" s="20" t="s">
        <v>95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2"/>
    </row>
    <row r="55" spans="2:17" x14ac:dyDescent="0.25"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2"/>
    </row>
    <row r="56" spans="2:17" x14ac:dyDescent="0.25"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2"/>
    </row>
    <row r="57" spans="2:17" x14ac:dyDescent="0.25">
      <c r="C57" s="20" t="s">
        <v>69</v>
      </c>
      <c r="D57" s="21"/>
      <c r="E57" s="21"/>
      <c r="F57" s="32" t="b">
        <v>0</v>
      </c>
      <c r="G57" s="34" t="s">
        <v>79</v>
      </c>
      <c r="H57" s="21"/>
      <c r="I57" s="21"/>
      <c r="J57" s="21"/>
      <c r="K57" s="21"/>
      <c r="L57" s="21"/>
      <c r="M57" s="21"/>
      <c r="N57" s="21"/>
      <c r="O57" s="21"/>
      <c r="P57" s="21"/>
      <c r="Q57" s="22"/>
    </row>
    <row r="58" spans="2:17" x14ac:dyDescent="0.25">
      <c r="C58" s="20" t="s">
        <v>69</v>
      </c>
      <c r="D58" s="21"/>
      <c r="E58" s="21"/>
      <c r="F58" s="26" t="s">
        <v>70</v>
      </c>
      <c r="G58" s="33" t="s">
        <v>71</v>
      </c>
      <c r="H58" s="21"/>
      <c r="I58" s="21"/>
      <c r="J58" s="21"/>
      <c r="K58" s="21"/>
      <c r="L58" s="21"/>
      <c r="M58" s="21"/>
      <c r="N58" s="21"/>
      <c r="O58" s="21"/>
      <c r="P58" s="21"/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1189-F322-41A4-8502-7BEDD42DCCD0}">
  <dimension ref="B1:Q59"/>
  <sheetViews>
    <sheetView view="pageBreakPreview" topLeftCell="A7" zoomScale="80" zoomScaleNormal="60" zoomScaleSheetLayoutView="80" workbookViewId="0">
      <selection activeCell="H38" sqref="H38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7" t="s">
        <v>64</v>
      </c>
      <c r="O2" s="8"/>
      <c r="P2" s="8"/>
      <c r="Q2" s="9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13" t="s">
        <v>63</v>
      </c>
      <c r="O3" s="14" t="s">
        <v>96</v>
      </c>
      <c r="P3" s="14"/>
      <c r="Q3" s="15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13" t="s">
        <v>62</v>
      </c>
      <c r="O4" s="14"/>
      <c r="P4" s="14"/>
      <c r="Q4" s="15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10" t="s">
        <v>61</v>
      </c>
      <c r="O5" s="11"/>
      <c r="P5" s="11"/>
      <c r="Q5" s="12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3">
        <v>0.375</v>
      </c>
      <c r="G9" s="4" t="s">
        <v>60</v>
      </c>
      <c r="H9" s="5">
        <v>0.375</v>
      </c>
      <c r="I9" s="6" t="s">
        <v>60</v>
      </c>
      <c r="J9" s="3">
        <v>0.375</v>
      </c>
      <c r="K9" s="4" t="s">
        <v>60</v>
      </c>
      <c r="L9" s="5">
        <v>0.375</v>
      </c>
      <c r="M9" s="6" t="s">
        <v>60</v>
      </c>
      <c r="N9" s="3">
        <v>0.375</v>
      </c>
      <c r="O9" s="4" t="s">
        <v>60</v>
      </c>
      <c r="P9" s="5">
        <v>0.375</v>
      </c>
      <c r="Q9" s="6" t="s">
        <v>60</v>
      </c>
    </row>
    <row r="10" spans="2:17" ht="26.25" customHeight="1" x14ac:dyDescent="0.25">
      <c r="B10" s="134" t="s">
        <v>66</v>
      </c>
      <c r="C10" s="135"/>
      <c r="D10" s="46" t="s">
        <v>78</v>
      </c>
      <c r="E10" s="27"/>
      <c r="F10" s="40"/>
      <c r="G10" s="41"/>
      <c r="H10" s="42"/>
      <c r="I10" s="43"/>
      <c r="J10" s="40"/>
      <c r="K10" s="41"/>
      <c r="L10" s="42"/>
      <c r="M10" s="43"/>
      <c r="N10" s="40"/>
      <c r="O10" s="41"/>
      <c r="P10" s="42"/>
      <c r="Q10" s="43"/>
    </row>
    <row r="11" spans="2:17" ht="20.100000000000001" customHeight="1" x14ac:dyDescent="0.25">
      <c r="B11" s="156" t="s">
        <v>2</v>
      </c>
      <c r="C11" s="156"/>
      <c r="D11" s="1" t="s">
        <v>4</v>
      </c>
      <c r="E11" s="1" t="s">
        <v>80</v>
      </c>
      <c r="F11" s="26"/>
      <c r="G11" s="26">
        <v>69.900000000000006</v>
      </c>
      <c r="H11" s="44"/>
      <c r="I11" s="44">
        <v>76.8</v>
      </c>
      <c r="J11" s="26">
        <v>74.7</v>
      </c>
      <c r="K11" s="26">
        <v>71.7</v>
      </c>
      <c r="L11" s="44">
        <v>73.2</v>
      </c>
      <c r="M11" s="44">
        <v>73.2</v>
      </c>
      <c r="N11" s="26"/>
      <c r="O11" s="26"/>
      <c r="P11" s="44">
        <v>77.900000000000006</v>
      </c>
      <c r="Q11" s="44">
        <v>77.900000000000006</v>
      </c>
    </row>
    <row r="12" spans="2:17" ht="20.100000000000001" customHeight="1" x14ac:dyDescent="0.25">
      <c r="B12" s="156" t="s">
        <v>3</v>
      </c>
      <c r="C12" s="156"/>
      <c r="D12" s="1" t="s">
        <v>4</v>
      </c>
      <c r="E12" s="1" t="s">
        <v>80</v>
      </c>
      <c r="F12" s="26"/>
      <c r="G12" s="26">
        <v>0.8</v>
      </c>
      <c r="H12" s="44"/>
      <c r="I12" s="44">
        <v>0</v>
      </c>
      <c r="J12" s="26">
        <v>0</v>
      </c>
      <c r="K12" s="26">
        <v>0</v>
      </c>
      <c r="L12" s="44">
        <v>0.2</v>
      </c>
      <c r="M12" s="44">
        <v>0.2</v>
      </c>
      <c r="N12" s="26"/>
      <c r="O12" s="26"/>
      <c r="P12" s="44">
        <v>0.3</v>
      </c>
      <c r="Q12" s="44">
        <v>0.3</v>
      </c>
    </row>
    <row r="13" spans="2:17" ht="20.100000000000001" customHeight="1" x14ac:dyDescent="0.25">
      <c r="B13" s="156" t="s">
        <v>5</v>
      </c>
      <c r="C13" s="156"/>
      <c r="D13" s="1" t="s">
        <v>4</v>
      </c>
      <c r="E13" s="1" t="s">
        <v>80</v>
      </c>
      <c r="F13" s="26"/>
      <c r="G13" s="26">
        <v>66.2</v>
      </c>
      <c r="H13" s="44"/>
      <c r="I13" s="44">
        <v>74.3</v>
      </c>
      <c r="J13" s="26">
        <v>69.400000000000006</v>
      </c>
      <c r="K13" s="26">
        <v>69.099999999999994</v>
      </c>
      <c r="L13" s="44">
        <v>68.3</v>
      </c>
      <c r="M13" s="44">
        <v>68.3</v>
      </c>
      <c r="N13" s="26"/>
      <c r="O13" s="26"/>
      <c r="P13" s="44">
        <v>72.7</v>
      </c>
      <c r="Q13" s="44">
        <v>72.7</v>
      </c>
    </row>
    <row r="14" spans="2:17" ht="20.100000000000001" customHeight="1" x14ac:dyDescent="0.25">
      <c r="B14" s="156" t="s">
        <v>6</v>
      </c>
      <c r="C14" s="156"/>
      <c r="D14" s="1" t="s">
        <v>4</v>
      </c>
      <c r="E14" s="1" t="s">
        <v>80</v>
      </c>
      <c r="F14" s="26"/>
      <c r="G14" s="26">
        <v>63.5</v>
      </c>
      <c r="H14" s="44"/>
      <c r="I14" s="44">
        <v>65.599999999999994</v>
      </c>
      <c r="J14" s="26">
        <v>61.1</v>
      </c>
      <c r="K14" s="26">
        <v>61.5</v>
      </c>
      <c r="L14" s="44">
        <v>63.9</v>
      </c>
      <c r="M14" s="44">
        <v>64.5</v>
      </c>
      <c r="N14" s="26"/>
      <c r="O14" s="26"/>
      <c r="P14" s="44">
        <v>69.400000000000006</v>
      </c>
      <c r="Q14" s="44">
        <v>70.400000000000006</v>
      </c>
    </row>
    <row r="15" spans="2:17" ht="20.100000000000001" customHeight="1" x14ac:dyDescent="0.25">
      <c r="B15" s="156" t="s">
        <v>7</v>
      </c>
      <c r="C15" s="156"/>
      <c r="D15" s="1" t="s">
        <v>4</v>
      </c>
      <c r="E15" s="1" t="s">
        <v>80</v>
      </c>
      <c r="F15" s="26"/>
      <c r="G15" s="26">
        <v>55</v>
      </c>
      <c r="H15" s="44"/>
      <c r="I15" s="44">
        <v>49.4</v>
      </c>
      <c r="J15" s="26">
        <v>37.4</v>
      </c>
      <c r="K15" s="26">
        <v>37.1</v>
      </c>
      <c r="L15" s="44">
        <v>35.299999999999997</v>
      </c>
      <c r="M15" s="44">
        <v>33.700000000000003</v>
      </c>
      <c r="N15" s="26"/>
      <c r="O15" s="26"/>
      <c r="P15" s="44">
        <v>39.700000000000003</v>
      </c>
      <c r="Q15" s="44">
        <v>42.8</v>
      </c>
    </row>
    <row r="16" spans="2:17" ht="20.100000000000001" customHeight="1" x14ac:dyDescent="0.25">
      <c r="B16" s="143" t="s">
        <v>8</v>
      </c>
      <c r="C16" s="2" t="s">
        <v>9</v>
      </c>
      <c r="D16" s="1" t="s">
        <v>12</v>
      </c>
      <c r="E16" s="1" t="s">
        <v>81</v>
      </c>
      <c r="F16" s="26"/>
      <c r="G16" s="26">
        <v>6.6</v>
      </c>
      <c r="H16" s="26">
        <v>6.6</v>
      </c>
      <c r="I16" s="26">
        <v>6.6</v>
      </c>
      <c r="J16" s="26">
        <v>6.6</v>
      </c>
      <c r="K16" s="26">
        <v>6.6</v>
      </c>
      <c r="L16" s="26">
        <v>6.6</v>
      </c>
      <c r="M16" s="26">
        <v>6.6</v>
      </c>
      <c r="N16" s="26"/>
      <c r="O16" s="26"/>
      <c r="P16" s="26">
        <v>6.6</v>
      </c>
      <c r="Q16" s="26">
        <v>6.6</v>
      </c>
    </row>
    <row r="17" spans="2:17" ht="20.100000000000001" customHeight="1" x14ac:dyDescent="0.25">
      <c r="B17" s="143"/>
      <c r="C17" s="2" t="s">
        <v>10</v>
      </c>
      <c r="D17" s="1" t="s">
        <v>13</v>
      </c>
      <c r="E17" s="1" t="s">
        <v>82</v>
      </c>
      <c r="F17" s="26"/>
      <c r="G17" s="26">
        <v>113.9</v>
      </c>
      <c r="H17" s="44"/>
      <c r="I17" s="44">
        <v>114.3</v>
      </c>
      <c r="J17" s="26">
        <v>117.2</v>
      </c>
      <c r="K17" s="26">
        <v>114.1</v>
      </c>
      <c r="L17" s="44">
        <v>117.2</v>
      </c>
      <c r="M17" s="44">
        <v>116.7</v>
      </c>
      <c r="N17" s="26"/>
      <c r="O17" s="26"/>
      <c r="P17" s="44">
        <v>117.5</v>
      </c>
      <c r="Q17" s="44">
        <v>117.4</v>
      </c>
    </row>
    <row r="18" spans="2:17" ht="20.100000000000001" customHeight="1" x14ac:dyDescent="0.25">
      <c r="B18" s="143"/>
      <c r="C18" s="2" t="s">
        <v>11</v>
      </c>
      <c r="D18" s="1" t="s">
        <v>14</v>
      </c>
      <c r="E18" s="1" t="s">
        <v>83</v>
      </c>
      <c r="F18" s="26"/>
      <c r="G18" s="26">
        <v>1131</v>
      </c>
      <c r="H18" s="44"/>
      <c r="I18" s="44">
        <v>1172</v>
      </c>
      <c r="J18" s="26">
        <v>1207</v>
      </c>
      <c r="K18" s="26">
        <v>1174</v>
      </c>
      <c r="L18" s="44">
        <v>12.3</v>
      </c>
      <c r="M18" s="44">
        <v>1191</v>
      </c>
      <c r="N18" s="26"/>
      <c r="O18" s="26"/>
      <c r="P18" s="44">
        <v>1208</v>
      </c>
      <c r="Q18" s="44">
        <v>1194</v>
      </c>
    </row>
    <row r="19" spans="2:17" ht="20.100000000000001" customHeight="1" x14ac:dyDescent="0.25">
      <c r="B19" s="143" t="s">
        <v>24</v>
      </c>
      <c r="C19" s="2" t="s">
        <v>15</v>
      </c>
      <c r="D19" s="1" t="s">
        <v>16</v>
      </c>
      <c r="E19" s="35" t="s">
        <v>84</v>
      </c>
      <c r="F19" s="26"/>
      <c r="G19" s="26">
        <v>45722</v>
      </c>
      <c r="H19" s="44"/>
      <c r="I19" s="44">
        <v>46476.800000000003</v>
      </c>
      <c r="J19" s="26">
        <v>44273.9</v>
      </c>
      <c r="K19" s="26">
        <v>4426.8999999999996</v>
      </c>
      <c r="L19" s="44">
        <v>46487</v>
      </c>
      <c r="M19" s="44">
        <v>46478.400000000001</v>
      </c>
      <c r="N19" s="26"/>
      <c r="O19" s="26"/>
      <c r="P19" s="44">
        <v>47620</v>
      </c>
      <c r="Q19" s="44">
        <v>47611.1</v>
      </c>
    </row>
    <row r="20" spans="2:17" ht="20.100000000000001" customHeight="1" x14ac:dyDescent="0.25">
      <c r="B20" s="143"/>
      <c r="C20" s="2" t="s">
        <v>17</v>
      </c>
      <c r="D20" s="1" t="s">
        <v>77</v>
      </c>
      <c r="E20" s="1" t="s">
        <v>85</v>
      </c>
      <c r="F20" s="26"/>
      <c r="G20" s="26"/>
      <c r="H20" s="44"/>
      <c r="I20" s="44"/>
      <c r="J20" s="26"/>
      <c r="K20" s="26"/>
      <c r="L20" s="44"/>
      <c r="M20" s="44"/>
      <c r="N20" s="26"/>
      <c r="O20" s="26"/>
      <c r="P20" s="44"/>
      <c r="Q20" s="44"/>
    </row>
    <row r="21" spans="2:17" ht="20.100000000000001" customHeight="1" x14ac:dyDescent="0.25">
      <c r="B21" s="143"/>
      <c r="C21" s="2" t="s">
        <v>18</v>
      </c>
      <c r="D21" s="1" t="s">
        <v>77</v>
      </c>
      <c r="E21" s="1" t="s">
        <v>75</v>
      </c>
      <c r="F21" s="26"/>
      <c r="G21" s="26"/>
      <c r="H21" s="44"/>
      <c r="I21" s="44"/>
      <c r="J21" s="26"/>
      <c r="K21" s="26"/>
      <c r="L21" s="44"/>
      <c r="M21" s="44"/>
      <c r="N21" s="26"/>
      <c r="O21" s="26"/>
      <c r="P21" s="44"/>
      <c r="Q21" s="44"/>
    </row>
    <row r="22" spans="2:17" ht="20.100000000000001" customHeight="1" x14ac:dyDescent="0.25">
      <c r="B22" s="143"/>
      <c r="C22" s="2" t="s">
        <v>19</v>
      </c>
      <c r="D22" s="1" t="s">
        <v>77</v>
      </c>
      <c r="E22" s="1" t="s">
        <v>73</v>
      </c>
      <c r="F22" s="26"/>
      <c r="G22" s="26">
        <v>58</v>
      </c>
      <c r="H22" s="44"/>
      <c r="I22" s="44">
        <v>59</v>
      </c>
      <c r="J22" s="26">
        <v>58</v>
      </c>
      <c r="K22" s="26">
        <v>57.8</v>
      </c>
      <c r="L22" s="44">
        <v>57.2</v>
      </c>
      <c r="M22" s="44">
        <v>57.2</v>
      </c>
      <c r="N22" s="26"/>
      <c r="O22" s="26"/>
      <c r="P22" s="44">
        <v>59.4</v>
      </c>
      <c r="Q22" s="44">
        <v>59.2</v>
      </c>
    </row>
    <row r="23" spans="2:17" ht="60" x14ac:dyDescent="0.25">
      <c r="B23" s="143"/>
      <c r="C23" s="30" t="s">
        <v>20</v>
      </c>
      <c r="D23" s="26" t="s">
        <v>22</v>
      </c>
      <c r="E23" s="29" t="s">
        <v>76</v>
      </c>
      <c r="F23" s="26"/>
      <c r="G23" s="26">
        <v>0.52</v>
      </c>
      <c r="H23" s="44"/>
      <c r="I23" s="44">
        <v>0.49</v>
      </c>
      <c r="J23" s="26">
        <v>0.59</v>
      </c>
      <c r="K23" s="26">
        <v>0.57999999999999996</v>
      </c>
      <c r="L23" s="44">
        <v>0.54</v>
      </c>
      <c r="M23" s="44">
        <v>0.53</v>
      </c>
      <c r="N23" s="26"/>
      <c r="O23" s="26"/>
      <c r="P23" s="44">
        <v>0.48</v>
      </c>
      <c r="Q23" s="44">
        <v>0.48</v>
      </c>
    </row>
    <row r="24" spans="2:17" ht="39.75" customHeight="1" x14ac:dyDescent="0.25">
      <c r="B24" s="143"/>
      <c r="C24" s="30" t="s">
        <v>21</v>
      </c>
      <c r="D24" s="1"/>
      <c r="E24" s="1"/>
      <c r="F24" s="26"/>
      <c r="G24" s="26"/>
      <c r="H24" s="44"/>
      <c r="I24" s="44"/>
      <c r="J24" s="26"/>
      <c r="K24" s="26"/>
      <c r="L24" s="44"/>
      <c r="M24" s="44"/>
      <c r="N24" s="26"/>
      <c r="O24" s="26"/>
      <c r="P24" s="44"/>
      <c r="Q24" s="44"/>
    </row>
    <row r="25" spans="2:17" ht="20.100000000000001" customHeight="1" x14ac:dyDescent="0.25">
      <c r="B25" s="143"/>
      <c r="C25" s="2" t="s">
        <v>23</v>
      </c>
      <c r="D25" s="1" t="s">
        <v>77</v>
      </c>
      <c r="E25" s="1" t="s">
        <v>74</v>
      </c>
      <c r="F25" s="26"/>
      <c r="G25" s="26">
        <v>45</v>
      </c>
      <c r="H25" s="44"/>
      <c r="I25" s="44">
        <v>45</v>
      </c>
      <c r="J25" s="26">
        <v>45</v>
      </c>
      <c r="K25" s="26">
        <v>45.2</v>
      </c>
      <c r="L25" s="44">
        <v>45</v>
      </c>
      <c r="M25" s="44">
        <v>45</v>
      </c>
      <c r="N25" s="26"/>
      <c r="O25" s="26"/>
      <c r="P25" s="44">
        <v>45</v>
      </c>
      <c r="Q25" s="44">
        <v>45.1</v>
      </c>
    </row>
    <row r="26" spans="2:17" ht="20.100000000000001" customHeight="1" x14ac:dyDescent="0.25">
      <c r="B26" s="143" t="s">
        <v>25</v>
      </c>
      <c r="C26" s="2" t="s">
        <v>26</v>
      </c>
      <c r="D26" s="1" t="s">
        <v>22</v>
      </c>
      <c r="E26" s="36" t="s">
        <v>86</v>
      </c>
      <c r="F26" s="26"/>
      <c r="G26" s="26">
        <v>0.23</v>
      </c>
      <c r="H26" s="44"/>
      <c r="I26" s="44">
        <v>0.21</v>
      </c>
      <c r="J26" s="26">
        <v>0.23</v>
      </c>
      <c r="K26" s="26">
        <v>0.22</v>
      </c>
      <c r="L26" s="44">
        <v>0.23</v>
      </c>
      <c r="M26" s="44">
        <v>0.22</v>
      </c>
      <c r="N26" s="26"/>
      <c r="O26" s="26"/>
      <c r="P26" s="44">
        <v>0.23</v>
      </c>
      <c r="Q26" s="44">
        <v>0.23</v>
      </c>
    </row>
    <row r="27" spans="2:17" ht="20.100000000000001" customHeight="1" x14ac:dyDescent="0.25">
      <c r="B27" s="143"/>
      <c r="C27" s="2" t="s">
        <v>27</v>
      </c>
      <c r="D27" s="1" t="s">
        <v>77</v>
      </c>
      <c r="E27" s="1" t="s">
        <v>85</v>
      </c>
      <c r="F27" s="26"/>
      <c r="G27" s="26">
        <v>4</v>
      </c>
      <c r="H27" s="44"/>
      <c r="I27" s="44">
        <v>3.1</v>
      </c>
      <c r="J27" s="26">
        <v>4.5</v>
      </c>
      <c r="K27" s="26">
        <v>3.8</v>
      </c>
      <c r="L27" s="44">
        <v>4.5</v>
      </c>
      <c r="M27" s="44">
        <v>4.3</v>
      </c>
      <c r="N27" s="26"/>
      <c r="O27" s="26"/>
      <c r="P27" s="44">
        <v>4.2</v>
      </c>
      <c r="Q27" s="44">
        <v>3.9</v>
      </c>
    </row>
    <row r="28" spans="2:17" ht="20.100000000000001" customHeight="1" x14ac:dyDescent="0.25">
      <c r="B28" s="143"/>
      <c r="C28" s="2" t="s">
        <v>28</v>
      </c>
      <c r="D28" s="1" t="s">
        <v>77</v>
      </c>
      <c r="E28" s="1" t="s">
        <v>85</v>
      </c>
      <c r="F28" s="26"/>
      <c r="G28" s="26">
        <v>3.4</v>
      </c>
      <c r="H28" s="44"/>
      <c r="I28" s="44">
        <v>2.2999999999999998</v>
      </c>
      <c r="J28" s="26">
        <v>3.5</v>
      </c>
      <c r="K28" s="26">
        <v>3.1</v>
      </c>
      <c r="L28" s="44">
        <v>3.5</v>
      </c>
      <c r="M28" s="44">
        <v>3.3</v>
      </c>
      <c r="N28" s="26"/>
      <c r="O28" s="26"/>
      <c r="P28" s="44">
        <v>3.2</v>
      </c>
      <c r="Q28" s="44">
        <v>3.7</v>
      </c>
    </row>
    <row r="29" spans="2:17" ht="20.100000000000001" customHeight="1" x14ac:dyDescent="0.25">
      <c r="B29" s="143"/>
      <c r="C29" s="2" t="s">
        <v>98</v>
      </c>
      <c r="D29" s="1" t="s">
        <v>77</v>
      </c>
      <c r="E29" s="1" t="s">
        <v>85</v>
      </c>
      <c r="F29" s="53">
        <f>F32-F27</f>
        <v>0</v>
      </c>
      <c r="G29" s="53">
        <f t="shared" ref="G29:Q29" si="0">G32-G27</f>
        <v>0.40000000000000036</v>
      </c>
      <c r="H29" s="53">
        <f t="shared" si="0"/>
        <v>0</v>
      </c>
      <c r="I29" s="53">
        <f t="shared" si="0"/>
        <v>1.4</v>
      </c>
      <c r="J29" s="53">
        <f t="shared" si="0"/>
        <v>0.20000000000000018</v>
      </c>
      <c r="K29" s="53">
        <f t="shared" si="0"/>
        <v>0.10000000000000009</v>
      </c>
      <c r="L29" s="53">
        <f t="shared" si="0"/>
        <v>0.20000000000000018</v>
      </c>
      <c r="M29" s="53">
        <f t="shared" si="0"/>
        <v>0.29999999999999982</v>
      </c>
      <c r="N29" s="53">
        <f t="shared" si="0"/>
        <v>0</v>
      </c>
      <c r="O29" s="53">
        <f t="shared" si="0"/>
        <v>0</v>
      </c>
      <c r="P29" s="53">
        <f t="shared" si="0"/>
        <v>1</v>
      </c>
      <c r="Q29" s="53">
        <f t="shared" si="0"/>
        <v>0.89999999999999991</v>
      </c>
    </row>
    <row r="30" spans="2:17" ht="20.100000000000001" customHeight="1" x14ac:dyDescent="0.25">
      <c r="B30" s="143"/>
      <c r="C30" s="2" t="s">
        <v>29</v>
      </c>
      <c r="D30" s="1" t="s">
        <v>35</v>
      </c>
      <c r="E30" s="1" t="s">
        <v>87</v>
      </c>
      <c r="F30" s="26"/>
      <c r="G30" s="26">
        <v>679.7</v>
      </c>
      <c r="H30" s="44"/>
      <c r="I30" s="44">
        <v>652</v>
      </c>
      <c r="J30" s="26">
        <v>699.44</v>
      </c>
      <c r="K30" s="26">
        <v>656.2</v>
      </c>
      <c r="L30" s="44">
        <v>754.76</v>
      </c>
      <c r="M30" s="44">
        <v>688.1</v>
      </c>
      <c r="N30" s="26"/>
      <c r="O30" s="26"/>
      <c r="P30" s="44">
        <v>730.08</v>
      </c>
      <c r="Q30" s="44">
        <v>673.5</v>
      </c>
    </row>
    <row r="31" spans="2:17" ht="20.100000000000001" customHeight="1" x14ac:dyDescent="0.25">
      <c r="B31" s="143"/>
      <c r="C31" s="2" t="s">
        <v>30</v>
      </c>
      <c r="D31" s="1" t="s">
        <v>77</v>
      </c>
      <c r="E31" s="1">
        <v>13.5</v>
      </c>
      <c r="F31" s="26"/>
      <c r="G31" s="26">
        <v>13.1</v>
      </c>
      <c r="H31" s="44"/>
      <c r="I31" s="44">
        <v>13.1</v>
      </c>
      <c r="J31" s="26">
        <v>12.9</v>
      </c>
      <c r="K31" s="26">
        <v>12.5</v>
      </c>
      <c r="L31" s="44">
        <v>12.8</v>
      </c>
      <c r="M31" s="44">
        <v>13.1</v>
      </c>
      <c r="N31" s="26"/>
      <c r="O31" s="26"/>
      <c r="P31" s="44">
        <v>12.7</v>
      </c>
      <c r="Q31" s="44">
        <v>13.2</v>
      </c>
    </row>
    <row r="32" spans="2:17" ht="20.100000000000001" customHeight="1" x14ac:dyDescent="0.25">
      <c r="B32" s="143"/>
      <c r="C32" s="2" t="s">
        <v>31</v>
      </c>
      <c r="D32" s="1" t="s">
        <v>77</v>
      </c>
      <c r="E32" s="1">
        <v>4</v>
      </c>
      <c r="F32" s="26"/>
      <c r="G32" s="26">
        <v>4.4000000000000004</v>
      </c>
      <c r="H32" s="44"/>
      <c r="I32" s="44">
        <v>4.5</v>
      </c>
      <c r="J32" s="26">
        <v>4.7</v>
      </c>
      <c r="K32" s="26">
        <v>3.9</v>
      </c>
      <c r="L32" s="44">
        <v>4.7</v>
      </c>
      <c r="M32" s="44">
        <v>4.5999999999999996</v>
      </c>
      <c r="N32" s="26"/>
      <c r="O32" s="26"/>
      <c r="P32" s="44">
        <v>5.2</v>
      </c>
      <c r="Q32" s="44">
        <v>4.8</v>
      </c>
    </row>
    <row r="33" spans="2:17" ht="20.100000000000001" customHeight="1" x14ac:dyDescent="0.25">
      <c r="B33" s="143"/>
      <c r="C33" s="2" t="s">
        <v>32</v>
      </c>
      <c r="D33" s="1" t="s">
        <v>77</v>
      </c>
      <c r="E33" s="1">
        <v>9.5</v>
      </c>
      <c r="F33" s="53">
        <f>F31-F32</f>
        <v>0</v>
      </c>
      <c r="G33" s="53">
        <f>G31-G32</f>
        <v>8.6999999999999993</v>
      </c>
      <c r="H33" s="53">
        <f t="shared" ref="H33:Q33" si="1">H31-H32</f>
        <v>0</v>
      </c>
      <c r="I33" s="53">
        <f t="shared" si="1"/>
        <v>8.6</v>
      </c>
      <c r="J33" s="53">
        <f t="shared" si="1"/>
        <v>8.1999999999999993</v>
      </c>
      <c r="K33" s="53">
        <f t="shared" si="1"/>
        <v>8.6</v>
      </c>
      <c r="L33" s="53">
        <f t="shared" si="1"/>
        <v>8.1000000000000014</v>
      </c>
      <c r="M33" s="53">
        <f t="shared" si="1"/>
        <v>8.5</v>
      </c>
      <c r="N33" s="53">
        <f t="shared" si="1"/>
        <v>0</v>
      </c>
      <c r="O33" s="53">
        <f t="shared" si="1"/>
        <v>0</v>
      </c>
      <c r="P33" s="53">
        <f t="shared" si="1"/>
        <v>7.4999999999999991</v>
      </c>
      <c r="Q33" s="53">
        <f t="shared" si="1"/>
        <v>8.3999999999999986</v>
      </c>
    </row>
    <row r="34" spans="2:17" ht="20.100000000000001" customHeight="1" x14ac:dyDescent="0.25">
      <c r="B34" s="143"/>
      <c r="C34" s="2" t="s">
        <v>33</v>
      </c>
      <c r="D34" s="1" t="s">
        <v>34</v>
      </c>
      <c r="E34" s="1" t="s">
        <v>88</v>
      </c>
      <c r="F34" s="54">
        <f>(F33*F30)/0.866</f>
        <v>0</v>
      </c>
      <c r="G34" s="54">
        <f>(G33*G30)/0.866</f>
        <v>6828.3949191685915</v>
      </c>
      <c r="H34" s="54">
        <f t="shared" ref="H34:Q34" si="2">(H33*H30)/0.866</f>
        <v>0</v>
      </c>
      <c r="I34" s="54">
        <f t="shared" si="2"/>
        <v>6474.8267898383374</v>
      </c>
      <c r="J34" s="54">
        <f t="shared" si="2"/>
        <v>6622.8729792147815</v>
      </c>
      <c r="K34" s="54">
        <f t="shared" si="2"/>
        <v>6516.5357967667433</v>
      </c>
      <c r="L34" s="54">
        <f t="shared" si="2"/>
        <v>7059.5334872979229</v>
      </c>
      <c r="M34" s="54">
        <f t="shared" si="2"/>
        <v>6753.8683602771371</v>
      </c>
      <c r="N34" s="54">
        <f t="shared" si="2"/>
        <v>0</v>
      </c>
      <c r="O34" s="54">
        <f t="shared" si="2"/>
        <v>0</v>
      </c>
      <c r="P34" s="54">
        <f t="shared" si="2"/>
        <v>6322.8637413394918</v>
      </c>
      <c r="Q34" s="54">
        <f t="shared" si="2"/>
        <v>6532.7944572748256</v>
      </c>
    </row>
    <row r="35" spans="2:17" ht="20.100000000000001" customHeight="1" x14ac:dyDescent="0.25">
      <c r="B35" s="143" t="s">
        <v>36</v>
      </c>
      <c r="C35" s="2" t="s">
        <v>37</v>
      </c>
      <c r="D35" s="1" t="s">
        <v>22</v>
      </c>
      <c r="E35" s="1" t="s">
        <v>89</v>
      </c>
      <c r="F35" s="26"/>
      <c r="G35" s="26">
        <v>0.81</v>
      </c>
      <c r="H35" s="44"/>
      <c r="I35" s="44">
        <v>0.84</v>
      </c>
      <c r="J35" s="26">
        <v>0.84</v>
      </c>
      <c r="K35" s="26">
        <v>0.82</v>
      </c>
      <c r="L35" s="44">
        <v>0.85</v>
      </c>
      <c r="M35" s="44">
        <v>0.84</v>
      </c>
      <c r="N35" s="26"/>
      <c r="O35" s="26"/>
      <c r="P35" s="44">
        <v>0.82</v>
      </c>
      <c r="Q35" s="44">
        <v>0.82</v>
      </c>
    </row>
    <row r="36" spans="2:17" ht="20.100000000000001" customHeight="1" x14ac:dyDescent="0.25">
      <c r="B36" s="143"/>
      <c r="C36" s="2" t="s">
        <v>38</v>
      </c>
      <c r="D36" s="1" t="s">
        <v>77</v>
      </c>
      <c r="E36" s="1" t="s">
        <v>85</v>
      </c>
      <c r="F36" s="26"/>
      <c r="G36" s="26">
        <v>35.9</v>
      </c>
      <c r="H36" s="44"/>
      <c r="I36" s="44">
        <v>36.5</v>
      </c>
      <c r="J36" s="26">
        <v>36.5</v>
      </c>
      <c r="K36" s="26">
        <v>36</v>
      </c>
      <c r="L36" s="44">
        <v>37.4</v>
      </c>
      <c r="M36" s="44">
        <v>37.1</v>
      </c>
      <c r="N36" s="26"/>
      <c r="O36" s="26"/>
      <c r="P36" s="44">
        <v>36.700000000000003</v>
      </c>
      <c r="Q36" s="44">
        <v>36.200000000000003</v>
      </c>
    </row>
    <row r="37" spans="2:17" ht="20.100000000000001" customHeight="1" x14ac:dyDescent="0.25">
      <c r="B37" s="143"/>
      <c r="C37" s="2" t="s">
        <v>39</v>
      </c>
      <c r="D37" s="1" t="s">
        <v>77</v>
      </c>
      <c r="E37" s="1" t="s">
        <v>85</v>
      </c>
      <c r="F37" s="26"/>
      <c r="G37" s="26">
        <v>36.200000000000003</v>
      </c>
      <c r="H37" s="44"/>
      <c r="I37" s="44">
        <v>37.5</v>
      </c>
      <c r="J37" s="26">
        <v>37.200000000000003</v>
      </c>
      <c r="K37" s="26">
        <v>36.6</v>
      </c>
      <c r="L37" s="44">
        <v>37.799999999999997</v>
      </c>
      <c r="M37" s="44">
        <v>37.4</v>
      </c>
      <c r="N37" s="26"/>
      <c r="O37" s="26"/>
      <c r="P37" s="44">
        <v>36.799999999999997</v>
      </c>
      <c r="Q37" s="44">
        <v>36.4</v>
      </c>
    </row>
    <row r="38" spans="2:17" ht="20.100000000000001" customHeight="1" x14ac:dyDescent="0.25">
      <c r="B38" s="143"/>
      <c r="C38" s="30" t="s">
        <v>97</v>
      </c>
      <c r="D38" s="1" t="s">
        <v>77</v>
      </c>
      <c r="E38" s="1"/>
      <c r="F38" s="53">
        <f>F36-F41</f>
        <v>0</v>
      </c>
      <c r="G38" s="53">
        <f t="shared" ref="G38:Q38" si="3">G36-G41</f>
        <v>1.7999999999999972</v>
      </c>
      <c r="H38" s="53">
        <f t="shared" si="3"/>
        <v>0</v>
      </c>
      <c r="I38" s="53">
        <f t="shared" si="3"/>
        <v>3.2000000000000028</v>
      </c>
      <c r="J38" s="53">
        <f>J36-J41</f>
        <v>2</v>
      </c>
      <c r="K38" s="53">
        <f t="shared" si="3"/>
        <v>2</v>
      </c>
      <c r="L38" s="53">
        <f>M36-M41</f>
        <v>3</v>
      </c>
      <c r="M38" s="53">
        <f t="shared" si="3"/>
        <v>3</v>
      </c>
      <c r="N38" s="53">
        <f t="shared" si="3"/>
        <v>0</v>
      </c>
      <c r="O38" s="53">
        <f t="shared" si="3"/>
        <v>0</v>
      </c>
      <c r="P38" s="53">
        <f t="shared" si="3"/>
        <v>2.1000000000000014</v>
      </c>
      <c r="Q38" s="53">
        <f t="shared" si="3"/>
        <v>2.1000000000000014</v>
      </c>
    </row>
    <row r="39" spans="2:17" ht="20.100000000000001" customHeight="1" x14ac:dyDescent="0.25">
      <c r="B39" s="143"/>
      <c r="C39" s="2" t="s">
        <v>90</v>
      </c>
      <c r="D39" s="1" t="s">
        <v>45</v>
      </c>
      <c r="E39" s="1"/>
      <c r="F39" s="26"/>
      <c r="G39" s="26"/>
      <c r="H39" s="44"/>
      <c r="I39" s="44"/>
      <c r="J39" s="26"/>
      <c r="K39" s="26"/>
      <c r="L39" s="44"/>
      <c r="M39" s="44"/>
      <c r="N39" s="26"/>
      <c r="O39" s="26"/>
      <c r="P39" s="44"/>
      <c r="Q39" s="44"/>
    </row>
    <row r="40" spans="2:17" ht="20.100000000000001" customHeight="1" x14ac:dyDescent="0.25">
      <c r="B40" s="143"/>
      <c r="C40" s="2" t="s">
        <v>41</v>
      </c>
      <c r="D40" s="1" t="s">
        <v>77</v>
      </c>
      <c r="E40" s="1">
        <v>30.8</v>
      </c>
      <c r="F40" s="26"/>
      <c r="G40" s="26">
        <v>28.5</v>
      </c>
      <c r="H40" s="44"/>
      <c r="I40" s="44">
        <v>28.4</v>
      </c>
      <c r="J40" s="26">
        <v>28.9</v>
      </c>
      <c r="K40" s="26">
        <v>28.5</v>
      </c>
      <c r="L40" s="44">
        <v>28.9</v>
      </c>
      <c r="M40" s="44">
        <v>28.5</v>
      </c>
      <c r="N40" s="26"/>
      <c r="O40" s="26"/>
      <c r="P40" s="44">
        <v>28.7</v>
      </c>
      <c r="Q40" s="44">
        <v>28.3</v>
      </c>
    </row>
    <row r="41" spans="2:17" ht="20.100000000000001" customHeight="1" x14ac:dyDescent="0.25">
      <c r="B41" s="143"/>
      <c r="C41" s="2" t="s">
        <v>42</v>
      </c>
      <c r="D41" s="1" t="s">
        <v>77</v>
      </c>
      <c r="E41" s="1">
        <v>36.4</v>
      </c>
      <c r="F41" s="26"/>
      <c r="G41" s="26">
        <v>34.1</v>
      </c>
      <c r="H41" s="44"/>
      <c r="I41" s="44">
        <v>33.299999999999997</v>
      </c>
      <c r="J41" s="26">
        <v>34.5</v>
      </c>
      <c r="K41" s="26">
        <v>34</v>
      </c>
      <c r="L41" s="44">
        <v>34.4</v>
      </c>
      <c r="M41" s="44">
        <v>34.1</v>
      </c>
      <c r="N41" s="26"/>
      <c r="O41" s="26"/>
      <c r="P41" s="44">
        <v>34.6</v>
      </c>
      <c r="Q41" s="44">
        <v>34.1</v>
      </c>
    </row>
    <row r="42" spans="2:17" ht="20.100000000000001" customHeight="1" x14ac:dyDescent="0.25">
      <c r="B42" s="143"/>
      <c r="C42" s="2" t="s">
        <v>91</v>
      </c>
      <c r="D42" s="1" t="s">
        <v>77</v>
      </c>
      <c r="E42" s="1">
        <v>5.6</v>
      </c>
      <c r="F42" s="26"/>
      <c r="G42" s="26">
        <f>G41-G40</f>
        <v>5.6000000000000014</v>
      </c>
      <c r="H42" s="26">
        <f t="shared" ref="H42:Q42" si="4">H41-H40</f>
        <v>0</v>
      </c>
      <c r="I42" s="26">
        <f t="shared" si="4"/>
        <v>4.8999999999999986</v>
      </c>
      <c r="J42" s="26">
        <f>J41-J40</f>
        <v>5.6000000000000014</v>
      </c>
      <c r="K42" s="26">
        <f t="shared" si="4"/>
        <v>5.5</v>
      </c>
      <c r="L42" s="26">
        <f t="shared" si="4"/>
        <v>5.5</v>
      </c>
      <c r="M42" s="26">
        <f t="shared" si="4"/>
        <v>5.6000000000000014</v>
      </c>
      <c r="N42" s="26">
        <f t="shared" si="4"/>
        <v>0</v>
      </c>
      <c r="O42" s="26">
        <f t="shared" si="4"/>
        <v>0</v>
      </c>
      <c r="P42" s="26">
        <f t="shared" si="4"/>
        <v>5.9000000000000021</v>
      </c>
      <c r="Q42" s="26">
        <f t="shared" si="4"/>
        <v>5.8000000000000007</v>
      </c>
    </row>
    <row r="43" spans="2:17" ht="20.100000000000001" customHeight="1" x14ac:dyDescent="0.25">
      <c r="B43" s="143"/>
      <c r="C43" s="2" t="s">
        <v>43</v>
      </c>
      <c r="D43" s="1" t="s">
        <v>35</v>
      </c>
      <c r="E43" s="1">
        <v>1273.0999999999999</v>
      </c>
      <c r="F43" s="26"/>
      <c r="G43" s="26">
        <v>1219.3</v>
      </c>
      <c r="H43" s="44"/>
      <c r="I43" s="44">
        <v>1361.7</v>
      </c>
      <c r="J43" s="26">
        <v>1295.7</v>
      </c>
      <c r="K43" s="26">
        <v>1290.7</v>
      </c>
      <c r="L43" s="44">
        <v>1228.54</v>
      </c>
      <c r="M43" s="44">
        <v>1197</v>
      </c>
      <c r="N43" s="26"/>
      <c r="O43" s="26"/>
      <c r="P43" s="44">
        <v>1240.8800000000001</v>
      </c>
      <c r="Q43" s="44">
        <v>1214.0999999999999</v>
      </c>
    </row>
    <row r="44" spans="2:17" ht="20.100000000000001" customHeight="1" x14ac:dyDescent="0.25">
      <c r="B44" s="143"/>
      <c r="C44" s="2" t="s">
        <v>44</v>
      </c>
      <c r="D44" s="1" t="s">
        <v>34</v>
      </c>
      <c r="E44" s="1">
        <v>8226.9</v>
      </c>
      <c r="F44" s="54">
        <f>F42*F43/0.866</f>
        <v>0</v>
      </c>
      <c r="G44" s="54">
        <f>G42*G43/0.866</f>
        <v>7884.6189376443435</v>
      </c>
      <c r="H44" s="54">
        <f t="shared" ref="H44:Q44" si="5">H42*H43/0.866</f>
        <v>0</v>
      </c>
      <c r="I44" s="54">
        <f t="shared" si="5"/>
        <v>7704.7690531177805</v>
      </c>
      <c r="J44" s="54">
        <f t="shared" si="5"/>
        <v>8378.6605080831432</v>
      </c>
      <c r="K44" s="54">
        <f t="shared" si="5"/>
        <v>8197.2863741339497</v>
      </c>
      <c r="L44" s="54">
        <f t="shared" si="5"/>
        <v>7802.5057736720546</v>
      </c>
      <c r="M44" s="54">
        <f t="shared" si="5"/>
        <v>7740.4157043879932</v>
      </c>
      <c r="N44" s="54">
        <f t="shared" si="5"/>
        <v>0</v>
      </c>
      <c r="O44" s="54">
        <f t="shared" si="5"/>
        <v>0</v>
      </c>
      <c r="P44" s="54">
        <f t="shared" si="5"/>
        <v>8454.0323325635145</v>
      </c>
      <c r="Q44" s="54">
        <f t="shared" si="5"/>
        <v>8131.3856812933036</v>
      </c>
    </row>
    <row r="45" spans="2:17" ht="20.100000000000001" customHeight="1" x14ac:dyDescent="0.25">
      <c r="B45" s="143" t="s">
        <v>46</v>
      </c>
      <c r="C45" s="2" t="s">
        <v>47</v>
      </c>
      <c r="D45" s="1" t="s">
        <v>22</v>
      </c>
      <c r="E45" s="1" t="s">
        <v>92</v>
      </c>
      <c r="F45" s="26"/>
      <c r="G45" s="26">
        <v>0.46</v>
      </c>
      <c r="H45" s="44"/>
      <c r="I45" s="44">
        <v>0.46</v>
      </c>
      <c r="J45" s="26">
        <v>0.46</v>
      </c>
      <c r="K45" s="26">
        <v>0.45</v>
      </c>
      <c r="L45" s="44">
        <v>0.48</v>
      </c>
      <c r="M45" s="44">
        <v>0.47</v>
      </c>
      <c r="N45" s="26"/>
      <c r="O45" s="26"/>
      <c r="P45" s="44">
        <v>0.47</v>
      </c>
      <c r="Q45" s="44">
        <v>0.46</v>
      </c>
    </row>
    <row r="46" spans="2:17" ht="20.100000000000001" customHeight="1" x14ac:dyDescent="0.25">
      <c r="B46" s="143"/>
      <c r="C46" s="2" t="s">
        <v>48</v>
      </c>
      <c r="D46" s="1" t="s">
        <v>77</v>
      </c>
      <c r="E46" s="1" t="s">
        <v>85</v>
      </c>
      <c r="F46" s="26"/>
      <c r="G46" s="26">
        <v>19.5</v>
      </c>
      <c r="H46" s="44"/>
      <c r="I46" s="44">
        <v>19.3</v>
      </c>
      <c r="J46" s="26">
        <v>19.399999999999999</v>
      </c>
      <c r="K46" s="26">
        <v>19</v>
      </c>
      <c r="L46" s="44">
        <v>20.6</v>
      </c>
      <c r="M46" s="44">
        <v>20.3</v>
      </c>
      <c r="N46" s="26"/>
      <c r="O46" s="26"/>
      <c r="P46" s="44">
        <v>20.100000000000001</v>
      </c>
      <c r="Q46" s="44">
        <v>19.8</v>
      </c>
    </row>
    <row r="47" spans="2:17" ht="20.100000000000001" customHeight="1" x14ac:dyDescent="0.25">
      <c r="B47" s="143"/>
      <c r="C47" s="2" t="s">
        <v>40</v>
      </c>
      <c r="D47" s="1" t="s">
        <v>45</v>
      </c>
      <c r="E47" s="1" t="s">
        <v>45</v>
      </c>
      <c r="F47" s="26"/>
      <c r="G47" s="26">
        <v>206.9</v>
      </c>
      <c r="H47" s="44"/>
      <c r="I47" s="44">
        <v>123.4</v>
      </c>
      <c r="J47" s="26" t="s">
        <v>99</v>
      </c>
      <c r="K47" s="26">
        <v>201.8</v>
      </c>
      <c r="L47" s="44">
        <v>203.6</v>
      </c>
      <c r="M47" s="44">
        <v>215.3</v>
      </c>
      <c r="N47" s="26"/>
      <c r="O47" s="26"/>
      <c r="P47" s="44">
        <v>195.4</v>
      </c>
      <c r="Q47" s="44">
        <v>198.8</v>
      </c>
    </row>
    <row r="48" spans="2:17" ht="20.100000000000001" customHeight="1" x14ac:dyDescent="0.25">
      <c r="B48" s="156" t="s">
        <v>49</v>
      </c>
      <c r="C48" s="156"/>
      <c r="D48" s="156"/>
      <c r="E48" s="37" t="s">
        <v>93</v>
      </c>
      <c r="F48" s="26"/>
      <c r="G48" s="26"/>
      <c r="H48" s="44"/>
      <c r="I48" s="44"/>
      <c r="J48" s="26"/>
      <c r="K48" s="26"/>
      <c r="L48" s="44"/>
      <c r="M48" s="44"/>
      <c r="N48" s="26"/>
      <c r="O48" s="26"/>
      <c r="P48" s="44"/>
      <c r="Q48" s="44"/>
    </row>
    <row r="49" spans="2:17" ht="20.100000000000001" customHeight="1" x14ac:dyDescent="0.25">
      <c r="B49" s="156" t="s">
        <v>50</v>
      </c>
      <c r="C49" s="156"/>
      <c r="D49" s="156"/>
      <c r="E49" s="46">
        <v>5.89</v>
      </c>
      <c r="F49" s="26"/>
      <c r="G49" s="26">
        <v>5.75</v>
      </c>
      <c r="H49" s="44"/>
      <c r="I49" s="44">
        <v>5.41</v>
      </c>
      <c r="J49" s="26">
        <v>5.08</v>
      </c>
      <c r="K49" s="26">
        <v>5.46</v>
      </c>
      <c r="L49" s="44">
        <v>4.8</v>
      </c>
      <c r="M49" s="44">
        <v>5.3</v>
      </c>
      <c r="N49" s="26"/>
      <c r="O49" s="26"/>
      <c r="P49" s="44">
        <v>4.6500000000000004</v>
      </c>
      <c r="Q49" s="44">
        <v>5.19</v>
      </c>
    </row>
    <row r="50" spans="2:17" ht="20.100000000000001" customHeight="1" x14ac:dyDescent="0.25">
      <c r="B50" s="156" t="s">
        <v>51</v>
      </c>
      <c r="C50" s="156"/>
      <c r="D50" s="156"/>
      <c r="E50" s="46"/>
      <c r="F50" s="26"/>
      <c r="G50" s="26"/>
      <c r="H50" s="44"/>
      <c r="I50" s="44"/>
      <c r="J50" s="26"/>
      <c r="K50" s="26"/>
      <c r="L50" s="44"/>
      <c r="M50" s="44"/>
      <c r="N50" s="26"/>
      <c r="O50" s="26"/>
      <c r="P50" s="44"/>
      <c r="Q50" s="44"/>
    </row>
    <row r="51" spans="2:17" ht="20.100000000000001" customHeight="1" thickBot="1" x14ac:dyDescent="0.3">
      <c r="B51" s="156" t="s">
        <v>52</v>
      </c>
      <c r="C51" s="156"/>
      <c r="D51" s="156"/>
      <c r="E51" s="45"/>
      <c r="F51" s="26"/>
      <c r="G51" s="26"/>
      <c r="H51" s="44"/>
      <c r="I51" s="44"/>
      <c r="J51" s="26"/>
      <c r="K51" s="26"/>
      <c r="L51" s="44"/>
      <c r="M51" s="44"/>
      <c r="N51" s="26"/>
      <c r="O51" s="26"/>
      <c r="P51" s="44"/>
      <c r="Q51" s="44"/>
    </row>
    <row r="52" spans="2:17" x14ac:dyDescent="0.25">
      <c r="B52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/>
    </row>
    <row r="54" spans="2:17" x14ac:dyDescent="0.25">
      <c r="C54" s="20" t="s">
        <v>95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2"/>
    </row>
    <row r="55" spans="2:17" x14ac:dyDescent="0.25"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2"/>
    </row>
    <row r="56" spans="2:17" x14ac:dyDescent="0.25"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2"/>
    </row>
    <row r="57" spans="2:17" x14ac:dyDescent="0.25">
      <c r="C57" s="20" t="s">
        <v>69</v>
      </c>
      <c r="D57" s="21"/>
      <c r="E57" s="21"/>
      <c r="F57" s="32" t="b">
        <v>0</v>
      </c>
      <c r="G57" s="34" t="s">
        <v>79</v>
      </c>
      <c r="H57" s="21"/>
      <c r="I57" s="21"/>
      <c r="J57" s="21"/>
      <c r="K57" s="21"/>
      <c r="L57" s="21"/>
      <c r="M57" s="21"/>
      <c r="N57" s="21"/>
      <c r="O57" s="21"/>
      <c r="P57" s="21"/>
      <c r="Q57" s="22"/>
    </row>
    <row r="58" spans="2:17" x14ac:dyDescent="0.25">
      <c r="C58" s="20" t="s">
        <v>69</v>
      </c>
      <c r="D58" s="21"/>
      <c r="E58" s="21"/>
      <c r="F58" s="26" t="s">
        <v>70</v>
      </c>
      <c r="G58" s="33" t="s">
        <v>71</v>
      </c>
      <c r="H58" s="21"/>
      <c r="I58" s="21"/>
      <c r="J58" s="21"/>
      <c r="K58" s="21"/>
      <c r="L58" s="21"/>
      <c r="M58" s="21"/>
      <c r="N58" s="21"/>
      <c r="O58" s="21"/>
      <c r="P58" s="21"/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1F13B-5FB2-4E66-A3BE-7A7AA5EAD8FA}">
  <dimension ref="B1:Q59"/>
  <sheetViews>
    <sheetView view="pageBreakPreview" topLeftCell="A7" zoomScale="80" zoomScaleNormal="60" zoomScaleSheetLayoutView="80" workbookViewId="0">
      <selection activeCell="H36" sqref="H36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7" t="s">
        <v>64</v>
      </c>
      <c r="O2" s="8"/>
      <c r="P2" s="8"/>
      <c r="Q2" s="9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13" t="s">
        <v>63</v>
      </c>
      <c r="O3" s="14" t="s">
        <v>96</v>
      </c>
      <c r="P3" s="14"/>
      <c r="Q3" s="15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13" t="s">
        <v>62</v>
      </c>
      <c r="O4" s="14"/>
      <c r="P4" s="14"/>
      <c r="Q4" s="15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10" t="s">
        <v>61</v>
      </c>
      <c r="O5" s="11"/>
      <c r="P5" s="11"/>
      <c r="Q5" s="12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3">
        <v>0.375</v>
      </c>
      <c r="G9" s="4" t="s">
        <v>60</v>
      </c>
      <c r="H9" s="5">
        <v>0.375</v>
      </c>
      <c r="I9" s="6" t="s">
        <v>60</v>
      </c>
      <c r="J9" s="3">
        <v>0.375</v>
      </c>
      <c r="K9" s="4" t="s">
        <v>60</v>
      </c>
      <c r="L9" s="5">
        <v>0.375</v>
      </c>
      <c r="M9" s="6" t="s">
        <v>60</v>
      </c>
      <c r="N9" s="3">
        <v>0.375</v>
      </c>
      <c r="O9" s="4" t="s">
        <v>60</v>
      </c>
      <c r="P9" s="5">
        <v>0.375</v>
      </c>
      <c r="Q9" s="6" t="s">
        <v>60</v>
      </c>
    </row>
    <row r="10" spans="2:17" ht="26.25" customHeight="1" x14ac:dyDescent="0.25">
      <c r="B10" s="134" t="s">
        <v>66</v>
      </c>
      <c r="C10" s="135"/>
      <c r="D10" s="46" t="s">
        <v>78</v>
      </c>
      <c r="E10" s="27"/>
      <c r="F10" s="40" t="s">
        <v>100</v>
      </c>
      <c r="G10" s="41" t="s">
        <v>100</v>
      </c>
      <c r="H10" s="42" t="s">
        <v>100</v>
      </c>
      <c r="I10" s="43" t="s">
        <v>100</v>
      </c>
      <c r="J10" s="40"/>
      <c r="K10" s="41" t="s">
        <v>100</v>
      </c>
      <c r="L10" s="42" t="s">
        <v>100</v>
      </c>
      <c r="M10" s="43" t="s">
        <v>100</v>
      </c>
      <c r="N10" s="40"/>
      <c r="O10" s="41"/>
      <c r="P10" s="42"/>
      <c r="Q10" s="43" t="s">
        <v>100</v>
      </c>
    </row>
    <row r="11" spans="2:17" ht="20.100000000000001" customHeight="1" x14ac:dyDescent="0.25">
      <c r="B11" s="156" t="s">
        <v>2</v>
      </c>
      <c r="C11" s="156"/>
      <c r="D11" s="1" t="s">
        <v>4</v>
      </c>
      <c r="E11" s="1" t="s">
        <v>80</v>
      </c>
      <c r="F11" s="26">
        <v>70.5</v>
      </c>
      <c r="G11" s="26">
        <v>71.400000000000006</v>
      </c>
      <c r="H11" s="44">
        <v>76.599999999999994</v>
      </c>
      <c r="I11" s="44">
        <v>76.599999999999994</v>
      </c>
      <c r="J11" s="26"/>
      <c r="K11" s="26">
        <v>74.7</v>
      </c>
      <c r="L11" s="44">
        <v>73.2</v>
      </c>
      <c r="M11" s="44">
        <v>73.2</v>
      </c>
      <c r="N11" s="26"/>
      <c r="O11" s="26"/>
      <c r="P11" s="44"/>
      <c r="Q11" s="44">
        <v>76.900000000000006</v>
      </c>
    </row>
    <row r="12" spans="2:17" ht="20.100000000000001" customHeight="1" x14ac:dyDescent="0.25">
      <c r="B12" s="156" t="s">
        <v>3</v>
      </c>
      <c r="C12" s="156"/>
      <c r="D12" s="1" t="s">
        <v>4</v>
      </c>
      <c r="E12" s="1" t="s">
        <v>80</v>
      </c>
      <c r="F12" s="26">
        <v>0.3</v>
      </c>
      <c r="G12" s="26">
        <v>0.2</v>
      </c>
      <c r="H12" s="44">
        <v>0</v>
      </c>
      <c r="I12" s="44">
        <v>0</v>
      </c>
      <c r="J12" s="26"/>
      <c r="K12" s="26">
        <v>0</v>
      </c>
      <c r="L12" s="44">
        <v>0.2</v>
      </c>
      <c r="M12" s="44">
        <v>0.2</v>
      </c>
      <c r="N12" s="26"/>
      <c r="O12" s="26"/>
      <c r="P12" s="44"/>
      <c r="Q12" s="44">
        <v>0.3</v>
      </c>
    </row>
    <row r="13" spans="2:17" ht="20.100000000000001" customHeight="1" x14ac:dyDescent="0.25">
      <c r="B13" s="156" t="s">
        <v>5</v>
      </c>
      <c r="C13" s="156"/>
      <c r="D13" s="1" t="s">
        <v>4</v>
      </c>
      <c r="E13" s="1" t="s">
        <v>80</v>
      </c>
      <c r="F13" s="26">
        <v>66.2</v>
      </c>
      <c r="G13" s="26">
        <v>66.2</v>
      </c>
      <c r="H13" s="44">
        <v>72</v>
      </c>
      <c r="I13" s="44">
        <v>72</v>
      </c>
      <c r="J13" s="26"/>
      <c r="K13" s="26">
        <v>69.400000000000006</v>
      </c>
      <c r="L13" s="44">
        <v>68.3</v>
      </c>
      <c r="M13" s="44">
        <v>68.3</v>
      </c>
      <c r="N13" s="26"/>
      <c r="O13" s="26"/>
      <c r="P13" s="44"/>
      <c r="Q13" s="44">
        <v>72.2</v>
      </c>
    </row>
    <row r="14" spans="2:17" ht="20.100000000000001" customHeight="1" x14ac:dyDescent="0.25">
      <c r="B14" s="156" t="s">
        <v>6</v>
      </c>
      <c r="C14" s="156"/>
      <c r="D14" s="1" t="s">
        <v>4</v>
      </c>
      <c r="E14" s="1" t="s">
        <v>80</v>
      </c>
      <c r="F14" s="26">
        <v>64.099999999999994</v>
      </c>
      <c r="G14" s="26">
        <v>63.7</v>
      </c>
      <c r="H14" s="44">
        <v>67</v>
      </c>
      <c r="I14" s="44">
        <v>65.900000000000006</v>
      </c>
      <c r="J14" s="26"/>
      <c r="K14" s="26">
        <v>62</v>
      </c>
      <c r="L14" s="44">
        <v>63.7</v>
      </c>
      <c r="M14" s="44">
        <v>64.599999999999994</v>
      </c>
      <c r="N14" s="26"/>
      <c r="O14" s="26"/>
      <c r="P14" s="44"/>
      <c r="Q14" s="44">
        <v>71.5</v>
      </c>
    </row>
    <row r="15" spans="2:17" ht="20.100000000000001" customHeight="1" x14ac:dyDescent="0.25">
      <c r="B15" s="156" t="s">
        <v>7</v>
      </c>
      <c r="C15" s="156"/>
      <c r="D15" s="1" t="s">
        <v>4</v>
      </c>
      <c r="E15" s="1" t="s">
        <v>80</v>
      </c>
      <c r="F15" s="26">
        <v>56.3</v>
      </c>
      <c r="G15" s="26">
        <v>53.8</v>
      </c>
      <c r="H15" s="44">
        <v>46.2</v>
      </c>
      <c r="I15" s="44">
        <v>48.7</v>
      </c>
      <c r="J15" s="26"/>
      <c r="K15" s="26">
        <v>36.5</v>
      </c>
      <c r="L15" s="44">
        <v>30.6</v>
      </c>
      <c r="M15" s="44">
        <v>34.700000000000003</v>
      </c>
      <c r="N15" s="26"/>
      <c r="O15" s="26"/>
      <c r="P15" s="44"/>
      <c r="Q15" s="44">
        <v>39.200000000000003</v>
      </c>
    </row>
    <row r="16" spans="2:17" ht="20.100000000000001" customHeight="1" x14ac:dyDescent="0.25">
      <c r="B16" s="143" t="s">
        <v>8</v>
      </c>
      <c r="C16" s="2" t="s">
        <v>9</v>
      </c>
      <c r="D16" s="1" t="s">
        <v>12</v>
      </c>
      <c r="E16" s="1" t="s">
        <v>81</v>
      </c>
      <c r="F16" s="26">
        <v>6.6</v>
      </c>
      <c r="G16" s="26">
        <v>6.6</v>
      </c>
      <c r="H16" s="26">
        <v>6.6</v>
      </c>
      <c r="I16" s="26">
        <v>6.6</v>
      </c>
      <c r="J16" s="26">
        <v>6.6</v>
      </c>
      <c r="K16" s="26">
        <v>6.6</v>
      </c>
      <c r="L16" s="26">
        <v>6.6</v>
      </c>
      <c r="M16" s="26">
        <v>6.6</v>
      </c>
      <c r="N16" s="26">
        <v>6.6</v>
      </c>
      <c r="O16" s="26">
        <v>6.6</v>
      </c>
      <c r="P16" s="26">
        <v>6.6</v>
      </c>
      <c r="Q16" s="26">
        <v>6.6</v>
      </c>
    </row>
    <row r="17" spans="2:17" ht="20.100000000000001" customHeight="1" x14ac:dyDescent="0.25">
      <c r="B17" s="143"/>
      <c r="C17" s="2" t="s">
        <v>10</v>
      </c>
      <c r="D17" s="1" t="s">
        <v>13</v>
      </c>
      <c r="E17" s="1" t="s">
        <v>82</v>
      </c>
      <c r="F17" s="26">
        <v>118.8</v>
      </c>
      <c r="G17" s="26">
        <v>117.9</v>
      </c>
      <c r="H17" s="44">
        <v>117.2</v>
      </c>
      <c r="I17" s="44">
        <v>117.6</v>
      </c>
      <c r="J17" s="26"/>
      <c r="K17" s="26">
        <v>118.3</v>
      </c>
      <c r="L17" s="44">
        <v>118.9</v>
      </c>
      <c r="M17" s="44">
        <v>119.4</v>
      </c>
      <c r="N17" s="26"/>
      <c r="O17" s="26"/>
      <c r="P17" s="44"/>
      <c r="Q17" s="44">
        <v>119.3</v>
      </c>
    </row>
    <row r="18" spans="2:17" ht="20.100000000000001" customHeight="1" x14ac:dyDescent="0.25">
      <c r="B18" s="143"/>
      <c r="C18" s="2" t="s">
        <v>11</v>
      </c>
      <c r="D18" s="1" t="s">
        <v>14</v>
      </c>
      <c r="E18" s="1" t="s">
        <v>83</v>
      </c>
      <c r="F18" s="26">
        <v>1163</v>
      </c>
      <c r="G18" s="26">
        <v>1163</v>
      </c>
      <c r="H18" s="44">
        <v>1184</v>
      </c>
      <c r="I18" s="44">
        <v>1195</v>
      </c>
      <c r="J18" s="26"/>
      <c r="K18" s="26">
        <v>1213</v>
      </c>
      <c r="L18" s="44">
        <v>1212</v>
      </c>
      <c r="M18" s="44">
        <v>1214</v>
      </c>
      <c r="N18" s="26"/>
      <c r="O18" s="26"/>
      <c r="P18" s="44"/>
      <c r="Q18" s="44">
        <v>1213</v>
      </c>
    </row>
    <row r="19" spans="2:17" ht="20.100000000000001" customHeight="1" x14ac:dyDescent="0.25">
      <c r="B19" s="143" t="s">
        <v>24</v>
      </c>
      <c r="C19" s="2" t="s">
        <v>15</v>
      </c>
      <c r="D19" s="1" t="s">
        <v>16</v>
      </c>
      <c r="E19" s="35" t="s">
        <v>84</v>
      </c>
      <c r="F19" s="26">
        <v>45740.3</v>
      </c>
      <c r="G19" s="26">
        <v>45730</v>
      </c>
      <c r="H19" s="44">
        <v>46495.3</v>
      </c>
      <c r="I19" s="44">
        <v>46485</v>
      </c>
      <c r="J19" s="26"/>
      <c r="K19" s="26">
        <v>44288</v>
      </c>
      <c r="L19" s="44">
        <v>46511.1</v>
      </c>
      <c r="M19" s="44">
        <v>46501</v>
      </c>
      <c r="N19" s="26"/>
      <c r="O19" s="26"/>
      <c r="P19" s="44"/>
      <c r="Q19" s="44">
        <v>47629</v>
      </c>
    </row>
    <row r="20" spans="2:17" ht="20.100000000000001" customHeight="1" x14ac:dyDescent="0.25">
      <c r="B20" s="143"/>
      <c r="C20" s="2" t="s">
        <v>17</v>
      </c>
      <c r="D20" s="1" t="s">
        <v>77</v>
      </c>
      <c r="E20" s="1" t="s">
        <v>85</v>
      </c>
      <c r="F20" s="26"/>
      <c r="G20" s="26"/>
      <c r="H20" s="44"/>
      <c r="I20" s="44"/>
      <c r="J20" s="26"/>
      <c r="K20" s="26"/>
      <c r="L20" s="44"/>
      <c r="M20" s="44"/>
      <c r="N20" s="26"/>
      <c r="O20" s="26"/>
      <c r="P20" s="44"/>
      <c r="Q20" s="44"/>
    </row>
    <row r="21" spans="2:17" ht="20.100000000000001" customHeight="1" x14ac:dyDescent="0.25">
      <c r="B21" s="143"/>
      <c r="C21" s="2" t="s">
        <v>18</v>
      </c>
      <c r="D21" s="1" t="s">
        <v>77</v>
      </c>
      <c r="E21" s="1" t="s">
        <v>75</v>
      </c>
      <c r="F21" s="26"/>
      <c r="G21" s="26"/>
      <c r="H21" s="44"/>
      <c r="I21" s="44"/>
      <c r="J21" s="26"/>
      <c r="K21" s="26"/>
      <c r="L21" s="44"/>
      <c r="M21" s="44"/>
      <c r="N21" s="26"/>
      <c r="O21" s="26"/>
      <c r="P21" s="44"/>
      <c r="Q21" s="44"/>
    </row>
    <row r="22" spans="2:17" ht="20.100000000000001" customHeight="1" x14ac:dyDescent="0.25">
      <c r="B22" s="143"/>
      <c r="C22" s="2" t="s">
        <v>19</v>
      </c>
      <c r="D22" s="1" t="s">
        <v>77</v>
      </c>
      <c r="E22" s="1" t="s">
        <v>73</v>
      </c>
      <c r="F22" s="26">
        <v>58.6</v>
      </c>
      <c r="G22" s="26">
        <v>58.5</v>
      </c>
      <c r="H22" s="44">
        <v>59.3</v>
      </c>
      <c r="I22" s="44">
        <v>59.2</v>
      </c>
      <c r="J22" s="26"/>
      <c r="K22" s="26">
        <v>57.8</v>
      </c>
      <c r="L22" s="44">
        <v>57.4</v>
      </c>
      <c r="M22" s="44">
        <v>57.2</v>
      </c>
      <c r="N22" s="26"/>
      <c r="O22" s="26"/>
      <c r="P22" s="44"/>
      <c r="Q22" s="44">
        <v>59.3</v>
      </c>
    </row>
    <row r="23" spans="2:17" ht="60" x14ac:dyDescent="0.25">
      <c r="B23" s="143"/>
      <c r="C23" s="30" t="s">
        <v>20</v>
      </c>
      <c r="D23" s="26" t="s">
        <v>22</v>
      </c>
      <c r="E23" s="29" t="s">
        <v>76</v>
      </c>
      <c r="F23" s="26">
        <v>0.53</v>
      </c>
      <c r="G23" s="26">
        <v>0.52</v>
      </c>
      <c r="H23" s="44">
        <v>0.49</v>
      </c>
      <c r="I23" s="44">
        <v>0.49</v>
      </c>
      <c r="J23" s="26"/>
      <c r="K23" s="26">
        <v>0.59</v>
      </c>
      <c r="L23" s="44">
        <v>0.54</v>
      </c>
      <c r="M23" s="44">
        <v>0.54</v>
      </c>
      <c r="N23" s="26"/>
      <c r="O23" s="26"/>
      <c r="P23" s="44"/>
      <c r="Q23" s="44">
        <v>0.48</v>
      </c>
    </row>
    <row r="24" spans="2:17" ht="39.75" customHeight="1" x14ac:dyDescent="0.25">
      <c r="B24" s="143"/>
      <c r="C24" s="30" t="s">
        <v>21</v>
      </c>
      <c r="D24" s="1"/>
      <c r="E24" s="1"/>
      <c r="F24" s="26"/>
      <c r="G24" s="26"/>
      <c r="H24" s="44"/>
      <c r="I24" s="44"/>
      <c r="J24" s="26"/>
      <c r="K24" s="26"/>
      <c r="L24" s="44"/>
      <c r="M24" s="44"/>
      <c r="N24" s="26"/>
      <c r="O24" s="26"/>
      <c r="P24" s="44"/>
      <c r="Q24" s="44"/>
    </row>
    <row r="25" spans="2:17" ht="20.100000000000001" customHeight="1" x14ac:dyDescent="0.25">
      <c r="B25" s="143"/>
      <c r="C25" s="2" t="s">
        <v>23</v>
      </c>
      <c r="D25" s="1" t="s">
        <v>77</v>
      </c>
      <c r="E25" s="1" t="s">
        <v>74</v>
      </c>
      <c r="F25" s="26">
        <v>45.7</v>
      </c>
      <c r="G25" s="26">
        <v>44.7</v>
      </c>
      <c r="H25" s="44">
        <v>44.9</v>
      </c>
      <c r="I25" s="44">
        <v>45</v>
      </c>
      <c r="J25" s="26"/>
      <c r="K25" s="26">
        <v>44.8</v>
      </c>
      <c r="L25" s="44">
        <v>44.9</v>
      </c>
      <c r="M25" s="44">
        <v>45</v>
      </c>
      <c r="N25" s="26"/>
      <c r="O25" s="26"/>
      <c r="P25" s="44"/>
      <c r="Q25" s="44">
        <v>45</v>
      </c>
    </row>
    <row r="26" spans="2:17" ht="20.100000000000001" customHeight="1" x14ac:dyDescent="0.25">
      <c r="B26" s="143" t="s">
        <v>25</v>
      </c>
      <c r="C26" s="2" t="s">
        <v>26</v>
      </c>
      <c r="D26" s="1" t="s">
        <v>22</v>
      </c>
      <c r="E26" s="36" t="s">
        <v>86</v>
      </c>
      <c r="F26" s="26">
        <v>0.23</v>
      </c>
      <c r="G26" s="26">
        <v>0.23</v>
      </c>
      <c r="H26" s="44">
        <v>0.22</v>
      </c>
      <c r="I26" s="44">
        <v>0.22</v>
      </c>
      <c r="J26" s="26"/>
      <c r="K26" s="26">
        <v>0.23</v>
      </c>
      <c r="L26" s="44">
        <v>0.23</v>
      </c>
      <c r="M26" s="44">
        <v>0.23</v>
      </c>
      <c r="N26" s="26"/>
      <c r="O26" s="26"/>
      <c r="P26" s="44"/>
      <c r="Q26" s="44">
        <v>0.23</v>
      </c>
    </row>
    <row r="27" spans="2:17" ht="20.100000000000001" customHeight="1" x14ac:dyDescent="0.25">
      <c r="B27" s="143"/>
      <c r="C27" s="2" t="s">
        <v>27</v>
      </c>
      <c r="D27" s="1" t="s">
        <v>77</v>
      </c>
      <c r="E27" s="1" t="s">
        <v>85</v>
      </c>
      <c r="F27" s="26">
        <v>4.5999999999999996</v>
      </c>
      <c r="G27" s="26">
        <v>4.4000000000000004</v>
      </c>
      <c r="H27" s="44">
        <v>3.9</v>
      </c>
      <c r="I27" s="44">
        <v>3.9</v>
      </c>
      <c r="J27" s="26"/>
      <c r="K27" s="26">
        <v>4.5999999999999996</v>
      </c>
      <c r="L27" s="44">
        <v>4.8</v>
      </c>
      <c r="M27" s="44">
        <v>4.5999999999999996</v>
      </c>
      <c r="N27" s="26"/>
      <c r="O27" s="26"/>
      <c r="P27" s="44"/>
      <c r="Q27" s="44">
        <v>4.4000000000000004</v>
      </c>
    </row>
    <row r="28" spans="2:17" ht="20.100000000000001" customHeight="1" x14ac:dyDescent="0.25">
      <c r="B28" s="143"/>
      <c r="C28" s="2" t="s">
        <v>28</v>
      </c>
      <c r="D28" s="1" t="s">
        <v>77</v>
      </c>
      <c r="E28" s="1" t="s">
        <v>85</v>
      </c>
      <c r="F28" s="26">
        <v>4.0999999999999996</v>
      </c>
      <c r="G28" s="26">
        <v>3.8</v>
      </c>
      <c r="H28" s="44">
        <v>2.9</v>
      </c>
      <c r="I28" s="44">
        <v>2.9</v>
      </c>
      <c r="J28" s="26"/>
      <c r="K28" s="26">
        <v>3.6</v>
      </c>
      <c r="L28" s="44">
        <v>3.5</v>
      </c>
      <c r="M28" s="44">
        <v>3.6</v>
      </c>
      <c r="N28" s="26"/>
      <c r="O28" s="26"/>
      <c r="P28" s="44"/>
      <c r="Q28" s="44">
        <v>3.7</v>
      </c>
    </row>
    <row r="29" spans="2:17" ht="20.100000000000001" customHeight="1" x14ac:dyDescent="0.25">
      <c r="B29" s="143"/>
      <c r="C29" s="2" t="s">
        <v>98</v>
      </c>
      <c r="D29" s="1" t="s">
        <v>77</v>
      </c>
      <c r="E29" s="1" t="s">
        <v>85</v>
      </c>
      <c r="F29" s="53">
        <f>F32-F27</f>
        <v>0.40000000000000036</v>
      </c>
      <c r="G29" s="53">
        <f t="shared" ref="G29:Q29" si="0">G32-G27</f>
        <v>0.39999999999999947</v>
      </c>
      <c r="H29" s="53">
        <f t="shared" si="0"/>
        <v>1.3000000000000003</v>
      </c>
      <c r="I29" s="53">
        <f t="shared" si="0"/>
        <v>1.1000000000000001</v>
      </c>
      <c r="J29" s="53">
        <f t="shared" si="0"/>
        <v>0</v>
      </c>
      <c r="K29" s="53">
        <f t="shared" si="0"/>
        <v>-0.29999999999999982</v>
      </c>
      <c r="L29" s="53">
        <f t="shared" si="0"/>
        <v>0.20000000000000018</v>
      </c>
      <c r="M29" s="53">
        <f t="shared" si="0"/>
        <v>0.30000000000000071</v>
      </c>
      <c r="N29" s="53">
        <f t="shared" si="0"/>
        <v>0</v>
      </c>
      <c r="O29" s="53">
        <f t="shared" si="0"/>
        <v>0</v>
      </c>
      <c r="P29" s="53">
        <f t="shared" si="0"/>
        <v>0</v>
      </c>
      <c r="Q29" s="53">
        <f t="shared" si="0"/>
        <v>0.69999999999999929</v>
      </c>
    </row>
    <row r="30" spans="2:17" ht="20.100000000000001" customHeight="1" x14ac:dyDescent="0.25">
      <c r="B30" s="143"/>
      <c r="C30" s="2" t="s">
        <v>29</v>
      </c>
      <c r="D30" s="1" t="s">
        <v>35</v>
      </c>
      <c r="E30" s="1" t="s">
        <v>87</v>
      </c>
      <c r="F30" s="26">
        <v>744.3</v>
      </c>
      <c r="G30" s="26">
        <v>700</v>
      </c>
      <c r="H30" s="44">
        <v>718.6</v>
      </c>
      <c r="I30" s="44">
        <v>674</v>
      </c>
      <c r="J30" s="26"/>
      <c r="K30" s="26">
        <v>660</v>
      </c>
      <c r="L30" s="44">
        <v>746</v>
      </c>
      <c r="M30" s="44">
        <v>702</v>
      </c>
      <c r="N30" s="26"/>
      <c r="O30" s="26"/>
      <c r="P30" s="44"/>
      <c r="Q30" s="44">
        <v>687</v>
      </c>
    </row>
    <row r="31" spans="2:17" ht="20.100000000000001" customHeight="1" x14ac:dyDescent="0.25">
      <c r="B31" s="143"/>
      <c r="C31" s="2" t="s">
        <v>30</v>
      </c>
      <c r="D31" s="1" t="s">
        <v>77</v>
      </c>
      <c r="E31" s="1">
        <v>13.5</v>
      </c>
      <c r="F31" s="26">
        <v>13</v>
      </c>
      <c r="G31" s="26">
        <v>13</v>
      </c>
      <c r="H31" s="44">
        <v>12.9</v>
      </c>
      <c r="I31" s="44">
        <v>13.2</v>
      </c>
      <c r="J31" s="26"/>
      <c r="K31" s="26">
        <v>13.1</v>
      </c>
      <c r="L31" s="44">
        <v>13</v>
      </c>
      <c r="M31" s="44">
        <v>13.3</v>
      </c>
      <c r="N31" s="26"/>
      <c r="O31" s="26"/>
      <c r="P31" s="44"/>
      <c r="Q31" s="44">
        <v>13.3</v>
      </c>
    </row>
    <row r="32" spans="2:17" ht="20.100000000000001" customHeight="1" x14ac:dyDescent="0.25">
      <c r="B32" s="143"/>
      <c r="C32" s="2" t="s">
        <v>31</v>
      </c>
      <c r="D32" s="1" t="s">
        <v>77</v>
      </c>
      <c r="E32" s="1">
        <v>4</v>
      </c>
      <c r="F32" s="26">
        <v>5</v>
      </c>
      <c r="G32" s="26">
        <v>4.8</v>
      </c>
      <c r="H32" s="44">
        <v>5.2</v>
      </c>
      <c r="I32" s="44">
        <v>5</v>
      </c>
      <c r="J32" s="26"/>
      <c r="K32" s="26">
        <v>4.3</v>
      </c>
      <c r="L32" s="44">
        <v>5</v>
      </c>
      <c r="M32" s="44">
        <v>4.9000000000000004</v>
      </c>
      <c r="N32" s="26"/>
      <c r="O32" s="26"/>
      <c r="P32" s="44"/>
      <c r="Q32" s="44">
        <v>5.0999999999999996</v>
      </c>
    </row>
    <row r="33" spans="2:17" ht="20.100000000000001" customHeight="1" x14ac:dyDescent="0.25">
      <c r="B33" s="143"/>
      <c r="C33" s="2" t="s">
        <v>32</v>
      </c>
      <c r="D33" s="1" t="s">
        <v>77</v>
      </c>
      <c r="E33" s="1">
        <v>9.5</v>
      </c>
      <c r="F33" s="53">
        <f>F31-F32</f>
        <v>8</v>
      </c>
      <c r="G33" s="53">
        <f>G31-G32</f>
        <v>8.1999999999999993</v>
      </c>
      <c r="H33" s="53">
        <f t="shared" ref="H33:Q33" si="1">H31-H32</f>
        <v>7.7</v>
      </c>
      <c r="I33" s="53">
        <f t="shared" si="1"/>
        <v>8.1999999999999993</v>
      </c>
      <c r="J33" s="53">
        <f t="shared" si="1"/>
        <v>0</v>
      </c>
      <c r="K33" s="53">
        <f t="shared" si="1"/>
        <v>8.8000000000000007</v>
      </c>
      <c r="L33" s="53">
        <f t="shared" si="1"/>
        <v>8</v>
      </c>
      <c r="M33" s="53">
        <f t="shared" si="1"/>
        <v>8.4</v>
      </c>
      <c r="N33" s="53">
        <f t="shared" si="1"/>
        <v>0</v>
      </c>
      <c r="O33" s="53">
        <f t="shared" si="1"/>
        <v>0</v>
      </c>
      <c r="P33" s="53">
        <f t="shared" si="1"/>
        <v>0</v>
      </c>
      <c r="Q33" s="53">
        <f t="shared" si="1"/>
        <v>8.2000000000000011</v>
      </c>
    </row>
    <row r="34" spans="2:17" ht="20.100000000000001" customHeight="1" x14ac:dyDescent="0.25">
      <c r="B34" s="143"/>
      <c r="C34" s="2" t="s">
        <v>33</v>
      </c>
      <c r="D34" s="1" t="s">
        <v>34</v>
      </c>
      <c r="E34" s="1" t="s">
        <v>88</v>
      </c>
      <c r="F34" s="53">
        <f>(F30*F33)/0.866</f>
        <v>6875.7505773672056</v>
      </c>
      <c r="G34" s="54">
        <f>(G33*G30)/0.866</f>
        <v>6628.1755196304839</v>
      </c>
      <c r="H34" s="54">
        <f t="shared" ref="H34:Q34" si="2">(H33*H30)/0.866</f>
        <v>6389.3995381062359</v>
      </c>
      <c r="I34" s="54">
        <f t="shared" si="2"/>
        <v>6381.9861431870659</v>
      </c>
      <c r="J34" s="54">
        <f t="shared" si="2"/>
        <v>0</v>
      </c>
      <c r="K34" s="54">
        <f t="shared" si="2"/>
        <v>6706.6974595842967</v>
      </c>
      <c r="L34" s="54">
        <f t="shared" si="2"/>
        <v>6891.4549653579679</v>
      </c>
      <c r="M34" s="54">
        <f t="shared" si="2"/>
        <v>6809.2378752886834</v>
      </c>
      <c r="N34" s="54">
        <f t="shared" si="2"/>
        <v>0</v>
      </c>
      <c r="O34" s="54">
        <f t="shared" si="2"/>
        <v>0</v>
      </c>
      <c r="P34" s="54">
        <f t="shared" si="2"/>
        <v>0</v>
      </c>
      <c r="Q34" s="54">
        <f t="shared" si="2"/>
        <v>6505.0808314087762</v>
      </c>
    </row>
    <row r="35" spans="2:17" ht="20.100000000000001" customHeight="1" x14ac:dyDescent="0.25">
      <c r="B35" s="143" t="s">
        <v>36</v>
      </c>
      <c r="C35" s="2" t="s">
        <v>37</v>
      </c>
      <c r="D35" s="1" t="s">
        <v>22</v>
      </c>
      <c r="E35" s="1" t="s">
        <v>89</v>
      </c>
      <c r="F35" s="26">
        <v>0.84</v>
      </c>
      <c r="G35" s="26">
        <v>0.83</v>
      </c>
      <c r="H35" s="44">
        <v>0.87</v>
      </c>
      <c r="I35" s="44">
        <v>0.87</v>
      </c>
      <c r="J35" s="26"/>
      <c r="K35" s="26">
        <v>0.85</v>
      </c>
      <c r="L35" s="44">
        <v>0.87</v>
      </c>
      <c r="M35" s="44">
        <v>0.86</v>
      </c>
      <c r="N35" s="26"/>
      <c r="O35" s="26"/>
      <c r="P35" s="44"/>
      <c r="Q35" s="44">
        <v>0.83</v>
      </c>
    </row>
    <row r="36" spans="2:17" ht="20.100000000000001" customHeight="1" x14ac:dyDescent="0.25">
      <c r="B36" s="143"/>
      <c r="C36" s="2" t="s">
        <v>38</v>
      </c>
      <c r="D36" s="1" t="s">
        <v>77</v>
      </c>
      <c r="E36" s="1" t="s">
        <v>85</v>
      </c>
      <c r="F36" s="26">
        <v>37.1</v>
      </c>
      <c r="G36" s="26">
        <v>36.799999999999997</v>
      </c>
      <c r="H36" s="44">
        <v>37.799999999999997</v>
      </c>
      <c r="I36" s="44">
        <v>37.5</v>
      </c>
      <c r="J36" s="26"/>
      <c r="K36" s="26">
        <v>36.9</v>
      </c>
      <c r="L36" s="44">
        <v>38</v>
      </c>
      <c r="M36" s="44">
        <v>37.9</v>
      </c>
      <c r="N36" s="26"/>
      <c r="O36" s="26"/>
      <c r="P36" s="44"/>
      <c r="Q36" s="44">
        <v>37.1</v>
      </c>
    </row>
    <row r="37" spans="2:17" ht="20.100000000000001" customHeight="1" x14ac:dyDescent="0.25">
      <c r="B37" s="143"/>
      <c r="C37" s="2" t="s">
        <v>39</v>
      </c>
      <c r="D37" s="1" t="s">
        <v>77</v>
      </c>
      <c r="E37" s="1" t="s">
        <v>85</v>
      </c>
      <c r="F37" s="26">
        <v>37.299999999999997</v>
      </c>
      <c r="G37" s="26">
        <v>37</v>
      </c>
      <c r="H37" s="44">
        <v>38.5</v>
      </c>
      <c r="I37" s="44">
        <v>38.299999999999997</v>
      </c>
      <c r="J37" s="26"/>
      <c r="K37" s="26">
        <v>37.6</v>
      </c>
      <c r="L37" s="44">
        <v>38.4</v>
      </c>
      <c r="M37" s="44">
        <v>38.299999999999997</v>
      </c>
      <c r="N37" s="26"/>
      <c r="O37" s="26"/>
      <c r="P37" s="44"/>
      <c r="Q37" s="44">
        <v>37.200000000000003</v>
      </c>
    </row>
    <row r="38" spans="2:17" ht="20.100000000000001" customHeight="1" x14ac:dyDescent="0.25">
      <c r="B38" s="143"/>
      <c r="C38" s="30" t="s">
        <v>97</v>
      </c>
      <c r="D38" s="1" t="s">
        <v>77</v>
      </c>
      <c r="E38" s="1"/>
      <c r="F38" s="53">
        <f>F37-F41</f>
        <v>2.0999999999999943</v>
      </c>
      <c r="G38" s="53">
        <f t="shared" ref="G38:Q38" si="3">G37-G41</f>
        <v>1.8999999999999986</v>
      </c>
      <c r="H38" s="53">
        <f t="shared" si="3"/>
        <v>4.2000000000000028</v>
      </c>
      <c r="I38" s="53">
        <f t="shared" si="3"/>
        <v>4.0999999999999943</v>
      </c>
      <c r="J38" s="53">
        <f t="shared" si="3"/>
        <v>0</v>
      </c>
      <c r="K38" s="53">
        <f t="shared" si="3"/>
        <v>2.7000000000000028</v>
      </c>
      <c r="L38" s="53">
        <f t="shared" si="3"/>
        <v>3.3999999999999986</v>
      </c>
      <c r="M38" s="53">
        <f t="shared" si="3"/>
        <v>3.3999999999999986</v>
      </c>
      <c r="N38" s="53">
        <f t="shared" si="3"/>
        <v>0</v>
      </c>
      <c r="O38" s="53">
        <f t="shared" si="3"/>
        <v>0</v>
      </c>
      <c r="P38" s="53">
        <f t="shared" si="3"/>
        <v>0</v>
      </c>
      <c r="Q38" s="53">
        <f t="shared" si="3"/>
        <v>2.3000000000000043</v>
      </c>
    </row>
    <row r="39" spans="2:17" ht="20.100000000000001" customHeight="1" x14ac:dyDescent="0.25">
      <c r="B39" s="143"/>
      <c r="C39" s="2" t="s">
        <v>90</v>
      </c>
      <c r="D39" s="1" t="s">
        <v>45</v>
      </c>
      <c r="E39" s="1"/>
      <c r="F39" s="26"/>
      <c r="G39" s="26"/>
      <c r="H39" s="44"/>
      <c r="I39" s="44"/>
      <c r="J39" s="26"/>
      <c r="K39" s="26"/>
      <c r="L39" s="44"/>
      <c r="M39" s="44"/>
      <c r="N39" s="26"/>
      <c r="O39" s="26"/>
      <c r="P39" s="44"/>
      <c r="Q39" s="44"/>
    </row>
    <row r="40" spans="2:17" ht="20.100000000000001" customHeight="1" x14ac:dyDescent="0.25">
      <c r="B40" s="143"/>
      <c r="C40" s="2" t="s">
        <v>41</v>
      </c>
      <c r="D40" s="1" t="s">
        <v>77</v>
      </c>
      <c r="E40" s="1">
        <v>30.8</v>
      </c>
      <c r="F40" s="26">
        <v>29.5</v>
      </c>
      <c r="G40" s="26">
        <v>29.2</v>
      </c>
      <c r="H40" s="44">
        <v>29.4</v>
      </c>
      <c r="I40" s="44">
        <v>29.1</v>
      </c>
      <c r="J40" s="26"/>
      <c r="K40" s="26">
        <v>29.3</v>
      </c>
      <c r="L40" s="44">
        <v>29.4</v>
      </c>
      <c r="M40" s="44">
        <v>29.3</v>
      </c>
      <c r="N40" s="26"/>
      <c r="O40" s="26"/>
      <c r="P40" s="44"/>
      <c r="Q40" s="44">
        <v>29</v>
      </c>
    </row>
    <row r="41" spans="2:17" ht="20.100000000000001" customHeight="1" x14ac:dyDescent="0.25">
      <c r="B41" s="143"/>
      <c r="C41" s="2" t="s">
        <v>42</v>
      </c>
      <c r="D41" s="1" t="s">
        <v>77</v>
      </c>
      <c r="E41" s="1">
        <v>36.4</v>
      </c>
      <c r="F41" s="26">
        <v>35.200000000000003</v>
      </c>
      <c r="G41" s="26">
        <v>35.1</v>
      </c>
      <c r="H41" s="44">
        <v>34.299999999999997</v>
      </c>
      <c r="I41" s="44">
        <v>34.200000000000003</v>
      </c>
      <c r="J41" s="26"/>
      <c r="K41" s="26">
        <v>34.9</v>
      </c>
      <c r="L41" s="44">
        <v>35</v>
      </c>
      <c r="M41" s="44">
        <v>34.9</v>
      </c>
      <c r="N41" s="26"/>
      <c r="O41" s="26"/>
      <c r="P41" s="44"/>
      <c r="Q41" s="44">
        <v>34.9</v>
      </c>
    </row>
    <row r="42" spans="2:17" ht="20.100000000000001" customHeight="1" x14ac:dyDescent="0.25">
      <c r="B42" s="143"/>
      <c r="C42" s="2" t="s">
        <v>91</v>
      </c>
      <c r="D42" s="1" t="s">
        <v>77</v>
      </c>
      <c r="E42" s="1">
        <v>5.6</v>
      </c>
      <c r="F42" s="53">
        <f>F41-F40</f>
        <v>5.7000000000000028</v>
      </c>
      <c r="G42" s="53">
        <f>G41-G40</f>
        <v>5.9000000000000021</v>
      </c>
      <c r="H42" s="53">
        <f t="shared" ref="H42:Q42" si="4">H41-H40</f>
        <v>4.8999999999999986</v>
      </c>
      <c r="I42" s="53">
        <f t="shared" si="4"/>
        <v>5.1000000000000014</v>
      </c>
      <c r="J42" s="53">
        <f t="shared" si="4"/>
        <v>0</v>
      </c>
      <c r="K42" s="53">
        <f t="shared" si="4"/>
        <v>5.5999999999999979</v>
      </c>
      <c r="L42" s="53">
        <f t="shared" si="4"/>
        <v>5.6000000000000014</v>
      </c>
      <c r="M42" s="53">
        <f t="shared" si="4"/>
        <v>5.5999999999999979</v>
      </c>
      <c r="N42" s="53">
        <f t="shared" si="4"/>
        <v>0</v>
      </c>
      <c r="O42" s="53">
        <f t="shared" si="4"/>
        <v>0</v>
      </c>
      <c r="P42" s="53">
        <f t="shared" si="4"/>
        <v>0</v>
      </c>
      <c r="Q42" s="53">
        <f t="shared" si="4"/>
        <v>5.8999999999999986</v>
      </c>
    </row>
    <row r="43" spans="2:17" ht="20.100000000000001" customHeight="1" x14ac:dyDescent="0.25">
      <c r="B43" s="143"/>
      <c r="C43" s="2" t="s">
        <v>43</v>
      </c>
      <c r="D43" s="1" t="s">
        <v>35</v>
      </c>
      <c r="E43" s="1">
        <v>1273.0999999999999</v>
      </c>
      <c r="F43" s="26">
        <v>1214.0999999999999</v>
      </c>
      <c r="G43" s="26">
        <v>1218</v>
      </c>
      <c r="H43" s="44">
        <v>1255.8</v>
      </c>
      <c r="I43" s="44">
        <v>1258</v>
      </c>
      <c r="J43" s="26"/>
      <c r="K43" s="26">
        <v>1288</v>
      </c>
      <c r="L43" s="44">
        <v>1192.9000000000001</v>
      </c>
      <c r="M43" s="44">
        <v>1197</v>
      </c>
      <c r="N43" s="26"/>
      <c r="O43" s="26"/>
      <c r="P43" s="44"/>
      <c r="Q43" s="44">
        <v>1214</v>
      </c>
    </row>
    <row r="44" spans="2:17" ht="20.100000000000001" customHeight="1" x14ac:dyDescent="0.25">
      <c r="B44" s="143"/>
      <c r="C44" s="2" t="s">
        <v>44</v>
      </c>
      <c r="D44" s="1" t="s">
        <v>34</v>
      </c>
      <c r="E44" s="1">
        <v>8226.9</v>
      </c>
      <c r="F44" s="53">
        <f>(F43*F42)/0.866</f>
        <v>7991.1893764434208</v>
      </c>
      <c r="G44" s="54">
        <f>G42*G43/0.866</f>
        <v>8298.1524249422655</v>
      </c>
      <c r="H44" s="54">
        <f t="shared" ref="H44:Q44" si="5">H42*H43/0.866</f>
        <v>7105.5658198614301</v>
      </c>
      <c r="I44" s="54">
        <f t="shared" si="5"/>
        <v>7408.5450346420348</v>
      </c>
      <c r="J44" s="54">
        <f t="shared" si="5"/>
        <v>0</v>
      </c>
      <c r="K44" s="54">
        <f t="shared" si="5"/>
        <v>8328.8683602771325</v>
      </c>
      <c r="L44" s="54">
        <f t="shared" si="5"/>
        <v>7713.903002309472</v>
      </c>
      <c r="M44" s="54">
        <f t="shared" si="5"/>
        <v>7740.4157043879877</v>
      </c>
      <c r="N44" s="54">
        <f t="shared" si="5"/>
        <v>0</v>
      </c>
      <c r="O44" s="54">
        <f t="shared" si="5"/>
        <v>0</v>
      </c>
      <c r="P44" s="54">
        <f t="shared" si="5"/>
        <v>0</v>
      </c>
      <c r="Q44" s="54">
        <f t="shared" si="5"/>
        <v>8270.9006928406452</v>
      </c>
    </row>
    <row r="45" spans="2:17" ht="20.100000000000001" customHeight="1" x14ac:dyDescent="0.25">
      <c r="B45" s="143" t="s">
        <v>46</v>
      </c>
      <c r="C45" s="2" t="s">
        <v>47</v>
      </c>
      <c r="D45" s="1" t="s">
        <v>22</v>
      </c>
      <c r="E45" s="1" t="s">
        <v>92</v>
      </c>
      <c r="F45" s="26">
        <v>0.48</v>
      </c>
      <c r="G45" s="26">
        <v>0.47</v>
      </c>
      <c r="H45" s="44">
        <v>0.48</v>
      </c>
      <c r="I45" s="44">
        <v>0.47</v>
      </c>
      <c r="J45" s="26"/>
      <c r="K45" s="26">
        <v>0.47</v>
      </c>
      <c r="L45" s="44">
        <v>0.49</v>
      </c>
      <c r="M45" s="44">
        <v>0.48</v>
      </c>
      <c r="N45" s="26"/>
      <c r="O45" s="26"/>
      <c r="P45" s="44"/>
      <c r="Q45" s="44">
        <v>0.48</v>
      </c>
    </row>
    <row r="46" spans="2:17" ht="20.100000000000001" customHeight="1" x14ac:dyDescent="0.25">
      <c r="B46" s="143"/>
      <c r="C46" s="2" t="s">
        <v>48</v>
      </c>
      <c r="D46" s="1" t="s">
        <v>77</v>
      </c>
      <c r="E46" s="1" t="s">
        <v>85</v>
      </c>
      <c r="F46" s="26">
        <v>20.399999999999999</v>
      </c>
      <c r="G46" s="26">
        <v>20.2</v>
      </c>
      <c r="H46" s="44">
        <v>20.399999999999999</v>
      </c>
      <c r="I46" s="44">
        <v>20.2</v>
      </c>
      <c r="J46" s="26"/>
      <c r="K46" s="26">
        <v>19.8</v>
      </c>
      <c r="L46" s="44">
        <v>21</v>
      </c>
      <c r="M46" s="44">
        <v>21</v>
      </c>
      <c r="N46" s="26"/>
      <c r="O46" s="26"/>
      <c r="P46" s="44"/>
      <c r="Q46" s="44">
        <v>20.399999999999999</v>
      </c>
    </row>
    <row r="47" spans="2:17" ht="20.100000000000001" customHeight="1" x14ac:dyDescent="0.25">
      <c r="B47" s="143"/>
      <c r="C47" s="2" t="s">
        <v>40</v>
      </c>
      <c r="D47" s="1" t="s">
        <v>45</v>
      </c>
      <c r="E47" s="1" t="s">
        <v>45</v>
      </c>
      <c r="F47" s="26">
        <v>180.5</v>
      </c>
      <c r="G47" s="26">
        <v>196.4</v>
      </c>
      <c r="H47" s="44">
        <v>128.6</v>
      </c>
      <c r="I47" s="44">
        <v>128.4</v>
      </c>
      <c r="J47" s="26"/>
      <c r="K47" s="26">
        <v>205.3</v>
      </c>
      <c r="L47" s="44">
        <v>218.3</v>
      </c>
      <c r="M47" s="44">
        <v>208.2</v>
      </c>
      <c r="N47" s="26"/>
      <c r="O47" s="26"/>
      <c r="P47" s="44"/>
      <c r="Q47" s="44">
        <v>196</v>
      </c>
    </row>
    <row r="48" spans="2:17" ht="20.100000000000001" customHeight="1" x14ac:dyDescent="0.25">
      <c r="B48" s="156" t="s">
        <v>49</v>
      </c>
      <c r="C48" s="156"/>
      <c r="D48" s="156"/>
      <c r="E48" s="37" t="s">
        <v>93</v>
      </c>
      <c r="F48" s="26"/>
      <c r="G48" s="26"/>
      <c r="H48" s="44"/>
      <c r="I48" s="44"/>
      <c r="J48" s="26"/>
      <c r="K48" s="26"/>
      <c r="L48" s="44"/>
      <c r="M48" s="44"/>
      <c r="N48" s="26"/>
      <c r="O48" s="26"/>
      <c r="P48" s="44"/>
      <c r="Q48" s="44"/>
    </row>
    <row r="49" spans="2:17" ht="20.100000000000001" customHeight="1" x14ac:dyDescent="0.25">
      <c r="B49" s="156" t="s">
        <v>50</v>
      </c>
      <c r="C49" s="156"/>
      <c r="D49" s="156"/>
      <c r="E49" s="46">
        <v>5.89</v>
      </c>
      <c r="F49" s="26">
        <v>5.0599999999999996</v>
      </c>
      <c r="G49" s="26">
        <v>5.22</v>
      </c>
      <c r="H49" s="44">
        <v>4.8499999999999996</v>
      </c>
      <c r="I49" s="44">
        <v>4.9800000000000004</v>
      </c>
      <c r="J49" s="26"/>
      <c r="K49" s="26">
        <v>5.35</v>
      </c>
      <c r="L49" s="44">
        <v>4.83</v>
      </c>
      <c r="M49" s="44">
        <v>5.01</v>
      </c>
      <c r="N49" s="26"/>
      <c r="O49" s="26"/>
      <c r="P49" s="44"/>
      <c r="Q49" s="44">
        <v>4.92</v>
      </c>
    </row>
    <row r="50" spans="2:17" ht="20.100000000000001" customHeight="1" x14ac:dyDescent="0.25">
      <c r="B50" s="156" t="s">
        <v>51</v>
      </c>
      <c r="C50" s="156"/>
      <c r="D50" s="156"/>
      <c r="E50" s="46"/>
      <c r="F50" s="26"/>
      <c r="G50" s="26"/>
      <c r="H50" s="44"/>
      <c r="I50" s="44"/>
      <c r="J50" s="26"/>
      <c r="K50" s="26"/>
      <c r="L50" s="44"/>
      <c r="M50" s="44"/>
      <c r="N50" s="26"/>
      <c r="O50" s="26"/>
      <c r="P50" s="44"/>
      <c r="Q50" s="44"/>
    </row>
    <row r="51" spans="2:17" ht="20.100000000000001" customHeight="1" thickBot="1" x14ac:dyDescent="0.3">
      <c r="B51" s="156" t="s">
        <v>52</v>
      </c>
      <c r="C51" s="156"/>
      <c r="D51" s="156"/>
      <c r="E51" s="45"/>
      <c r="F51" s="26"/>
      <c r="G51" s="26"/>
      <c r="H51" s="44"/>
      <c r="I51" s="44"/>
      <c r="J51" s="26"/>
      <c r="K51" s="26"/>
      <c r="L51" s="44"/>
      <c r="M51" s="44"/>
      <c r="N51" s="26"/>
      <c r="O51" s="26"/>
      <c r="P51" s="44"/>
      <c r="Q51" s="44"/>
    </row>
    <row r="52" spans="2:17" x14ac:dyDescent="0.25">
      <c r="B52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/>
    </row>
    <row r="54" spans="2:17" x14ac:dyDescent="0.25">
      <c r="C54" s="20" t="s">
        <v>95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2"/>
    </row>
    <row r="55" spans="2:17" x14ac:dyDescent="0.25"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2"/>
    </row>
    <row r="56" spans="2:17" x14ac:dyDescent="0.25"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2"/>
    </row>
    <row r="57" spans="2:17" x14ac:dyDescent="0.25">
      <c r="C57" s="20" t="s">
        <v>69</v>
      </c>
      <c r="D57" s="21"/>
      <c r="E57" s="21"/>
      <c r="F57" s="32" t="b">
        <v>0</v>
      </c>
      <c r="G57" s="34" t="s">
        <v>79</v>
      </c>
      <c r="H57" s="21"/>
      <c r="I57" s="21"/>
      <c r="J57" s="21"/>
      <c r="K57" s="21"/>
      <c r="L57" s="21"/>
      <c r="M57" s="21"/>
      <c r="N57" s="21"/>
      <c r="O57" s="21"/>
      <c r="P57" s="21"/>
      <c r="Q57" s="22"/>
    </row>
    <row r="58" spans="2:17" x14ac:dyDescent="0.25">
      <c r="C58" s="20" t="s">
        <v>69</v>
      </c>
      <c r="D58" s="21"/>
      <c r="E58" s="21"/>
      <c r="F58" s="26" t="s">
        <v>70</v>
      </c>
      <c r="G58" s="33" t="s">
        <v>71</v>
      </c>
      <c r="H58" s="21"/>
      <c r="I58" s="21"/>
      <c r="J58" s="21"/>
      <c r="K58" s="21"/>
      <c r="L58" s="21"/>
      <c r="M58" s="21"/>
      <c r="N58" s="21"/>
      <c r="O58" s="21"/>
      <c r="P58" s="21"/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3EF1-3DDB-4DF6-9AB9-755C52985497}">
  <dimension ref="B1:Q59"/>
  <sheetViews>
    <sheetView view="pageBreakPreview" topLeftCell="A7" zoomScale="80" zoomScaleNormal="60" zoomScaleSheetLayoutView="80" workbookViewId="0">
      <selection activeCell="H41" sqref="H41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7" t="s">
        <v>64</v>
      </c>
      <c r="O2" s="8"/>
      <c r="P2" s="8"/>
      <c r="Q2" s="9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13" t="s">
        <v>63</v>
      </c>
      <c r="O3" s="14" t="s">
        <v>96</v>
      </c>
      <c r="P3" s="14"/>
      <c r="Q3" s="15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13" t="s">
        <v>62</v>
      </c>
      <c r="O4" s="14"/>
      <c r="P4" s="14"/>
      <c r="Q4" s="15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10" t="s">
        <v>61</v>
      </c>
      <c r="O5" s="11"/>
      <c r="P5" s="11"/>
      <c r="Q5" s="12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3">
        <v>0.375</v>
      </c>
      <c r="G9" s="4" t="s">
        <v>60</v>
      </c>
      <c r="H9" s="5">
        <v>0.375</v>
      </c>
      <c r="I9" s="6" t="s">
        <v>60</v>
      </c>
      <c r="J9" s="3">
        <v>0.375</v>
      </c>
      <c r="K9" s="4" t="s">
        <v>60</v>
      </c>
      <c r="L9" s="5">
        <v>0.375</v>
      </c>
      <c r="M9" s="6" t="s">
        <v>60</v>
      </c>
      <c r="N9" s="3">
        <v>0.375</v>
      </c>
      <c r="O9" s="4" t="s">
        <v>60</v>
      </c>
      <c r="P9" s="5">
        <v>0.375</v>
      </c>
      <c r="Q9" s="6" t="s">
        <v>60</v>
      </c>
    </row>
    <row r="10" spans="2:17" ht="26.25" customHeight="1" x14ac:dyDescent="0.25">
      <c r="B10" s="134" t="s">
        <v>66</v>
      </c>
      <c r="C10" s="135"/>
      <c r="D10" s="49" t="s">
        <v>78</v>
      </c>
      <c r="E10" s="27"/>
      <c r="F10" s="40" t="s">
        <v>100</v>
      </c>
      <c r="G10" s="41" t="s">
        <v>100</v>
      </c>
      <c r="H10" s="42" t="s">
        <v>100</v>
      </c>
      <c r="I10" s="43" t="s">
        <v>100</v>
      </c>
      <c r="J10" s="40"/>
      <c r="K10" s="41" t="s">
        <v>100</v>
      </c>
      <c r="L10" s="42" t="s">
        <v>100</v>
      </c>
      <c r="M10" s="43" t="s">
        <v>100</v>
      </c>
      <c r="N10" s="40"/>
      <c r="O10" s="41"/>
      <c r="P10" s="42"/>
      <c r="Q10" s="43" t="s">
        <v>100</v>
      </c>
    </row>
    <row r="11" spans="2:17" ht="20.100000000000001" customHeight="1" x14ac:dyDescent="0.25">
      <c r="B11" s="156" t="s">
        <v>2</v>
      </c>
      <c r="C11" s="156"/>
      <c r="D11" s="1" t="s">
        <v>4</v>
      </c>
      <c r="E11" s="1" t="s">
        <v>80</v>
      </c>
      <c r="F11" s="26"/>
      <c r="G11" s="26">
        <v>70.099999999999994</v>
      </c>
      <c r="H11" s="44">
        <v>80.599999999999994</v>
      </c>
      <c r="I11" s="44">
        <v>76.400000000000006</v>
      </c>
      <c r="J11" s="26">
        <v>71.7</v>
      </c>
      <c r="K11" s="26">
        <v>73.2</v>
      </c>
      <c r="L11" s="44">
        <v>73.2</v>
      </c>
      <c r="M11" s="44">
        <v>72.099999999999994</v>
      </c>
      <c r="N11" s="26"/>
      <c r="O11" s="26"/>
      <c r="P11" s="44"/>
      <c r="Q11" s="44">
        <v>77.099999999999994</v>
      </c>
    </row>
    <row r="12" spans="2:17" ht="20.100000000000001" customHeight="1" x14ac:dyDescent="0.25">
      <c r="B12" s="156" t="s">
        <v>3</v>
      </c>
      <c r="C12" s="156"/>
      <c r="D12" s="1" t="s">
        <v>4</v>
      </c>
      <c r="E12" s="1" t="s">
        <v>80</v>
      </c>
      <c r="F12" s="26"/>
      <c r="G12" s="26">
        <v>0.2</v>
      </c>
      <c r="H12" s="44">
        <v>0</v>
      </c>
      <c r="I12" s="44">
        <v>0</v>
      </c>
      <c r="J12" s="26">
        <v>0</v>
      </c>
      <c r="K12" s="26">
        <v>0</v>
      </c>
      <c r="L12" s="44">
        <v>0.2</v>
      </c>
      <c r="M12" s="44">
        <v>0.2</v>
      </c>
      <c r="N12" s="26"/>
      <c r="O12" s="26"/>
      <c r="P12" s="44"/>
      <c r="Q12" s="44">
        <v>0.3</v>
      </c>
    </row>
    <row r="13" spans="2:17" ht="20.100000000000001" customHeight="1" x14ac:dyDescent="0.25">
      <c r="B13" s="156" t="s">
        <v>5</v>
      </c>
      <c r="C13" s="156"/>
      <c r="D13" s="1" t="s">
        <v>4</v>
      </c>
      <c r="E13" s="1" t="s">
        <v>80</v>
      </c>
      <c r="F13" s="26"/>
      <c r="G13" s="26">
        <v>63.4</v>
      </c>
      <c r="H13" s="44">
        <v>78.5</v>
      </c>
      <c r="I13" s="44">
        <v>72.099999999999994</v>
      </c>
      <c r="J13" s="26">
        <v>69.099999999999994</v>
      </c>
      <c r="K13" s="26">
        <v>69.7</v>
      </c>
      <c r="L13" s="44">
        <v>68.400000000000006</v>
      </c>
      <c r="M13" s="44">
        <v>68.400000000000006</v>
      </c>
      <c r="N13" s="26"/>
      <c r="O13" s="26"/>
      <c r="P13" s="44"/>
      <c r="Q13" s="44">
        <v>72.2</v>
      </c>
    </row>
    <row r="14" spans="2:17" ht="20.100000000000001" customHeight="1" x14ac:dyDescent="0.25">
      <c r="B14" s="156" t="s">
        <v>6</v>
      </c>
      <c r="C14" s="156"/>
      <c r="D14" s="1" t="s">
        <v>4</v>
      </c>
      <c r="E14" s="1" t="s">
        <v>80</v>
      </c>
      <c r="F14" s="26"/>
      <c r="G14" s="26">
        <v>63.8</v>
      </c>
      <c r="H14" s="44">
        <v>69.7</v>
      </c>
      <c r="I14" s="44">
        <v>64.3</v>
      </c>
      <c r="J14" s="26">
        <v>62.5</v>
      </c>
      <c r="K14" s="26">
        <v>62.3</v>
      </c>
      <c r="L14" s="44">
        <v>64.7</v>
      </c>
      <c r="M14" s="44">
        <v>64.2</v>
      </c>
      <c r="N14" s="26"/>
      <c r="O14" s="26"/>
      <c r="P14" s="44"/>
      <c r="Q14" s="44">
        <v>71</v>
      </c>
    </row>
    <row r="15" spans="2:17" ht="20.100000000000001" customHeight="1" x14ac:dyDescent="0.25">
      <c r="B15" s="156" t="s">
        <v>7</v>
      </c>
      <c r="C15" s="156"/>
      <c r="D15" s="1" t="s">
        <v>4</v>
      </c>
      <c r="E15" s="1" t="s">
        <v>80</v>
      </c>
      <c r="F15" s="26"/>
      <c r="G15" s="26">
        <v>53.2</v>
      </c>
      <c r="H15" s="44">
        <v>54.2</v>
      </c>
      <c r="I15" s="44">
        <v>48.2</v>
      </c>
      <c r="J15" s="26">
        <v>37.1</v>
      </c>
      <c r="K15" s="26">
        <v>36.4</v>
      </c>
      <c r="L15" s="44">
        <v>33.9</v>
      </c>
      <c r="M15" s="44">
        <v>34.799999999999997</v>
      </c>
      <c r="N15" s="26"/>
      <c r="O15" s="26"/>
      <c r="P15" s="44"/>
      <c r="Q15" s="44">
        <v>36.200000000000003</v>
      </c>
    </row>
    <row r="16" spans="2:17" ht="20.100000000000001" customHeight="1" x14ac:dyDescent="0.25">
      <c r="B16" s="143" t="s">
        <v>8</v>
      </c>
      <c r="C16" s="2" t="s">
        <v>9</v>
      </c>
      <c r="D16" s="1" t="s">
        <v>12</v>
      </c>
      <c r="E16" s="1" t="s">
        <v>81</v>
      </c>
      <c r="F16" s="26"/>
      <c r="G16" s="26">
        <v>6.6</v>
      </c>
      <c r="H16" s="26">
        <v>6.6</v>
      </c>
      <c r="I16" s="26">
        <v>6.6</v>
      </c>
      <c r="J16" s="26">
        <v>6.6</v>
      </c>
      <c r="K16" s="26">
        <v>6.6</v>
      </c>
      <c r="L16" s="26">
        <v>6.6</v>
      </c>
      <c r="M16" s="26">
        <v>6.6</v>
      </c>
      <c r="N16" s="26"/>
      <c r="O16" s="26"/>
      <c r="P16" s="26"/>
      <c r="Q16" s="26">
        <v>6.6</v>
      </c>
    </row>
    <row r="17" spans="2:17" ht="20.100000000000001" customHeight="1" x14ac:dyDescent="0.25">
      <c r="B17" s="143"/>
      <c r="C17" s="2" t="s">
        <v>10</v>
      </c>
      <c r="D17" s="1" t="s">
        <v>13</v>
      </c>
      <c r="E17" s="1" t="s">
        <v>82</v>
      </c>
      <c r="F17" s="26"/>
      <c r="G17" s="26">
        <v>117.9</v>
      </c>
      <c r="H17" s="44">
        <v>119.5</v>
      </c>
      <c r="I17" s="44">
        <v>117.6</v>
      </c>
      <c r="J17" s="26">
        <v>114.1</v>
      </c>
      <c r="K17" s="26">
        <v>118.3</v>
      </c>
      <c r="L17" s="44">
        <v>116.7</v>
      </c>
      <c r="M17" s="44">
        <v>119.4</v>
      </c>
      <c r="N17" s="26"/>
      <c r="O17" s="26"/>
      <c r="P17" s="44"/>
      <c r="Q17" s="44">
        <v>119.3</v>
      </c>
    </row>
    <row r="18" spans="2:17" ht="20.100000000000001" customHeight="1" x14ac:dyDescent="0.25">
      <c r="B18" s="143"/>
      <c r="C18" s="2" t="s">
        <v>11</v>
      </c>
      <c r="D18" s="1" t="s">
        <v>14</v>
      </c>
      <c r="E18" s="1" t="s">
        <v>83</v>
      </c>
      <c r="F18" s="26"/>
      <c r="G18" s="26">
        <v>1162</v>
      </c>
      <c r="H18" s="44">
        <v>1228</v>
      </c>
      <c r="I18" s="44">
        <v>1195</v>
      </c>
      <c r="J18" s="26">
        <v>1174</v>
      </c>
      <c r="K18" s="26">
        <v>1213</v>
      </c>
      <c r="L18" s="44">
        <v>1191</v>
      </c>
      <c r="M18" s="44">
        <v>1214</v>
      </c>
      <c r="N18" s="26"/>
      <c r="O18" s="26"/>
      <c r="P18" s="44"/>
      <c r="Q18" s="44">
        <v>1213</v>
      </c>
    </row>
    <row r="19" spans="2:17" ht="20.100000000000001" customHeight="1" x14ac:dyDescent="0.25">
      <c r="B19" s="143" t="s">
        <v>24</v>
      </c>
      <c r="C19" s="2" t="s">
        <v>15</v>
      </c>
      <c r="D19" s="1" t="s">
        <v>16</v>
      </c>
      <c r="E19" s="35" t="s">
        <v>84</v>
      </c>
      <c r="F19" s="26"/>
      <c r="G19" s="26">
        <v>45755</v>
      </c>
      <c r="H19" s="44"/>
      <c r="I19" s="44">
        <v>46505.2</v>
      </c>
      <c r="J19" s="26"/>
      <c r="K19" s="26">
        <v>44302</v>
      </c>
      <c r="L19" s="44"/>
      <c r="M19" s="44">
        <v>46513</v>
      </c>
      <c r="N19" s="26"/>
      <c r="O19" s="26"/>
      <c r="P19" s="44"/>
      <c r="Q19" s="44">
        <v>47641</v>
      </c>
    </row>
    <row r="20" spans="2:17" ht="20.100000000000001" customHeight="1" x14ac:dyDescent="0.25">
      <c r="B20" s="143"/>
      <c r="C20" s="2" t="s">
        <v>17</v>
      </c>
      <c r="D20" s="1" t="s">
        <v>77</v>
      </c>
      <c r="E20" s="1" t="s">
        <v>85</v>
      </c>
      <c r="F20" s="26"/>
      <c r="G20" s="26"/>
      <c r="H20" s="44"/>
      <c r="I20" s="44"/>
      <c r="J20" s="26"/>
      <c r="K20" s="26"/>
      <c r="L20" s="44"/>
      <c r="M20" s="44"/>
      <c r="N20" s="26"/>
      <c r="O20" s="26"/>
      <c r="P20" s="44"/>
      <c r="Q20" s="44"/>
    </row>
    <row r="21" spans="2:17" ht="20.100000000000001" customHeight="1" x14ac:dyDescent="0.25">
      <c r="B21" s="143"/>
      <c r="C21" s="2" t="s">
        <v>18</v>
      </c>
      <c r="D21" s="1" t="s">
        <v>77</v>
      </c>
      <c r="E21" s="1" t="s">
        <v>75</v>
      </c>
      <c r="F21" s="26"/>
      <c r="G21" s="26"/>
      <c r="H21" s="44"/>
      <c r="I21" s="44"/>
      <c r="J21" s="26"/>
      <c r="K21" s="26"/>
      <c r="L21" s="44"/>
      <c r="M21" s="44"/>
      <c r="N21" s="26"/>
      <c r="O21" s="26"/>
      <c r="P21" s="44"/>
      <c r="Q21" s="44"/>
    </row>
    <row r="22" spans="2:17" ht="20.100000000000001" customHeight="1" x14ac:dyDescent="0.25">
      <c r="B22" s="143"/>
      <c r="C22" s="2" t="s">
        <v>19</v>
      </c>
      <c r="D22" s="1" t="s">
        <v>77</v>
      </c>
      <c r="E22" s="1" t="s">
        <v>73</v>
      </c>
      <c r="F22" s="26"/>
      <c r="G22" s="26">
        <v>58.1</v>
      </c>
      <c r="H22" s="44">
        <v>59.2</v>
      </c>
      <c r="I22" s="44">
        <v>59.1</v>
      </c>
      <c r="J22" s="26">
        <v>57.8</v>
      </c>
      <c r="K22" s="26">
        <v>57.3</v>
      </c>
      <c r="L22" s="44">
        <v>57.2</v>
      </c>
      <c r="M22" s="44">
        <v>57.3</v>
      </c>
      <c r="N22" s="26"/>
      <c r="O22" s="26"/>
      <c r="P22" s="44"/>
      <c r="Q22" s="44">
        <v>59.4</v>
      </c>
    </row>
    <row r="23" spans="2:17" ht="60" x14ac:dyDescent="0.25">
      <c r="B23" s="143"/>
      <c r="C23" s="30" t="s">
        <v>20</v>
      </c>
      <c r="D23" s="26" t="s">
        <v>22</v>
      </c>
      <c r="E23" s="29" t="s">
        <v>76</v>
      </c>
      <c r="F23" s="26"/>
      <c r="G23" s="26">
        <v>0.52</v>
      </c>
      <c r="H23" s="44">
        <v>0.48</v>
      </c>
      <c r="I23" s="44">
        <v>0.48</v>
      </c>
      <c r="J23" s="26">
        <v>0.56999999999999995</v>
      </c>
      <c r="K23" s="26">
        <v>0.57999999999999996</v>
      </c>
      <c r="L23" s="44">
        <v>0.59</v>
      </c>
      <c r="M23" s="44">
        <v>0.54</v>
      </c>
      <c r="N23" s="26"/>
      <c r="O23" s="26"/>
      <c r="P23" s="44"/>
      <c r="Q23" s="44">
        <v>0.48</v>
      </c>
    </row>
    <row r="24" spans="2:17" ht="39.75" customHeight="1" x14ac:dyDescent="0.25">
      <c r="B24" s="143"/>
      <c r="C24" s="30" t="s">
        <v>21</v>
      </c>
      <c r="D24" s="1"/>
      <c r="E24" s="1"/>
      <c r="F24" s="26"/>
      <c r="G24" s="26"/>
      <c r="H24" s="44"/>
      <c r="I24" s="44"/>
      <c r="J24" s="26"/>
      <c r="K24" s="26"/>
      <c r="L24" s="44"/>
      <c r="M24" s="44"/>
      <c r="N24" s="26"/>
      <c r="O24" s="26"/>
      <c r="P24" s="44"/>
      <c r="Q24" s="44"/>
    </row>
    <row r="25" spans="2:17" ht="20.100000000000001" customHeight="1" x14ac:dyDescent="0.25">
      <c r="B25" s="143"/>
      <c r="C25" s="2" t="s">
        <v>23</v>
      </c>
      <c r="D25" s="1" t="s">
        <v>77</v>
      </c>
      <c r="E25" s="1" t="s">
        <v>74</v>
      </c>
      <c r="F25" s="26"/>
      <c r="G25" s="26">
        <v>44.1</v>
      </c>
      <c r="H25" s="44">
        <v>46</v>
      </c>
      <c r="I25" s="44">
        <v>46.1</v>
      </c>
      <c r="J25" s="26">
        <v>45.3</v>
      </c>
      <c r="K25" s="26">
        <v>45</v>
      </c>
      <c r="L25" s="44">
        <v>45.1</v>
      </c>
      <c r="M25" s="44">
        <v>45.3</v>
      </c>
      <c r="N25" s="26"/>
      <c r="O25" s="26"/>
      <c r="P25" s="44"/>
      <c r="Q25" s="44">
        <v>45.1</v>
      </c>
    </row>
    <row r="26" spans="2:17" ht="20.100000000000001" customHeight="1" x14ac:dyDescent="0.25">
      <c r="B26" s="143" t="s">
        <v>25</v>
      </c>
      <c r="C26" s="2" t="s">
        <v>26</v>
      </c>
      <c r="D26" s="1" t="s">
        <v>22</v>
      </c>
      <c r="E26" s="36" t="s">
        <v>86</v>
      </c>
      <c r="F26" s="26"/>
      <c r="G26" s="26">
        <v>0.24</v>
      </c>
      <c r="H26" s="44">
        <v>0.23</v>
      </c>
      <c r="I26" s="44">
        <v>0.23</v>
      </c>
      <c r="J26" s="26">
        <v>0.23</v>
      </c>
      <c r="K26" s="26">
        <v>0.24</v>
      </c>
      <c r="L26" s="44">
        <v>0.22</v>
      </c>
      <c r="M26" s="44">
        <v>0.23</v>
      </c>
      <c r="N26" s="26"/>
      <c r="O26" s="26"/>
      <c r="P26" s="44"/>
      <c r="Q26" s="44">
        <v>0.23</v>
      </c>
    </row>
    <row r="27" spans="2:17" ht="20.100000000000001" customHeight="1" x14ac:dyDescent="0.25">
      <c r="B27" s="143"/>
      <c r="C27" s="2" t="s">
        <v>27</v>
      </c>
      <c r="D27" s="1" t="s">
        <v>77</v>
      </c>
      <c r="E27" s="1" t="s">
        <v>85</v>
      </c>
      <c r="F27" s="26"/>
      <c r="G27" s="26">
        <v>4.5</v>
      </c>
      <c r="H27" s="44">
        <v>3.8</v>
      </c>
      <c r="I27" s="44">
        <v>3.8</v>
      </c>
      <c r="J27" s="26">
        <v>3.8</v>
      </c>
      <c r="K27" s="26">
        <v>4.5</v>
      </c>
      <c r="L27" s="44">
        <v>4.3</v>
      </c>
      <c r="M27" s="44">
        <v>4.5</v>
      </c>
      <c r="N27" s="26"/>
      <c r="O27" s="26"/>
      <c r="P27" s="44"/>
      <c r="Q27" s="44">
        <v>4.5</v>
      </c>
    </row>
    <row r="28" spans="2:17" ht="20.100000000000001" customHeight="1" x14ac:dyDescent="0.25">
      <c r="B28" s="143"/>
      <c r="C28" s="2" t="s">
        <v>28</v>
      </c>
      <c r="D28" s="1" t="s">
        <v>77</v>
      </c>
      <c r="E28" s="1" t="s">
        <v>85</v>
      </c>
      <c r="F28" s="26"/>
      <c r="G28" s="26">
        <v>3.8</v>
      </c>
      <c r="H28" s="44">
        <v>2.9</v>
      </c>
      <c r="I28" s="44">
        <v>2.9</v>
      </c>
      <c r="J28" s="26">
        <v>3.1</v>
      </c>
      <c r="K28" s="26">
        <v>3.7</v>
      </c>
      <c r="L28" s="44">
        <v>3.5</v>
      </c>
      <c r="M28" s="44">
        <v>3.5</v>
      </c>
      <c r="N28" s="26"/>
      <c r="O28" s="26"/>
      <c r="P28" s="44"/>
      <c r="Q28" s="44">
        <v>3.6</v>
      </c>
    </row>
    <row r="29" spans="2:17" ht="20.100000000000001" customHeight="1" x14ac:dyDescent="0.25">
      <c r="B29" s="143"/>
      <c r="C29" s="2" t="s">
        <v>98</v>
      </c>
      <c r="D29" s="1" t="s">
        <v>77</v>
      </c>
      <c r="E29" s="1" t="s">
        <v>85</v>
      </c>
      <c r="F29" s="53">
        <f>F32-F27</f>
        <v>0</v>
      </c>
      <c r="G29" s="53">
        <f t="shared" ref="G29:Q29" si="0">G32-G27</f>
        <v>0.20000000000000018</v>
      </c>
      <c r="H29" s="53">
        <f t="shared" si="0"/>
        <v>1.5</v>
      </c>
      <c r="I29" s="53">
        <f t="shared" si="0"/>
        <v>1.1000000000000005</v>
      </c>
      <c r="J29" s="53">
        <f t="shared" si="0"/>
        <v>0.79999999999999982</v>
      </c>
      <c r="K29" s="53">
        <f t="shared" si="0"/>
        <v>-0.29999999999999982</v>
      </c>
      <c r="L29" s="53">
        <f t="shared" si="0"/>
        <v>0.29999999999999982</v>
      </c>
      <c r="M29" s="53">
        <f t="shared" si="0"/>
        <v>0.29999999999999982</v>
      </c>
      <c r="N29" s="53">
        <f t="shared" si="0"/>
        <v>0</v>
      </c>
      <c r="O29" s="53">
        <f t="shared" si="0"/>
        <v>0</v>
      </c>
      <c r="P29" s="53">
        <f t="shared" si="0"/>
        <v>0</v>
      </c>
      <c r="Q29" s="53">
        <f t="shared" si="0"/>
        <v>0.40000000000000036</v>
      </c>
    </row>
    <row r="30" spans="2:17" ht="20.100000000000001" customHeight="1" x14ac:dyDescent="0.25">
      <c r="B30" s="143"/>
      <c r="C30" s="2" t="s">
        <v>29</v>
      </c>
      <c r="D30" s="1" t="s">
        <v>35</v>
      </c>
      <c r="E30" s="1" t="s">
        <v>87</v>
      </c>
      <c r="F30" s="26"/>
      <c r="G30" s="26">
        <v>712</v>
      </c>
      <c r="H30" s="44">
        <v>709.2</v>
      </c>
      <c r="I30" s="44">
        <v>681</v>
      </c>
      <c r="J30" s="26">
        <v>656.2</v>
      </c>
      <c r="K30" s="26">
        <v>687</v>
      </c>
      <c r="L30" s="44">
        <v>688.1</v>
      </c>
      <c r="M30" s="44">
        <v>710</v>
      </c>
      <c r="N30" s="26"/>
      <c r="O30" s="26"/>
      <c r="P30" s="44"/>
      <c r="Q30" s="44">
        <v>688</v>
      </c>
    </row>
    <row r="31" spans="2:17" ht="20.100000000000001" customHeight="1" x14ac:dyDescent="0.25">
      <c r="B31" s="143"/>
      <c r="C31" s="2" t="s">
        <v>30</v>
      </c>
      <c r="D31" s="1" t="s">
        <v>77</v>
      </c>
      <c r="E31" s="1">
        <v>13.5</v>
      </c>
      <c r="F31" s="26"/>
      <c r="G31" s="26">
        <v>13.2</v>
      </c>
      <c r="H31" s="44">
        <v>13.6</v>
      </c>
      <c r="I31" s="44">
        <v>13.3</v>
      </c>
      <c r="J31" s="26">
        <v>13</v>
      </c>
      <c r="K31" s="26">
        <v>13.2</v>
      </c>
      <c r="L31" s="44">
        <v>13.4</v>
      </c>
      <c r="M31" s="44">
        <v>13.3</v>
      </c>
      <c r="N31" s="26"/>
      <c r="O31" s="26"/>
      <c r="P31" s="44"/>
      <c r="Q31" s="44">
        <v>13.4</v>
      </c>
    </row>
    <row r="32" spans="2:17" ht="20.100000000000001" customHeight="1" x14ac:dyDescent="0.25">
      <c r="B32" s="143"/>
      <c r="C32" s="2" t="s">
        <v>31</v>
      </c>
      <c r="D32" s="1" t="s">
        <v>77</v>
      </c>
      <c r="E32" s="1">
        <v>4</v>
      </c>
      <c r="F32" s="26"/>
      <c r="G32" s="26">
        <v>4.7</v>
      </c>
      <c r="H32" s="44">
        <v>5.3</v>
      </c>
      <c r="I32" s="44">
        <v>4.9000000000000004</v>
      </c>
      <c r="J32" s="26">
        <v>4.5999999999999996</v>
      </c>
      <c r="K32" s="26">
        <v>4.2</v>
      </c>
      <c r="L32" s="44">
        <v>4.5999999999999996</v>
      </c>
      <c r="M32" s="44">
        <v>4.8</v>
      </c>
      <c r="N32" s="26"/>
      <c r="O32" s="26"/>
      <c r="P32" s="44"/>
      <c r="Q32" s="44">
        <v>4.9000000000000004</v>
      </c>
    </row>
    <row r="33" spans="2:17" ht="20.100000000000001" customHeight="1" x14ac:dyDescent="0.25">
      <c r="B33" s="143"/>
      <c r="C33" s="2" t="s">
        <v>32</v>
      </c>
      <c r="D33" s="1" t="s">
        <v>77</v>
      </c>
      <c r="E33" s="1">
        <v>9.5</v>
      </c>
      <c r="F33" s="53">
        <f>F31-F32</f>
        <v>0</v>
      </c>
      <c r="G33" s="53">
        <f>G31-G32</f>
        <v>8.5</v>
      </c>
      <c r="H33" s="53">
        <f t="shared" ref="H33:Q33" si="1">H31-H32</f>
        <v>8.3000000000000007</v>
      </c>
      <c r="I33" s="53">
        <f t="shared" si="1"/>
        <v>8.4</v>
      </c>
      <c r="J33" s="53">
        <f t="shared" si="1"/>
        <v>8.4</v>
      </c>
      <c r="K33" s="53">
        <f t="shared" si="1"/>
        <v>9</v>
      </c>
      <c r="L33" s="53">
        <f t="shared" si="1"/>
        <v>8.8000000000000007</v>
      </c>
      <c r="M33" s="53">
        <f t="shared" si="1"/>
        <v>8.5</v>
      </c>
      <c r="N33" s="53">
        <f t="shared" si="1"/>
        <v>0</v>
      </c>
      <c r="O33" s="53">
        <f t="shared" si="1"/>
        <v>0</v>
      </c>
      <c r="P33" s="53">
        <f t="shared" si="1"/>
        <v>0</v>
      </c>
      <c r="Q33" s="53">
        <f t="shared" si="1"/>
        <v>8.5</v>
      </c>
    </row>
    <row r="34" spans="2:17" ht="20.100000000000001" customHeight="1" x14ac:dyDescent="0.25">
      <c r="B34" s="143"/>
      <c r="C34" s="2" t="s">
        <v>33</v>
      </c>
      <c r="D34" s="1" t="s">
        <v>34</v>
      </c>
      <c r="E34" s="1" t="s">
        <v>88</v>
      </c>
      <c r="F34" s="53">
        <f>(F30*F33)/0.866</f>
        <v>0</v>
      </c>
      <c r="G34" s="54">
        <f>(G33*G30)/0.866</f>
        <v>6988.4526558891457</v>
      </c>
      <c r="H34" s="54">
        <f t="shared" ref="H34:Q34" si="2">(H33*H30)/0.866</f>
        <v>6797.1824480369523</v>
      </c>
      <c r="I34" s="54">
        <f t="shared" si="2"/>
        <v>6605.5427251732108</v>
      </c>
      <c r="J34" s="54">
        <f t="shared" si="2"/>
        <v>6364.9884526558899</v>
      </c>
      <c r="K34" s="54">
        <f t="shared" si="2"/>
        <v>7139.72286374134</v>
      </c>
      <c r="L34" s="54">
        <f t="shared" si="2"/>
        <v>6992.2401847575065</v>
      </c>
      <c r="M34" s="54">
        <f t="shared" si="2"/>
        <v>6968.822170900693</v>
      </c>
      <c r="N34" s="54">
        <f t="shared" si="2"/>
        <v>0</v>
      </c>
      <c r="O34" s="54">
        <f t="shared" si="2"/>
        <v>0</v>
      </c>
      <c r="P34" s="54">
        <f t="shared" si="2"/>
        <v>0</v>
      </c>
      <c r="Q34" s="54">
        <f t="shared" si="2"/>
        <v>6752.8868360277138</v>
      </c>
    </row>
    <row r="35" spans="2:17" ht="20.100000000000001" customHeight="1" x14ac:dyDescent="0.25">
      <c r="B35" s="143" t="s">
        <v>36</v>
      </c>
      <c r="C35" s="2" t="s">
        <v>37</v>
      </c>
      <c r="D35" s="1" t="s">
        <v>22</v>
      </c>
      <c r="E35" s="1" t="s">
        <v>89</v>
      </c>
      <c r="F35" s="26"/>
      <c r="G35" s="26">
        <v>0.84</v>
      </c>
      <c r="H35" s="44">
        <v>0.86</v>
      </c>
      <c r="I35" s="44">
        <v>0.86</v>
      </c>
      <c r="J35" s="26">
        <v>0.82</v>
      </c>
      <c r="K35" s="26">
        <v>0.85</v>
      </c>
      <c r="L35" s="44">
        <v>0.84</v>
      </c>
      <c r="M35" s="44">
        <v>0.86</v>
      </c>
      <c r="N35" s="26"/>
      <c r="O35" s="26"/>
      <c r="P35" s="44"/>
      <c r="Q35" s="44">
        <v>0.83</v>
      </c>
    </row>
    <row r="36" spans="2:17" ht="20.100000000000001" customHeight="1" x14ac:dyDescent="0.25">
      <c r="B36" s="143"/>
      <c r="C36" s="2" t="s">
        <v>38</v>
      </c>
      <c r="D36" s="1" t="s">
        <v>77</v>
      </c>
      <c r="E36" s="1" t="s">
        <v>85</v>
      </c>
      <c r="F36" s="26"/>
      <c r="G36" s="26">
        <v>36.5</v>
      </c>
      <c r="H36" s="44">
        <v>37.1</v>
      </c>
      <c r="I36" s="44">
        <v>37.200000000000003</v>
      </c>
      <c r="J36" s="26">
        <v>36</v>
      </c>
      <c r="K36" s="26">
        <v>36.799999999999997</v>
      </c>
      <c r="L36" s="44">
        <v>37.1</v>
      </c>
      <c r="M36" s="44">
        <v>37.799999999999997</v>
      </c>
      <c r="N36" s="26"/>
      <c r="O36" s="26"/>
      <c r="P36" s="44"/>
      <c r="Q36" s="44">
        <v>37.200000000000003</v>
      </c>
    </row>
    <row r="37" spans="2:17" ht="20.100000000000001" customHeight="1" x14ac:dyDescent="0.25">
      <c r="B37" s="143"/>
      <c r="C37" s="2" t="s">
        <v>39</v>
      </c>
      <c r="D37" s="1" t="s">
        <v>77</v>
      </c>
      <c r="E37" s="1" t="s">
        <v>85</v>
      </c>
      <c r="F37" s="26"/>
      <c r="G37" s="26">
        <v>37.200000000000003</v>
      </c>
      <c r="H37" s="44">
        <v>38</v>
      </c>
      <c r="I37" s="44">
        <v>38.1</v>
      </c>
      <c r="J37" s="26">
        <v>36.6</v>
      </c>
      <c r="K37" s="26">
        <v>37.799999999999997</v>
      </c>
      <c r="L37" s="44">
        <v>37.4</v>
      </c>
      <c r="M37" s="44">
        <v>38.4</v>
      </c>
      <c r="N37" s="26"/>
      <c r="O37" s="26"/>
      <c r="P37" s="44"/>
      <c r="Q37" s="44">
        <v>37.299999999999997</v>
      </c>
    </row>
    <row r="38" spans="2:17" ht="20.100000000000001" customHeight="1" x14ac:dyDescent="0.25">
      <c r="B38" s="143"/>
      <c r="C38" s="30" t="s">
        <v>97</v>
      </c>
      <c r="D38" s="1" t="s">
        <v>77</v>
      </c>
      <c r="E38" s="1"/>
      <c r="F38" s="53">
        <f>F37-F41</f>
        <v>0</v>
      </c>
      <c r="G38" s="53">
        <f t="shared" ref="G38:Q38" si="3">G37-G41</f>
        <v>2</v>
      </c>
      <c r="H38" s="53">
        <f t="shared" si="3"/>
        <v>4.6000000000000014</v>
      </c>
      <c r="I38" s="53">
        <f t="shared" si="3"/>
        <v>3</v>
      </c>
      <c r="J38" s="53">
        <f t="shared" si="3"/>
        <v>3</v>
      </c>
      <c r="K38" s="53">
        <f t="shared" si="3"/>
        <v>2.7999999999999972</v>
      </c>
      <c r="L38" s="53">
        <f t="shared" si="3"/>
        <v>3.5</v>
      </c>
      <c r="M38" s="53">
        <f t="shared" si="3"/>
        <v>4.1000000000000014</v>
      </c>
      <c r="N38" s="53">
        <f t="shared" si="3"/>
        <v>0</v>
      </c>
      <c r="O38" s="53">
        <f t="shared" si="3"/>
        <v>0</v>
      </c>
      <c r="P38" s="53">
        <f t="shared" si="3"/>
        <v>0</v>
      </c>
      <c r="Q38" s="53">
        <f t="shared" si="3"/>
        <v>2.8999999999999986</v>
      </c>
    </row>
    <row r="39" spans="2:17" ht="20.100000000000001" customHeight="1" x14ac:dyDescent="0.25">
      <c r="B39" s="143"/>
      <c r="C39" s="2" t="s">
        <v>90</v>
      </c>
      <c r="D39" s="1" t="s">
        <v>45</v>
      </c>
      <c r="E39" s="1"/>
      <c r="F39" s="26"/>
      <c r="G39" s="26"/>
      <c r="H39" s="44"/>
      <c r="I39" s="44"/>
      <c r="J39" s="26"/>
      <c r="K39" s="26"/>
      <c r="L39" s="44"/>
      <c r="M39" s="44"/>
      <c r="N39" s="26"/>
      <c r="O39" s="26"/>
      <c r="P39" s="44"/>
      <c r="Q39" s="44"/>
    </row>
    <row r="40" spans="2:17" ht="20.100000000000001" customHeight="1" x14ac:dyDescent="0.25">
      <c r="B40" s="143"/>
      <c r="C40" s="2" t="s">
        <v>41</v>
      </c>
      <c r="D40" s="1" t="s">
        <v>77</v>
      </c>
      <c r="E40" s="1">
        <v>30.8</v>
      </c>
      <c r="F40" s="26"/>
      <c r="G40" s="26">
        <v>29.1</v>
      </c>
      <c r="H40" s="44">
        <v>28.3</v>
      </c>
      <c r="I40" s="44">
        <v>29.1</v>
      </c>
      <c r="J40" s="26">
        <v>28.6</v>
      </c>
      <c r="K40" s="26">
        <v>29.1</v>
      </c>
      <c r="L40" s="44">
        <v>28.5</v>
      </c>
      <c r="M40" s="44">
        <v>29.4</v>
      </c>
      <c r="N40" s="26"/>
      <c r="O40" s="26"/>
      <c r="P40" s="44"/>
      <c r="Q40" s="44">
        <v>29.3</v>
      </c>
    </row>
    <row r="41" spans="2:17" ht="20.100000000000001" customHeight="1" x14ac:dyDescent="0.25">
      <c r="B41" s="143"/>
      <c r="C41" s="2" t="s">
        <v>42</v>
      </c>
      <c r="D41" s="1" t="s">
        <v>77</v>
      </c>
      <c r="E41" s="1">
        <v>36.4</v>
      </c>
      <c r="F41" s="26"/>
      <c r="G41" s="26">
        <v>35.200000000000003</v>
      </c>
      <c r="H41" s="44">
        <v>33.4</v>
      </c>
      <c r="I41" s="44">
        <v>35.1</v>
      </c>
      <c r="J41" s="26">
        <v>33.6</v>
      </c>
      <c r="K41" s="26">
        <v>35</v>
      </c>
      <c r="L41" s="44">
        <v>33.9</v>
      </c>
      <c r="M41" s="44">
        <v>34.299999999999997</v>
      </c>
      <c r="N41" s="26"/>
      <c r="O41" s="26"/>
      <c r="P41" s="44"/>
      <c r="Q41" s="44">
        <v>34.4</v>
      </c>
    </row>
    <row r="42" spans="2:17" ht="20.100000000000001" customHeight="1" x14ac:dyDescent="0.25">
      <c r="B42" s="143"/>
      <c r="C42" s="2" t="s">
        <v>91</v>
      </c>
      <c r="D42" s="1" t="s">
        <v>77</v>
      </c>
      <c r="E42" s="1">
        <v>5.6</v>
      </c>
      <c r="F42" s="53">
        <f>F41-F40</f>
        <v>0</v>
      </c>
      <c r="G42" s="53">
        <f>G41-G40</f>
        <v>6.1000000000000014</v>
      </c>
      <c r="H42" s="53">
        <f t="shared" ref="H42:Q42" si="4">H41-H40</f>
        <v>5.0999999999999979</v>
      </c>
      <c r="I42" s="53">
        <f t="shared" si="4"/>
        <v>6</v>
      </c>
      <c r="J42" s="53">
        <f t="shared" si="4"/>
        <v>5</v>
      </c>
      <c r="K42" s="53">
        <f t="shared" si="4"/>
        <v>5.8999999999999986</v>
      </c>
      <c r="L42" s="53">
        <f t="shared" si="4"/>
        <v>5.3999999999999986</v>
      </c>
      <c r="M42" s="53">
        <f t="shared" si="4"/>
        <v>4.8999999999999986</v>
      </c>
      <c r="N42" s="53">
        <f t="shared" si="4"/>
        <v>0</v>
      </c>
      <c r="O42" s="53">
        <f t="shared" si="4"/>
        <v>0</v>
      </c>
      <c r="P42" s="53">
        <f t="shared" si="4"/>
        <v>0</v>
      </c>
      <c r="Q42" s="53">
        <f t="shared" si="4"/>
        <v>5.0999999999999979</v>
      </c>
    </row>
    <row r="43" spans="2:17" ht="20.100000000000001" customHeight="1" x14ac:dyDescent="0.25">
      <c r="B43" s="143"/>
      <c r="C43" s="2" t="s">
        <v>43</v>
      </c>
      <c r="D43" s="1" t="s">
        <v>35</v>
      </c>
      <c r="E43" s="1">
        <v>1273.0999999999999</v>
      </c>
      <c r="F43" s="26"/>
      <c r="G43" s="26">
        <v>1220</v>
      </c>
      <c r="H43" s="44">
        <v>1233.0999999999999</v>
      </c>
      <c r="I43" s="44">
        <v>1255</v>
      </c>
      <c r="J43" s="26">
        <v>1290.0999999999999</v>
      </c>
      <c r="K43" s="26">
        <v>1275</v>
      </c>
      <c r="L43" s="44">
        <v>1191.5</v>
      </c>
      <c r="M43" s="44">
        <v>1200</v>
      </c>
      <c r="N43" s="26"/>
      <c r="O43" s="26"/>
      <c r="P43" s="44"/>
      <c r="Q43" s="44">
        <v>1211</v>
      </c>
    </row>
    <row r="44" spans="2:17" ht="20.100000000000001" customHeight="1" x14ac:dyDescent="0.25">
      <c r="B44" s="143"/>
      <c r="C44" s="2" t="s">
        <v>44</v>
      </c>
      <c r="D44" s="1" t="s">
        <v>34</v>
      </c>
      <c r="E44" s="1">
        <v>8226.9</v>
      </c>
      <c r="F44" s="53">
        <f>(F43*F42)/0.866</f>
        <v>0</v>
      </c>
      <c r="G44" s="54">
        <f>G42*G43/0.866</f>
        <v>8593.5334872979238</v>
      </c>
      <c r="H44" s="54">
        <f t="shared" ref="H44:Q44" si="5">H42*H43/0.866</f>
        <v>7261.9053117782869</v>
      </c>
      <c r="I44" s="54">
        <f t="shared" si="5"/>
        <v>8695.1501154734415</v>
      </c>
      <c r="J44" s="54">
        <f t="shared" si="5"/>
        <v>7448.6143187066973</v>
      </c>
      <c r="K44" s="54">
        <f t="shared" si="5"/>
        <v>8686.4896073902983</v>
      </c>
      <c r="L44" s="54">
        <f t="shared" si="5"/>
        <v>7429.6766743648941</v>
      </c>
      <c r="M44" s="54">
        <f t="shared" si="5"/>
        <v>6789.8383371824457</v>
      </c>
      <c r="N44" s="54">
        <f t="shared" si="5"/>
        <v>0</v>
      </c>
      <c r="O44" s="54">
        <f t="shared" si="5"/>
        <v>0</v>
      </c>
      <c r="P44" s="54">
        <f t="shared" si="5"/>
        <v>0</v>
      </c>
      <c r="Q44" s="54">
        <f t="shared" si="5"/>
        <v>7131.7551963048472</v>
      </c>
    </row>
    <row r="45" spans="2:17" ht="20.100000000000001" customHeight="1" x14ac:dyDescent="0.25">
      <c r="B45" s="143" t="s">
        <v>46</v>
      </c>
      <c r="C45" s="2" t="s">
        <v>47</v>
      </c>
      <c r="D45" s="1" t="s">
        <v>22</v>
      </c>
      <c r="E45" s="1" t="s">
        <v>92</v>
      </c>
      <c r="F45" s="26"/>
      <c r="G45" s="26">
        <v>0.46</v>
      </c>
      <c r="H45" s="44">
        <v>0.46</v>
      </c>
      <c r="I45" s="44">
        <v>0.46</v>
      </c>
      <c r="J45" s="26">
        <v>0.45</v>
      </c>
      <c r="K45" s="26">
        <v>0.47</v>
      </c>
      <c r="L45" s="44">
        <v>0.47</v>
      </c>
      <c r="M45" s="44">
        <v>0.48</v>
      </c>
      <c r="N45" s="26"/>
      <c r="O45" s="26"/>
      <c r="P45" s="44"/>
      <c r="Q45" s="44">
        <v>0.47</v>
      </c>
    </row>
    <row r="46" spans="2:17" ht="20.100000000000001" customHeight="1" x14ac:dyDescent="0.25">
      <c r="B46" s="143"/>
      <c r="C46" s="2" t="s">
        <v>48</v>
      </c>
      <c r="D46" s="1" t="s">
        <v>77</v>
      </c>
      <c r="E46" s="1" t="s">
        <v>85</v>
      </c>
      <c r="F46" s="26"/>
      <c r="G46" s="26">
        <v>20.100000000000001</v>
      </c>
      <c r="H46" s="44">
        <v>19.899999999999999</v>
      </c>
      <c r="I46" s="44">
        <v>20.100000000000001</v>
      </c>
      <c r="J46" s="26">
        <v>19</v>
      </c>
      <c r="K46" s="26">
        <v>19.899999999999999</v>
      </c>
      <c r="L46" s="44">
        <v>20.399999999999999</v>
      </c>
      <c r="M46" s="44">
        <v>20.8</v>
      </c>
      <c r="N46" s="26"/>
      <c r="O46" s="26"/>
      <c r="P46" s="44"/>
      <c r="Q46" s="44">
        <v>20.3</v>
      </c>
    </row>
    <row r="47" spans="2:17" ht="20.100000000000001" customHeight="1" x14ac:dyDescent="0.25">
      <c r="B47" s="143"/>
      <c r="C47" s="2" t="s">
        <v>40</v>
      </c>
      <c r="D47" s="1" t="s">
        <v>45</v>
      </c>
      <c r="E47" s="1" t="s">
        <v>45</v>
      </c>
      <c r="F47" s="26"/>
      <c r="G47" s="26">
        <v>196.1</v>
      </c>
      <c r="H47" s="44">
        <v>121.2</v>
      </c>
      <c r="I47" s="44">
        <v>130.1</v>
      </c>
      <c r="J47" s="26">
        <v>201.8</v>
      </c>
      <c r="K47" s="26">
        <v>205</v>
      </c>
      <c r="L47" s="44">
        <v>215.4</v>
      </c>
      <c r="M47" s="44">
        <v>207.9</v>
      </c>
      <c r="N47" s="26"/>
      <c r="O47" s="26"/>
      <c r="P47" s="44"/>
      <c r="Q47" s="44">
        <v>196</v>
      </c>
    </row>
    <row r="48" spans="2:17" ht="20.100000000000001" customHeight="1" x14ac:dyDescent="0.25">
      <c r="B48" s="156" t="s">
        <v>49</v>
      </c>
      <c r="C48" s="156"/>
      <c r="D48" s="156"/>
      <c r="E48" s="37" t="s">
        <v>93</v>
      </c>
      <c r="F48" s="26"/>
      <c r="G48" s="26"/>
      <c r="H48" s="44"/>
      <c r="I48" s="44"/>
      <c r="J48" s="26"/>
      <c r="K48" s="26"/>
      <c r="L48" s="44"/>
      <c r="M48" s="44"/>
      <c r="N48" s="26"/>
      <c r="O48" s="26"/>
      <c r="P48" s="44"/>
      <c r="Q48" s="44"/>
    </row>
    <row r="49" spans="2:17" ht="20.100000000000001" customHeight="1" x14ac:dyDescent="0.25">
      <c r="B49" s="156" t="s">
        <v>50</v>
      </c>
      <c r="C49" s="156"/>
      <c r="D49" s="156"/>
      <c r="E49" s="49">
        <v>5.89</v>
      </c>
      <c r="F49" s="26"/>
      <c r="G49" s="26">
        <v>5.22</v>
      </c>
      <c r="H49" s="44">
        <v>5.03</v>
      </c>
      <c r="I49" s="44">
        <v>4.9800000000000004</v>
      </c>
      <c r="J49" s="26">
        <v>5.46</v>
      </c>
      <c r="K49" s="26">
        <v>5.35</v>
      </c>
      <c r="L49" s="44">
        <v>5.3</v>
      </c>
      <c r="M49" s="44">
        <v>5.0199999999999996</v>
      </c>
      <c r="N49" s="26"/>
      <c r="O49" s="26"/>
      <c r="P49" s="44"/>
      <c r="Q49" s="44">
        <v>4.93</v>
      </c>
    </row>
    <row r="50" spans="2:17" ht="20.100000000000001" customHeight="1" x14ac:dyDescent="0.25">
      <c r="B50" s="156" t="s">
        <v>51</v>
      </c>
      <c r="C50" s="156"/>
      <c r="D50" s="156"/>
      <c r="E50" s="49"/>
      <c r="F50" s="26"/>
      <c r="G50" s="26"/>
      <c r="H50" s="44"/>
      <c r="I50" s="44"/>
      <c r="J50" s="26"/>
      <c r="K50" s="26"/>
      <c r="L50" s="44"/>
      <c r="M50" s="44"/>
      <c r="N50" s="26"/>
      <c r="O50" s="26"/>
      <c r="P50" s="44"/>
      <c r="Q50" s="44"/>
    </row>
    <row r="51" spans="2:17" ht="20.100000000000001" customHeight="1" thickBot="1" x14ac:dyDescent="0.3">
      <c r="B51" s="156" t="s">
        <v>52</v>
      </c>
      <c r="C51" s="156"/>
      <c r="D51" s="156"/>
      <c r="E51" s="50"/>
      <c r="F51" s="26"/>
      <c r="G51" s="26"/>
      <c r="H51" s="44"/>
      <c r="I51" s="44"/>
      <c r="J51" s="26"/>
      <c r="K51" s="26"/>
      <c r="L51" s="44"/>
      <c r="M51" s="44"/>
      <c r="N51" s="26"/>
      <c r="O51" s="26"/>
      <c r="P51" s="44"/>
      <c r="Q51" s="44"/>
    </row>
    <row r="52" spans="2:17" x14ac:dyDescent="0.25">
      <c r="B52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/>
    </row>
    <row r="54" spans="2:17" x14ac:dyDescent="0.25">
      <c r="C54" s="20" t="s">
        <v>95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2"/>
    </row>
    <row r="55" spans="2:17" x14ac:dyDescent="0.25"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2"/>
    </row>
    <row r="56" spans="2:17" x14ac:dyDescent="0.25"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2"/>
    </row>
    <row r="57" spans="2:17" x14ac:dyDescent="0.25">
      <c r="C57" s="20" t="s">
        <v>69</v>
      </c>
      <c r="D57" s="21"/>
      <c r="E57" s="21"/>
      <c r="F57" s="32" t="b">
        <v>0</v>
      </c>
      <c r="G57" s="34" t="s">
        <v>79</v>
      </c>
      <c r="H57" s="21"/>
      <c r="I57" s="21"/>
      <c r="J57" s="21"/>
      <c r="K57" s="21"/>
      <c r="L57" s="21"/>
      <c r="M57" s="21"/>
      <c r="N57" s="21"/>
      <c r="O57" s="21"/>
      <c r="P57" s="21"/>
      <c r="Q57" s="22"/>
    </row>
    <row r="58" spans="2:17" x14ac:dyDescent="0.25">
      <c r="C58" s="20" t="s">
        <v>69</v>
      </c>
      <c r="D58" s="21"/>
      <c r="E58" s="21"/>
      <c r="F58" s="26" t="s">
        <v>70</v>
      </c>
      <c r="G58" s="33" t="s">
        <v>71</v>
      </c>
      <c r="H58" s="21"/>
      <c r="I58" s="21"/>
      <c r="J58" s="21"/>
      <c r="K58" s="21"/>
      <c r="L58" s="21"/>
      <c r="M58" s="21"/>
      <c r="N58" s="21"/>
      <c r="O58" s="21"/>
      <c r="P58" s="21"/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2F93E-E95E-4B49-80F3-48FFE0899FC7}">
  <dimension ref="B1:Q59"/>
  <sheetViews>
    <sheetView view="pageBreakPreview" zoomScale="85" zoomScaleNormal="60" zoomScaleSheetLayoutView="85" workbookViewId="0">
      <selection activeCell="P47" sqref="P47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7" t="s">
        <v>64</v>
      </c>
      <c r="O2" s="8"/>
      <c r="P2" s="8"/>
      <c r="Q2" s="9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13" t="s">
        <v>63</v>
      </c>
      <c r="O3" s="14" t="s">
        <v>96</v>
      </c>
      <c r="P3" s="14"/>
      <c r="Q3" s="15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13" t="s">
        <v>62</v>
      </c>
      <c r="O4" s="14"/>
      <c r="P4" s="14"/>
      <c r="Q4" s="15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10" t="s">
        <v>61</v>
      </c>
      <c r="O5" s="11"/>
      <c r="P5" s="11"/>
      <c r="Q5" s="12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3">
        <v>0.375</v>
      </c>
      <c r="G9" s="4" t="s">
        <v>60</v>
      </c>
      <c r="H9" s="5">
        <v>0.375</v>
      </c>
      <c r="I9" s="6" t="s">
        <v>60</v>
      </c>
      <c r="J9" s="3">
        <v>0.375</v>
      </c>
      <c r="K9" s="4" t="s">
        <v>60</v>
      </c>
      <c r="L9" s="5">
        <v>0.375</v>
      </c>
      <c r="M9" s="6" t="s">
        <v>60</v>
      </c>
      <c r="N9" s="3">
        <v>0.375</v>
      </c>
      <c r="O9" s="4" t="s">
        <v>60</v>
      </c>
      <c r="P9" s="5">
        <v>0.375</v>
      </c>
      <c r="Q9" s="6" t="s">
        <v>60</v>
      </c>
    </row>
    <row r="10" spans="2:17" ht="26.25" customHeight="1" x14ac:dyDescent="0.25">
      <c r="B10" s="134" t="s">
        <v>66</v>
      </c>
      <c r="C10" s="135"/>
      <c r="D10" s="47" t="s">
        <v>78</v>
      </c>
      <c r="E10" s="27"/>
      <c r="F10" s="94" t="s">
        <v>100</v>
      </c>
      <c r="G10" s="94" t="s">
        <v>100</v>
      </c>
      <c r="H10" s="96" t="s">
        <v>100</v>
      </c>
      <c r="I10" s="96" t="s">
        <v>100</v>
      </c>
      <c r="J10" s="93"/>
      <c r="K10" s="94" t="s">
        <v>100</v>
      </c>
      <c r="L10" s="95"/>
      <c r="M10" s="96" t="s">
        <v>100</v>
      </c>
      <c r="N10" s="93"/>
      <c r="O10" s="94"/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1" t="s">
        <v>4</v>
      </c>
      <c r="E11" s="1" t="s">
        <v>80</v>
      </c>
      <c r="F11" s="82">
        <v>71.099999999999994</v>
      </c>
      <c r="G11" s="82">
        <v>68.2</v>
      </c>
      <c r="H11" s="97">
        <v>82.4</v>
      </c>
      <c r="I11" s="97">
        <v>73.2</v>
      </c>
      <c r="J11" s="82"/>
      <c r="K11" s="82">
        <v>74.7</v>
      </c>
      <c r="L11" s="97"/>
      <c r="M11" s="97">
        <v>73.2</v>
      </c>
      <c r="N11" s="82"/>
      <c r="O11" s="82"/>
      <c r="P11" s="97">
        <v>75.7</v>
      </c>
      <c r="Q11" s="97">
        <v>75.7</v>
      </c>
    </row>
    <row r="12" spans="2:17" ht="20.100000000000001" customHeight="1" x14ac:dyDescent="0.25">
      <c r="B12" s="156" t="s">
        <v>3</v>
      </c>
      <c r="C12" s="156"/>
      <c r="D12" s="1" t="s">
        <v>4</v>
      </c>
      <c r="E12" s="1" t="s">
        <v>80</v>
      </c>
      <c r="F12" s="82">
        <v>0.3</v>
      </c>
      <c r="G12" s="82">
        <v>0.3</v>
      </c>
      <c r="H12" s="97">
        <v>0</v>
      </c>
      <c r="I12" s="97">
        <v>0</v>
      </c>
      <c r="J12" s="82"/>
      <c r="K12" s="82">
        <v>0</v>
      </c>
      <c r="L12" s="97"/>
      <c r="M12" s="97">
        <v>0.2</v>
      </c>
      <c r="N12" s="82"/>
      <c r="O12" s="82"/>
      <c r="P12" s="97">
        <v>0</v>
      </c>
      <c r="Q12" s="97">
        <v>0</v>
      </c>
    </row>
    <row r="13" spans="2:17" ht="20.100000000000001" customHeight="1" x14ac:dyDescent="0.25">
      <c r="B13" s="156" t="s">
        <v>5</v>
      </c>
      <c r="C13" s="156"/>
      <c r="D13" s="1" t="s">
        <v>4</v>
      </c>
      <c r="E13" s="1" t="s">
        <v>80</v>
      </c>
      <c r="F13" s="82">
        <v>67.099999999999994</v>
      </c>
      <c r="G13" s="82">
        <v>62.2</v>
      </c>
      <c r="H13" s="97">
        <v>79.2</v>
      </c>
      <c r="I13" s="97">
        <v>68.2</v>
      </c>
      <c r="J13" s="82"/>
      <c r="K13" s="82">
        <v>70.099999999999994</v>
      </c>
      <c r="L13" s="97"/>
      <c r="M13" s="97">
        <v>58.3</v>
      </c>
      <c r="N13" s="82"/>
      <c r="O13" s="82"/>
      <c r="P13" s="97">
        <v>71.400000000000006</v>
      </c>
      <c r="Q13" s="97">
        <v>71.5</v>
      </c>
    </row>
    <row r="14" spans="2:17" ht="20.100000000000001" customHeight="1" x14ac:dyDescent="0.25">
      <c r="B14" s="156" t="s">
        <v>6</v>
      </c>
      <c r="C14" s="156"/>
      <c r="D14" s="1" t="s">
        <v>4</v>
      </c>
      <c r="E14" s="1" t="s">
        <v>80</v>
      </c>
      <c r="F14" s="82">
        <v>64.2</v>
      </c>
      <c r="G14" s="82">
        <v>66.3</v>
      </c>
      <c r="H14" s="97">
        <v>66.3</v>
      </c>
      <c r="I14" s="97">
        <v>68.8</v>
      </c>
      <c r="J14" s="82"/>
      <c r="K14" s="82">
        <v>63.2</v>
      </c>
      <c r="L14" s="97"/>
      <c r="M14" s="97">
        <v>66.900000000000006</v>
      </c>
      <c r="N14" s="82"/>
      <c r="O14" s="82"/>
      <c r="P14" s="97">
        <v>71.099999999999994</v>
      </c>
      <c r="Q14" s="97">
        <v>72.5</v>
      </c>
    </row>
    <row r="15" spans="2:17" ht="20.100000000000001" customHeight="1" x14ac:dyDescent="0.25">
      <c r="B15" s="156" t="s">
        <v>7</v>
      </c>
      <c r="C15" s="156"/>
      <c r="D15" s="1" t="s">
        <v>4</v>
      </c>
      <c r="E15" s="1" t="s">
        <v>80</v>
      </c>
      <c r="F15" s="82">
        <v>54.2</v>
      </c>
      <c r="G15" s="82">
        <v>51.7</v>
      </c>
      <c r="H15" s="97">
        <v>48.2</v>
      </c>
      <c r="I15" s="97">
        <v>50</v>
      </c>
      <c r="J15" s="82"/>
      <c r="K15" s="82">
        <v>36.799999999999997</v>
      </c>
      <c r="L15" s="97"/>
      <c r="M15" s="97">
        <v>34.1</v>
      </c>
      <c r="N15" s="82"/>
      <c r="O15" s="82"/>
      <c r="P15" s="97">
        <v>39.1</v>
      </c>
      <c r="Q15" s="97">
        <v>41.4</v>
      </c>
    </row>
    <row r="16" spans="2:17" ht="20.100000000000001" customHeight="1" x14ac:dyDescent="0.25">
      <c r="B16" s="143" t="s">
        <v>8</v>
      </c>
      <c r="C16" s="2" t="s">
        <v>9</v>
      </c>
      <c r="D16" s="1" t="s">
        <v>12</v>
      </c>
      <c r="E16" s="1" t="s">
        <v>81</v>
      </c>
      <c r="F16" s="82">
        <v>6.6</v>
      </c>
      <c r="G16" s="82">
        <v>6.6</v>
      </c>
      <c r="H16" s="82">
        <v>6.6</v>
      </c>
      <c r="I16" s="82">
        <v>6.6</v>
      </c>
      <c r="J16" s="82">
        <v>6.6</v>
      </c>
      <c r="K16" s="82">
        <v>6.6</v>
      </c>
      <c r="L16" s="82">
        <v>6.6</v>
      </c>
      <c r="M16" s="82">
        <v>6.6</v>
      </c>
      <c r="N16" s="82">
        <v>6.6</v>
      </c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2" t="s">
        <v>10</v>
      </c>
      <c r="D17" s="1" t="s">
        <v>13</v>
      </c>
      <c r="E17" s="1" t="s">
        <v>82</v>
      </c>
      <c r="F17" s="82">
        <v>117.4</v>
      </c>
      <c r="G17" s="82">
        <v>116.1</v>
      </c>
      <c r="H17" s="97">
        <v>119.2</v>
      </c>
      <c r="I17" s="97">
        <v>116.7</v>
      </c>
      <c r="J17" s="82"/>
      <c r="K17" s="82">
        <v>118.3</v>
      </c>
      <c r="L17" s="97"/>
      <c r="M17" s="97">
        <v>118.8</v>
      </c>
      <c r="N17" s="82"/>
      <c r="O17" s="82"/>
      <c r="P17" s="97">
        <v>118.6</v>
      </c>
      <c r="Q17" s="97">
        <v>117.6</v>
      </c>
    </row>
    <row r="18" spans="2:17" ht="20.100000000000001" customHeight="1" x14ac:dyDescent="0.25">
      <c r="B18" s="143"/>
      <c r="C18" s="2" t="s">
        <v>11</v>
      </c>
      <c r="D18" s="1" t="s">
        <v>14</v>
      </c>
      <c r="E18" s="1" t="s">
        <v>83</v>
      </c>
      <c r="F18" s="82">
        <v>1157.5</v>
      </c>
      <c r="G18" s="82">
        <v>1139</v>
      </c>
      <c r="H18" s="97">
        <v>1219</v>
      </c>
      <c r="I18" s="97">
        <v>1175</v>
      </c>
      <c r="J18" s="82"/>
      <c r="K18" s="82">
        <v>1207</v>
      </c>
      <c r="L18" s="97"/>
      <c r="M18" s="97">
        <v>1204</v>
      </c>
      <c r="N18" s="82"/>
      <c r="O18" s="82"/>
      <c r="P18" s="97">
        <v>1194</v>
      </c>
      <c r="Q18" s="97">
        <v>1196</v>
      </c>
    </row>
    <row r="19" spans="2:17" ht="20.100000000000001" customHeight="1" x14ac:dyDescent="0.25">
      <c r="B19" s="143" t="s">
        <v>24</v>
      </c>
      <c r="C19" s="2" t="s">
        <v>15</v>
      </c>
      <c r="D19" s="1" t="s">
        <v>16</v>
      </c>
      <c r="E19" s="35" t="s">
        <v>84</v>
      </c>
      <c r="F19" s="82">
        <v>45773.8</v>
      </c>
      <c r="G19" s="82">
        <v>45764</v>
      </c>
      <c r="H19" s="97">
        <v>46530</v>
      </c>
      <c r="I19" s="97">
        <v>46520</v>
      </c>
      <c r="J19" s="82"/>
      <c r="K19" s="82">
        <v>44321</v>
      </c>
      <c r="L19" s="97"/>
      <c r="M19" s="97">
        <v>46549</v>
      </c>
      <c r="N19" s="82"/>
      <c r="O19" s="82"/>
      <c r="P19" s="97">
        <v>47666.5</v>
      </c>
      <c r="Q19" s="97">
        <v>47656</v>
      </c>
    </row>
    <row r="20" spans="2:17" ht="20.100000000000001" customHeight="1" x14ac:dyDescent="0.25">
      <c r="B20" s="143"/>
      <c r="C20" s="2" t="s">
        <v>17</v>
      </c>
      <c r="D20" s="1" t="s">
        <v>77</v>
      </c>
      <c r="E20" s="1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2" t="s">
        <v>18</v>
      </c>
      <c r="D21" s="1" t="s">
        <v>77</v>
      </c>
      <c r="E21" s="1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2" t="s">
        <v>19</v>
      </c>
      <c r="D22" s="1" t="s">
        <v>77</v>
      </c>
      <c r="E22" s="1" t="s">
        <v>73</v>
      </c>
      <c r="F22" s="82">
        <v>58.2</v>
      </c>
      <c r="G22" s="82">
        <v>60.2</v>
      </c>
      <c r="H22" s="97">
        <v>59.3</v>
      </c>
      <c r="I22" s="97">
        <v>58.9</v>
      </c>
      <c r="J22" s="82"/>
      <c r="K22" s="82">
        <v>58</v>
      </c>
      <c r="L22" s="97"/>
      <c r="M22" s="97">
        <v>57.3</v>
      </c>
      <c r="N22" s="82"/>
      <c r="O22" s="82"/>
      <c r="P22" s="97">
        <v>59.3</v>
      </c>
      <c r="Q22" s="97">
        <v>59.4</v>
      </c>
    </row>
    <row r="23" spans="2:17" ht="60" x14ac:dyDescent="0.25">
      <c r="B23" s="143"/>
      <c r="C23" s="30" t="s">
        <v>20</v>
      </c>
      <c r="D23" s="26" t="s">
        <v>22</v>
      </c>
      <c r="E23" s="29" t="s">
        <v>76</v>
      </c>
      <c r="F23" s="82">
        <v>0.47</v>
      </c>
      <c r="G23" s="82">
        <v>0.52</v>
      </c>
      <c r="H23" s="97">
        <v>0.49</v>
      </c>
      <c r="I23" s="97">
        <v>0.5</v>
      </c>
      <c r="J23" s="82"/>
      <c r="K23" s="82">
        <v>0.59</v>
      </c>
      <c r="L23" s="97"/>
      <c r="M23" s="97">
        <v>0.54</v>
      </c>
      <c r="N23" s="82"/>
      <c r="O23" s="82"/>
      <c r="P23" s="97">
        <v>0.49</v>
      </c>
      <c r="Q23" s="97">
        <v>0.48</v>
      </c>
    </row>
    <row r="24" spans="2:17" ht="39.75" customHeight="1" x14ac:dyDescent="0.25">
      <c r="B24" s="143"/>
      <c r="C24" s="30" t="s">
        <v>21</v>
      </c>
      <c r="D24" s="1"/>
      <c r="E24" s="1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2" t="s">
        <v>23</v>
      </c>
      <c r="D25" s="1" t="s">
        <v>77</v>
      </c>
      <c r="E25" s="1" t="s">
        <v>74</v>
      </c>
      <c r="F25" s="82">
        <v>45.6</v>
      </c>
      <c r="G25" s="82">
        <v>46.4</v>
      </c>
      <c r="H25" s="97">
        <v>45.2</v>
      </c>
      <c r="I25" s="97">
        <v>45</v>
      </c>
      <c r="J25" s="82"/>
      <c r="K25" s="82">
        <v>44.9</v>
      </c>
      <c r="L25" s="97"/>
      <c r="M25" s="97">
        <v>45</v>
      </c>
      <c r="N25" s="82"/>
      <c r="O25" s="82"/>
      <c r="P25" s="97">
        <v>46</v>
      </c>
      <c r="Q25" s="97">
        <v>45</v>
      </c>
    </row>
    <row r="26" spans="2:17" ht="20.100000000000001" customHeight="1" x14ac:dyDescent="0.25">
      <c r="B26" s="143" t="s">
        <v>25</v>
      </c>
      <c r="C26" s="2" t="s">
        <v>26</v>
      </c>
      <c r="D26" s="1" t="s">
        <v>22</v>
      </c>
      <c r="E26" s="36" t="s">
        <v>86</v>
      </c>
      <c r="F26" s="82">
        <v>0.28000000000000003</v>
      </c>
      <c r="G26" s="82">
        <v>0.23</v>
      </c>
      <c r="H26" s="97">
        <v>0.21</v>
      </c>
      <c r="I26" s="97">
        <v>0.23</v>
      </c>
      <c r="J26" s="82"/>
      <c r="K26" s="82">
        <v>0.23</v>
      </c>
      <c r="L26" s="97"/>
      <c r="M26" s="97">
        <v>0.23</v>
      </c>
      <c r="N26" s="82"/>
      <c r="O26" s="82"/>
      <c r="P26" s="97">
        <v>0.25</v>
      </c>
      <c r="Q26" s="97">
        <v>0.23</v>
      </c>
    </row>
    <row r="27" spans="2:17" ht="20.100000000000001" customHeight="1" x14ac:dyDescent="0.25">
      <c r="B27" s="143"/>
      <c r="C27" s="2" t="s">
        <v>27</v>
      </c>
      <c r="D27" s="1" t="s">
        <v>77</v>
      </c>
      <c r="E27" s="1" t="s">
        <v>85</v>
      </c>
      <c r="F27" s="82">
        <v>4.5</v>
      </c>
      <c r="G27" s="82">
        <v>4.8</v>
      </c>
      <c r="H27" s="97">
        <v>3.5</v>
      </c>
      <c r="I27" s="97">
        <v>4.2</v>
      </c>
      <c r="J27" s="82"/>
      <c r="K27" s="82">
        <v>4.5</v>
      </c>
      <c r="L27" s="97"/>
      <c r="M27" s="97">
        <v>4.7</v>
      </c>
      <c r="N27" s="82"/>
      <c r="O27" s="82"/>
      <c r="P27" s="97">
        <v>4.4000000000000004</v>
      </c>
      <c r="Q27" s="97">
        <v>4.4000000000000004</v>
      </c>
    </row>
    <row r="28" spans="2:17" ht="20.100000000000001" customHeight="1" x14ac:dyDescent="0.25">
      <c r="B28" s="143"/>
      <c r="C28" s="2" t="s">
        <v>28</v>
      </c>
      <c r="D28" s="1" t="s">
        <v>77</v>
      </c>
      <c r="E28" s="1" t="s">
        <v>85</v>
      </c>
      <c r="F28" s="82">
        <v>3.9</v>
      </c>
      <c r="G28" s="82">
        <v>4.2</v>
      </c>
      <c r="H28" s="97">
        <v>2.5</v>
      </c>
      <c r="I28" s="97">
        <v>3.4</v>
      </c>
      <c r="J28" s="82"/>
      <c r="K28" s="82">
        <v>3.6</v>
      </c>
      <c r="L28" s="97"/>
      <c r="M28" s="97">
        <v>3.7</v>
      </c>
      <c r="N28" s="82"/>
      <c r="O28" s="82"/>
      <c r="P28" s="97">
        <v>3.4</v>
      </c>
      <c r="Q28" s="97">
        <v>3.5</v>
      </c>
    </row>
    <row r="29" spans="2:17" ht="20.100000000000001" customHeight="1" x14ac:dyDescent="0.25">
      <c r="B29" s="143"/>
      <c r="C29" s="2" t="s">
        <v>98</v>
      </c>
      <c r="D29" s="1" t="s">
        <v>77</v>
      </c>
      <c r="E29" s="1" t="s">
        <v>85</v>
      </c>
      <c r="F29" s="98">
        <f>F32-F27</f>
        <v>0.29999999999999982</v>
      </c>
      <c r="G29" s="98">
        <f t="shared" ref="G29:Q29" si="0">G32-G27</f>
        <v>0.40000000000000036</v>
      </c>
      <c r="H29" s="98">
        <f t="shared" si="0"/>
        <v>1.2999999999999998</v>
      </c>
      <c r="I29" s="98">
        <f t="shared" si="0"/>
        <v>1.2000000000000002</v>
      </c>
      <c r="J29" s="98">
        <f t="shared" si="0"/>
        <v>0</v>
      </c>
      <c r="K29" s="98">
        <f t="shared" si="0"/>
        <v>-0.20000000000000018</v>
      </c>
      <c r="L29" s="98">
        <f t="shared" si="0"/>
        <v>0</v>
      </c>
      <c r="M29" s="98">
        <f t="shared" si="0"/>
        <v>0.39999999999999947</v>
      </c>
      <c r="N29" s="98">
        <f t="shared" si="0"/>
        <v>0</v>
      </c>
      <c r="O29" s="98">
        <f t="shared" si="0"/>
        <v>0</v>
      </c>
      <c r="P29" s="98">
        <f t="shared" si="0"/>
        <v>0.89999999999999947</v>
      </c>
      <c r="Q29" s="98">
        <f t="shared" si="0"/>
        <v>0.5</v>
      </c>
    </row>
    <row r="30" spans="2:17" ht="20.100000000000001" customHeight="1" x14ac:dyDescent="0.25">
      <c r="B30" s="143"/>
      <c r="C30" s="2" t="s">
        <v>29</v>
      </c>
      <c r="D30" s="1" t="s">
        <v>35</v>
      </c>
      <c r="E30" s="1" t="s">
        <v>87</v>
      </c>
      <c r="F30" s="82">
        <v>746.32</v>
      </c>
      <c r="G30" s="82">
        <v>730</v>
      </c>
      <c r="H30" s="97">
        <v>715.44</v>
      </c>
      <c r="I30" s="97">
        <v>699</v>
      </c>
      <c r="J30" s="82"/>
      <c r="K30" s="82">
        <v>660</v>
      </c>
      <c r="L30" s="97"/>
      <c r="M30" s="97">
        <v>703</v>
      </c>
      <c r="N30" s="82"/>
      <c r="O30" s="82"/>
      <c r="P30" s="97">
        <v>733</v>
      </c>
      <c r="Q30" s="97">
        <v>642</v>
      </c>
    </row>
    <row r="31" spans="2:17" ht="20.100000000000001" customHeight="1" x14ac:dyDescent="0.25">
      <c r="B31" s="143"/>
      <c r="C31" s="2" t="s">
        <v>30</v>
      </c>
      <c r="D31" s="1" t="s">
        <v>77</v>
      </c>
      <c r="E31" s="1">
        <v>13.5</v>
      </c>
      <c r="F31" s="82">
        <v>12.4</v>
      </c>
      <c r="G31" s="82">
        <v>13.2</v>
      </c>
      <c r="H31" s="97">
        <v>12.5</v>
      </c>
      <c r="I31" s="97">
        <v>13.3</v>
      </c>
      <c r="J31" s="82"/>
      <c r="K31" s="82">
        <v>13.2</v>
      </c>
      <c r="L31" s="97"/>
      <c r="M31" s="97">
        <v>13.3</v>
      </c>
      <c r="N31" s="82"/>
      <c r="O31" s="82"/>
      <c r="P31" s="97">
        <v>12.7</v>
      </c>
      <c r="Q31" s="97">
        <v>13.4</v>
      </c>
    </row>
    <row r="32" spans="2:17" ht="20.100000000000001" customHeight="1" x14ac:dyDescent="0.25">
      <c r="B32" s="143"/>
      <c r="C32" s="2" t="s">
        <v>31</v>
      </c>
      <c r="D32" s="1" t="s">
        <v>77</v>
      </c>
      <c r="E32" s="1">
        <v>4</v>
      </c>
      <c r="F32" s="82">
        <v>4.8</v>
      </c>
      <c r="G32" s="82">
        <v>5.2</v>
      </c>
      <c r="H32" s="97">
        <v>4.8</v>
      </c>
      <c r="I32" s="97">
        <v>5.4</v>
      </c>
      <c r="J32" s="82"/>
      <c r="K32" s="82">
        <v>4.3</v>
      </c>
      <c r="L32" s="97"/>
      <c r="M32" s="97">
        <v>5.0999999999999996</v>
      </c>
      <c r="N32" s="82"/>
      <c r="O32" s="82"/>
      <c r="P32" s="97">
        <v>5.3</v>
      </c>
      <c r="Q32" s="97">
        <v>4.9000000000000004</v>
      </c>
    </row>
    <row r="33" spans="2:17" ht="20.100000000000001" customHeight="1" x14ac:dyDescent="0.25">
      <c r="B33" s="143"/>
      <c r="C33" s="2" t="s">
        <v>32</v>
      </c>
      <c r="D33" s="1" t="s">
        <v>77</v>
      </c>
      <c r="E33" s="1">
        <v>9.5</v>
      </c>
      <c r="F33" s="98">
        <f>F31-F32</f>
        <v>7.6000000000000005</v>
      </c>
      <c r="G33" s="98">
        <f t="shared" ref="G33:Q33" si="1">G31-G32</f>
        <v>7.9999999999999991</v>
      </c>
      <c r="H33" s="98">
        <f t="shared" si="1"/>
        <v>7.7</v>
      </c>
      <c r="I33" s="98">
        <f t="shared" si="1"/>
        <v>7.9</v>
      </c>
      <c r="J33" s="98">
        <f t="shared" si="1"/>
        <v>0</v>
      </c>
      <c r="K33" s="98">
        <f t="shared" si="1"/>
        <v>8.8999999999999986</v>
      </c>
      <c r="L33" s="98">
        <f t="shared" si="1"/>
        <v>0</v>
      </c>
      <c r="M33" s="98">
        <f t="shared" si="1"/>
        <v>8.2000000000000011</v>
      </c>
      <c r="N33" s="98">
        <f t="shared" si="1"/>
        <v>0</v>
      </c>
      <c r="O33" s="98">
        <f t="shared" si="1"/>
        <v>0</v>
      </c>
      <c r="P33" s="98">
        <f t="shared" si="1"/>
        <v>7.3999999999999995</v>
      </c>
      <c r="Q33" s="98">
        <f t="shared" si="1"/>
        <v>8.5</v>
      </c>
    </row>
    <row r="34" spans="2:17" ht="20.100000000000001" customHeight="1" x14ac:dyDescent="0.25">
      <c r="B34" s="143"/>
      <c r="C34" s="2" t="s">
        <v>33</v>
      </c>
      <c r="D34" s="1" t="s">
        <v>34</v>
      </c>
      <c r="E34" s="1" t="s">
        <v>88</v>
      </c>
      <c r="F34" s="99">
        <f>(F33*F30)/0.866</f>
        <v>6549.6905311778301</v>
      </c>
      <c r="G34" s="99">
        <f t="shared" ref="G34:Q34" si="2">(G33*G30)/0.866</f>
        <v>6743.6489607390295</v>
      </c>
      <c r="H34" s="99">
        <f t="shared" si="2"/>
        <v>6361.3025404157052</v>
      </c>
      <c r="I34" s="99">
        <f t="shared" si="2"/>
        <v>6376.5588914549662</v>
      </c>
      <c r="J34" s="99">
        <f t="shared" si="2"/>
        <v>0</v>
      </c>
      <c r="K34" s="99">
        <f t="shared" si="2"/>
        <v>6782.909930715934</v>
      </c>
      <c r="L34" s="99">
        <f t="shared" si="2"/>
        <v>0</v>
      </c>
      <c r="M34" s="99">
        <f t="shared" si="2"/>
        <v>6656.5819861431874</v>
      </c>
      <c r="N34" s="99">
        <f t="shared" si="2"/>
        <v>0</v>
      </c>
      <c r="O34" s="99">
        <f t="shared" si="2"/>
        <v>0</v>
      </c>
      <c r="P34" s="99">
        <f t="shared" si="2"/>
        <v>6263.5103926096999</v>
      </c>
      <c r="Q34" s="99">
        <f t="shared" si="2"/>
        <v>6301.3856812933027</v>
      </c>
    </row>
    <row r="35" spans="2:17" ht="20.100000000000001" customHeight="1" x14ac:dyDescent="0.25">
      <c r="B35" s="143" t="s">
        <v>36</v>
      </c>
      <c r="C35" s="2" t="s">
        <v>37</v>
      </c>
      <c r="D35" s="1" t="s">
        <v>22</v>
      </c>
      <c r="E35" s="1" t="s">
        <v>89</v>
      </c>
      <c r="F35" s="82">
        <v>0.83</v>
      </c>
      <c r="G35" s="82">
        <v>0.83</v>
      </c>
      <c r="H35" s="97">
        <v>0.87</v>
      </c>
      <c r="I35" s="97">
        <v>0.86</v>
      </c>
      <c r="J35" s="82"/>
      <c r="K35" s="82">
        <v>0.84</v>
      </c>
      <c r="L35" s="97"/>
      <c r="M35" s="97">
        <v>0.83</v>
      </c>
      <c r="N35" s="82"/>
      <c r="O35" s="82"/>
      <c r="P35" s="97">
        <v>0.83</v>
      </c>
      <c r="Q35" s="97">
        <v>0.83</v>
      </c>
    </row>
    <row r="36" spans="2:17" ht="20.100000000000001" customHeight="1" x14ac:dyDescent="0.25">
      <c r="B36" s="143"/>
      <c r="C36" s="2" t="s">
        <v>38</v>
      </c>
      <c r="D36" s="1" t="s">
        <v>77</v>
      </c>
      <c r="E36" s="1" t="s">
        <v>85</v>
      </c>
      <c r="F36" s="82">
        <v>36.700000000000003</v>
      </c>
      <c r="G36" s="82">
        <v>36.700000000000003</v>
      </c>
      <c r="H36" s="97">
        <v>37.5</v>
      </c>
      <c r="I36" s="97">
        <v>37.200000000000003</v>
      </c>
      <c r="J36" s="82"/>
      <c r="K36" s="82">
        <v>36.700000000000003</v>
      </c>
      <c r="L36" s="97"/>
      <c r="M36" s="97">
        <v>37.700000000000003</v>
      </c>
      <c r="N36" s="82"/>
      <c r="O36" s="82"/>
      <c r="P36" s="97">
        <v>36.700000000000003</v>
      </c>
      <c r="Q36" s="97">
        <v>36.9</v>
      </c>
    </row>
    <row r="37" spans="2:17" ht="20.100000000000001" customHeight="1" x14ac:dyDescent="0.25">
      <c r="B37" s="143"/>
      <c r="C37" s="2" t="s">
        <v>39</v>
      </c>
      <c r="D37" s="1" t="s">
        <v>77</v>
      </c>
      <c r="E37" s="1" t="s">
        <v>85</v>
      </c>
      <c r="F37" s="82">
        <v>36.9</v>
      </c>
      <c r="G37" s="82">
        <v>36.9</v>
      </c>
      <c r="H37" s="97">
        <v>38.299999999999997</v>
      </c>
      <c r="I37" s="97">
        <v>38.1</v>
      </c>
      <c r="J37" s="82"/>
      <c r="K37" s="82">
        <v>37.4</v>
      </c>
      <c r="L37" s="97"/>
      <c r="M37" s="97">
        <v>38.1</v>
      </c>
      <c r="N37" s="82"/>
      <c r="O37" s="82"/>
      <c r="P37" s="97">
        <v>36.9</v>
      </c>
      <c r="Q37" s="97">
        <v>36.9</v>
      </c>
    </row>
    <row r="38" spans="2:17" ht="20.100000000000001" customHeight="1" x14ac:dyDescent="0.25">
      <c r="B38" s="143"/>
      <c r="C38" s="30" t="s">
        <v>97</v>
      </c>
      <c r="D38" s="1" t="s">
        <v>77</v>
      </c>
      <c r="E38" s="1"/>
      <c r="F38" s="98">
        <f>F37-F41</f>
        <v>2.6000000000000014</v>
      </c>
      <c r="G38" s="98">
        <f t="shared" ref="G38:Q38" si="3">G37-G41</f>
        <v>2</v>
      </c>
      <c r="H38" s="98">
        <f t="shared" si="3"/>
        <v>4.5999999999999943</v>
      </c>
      <c r="I38" s="98">
        <f t="shared" si="3"/>
        <v>4.1000000000000014</v>
      </c>
      <c r="J38" s="98">
        <f t="shared" si="3"/>
        <v>0</v>
      </c>
      <c r="K38" s="98">
        <f t="shared" si="3"/>
        <v>2.6999999999999957</v>
      </c>
      <c r="L38" s="98">
        <f t="shared" si="3"/>
        <v>0</v>
      </c>
      <c r="M38" s="98">
        <f t="shared" si="3"/>
        <v>3.3999999999999986</v>
      </c>
      <c r="N38" s="98">
        <f t="shared" si="3"/>
        <v>0</v>
      </c>
      <c r="O38" s="98">
        <f t="shared" si="3"/>
        <v>0</v>
      </c>
      <c r="P38" s="98">
        <f t="shared" si="3"/>
        <v>2.6999999999999957</v>
      </c>
      <c r="Q38" s="98">
        <f t="shared" si="3"/>
        <v>2.1999999999999957</v>
      </c>
    </row>
    <row r="39" spans="2:17" ht="20.100000000000001" customHeight="1" x14ac:dyDescent="0.25">
      <c r="B39" s="143"/>
      <c r="C39" s="2" t="s">
        <v>90</v>
      </c>
      <c r="D39" s="1" t="s">
        <v>45</v>
      </c>
      <c r="E39" s="1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2" t="s">
        <v>41</v>
      </c>
      <c r="D40" s="1" t="s">
        <v>77</v>
      </c>
      <c r="E40" s="1">
        <v>30.8</v>
      </c>
      <c r="F40" s="82">
        <v>28.6</v>
      </c>
      <c r="G40" s="82">
        <v>29.1</v>
      </c>
      <c r="H40" s="97">
        <v>28.3</v>
      </c>
      <c r="I40" s="97">
        <v>28.9</v>
      </c>
      <c r="J40" s="82"/>
      <c r="K40" s="82">
        <v>29.1</v>
      </c>
      <c r="L40" s="97"/>
      <c r="M40" s="97">
        <v>29</v>
      </c>
      <c r="N40" s="82"/>
      <c r="O40" s="82"/>
      <c r="P40" s="97">
        <v>28.5</v>
      </c>
      <c r="Q40" s="97">
        <v>28.9</v>
      </c>
    </row>
    <row r="41" spans="2:17" ht="20.100000000000001" customHeight="1" x14ac:dyDescent="0.25">
      <c r="B41" s="143"/>
      <c r="C41" s="2" t="s">
        <v>42</v>
      </c>
      <c r="D41" s="1" t="s">
        <v>77</v>
      </c>
      <c r="E41" s="1">
        <v>36.4</v>
      </c>
      <c r="F41" s="82">
        <v>34.299999999999997</v>
      </c>
      <c r="G41" s="82">
        <v>34.9</v>
      </c>
      <c r="H41" s="97">
        <v>33.700000000000003</v>
      </c>
      <c r="I41" s="97">
        <v>34</v>
      </c>
      <c r="J41" s="82"/>
      <c r="K41" s="82">
        <v>34.700000000000003</v>
      </c>
      <c r="L41" s="97"/>
      <c r="M41" s="97">
        <v>34.700000000000003</v>
      </c>
      <c r="N41" s="82"/>
      <c r="O41" s="82"/>
      <c r="P41" s="97">
        <v>34.200000000000003</v>
      </c>
      <c r="Q41" s="97">
        <v>34.700000000000003</v>
      </c>
    </row>
    <row r="42" spans="2:17" ht="20.100000000000001" customHeight="1" x14ac:dyDescent="0.25">
      <c r="B42" s="143"/>
      <c r="C42" s="2" t="s">
        <v>91</v>
      </c>
      <c r="D42" s="1" t="s">
        <v>77</v>
      </c>
      <c r="E42" s="1">
        <v>5.6</v>
      </c>
      <c r="F42" s="98">
        <f>F41-F40</f>
        <v>5.6999999999999957</v>
      </c>
      <c r="G42" s="98">
        <f t="shared" ref="G42:Q42" si="4">G41-G40</f>
        <v>5.7999999999999972</v>
      </c>
      <c r="H42" s="98">
        <f t="shared" si="4"/>
        <v>5.4000000000000021</v>
      </c>
      <c r="I42" s="98">
        <f t="shared" si="4"/>
        <v>5.1000000000000014</v>
      </c>
      <c r="J42" s="98">
        <f t="shared" si="4"/>
        <v>0</v>
      </c>
      <c r="K42" s="98">
        <f t="shared" si="4"/>
        <v>5.6000000000000014</v>
      </c>
      <c r="L42" s="98">
        <f t="shared" si="4"/>
        <v>0</v>
      </c>
      <c r="M42" s="98">
        <f t="shared" si="4"/>
        <v>5.7000000000000028</v>
      </c>
      <c r="N42" s="98">
        <f t="shared" si="4"/>
        <v>0</v>
      </c>
      <c r="O42" s="98">
        <f t="shared" si="4"/>
        <v>0</v>
      </c>
      <c r="P42" s="98">
        <f t="shared" si="4"/>
        <v>5.7000000000000028</v>
      </c>
      <c r="Q42" s="98">
        <f t="shared" si="4"/>
        <v>5.8000000000000043</v>
      </c>
    </row>
    <row r="43" spans="2:17" ht="20.100000000000001" customHeight="1" x14ac:dyDescent="0.25">
      <c r="B43" s="143"/>
      <c r="C43" s="2" t="s">
        <v>43</v>
      </c>
      <c r="D43" s="1" t="s">
        <v>35</v>
      </c>
      <c r="E43" s="1">
        <v>1273.0999999999999</v>
      </c>
      <c r="F43" s="82">
        <v>1191.54</v>
      </c>
      <c r="G43" s="82">
        <v>1218</v>
      </c>
      <c r="H43" s="97">
        <v>1230.74</v>
      </c>
      <c r="I43" s="97">
        <v>1256</v>
      </c>
      <c r="J43" s="82"/>
      <c r="K43" s="82">
        <v>1283</v>
      </c>
      <c r="L43" s="97"/>
      <c r="M43" s="97">
        <v>1190</v>
      </c>
      <c r="N43" s="82"/>
      <c r="O43" s="82"/>
      <c r="P43" s="97">
        <v>1187.3399999999999</v>
      </c>
      <c r="Q43" s="97">
        <v>1211</v>
      </c>
    </row>
    <row r="44" spans="2:17" ht="20.100000000000001" customHeight="1" x14ac:dyDescent="0.25">
      <c r="B44" s="143"/>
      <c r="C44" s="2" t="s">
        <v>44</v>
      </c>
      <c r="D44" s="1" t="s">
        <v>34</v>
      </c>
      <c r="E44" s="1">
        <v>8226.9</v>
      </c>
      <c r="F44" s="99">
        <f>F42*F43/0.866</f>
        <v>7842.6997690531116</v>
      </c>
      <c r="G44" s="99">
        <f t="shared" ref="G44:Q44" si="5">G42*G43/0.866</f>
        <v>8157.5057736720519</v>
      </c>
      <c r="H44" s="99">
        <f t="shared" si="5"/>
        <v>7674.3602771362621</v>
      </c>
      <c r="I44" s="99">
        <f t="shared" si="5"/>
        <v>7396.7667436489637</v>
      </c>
      <c r="J44" s="99">
        <f t="shared" si="5"/>
        <v>0</v>
      </c>
      <c r="K44" s="99">
        <f t="shared" si="5"/>
        <v>8296.535796766746</v>
      </c>
      <c r="L44" s="99">
        <f t="shared" si="5"/>
        <v>0</v>
      </c>
      <c r="M44" s="99">
        <f t="shared" si="5"/>
        <v>7832.5635103926143</v>
      </c>
      <c r="N44" s="99">
        <f t="shared" si="5"/>
        <v>0</v>
      </c>
      <c r="O44" s="99">
        <f t="shared" si="5"/>
        <v>0</v>
      </c>
      <c r="P44" s="99">
        <f t="shared" si="5"/>
        <v>7815.0554272517347</v>
      </c>
      <c r="Q44" s="99">
        <f t="shared" si="5"/>
        <v>8110.6235565819916</v>
      </c>
    </row>
    <row r="45" spans="2:17" ht="20.100000000000001" customHeight="1" x14ac:dyDescent="0.25">
      <c r="B45" s="143" t="s">
        <v>46</v>
      </c>
      <c r="C45" s="2" t="s">
        <v>47</v>
      </c>
      <c r="D45" s="1" t="s">
        <v>22</v>
      </c>
      <c r="E45" s="1" t="s">
        <v>92</v>
      </c>
      <c r="F45" s="82">
        <v>0.47</v>
      </c>
      <c r="G45" s="82">
        <v>0.48</v>
      </c>
      <c r="H45" s="97">
        <v>0.47</v>
      </c>
      <c r="I45" s="97">
        <v>0.48</v>
      </c>
      <c r="J45" s="82"/>
      <c r="K45" s="82">
        <v>0.46</v>
      </c>
      <c r="L45" s="97"/>
      <c r="M45" s="97">
        <v>0.48</v>
      </c>
      <c r="N45" s="82"/>
      <c r="O45" s="82"/>
      <c r="P45" s="97">
        <v>0.47</v>
      </c>
      <c r="Q45" s="97">
        <v>0.47</v>
      </c>
    </row>
    <row r="46" spans="2:17" ht="20.100000000000001" customHeight="1" x14ac:dyDescent="0.25">
      <c r="B46" s="143"/>
      <c r="C46" s="2" t="s">
        <v>48</v>
      </c>
      <c r="D46" s="1" t="s">
        <v>77</v>
      </c>
      <c r="E46" s="1" t="s">
        <v>85</v>
      </c>
      <c r="F46" s="82">
        <v>20.2</v>
      </c>
      <c r="G46" s="82">
        <v>20.5</v>
      </c>
      <c r="H46" s="97">
        <v>19.8</v>
      </c>
      <c r="I46" s="97">
        <v>20.5</v>
      </c>
      <c r="J46" s="82"/>
      <c r="K46" s="82">
        <v>19.5</v>
      </c>
      <c r="L46" s="97"/>
      <c r="M46" s="97">
        <v>20</v>
      </c>
      <c r="N46" s="82"/>
      <c r="O46" s="82"/>
      <c r="P46" s="97">
        <v>20.3</v>
      </c>
      <c r="Q46" s="97">
        <v>20.3</v>
      </c>
    </row>
    <row r="47" spans="2:17" ht="20.100000000000001" customHeight="1" x14ac:dyDescent="0.25">
      <c r="B47" s="143"/>
      <c r="C47" s="2" t="s">
        <v>40</v>
      </c>
      <c r="D47" s="1" t="s">
        <v>45</v>
      </c>
      <c r="E47" s="1" t="s">
        <v>45</v>
      </c>
      <c r="F47" s="82">
        <v>206.6</v>
      </c>
      <c r="G47" s="82">
        <v>215.1</v>
      </c>
      <c r="H47" s="97">
        <v>125.8</v>
      </c>
      <c r="I47" s="97">
        <v>117</v>
      </c>
      <c r="J47" s="82"/>
      <c r="K47" s="82">
        <v>207</v>
      </c>
      <c r="L47" s="97"/>
      <c r="M47" s="97">
        <v>218.1</v>
      </c>
      <c r="N47" s="82"/>
      <c r="O47" s="82"/>
      <c r="P47" s="97">
        <v>202.6</v>
      </c>
      <c r="Q47" s="97">
        <v>201.7</v>
      </c>
    </row>
    <row r="48" spans="2:17" ht="20.100000000000001" customHeight="1" x14ac:dyDescent="0.25">
      <c r="B48" s="156" t="s">
        <v>49</v>
      </c>
      <c r="C48" s="156"/>
      <c r="D48" s="156"/>
      <c r="E48" s="37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47">
        <v>5.89</v>
      </c>
      <c r="F49" s="82">
        <v>5.04</v>
      </c>
      <c r="G49" s="82">
        <v>5.24</v>
      </c>
      <c r="H49" s="97">
        <v>4.9400000000000004</v>
      </c>
      <c r="I49" s="97">
        <v>4.96</v>
      </c>
      <c r="J49" s="82"/>
      <c r="K49" s="82">
        <v>5.45</v>
      </c>
      <c r="L49" s="97"/>
      <c r="M49" s="97">
        <v>5.14</v>
      </c>
      <c r="N49" s="82"/>
      <c r="O49" s="82"/>
      <c r="P49" s="97">
        <v>4.82</v>
      </c>
      <c r="Q49" s="97">
        <v>5.19</v>
      </c>
    </row>
    <row r="50" spans="2:17" ht="20.100000000000001" customHeight="1" x14ac:dyDescent="0.25">
      <c r="B50" s="156" t="s">
        <v>51</v>
      </c>
      <c r="C50" s="156"/>
      <c r="D50" s="156"/>
      <c r="E50" s="47"/>
      <c r="F50" s="26"/>
      <c r="G50" s="26"/>
      <c r="H50" s="44"/>
      <c r="I50" s="44"/>
      <c r="J50" s="26"/>
      <c r="K50" s="26"/>
      <c r="L50" s="44"/>
      <c r="M50" s="44"/>
      <c r="N50" s="26"/>
      <c r="O50" s="26"/>
      <c r="P50" s="44"/>
      <c r="Q50" s="44"/>
    </row>
    <row r="51" spans="2:17" ht="20.100000000000001" customHeight="1" thickBot="1" x14ac:dyDescent="0.3">
      <c r="B51" s="156" t="s">
        <v>52</v>
      </c>
      <c r="C51" s="156"/>
      <c r="D51" s="156"/>
      <c r="E51" s="48"/>
      <c r="F51" s="26"/>
      <c r="G51" s="26"/>
      <c r="H51" s="44"/>
      <c r="I51" s="44"/>
      <c r="J51" s="26"/>
      <c r="K51" s="26"/>
      <c r="L51" s="44"/>
      <c r="M51" s="44"/>
      <c r="N51" s="26"/>
      <c r="O51" s="26"/>
      <c r="P51" s="44"/>
      <c r="Q51" s="44"/>
    </row>
    <row r="52" spans="2:17" x14ac:dyDescent="0.25">
      <c r="B52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/>
    </row>
    <row r="54" spans="2:17" x14ac:dyDescent="0.25">
      <c r="C54" s="20" t="s">
        <v>95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2"/>
    </row>
    <row r="55" spans="2:17" x14ac:dyDescent="0.25"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2"/>
    </row>
    <row r="56" spans="2:17" x14ac:dyDescent="0.25"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2"/>
    </row>
    <row r="57" spans="2:17" x14ac:dyDescent="0.25">
      <c r="C57" s="20" t="s">
        <v>69</v>
      </c>
      <c r="D57" s="21"/>
      <c r="E57" s="21"/>
      <c r="F57" s="32" t="b">
        <v>0</v>
      </c>
      <c r="G57" s="34" t="s">
        <v>79</v>
      </c>
      <c r="H57" s="21"/>
      <c r="I57" s="21"/>
      <c r="J57" s="21"/>
      <c r="K57" s="21"/>
      <c r="L57" s="21"/>
      <c r="M57" s="21"/>
      <c r="N57" s="21"/>
      <c r="O57" s="21"/>
      <c r="P57" s="21"/>
      <c r="Q57" s="22"/>
    </row>
    <row r="58" spans="2:17" x14ac:dyDescent="0.25">
      <c r="C58" s="20" t="s">
        <v>69</v>
      </c>
      <c r="D58" s="21"/>
      <c r="E58" s="21"/>
      <c r="F58" s="26" t="s">
        <v>70</v>
      </c>
      <c r="G58" s="33" t="s">
        <v>71</v>
      </c>
      <c r="H58" s="21"/>
      <c r="I58" s="21"/>
      <c r="J58" s="21"/>
      <c r="K58" s="21"/>
      <c r="L58" s="21"/>
      <c r="M58" s="21"/>
      <c r="N58" s="21"/>
      <c r="O58" s="21"/>
      <c r="P58" s="21"/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56ECE-6CB0-4F52-BDC2-CDC24780907C}">
  <dimension ref="B1:Q59"/>
  <sheetViews>
    <sheetView view="pageBreakPreview" topLeftCell="A19" zoomScale="80" zoomScaleNormal="60" zoomScaleSheetLayoutView="80" workbookViewId="0">
      <selection activeCell="I10" sqref="I10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7" t="s">
        <v>64</v>
      </c>
      <c r="O2" s="8"/>
      <c r="P2" s="8"/>
      <c r="Q2" s="9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13" t="s">
        <v>63</v>
      </c>
      <c r="O3" s="14" t="s">
        <v>96</v>
      </c>
      <c r="P3" s="14"/>
      <c r="Q3" s="15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13" t="s">
        <v>62</v>
      </c>
      <c r="O4" s="14"/>
      <c r="P4" s="14"/>
      <c r="Q4" s="15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10" t="s">
        <v>61</v>
      </c>
      <c r="O5" s="11"/>
      <c r="P5" s="11"/>
      <c r="Q5" s="12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3">
        <v>0.375</v>
      </c>
      <c r="G9" s="4" t="s">
        <v>60</v>
      </c>
      <c r="H9" s="5">
        <v>0.375</v>
      </c>
      <c r="I9" s="6" t="s">
        <v>60</v>
      </c>
      <c r="J9" s="3">
        <v>0.375</v>
      </c>
      <c r="K9" s="4" t="s">
        <v>60</v>
      </c>
      <c r="L9" s="5">
        <v>0.375</v>
      </c>
      <c r="M9" s="6" t="s">
        <v>60</v>
      </c>
      <c r="N9" s="3">
        <v>0.375</v>
      </c>
      <c r="O9" s="4" t="s">
        <v>60</v>
      </c>
      <c r="P9" s="5">
        <v>0.375</v>
      </c>
      <c r="Q9" s="6" t="s">
        <v>60</v>
      </c>
    </row>
    <row r="10" spans="2:17" ht="26.25" customHeight="1" x14ac:dyDescent="0.25">
      <c r="B10" s="134" t="s">
        <v>66</v>
      </c>
      <c r="C10" s="135"/>
      <c r="D10" s="52" t="s">
        <v>78</v>
      </c>
      <c r="E10" s="27"/>
      <c r="F10" s="40"/>
      <c r="G10" s="41"/>
      <c r="H10" s="42" t="s">
        <v>100</v>
      </c>
      <c r="I10" s="43" t="s">
        <v>100</v>
      </c>
      <c r="J10" s="40" t="s">
        <v>100</v>
      </c>
      <c r="K10" s="41" t="s">
        <v>100</v>
      </c>
      <c r="L10" s="42" t="s">
        <v>100</v>
      </c>
      <c r="M10" s="43" t="s">
        <v>100</v>
      </c>
      <c r="N10" s="40"/>
      <c r="O10" s="41"/>
      <c r="P10" s="42"/>
      <c r="Q10" s="43" t="s">
        <v>100</v>
      </c>
    </row>
    <row r="11" spans="2:17" ht="20.100000000000001" customHeight="1" x14ac:dyDescent="0.25">
      <c r="B11" s="156" t="s">
        <v>2</v>
      </c>
      <c r="C11" s="156"/>
      <c r="D11" s="1" t="s">
        <v>4</v>
      </c>
      <c r="E11" s="1" t="s">
        <v>80</v>
      </c>
      <c r="F11" s="26"/>
      <c r="G11" s="26">
        <v>71.8</v>
      </c>
      <c r="H11" s="44">
        <v>82.4</v>
      </c>
      <c r="I11" s="44">
        <v>82.4</v>
      </c>
      <c r="J11" s="26">
        <v>75.5</v>
      </c>
      <c r="K11" s="26">
        <v>77.099999999999994</v>
      </c>
      <c r="L11" s="44">
        <v>74.8</v>
      </c>
      <c r="M11" s="44">
        <v>74.8</v>
      </c>
      <c r="N11" s="26"/>
      <c r="O11" s="26"/>
      <c r="P11" s="44"/>
      <c r="Q11" s="44">
        <v>75.7</v>
      </c>
    </row>
    <row r="12" spans="2:17" ht="20.100000000000001" customHeight="1" x14ac:dyDescent="0.25">
      <c r="B12" s="156" t="s">
        <v>3</v>
      </c>
      <c r="C12" s="156"/>
      <c r="D12" s="1" t="s">
        <v>4</v>
      </c>
      <c r="E12" s="1" t="s">
        <v>80</v>
      </c>
      <c r="F12" s="26"/>
      <c r="G12" s="26">
        <v>0.3</v>
      </c>
      <c r="H12" s="44">
        <v>0</v>
      </c>
      <c r="I12" s="44">
        <v>0</v>
      </c>
      <c r="J12" s="26">
        <v>0</v>
      </c>
      <c r="K12" s="26">
        <v>0</v>
      </c>
      <c r="L12" s="44">
        <v>0.1</v>
      </c>
      <c r="M12" s="44">
        <v>0.1</v>
      </c>
      <c r="N12" s="26"/>
      <c r="O12" s="26"/>
      <c r="P12" s="44"/>
      <c r="Q12" s="44">
        <v>0</v>
      </c>
    </row>
    <row r="13" spans="2:17" ht="20.100000000000001" customHeight="1" x14ac:dyDescent="0.25">
      <c r="B13" s="156" t="s">
        <v>5</v>
      </c>
      <c r="C13" s="156"/>
      <c r="D13" s="1" t="s">
        <v>4</v>
      </c>
      <c r="E13" s="1" t="s">
        <v>80</v>
      </c>
      <c r="F13" s="26"/>
      <c r="G13" s="26">
        <v>66.599999999999994</v>
      </c>
      <c r="H13" s="44">
        <v>79.099999999999994</v>
      </c>
      <c r="I13" s="44">
        <v>79.2</v>
      </c>
      <c r="J13" s="26">
        <v>70.900000000000006</v>
      </c>
      <c r="K13" s="26">
        <v>73.099999999999994</v>
      </c>
      <c r="L13" s="44">
        <v>69</v>
      </c>
      <c r="M13" s="44">
        <v>69.099999999999994</v>
      </c>
      <c r="N13" s="26"/>
      <c r="O13" s="26"/>
      <c r="P13" s="44"/>
      <c r="Q13" s="44">
        <v>42.1</v>
      </c>
    </row>
    <row r="14" spans="2:17" ht="20.100000000000001" customHeight="1" x14ac:dyDescent="0.25">
      <c r="B14" s="156" t="s">
        <v>6</v>
      </c>
      <c r="C14" s="156"/>
      <c r="D14" s="1" t="s">
        <v>4</v>
      </c>
      <c r="E14" s="1" t="s">
        <v>80</v>
      </c>
      <c r="F14" s="26"/>
      <c r="G14" s="26">
        <v>71.8</v>
      </c>
      <c r="H14" s="44">
        <v>50.4</v>
      </c>
      <c r="I14" s="44">
        <v>82.4</v>
      </c>
      <c r="J14" s="26">
        <v>62.7</v>
      </c>
      <c r="K14" s="26">
        <v>75.5</v>
      </c>
      <c r="L14" s="44">
        <v>65.8</v>
      </c>
      <c r="M14" s="44">
        <v>74.8</v>
      </c>
      <c r="N14" s="26"/>
      <c r="O14" s="26"/>
      <c r="P14" s="44"/>
      <c r="Q14" s="44">
        <v>75.7</v>
      </c>
    </row>
    <row r="15" spans="2:17" ht="20.100000000000001" customHeight="1" x14ac:dyDescent="0.25">
      <c r="B15" s="156" t="s">
        <v>7</v>
      </c>
      <c r="C15" s="156"/>
      <c r="D15" s="1" t="s">
        <v>4</v>
      </c>
      <c r="E15" s="1" t="s">
        <v>80</v>
      </c>
      <c r="F15" s="26"/>
      <c r="G15" s="26">
        <v>66.5</v>
      </c>
      <c r="H15" s="44">
        <v>68.2</v>
      </c>
      <c r="I15" s="44">
        <v>79.099999999999994</v>
      </c>
      <c r="J15" s="26">
        <v>36.799999999999997</v>
      </c>
      <c r="K15" s="26">
        <v>69.7</v>
      </c>
      <c r="L15" s="44">
        <v>31.9</v>
      </c>
      <c r="M15" s="44">
        <v>69.099999999999994</v>
      </c>
      <c r="N15" s="26"/>
      <c r="O15" s="26"/>
      <c r="P15" s="44"/>
      <c r="Q15" s="44">
        <v>71.400000000000006</v>
      </c>
    </row>
    <row r="16" spans="2:17" ht="20.100000000000001" customHeight="1" x14ac:dyDescent="0.25">
      <c r="B16" s="143" t="s">
        <v>8</v>
      </c>
      <c r="C16" s="2" t="s">
        <v>9</v>
      </c>
      <c r="D16" s="1" t="s">
        <v>12</v>
      </c>
      <c r="E16" s="1" t="s">
        <v>81</v>
      </c>
      <c r="F16" s="26">
        <v>6.6</v>
      </c>
      <c r="G16" s="26">
        <v>6.6</v>
      </c>
      <c r="H16" s="26">
        <v>6.6</v>
      </c>
      <c r="I16" s="26">
        <v>6.6</v>
      </c>
      <c r="J16" s="26">
        <v>6.6</v>
      </c>
      <c r="K16" s="26">
        <v>6.6</v>
      </c>
      <c r="L16" s="26">
        <v>6.6</v>
      </c>
      <c r="M16" s="26">
        <v>6.6</v>
      </c>
      <c r="N16" s="26">
        <v>6.6</v>
      </c>
      <c r="O16" s="26">
        <v>6.6</v>
      </c>
      <c r="P16" s="26">
        <v>6.6</v>
      </c>
      <c r="Q16" s="26">
        <v>6.6</v>
      </c>
    </row>
    <row r="17" spans="2:17" ht="20.100000000000001" customHeight="1" x14ac:dyDescent="0.25">
      <c r="B17" s="143"/>
      <c r="C17" s="2" t="s">
        <v>10</v>
      </c>
      <c r="D17" s="1" t="s">
        <v>13</v>
      </c>
      <c r="E17" s="1" t="s">
        <v>82</v>
      </c>
      <c r="F17" s="26"/>
      <c r="G17" s="26">
        <v>115.6</v>
      </c>
      <c r="H17" s="44">
        <v>121.4</v>
      </c>
      <c r="I17" s="44">
        <v>118.1</v>
      </c>
      <c r="J17" s="26">
        <v>118.8</v>
      </c>
      <c r="K17" s="26">
        <v>118.2</v>
      </c>
      <c r="L17" s="44">
        <v>119.4</v>
      </c>
      <c r="M17" s="44">
        <v>118.9</v>
      </c>
      <c r="N17" s="26"/>
      <c r="O17" s="26"/>
      <c r="P17" s="44"/>
      <c r="Q17" s="44">
        <v>117.3</v>
      </c>
    </row>
    <row r="18" spans="2:17" ht="20.100000000000001" customHeight="1" x14ac:dyDescent="0.25">
      <c r="B18" s="143"/>
      <c r="C18" s="2" t="s">
        <v>11</v>
      </c>
      <c r="D18" s="1" t="s">
        <v>14</v>
      </c>
      <c r="E18" s="1" t="s">
        <v>83</v>
      </c>
      <c r="F18" s="26"/>
      <c r="G18" s="26">
        <v>1144.3</v>
      </c>
      <c r="H18" s="44">
        <v>1239</v>
      </c>
      <c r="I18" s="44">
        <v>1215.3</v>
      </c>
      <c r="J18" s="26">
        <v>1209</v>
      </c>
      <c r="K18" s="26">
        <v>1200</v>
      </c>
      <c r="L18" s="44">
        <v>1209</v>
      </c>
      <c r="M18" s="44">
        <v>1210.9000000000001</v>
      </c>
      <c r="N18" s="26"/>
      <c r="O18" s="26"/>
      <c r="P18" s="44"/>
      <c r="Q18" s="44">
        <v>1191.9000000000001</v>
      </c>
    </row>
    <row r="19" spans="2:17" ht="20.100000000000001" customHeight="1" x14ac:dyDescent="0.25">
      <c r="B19" s="143" t="s">
        <v>24</v>
      </c>
      <c r="C19" s="2" t="s">
        <v>15</v>
      </c>
      <c r="D19" s="1" t="s">
        <v>16</v>
      </c>
      <c r="E19" s="35" t="s">
        <v>84</v>
      </c>
      <c r="F19" s="26"/>
      <c r="G19" s="26">
        <v>45789</v>
      </c>
      <c r="H19" s="44">
        <v>46678.3</v>
      </c>
      <c r="I19" s="44">
        <v>46545</v>
      </c>
      <c r="J19" s="26">
        <v>44343.9</v>
      </c>
      <c r="K19" s="26">
        <v>44332</v>
      </c>
      <c r="L19" s="44">
        <v>46709</v>
      </c>
      <c r="M19" s="44">
        <v>46560</v>
      </c>
      <c r="N19" s="26"/>
      <c r="O19" s="26"/>
      <c r="P19" s="44"/>
      <c r="Q19" s="44">
        <v>47682</v>
      </c>
    </row>
    <row r="20" spans="2:17" ht="20.100000000000001" customHeight="1" x14ac:dyDescent="0.25">
      <c r="B20" s="143"/>
      <c r="C20" s="2" t="s">
        <v>17</v>
      </c>
      <c r="D20" s="1" t="s">
        <v>77</v>
      </c>
      <c r="E20" s="1" t="s">
        <v>85</v>
      </c>
      <c r="F20" s="26"/>
      <c r="G20" s="26"/>
      <c r="H20" s="44"/>
      <c r="I20" s="44"/>
      <c r="J20" s="26"/>
      <c r="K20" s="26"/>
      <c r="L20" s="44"/>
      <c r="M20" s="44"/>
      <c r="N20" s="26"/>
      <c r="O20" s="26"/>
      <c r="P20" s="44"/>
      <c r="Q20" s="44"/>
    </row>
    <row r="21" spans="2:17" ht="20.100000000000001" customHeight="1" x14ac:dyDescent="0.25">
      <c r="B21" s="143"/>
      <c r="C21" s="2" t="s">
        <v>18</v>
      </c>
      <c r="D21" s="1" t="s">
        <v>77</v>
      </c>
      <c r="E21" s="1" t="s">
        <v>75</v>
      </c>
      <c r="F21" s="26"/>
      <c r="G21" s="26"/>
      <c r="H21" s="44"/>
      <c r="I21" s="44"/>
      <c r="J21" s="26"/>
      <c r="K21" s="26"/>
      <c r="L21" s="44"/>
      <c r="M21" s="44"/>
      <c r="N21" s="26"/>
      <c r="O21" s="26"/>
      <c r="P21" s="44"/>
      <c r="Q21" s="44"/>
    </row>
    <row r="22" spans="2:17" ht="20.100000000000001" customHeight="1" x14ac:dyDescent="0.25">
      <c r="B22" s="143"/>
      <c r="C22" s="2" t="s">
        <v>19</v>
      </c>
      <c r="D22" s="1" t="s">
        <v>77</v>
      </c>
      <c r="E22" s="1" t="s">
        <v>73</v>
      </c>
      <c r="F22" s="26"/>
      <c r="G22" s="26">
        <v>45.1</v>
      </c>
      <c r="H22" s="44">
        <v>59.7</v>
      </c>
      <c r="I22" s="44">
        <v>45.1</v>
      </c>
      <c r="J22" s="26">
        <v>57.8</v>
      </c>
      <c r="K22" s="26">
        <v>46</v>
      </c>
      <c r="L22" s="44">
        <v>57.5</v>
      </c>
      <c r="M22" s="44">
        <v>45.1</v>
      </c>
      <c r="N22" s="26"/>
      <c r="O22" s="26"/>
      <c r="P22" s="44"/>
      <c r="Q22" s="44">
        <v>44.9</v>
      </c>
    </row>
    <row r="23" spans="2:17" ht="60" x14ac:dyDescent="0.25">
      <c r="B23" s="143"/>
      <c r="C23" s="30" t="s">
        <v>20</v>
      </c>
      <c r="D23" s="26" t="s">
        <v>22</v>
      </c>
      <c r="E23" s="29" t="s">
        <v>76</v>
      </c>
      <c r="F23" s="26"/>
      <c r="G23" s="26">
        <v>0.52</v>
      </c>
      <c r="H23" s="44">
        <v>0.49</v>
      </c>
      <c r="I23" s="44">
        <v>0.46</v>
      </c>
      <c r="J23" s="26">
        <v>0.59</v>
      </c>
      <c r="K23" s="26">
        <v>0.53</v>
      </c>
      <c r="L23" s="44">
        <v>0.53</v>
      </c>
      <c r="M23" s="44">
        <v>0.57999999999999996</v>
      </c>
      <c r="N23" s="26"/>
      <c r="O23" s="26"/>
      <c r="P23" s="44"/>
      <c r="Q23" s="44">
        <v>0.48</v>
      </c>
    </row>
    <row r="24" spans="2:17" ht="39.75" customHeight="1" x14ac:dyDescent="0.25">
      <c r="B24" s="143"/>
      <c r="C24" s="30" t="s">
        <v>21</v>
      </c>
      <c r="D24" s="1"/>
      <c r="E24" s="1"/>
      <c r="F24" s="26"/>
      <c r="G24" s="26"/>
      <c r="H24" s="44"/>
      <c r="I24" s="44"/>
      <c r="J24" s="26"/>
      <c r="K24" s="26"/>
      <c r="L24" s="44"/>
      <c r="M24" s="44"/>
      <c r="N24" s="26"/>
      <c r="O24" s="26"/>
      <c r="P24" s="44"/>
      <c r="Q24" s="44"/>
    </row>
    <row r="25" spans="2:17" ht="20.100000000000001" customHeight="1" x14ac:dyDescent="0.25">
      <c r="B25" s="143"/>
      <c r="C25" s="2" t="s">
        <v>23</v>
      </c>
      <c r="D25" s="1" t="s">
        <v>77</v>
      </c>
      <c r="E25" s="1" t="s">
        <v>74</v>
      </c>
      <c r="F25" s="26"/>
      <c r="G25" s="26">
        <v>57.9</v>
      </c>
      <c r="H25" s="44">
        <v>44.8</v>
      </c>
      <c r="I25" s="44">
        <v>59.6</v>
      </c>
      <c r="J25" s="26">
        <v>44.9</v>
      </c>
      <c r="K25" s="26">
        <v>57.8</v>
      </c>
      <c r="L25" s="44">
        <v>45</v>
      </c>
      <c r="M25" s="44">
        <v>57.4</v>
      </c>
      <c r="N25" s="26"/>
      <c r="O25" s="26"/>
      <c r="P25" s="44"/>
      <c r="Q25" s="44">
        <v>59.3</v>
      </c>
    </row>
    <row r="26" spans="2:17" ht="20.100000000000001" customHeight="1" x14ac:dyDescent="0.25">
      <c r="B26" s="143" t="s">
        <v>25</v>
      </c>
      <c r="C26" s="2" t="s">
        <v>26</v>
      </c>
      <c r="D26" s="1" t="s">
        <v>22</v>
      </c>
      <c r="E26" s="36" t="s">
        <v>86</v>
      </c>
      <c r="F26" s="26"/>
      <c r="G26" s="26">
        <v>0.23</v>
      </c>
      <c r="H26" s="44">
        <v>0.22</v>
      </c>
      <c r="I26" s="44">
        <v>0.22</v>
      </c>
      <c r="J26" s="26">
        <v>0.24</v>
      </c>
      <c r="K26" s="26">
        <v>0.23</v>
      </c>
      <c r="L26" s="44">
        <v>0.23</v>
      </c>
      <c r="M26" s="44">
        <v>0.23</v>
      </c>
      <c r="N26" s="26"/>
      <c r="O26" s="26"/>
      <c r="P26" s="44"/>
      <c r="Q26" s="44">
        <v>0.23</v>
      </c>
    </row>
    <row r="27" spans="2:17" ht="20.100000000000001" customHeight="1" x14ac:dyDescent="0.25">
      <c r="B27" s="143"/>
      <c r="C27" s="2" t="s">
        <v>27</v>
      </c>
      <c r="D27" s="1" t="s">
        <v>77</v>
      </c>
      <c r="E27" s="1" t="s">
        <v>85</v>
      </c>
      <c r="F27" s="26"/>
      <c r="G27" s="26">
        <v>4</v>
      </c>
      <c r="H27" s="44">
        <v>3.9</v>
      </c>
      <c r="I27" s="44">
        <v>4.8</v>
      </c>
      <c r="J27" s="26">
        <v>4.3</v>
      </c>
      <c r="K27" s="26">
        <v>4</v>
      </c>
      <c r="L27" s="44">
        <v>4.3</v>
      </c>
      <c r="M27" s="44">
        <v>4</v>
      </c>
      <c r="N27" s="26"/>
      <c r="O27" s="26"/>
      <c r="P27" s="44"/>
      <c r="Q27" s="44">
        <v>4</v>
      </c>
    </row>
    <row r="28" spans="2:17" ht="20.100000000000001" customHeight="1" x14ac:dyDescent="0.25">
      <c r="B28" s="143"/>
      <c r="C28" s="2" t="s">
        <v>28</v>
      </c>
      <c r="D28" s="1" t="s">
        <v>77</v>
      </c>
      <c r="E28" s="1" t="s">
        <v>85</v>
      </c>
      <c r="F28" s="26"/>
      <c r="G28" s="26">
        <v>3.5</v>
      </c>
      <c r="H28" s="44">
        <v>2.9</v>
      </c>
      <c r="I28" s="44">
        <v>2.4</v>
      </c>
      <c r="J28" s="26">
        <v>3.7</v>
      </c>
      <c r="K28" s="26">
        <v>3.4</v>
      </c>
      <c r="L28" s="44">
        <v>3.9</v>
      </c>
      <c r="M28" s="44"/>
      <c r="N28" s="26"/>
      <c r="O28" s="26"/>
      <c r="P28" s="44"/>
      <c r="Q28" s="44"/>
    </row>
    <row r="29" spans="2:17" ht="20.100000000000001" customHeight="1" x14ac:dyDescent="0.25">
      <c r="B29" s="143"/>
      <c r="C29" s="2" t="s">
        <v>98</v>
      </c>
      <c r="D29" s="1" t="s">
        <v>77</v>
      </c>
      <c r="E29" s="1" t="s">
        <v>85</v>
      </c>
      <c r="F29" s="53">
        <f>F32-F27</f>
        <v>0</v>
      </c>
      <c r="G29" s="53">
        <f t="shared" ref="G29:P29" si="0">G32-G27</f>
        <v>0.5</v>
      </c>
      <c r="H29" s="53">
        <f t="shared" si="0"/>
        <v>1.8000000000000003</v>
      </c>
      <c r="I29" s="53">
        <f t="shared" si="0"/>
        <v>-0.39999999999999947</v>
      </c>
      <c r="J29" s="53">
        <f t="shared" si="0"/>
        <v>0.10000000000000053</v>
      </c>
      <c r="K29" s="53">
        <v>0.40000000000000036</v>
      </c>
      <c r="L29" s="53">
        <f t="shared" si="0"/>
        <v>0.29999999999999982</v>
      </c>
      <c r="M29" s="53">
        <v>0.59999999999999964</v>
      </c>
      <c r="N29" s="53">
        <f t="shared" si="0"/>
        <v>0</v>
      </c>
      <c r="O29" s="53">
        <f t="shared" si="0"/>
        <v>0</v>
      </c>
      <c r="P29" s="53">
        <f t="shared" si="0"/>
        <v>0</v>
      </c>
      <c r="Q29" s="53">
        <v>1.0999999999999996</v>
      </c>
    </row>
    <row r="30" spans="2:17" ht="20.100000000000001" customHeight="1" x14ac:dyDescent="0.25">
      <c r="B30" s="143"/>
      <c r="C30" s="2" t="s">
        <v>29</v>
      </c>
      <c r="D30" s="1" t="s">
        <v>35</v>
      </c>
      <c r="E30" s="1" t="s">
        <v>87</v>
      </c>
      <c r="F30" s="26"/>
      <c r="G30" s="26">
        <v>686.64</v>
      </c>
      <c r="H30" s="44">
        <v>713.76</v>
      </c>
      <c r="I30" s="44">
        <v>659.84</v>
      </c>
      <c r="J30" s="26">
        <v>700.32</v>
      </c>
      <c r="K30" s="26">
        <v>654.96</v>
      </c>
      <c r="L30" s="44">
        <v>745.08</v>
      </c>
      <c r="M30" s="44">
        <v>689.92</v>
      </c>
      <c r="N30" s="26"/>
      <c r="O30" s="26"/>
      <c r="P30" s="44"/>
      <c r="Q30" s="44">
        <v>675.68</v>
      </c>
    </row>
    <row r="31" spans="2:17" ht="20.100000000000001" customHeight="1" x14ac:dyDescent="0.25">
      <c r="B31" s="143"/>
      <c r="C31" s="2" t="s">
        <v>30</v>
      </c>
      <c r="D31" s="1" t="s">
        <v>77</v>
      </c>
      <c r="E31" s="1">
        <v>13.5</v>
      </c>
      <c r="F31" s="26"/>
      <c r="G31" s="26">
        <v>12.7</v>
      </c>
      <c r="H31" s="44">
        <v>13.7</v>
      </c>
      <c r="I31" s="44">
        <v>12.8</v>
      </c>
      <c r="J31" s="26">
        <v>13.4</v>
      </c>
      <c r="K31" s="26">
        <v>13.2</v>
      </c>
      <c r="L31" s="44">
        <v>13.4</v>
      </c>
      <c r="M31" s="44">
        <v>13.2</v>
      </c>
      <c r="N31" s="26"/>
      <c r="O31" s="26"/>
      <c r="P31" s="44"/>
      <c r="Q31" s="44">
        <v>13.1</v>
      </c>
    </row>
    <row r="32" spans="2:17" ht="20.100000000000001" customHeight="1" x14ac:dyDescent="0.25">
      <c r="B32" s="143"/>
      <c r="C32" s="2" t="s">
        <v>31</v>
      </c>
      <c r="D32" s="1" t="s">
        <v>77</v>
      </c>
      <c r="E32" s="1">
        <v>4</v>
      </c>
      <c r="F32" s="26"/>
      <c r="G32" s="26">
        <v>4.5</v>
      </c>
      <c r="H32" s="44">
        <v>5.7</v>
      </c>
      <c r="I32" s="44">
        <v>4.4000000000000004</v>
      </c>
      <c r="J32" s="26">
        <v>4.4000000000000004</v>
      </c>
      <c r="K32" s="26">
        <v>4.4000000000000004</v>
      </c>
      <c r="L32" s="44">
        <v>4.5999999999999996</v>
      </c>
      <c r="M32" s="44">
        <v>4.5999999999999996</v>
      </c>
      <c r="N32" s="26"/>
      <c r="O32" s="26"/>
      <c r="P32" s="44"/>
      <c r="Q32" s="44">
        <v>5.0999999999999996</v>
      </c>
    </row>
    <row r="33" spans="2:17" ht="20.100000000000001" customHeight="1" x14ac:dyDescent="0.25">
      <c r="B33" s="143"/>
      <c r="C33" s="2" t="s">
        <v>32</v>
      </c>
      <c r="D33" s="1" t="s">
        <v>77</v>
      </c>
      <c r="E33" s="1">
        <v>9.5</v>
      </c>
      <c r="F33" s="53">
        <f>F31-F32</f>
        <v>0</v>
      </c>
      <c r="G33" s="53">
        <f>G31-G32</f>
        <v>8.1999999999999993</v>
      </c>
      <c r="H33" s="53">
        <f t="shared" ref="H33:P33" si="1">H31-H32</f>
        <v>7.9999999999999991</v>
      </c>
      <c r="I33" s="53">
        <v>8.4</v>
      </c>
      <c r="J33" s="53">
        <f t="shared" si="1"/>
        <v>9</v>
      </c>
      <c r="K33" s="53">
        <v>8.7999999999999989</v>
      </c>
      <c r="L33" s="53">
        <f t="shared" si="1"/>
        <v>8.8000000000000007</v>
      </c>
      <c r="M33" s="53">
        <v>8.6</v>
      </c>
      <c r="N33" s="53">
        <f t="shared" si="1"/>
        <v>0</v>
      </c>
      <c r="O33" s="53">
        <f t="shared" si="1"/>
        <v>0</v>
      </c>
      <c r="P33" s="53">
        <f t="shared" si="1"/>
        <v>0</v>
      </c>
      <c r="Q33" s="53">
        <v>8</v>
      </c>
    </row>
    <row r="34" spans="2:17" ht="20.100000000000001" customHeight="1" x14ac:dyDescent="0.25">
      <c r="B34" s="143"/>
      <c r="C34" s="2" t="s">
        <v>33</v>
      </c>
      <c r="D34" s="1" t="s">
        <v>34</v>
      </c>
      <c r="E34" s="1" t="s">
        <v>88</v>
      </c>
      <c r="F34" s="54">
        <f>(F33*F30)/0.866</f>
        <v>0</v>
      </c>
      <c r="G34" s="54">
        <f>(G33*G30)/0.866</f>
        <v>6501.6720554272515</v>
      </c>
      <c r="H34" s="54">
        <f t="shared" ref="H34:P34" si="2">(H33*H30)/0.866</f>
        <v>6593.6258660508074</v>
      </c>
      <c r="I34" s="54">
        <v>6444.9488372093037</v>
      </c>
      <c r="J34" s="54">
        <f t="shared" si="2"/>
        <v>7278.1524249422637</v>
      </c>
      <c r="K34" s="54">
        <v>6701.9162790697665</v>
      </c>
      <c r="L34" s="54">
        <f t="shared" si="2"/>
        <v>7571.2517321016176</v>
      </c>
      <c r="M34" s="54">
        <v>6899.1999999999989</v>
      </c>
      <c r="N34" s="54">
        <f t="shared" si="2"/>
        <v>0</v>
      </c>
      <c r="O34" s="54">
        <f t="shared" si="2"/>
        <v>0</v>
      </c>
      <c r="P34" s="54">
        <f t="shared" si="2"/>
        <v>0</v>
      </c>
      <c r="Q34" s="54">
        <v>6285.395348837209</v>
      </c>
    </row>
    <row r="35" spans="2:17" ht="20.100000000000001" customHeight="1" x14ac:dyDescent="0.25">
      <c r="B35" s="143" t="s">
        <v>36</v>
      </c>
      <c r="C35" s="2" t="s">
        <v>37</v>
      </c>
      <c r="D35" s="1" t="s">
        <v>22</v>
      </c>
      <c r="E35" s="1" t="s">
        <v>89</v>
      </c>
      <c r="F35" s="26"/>
      <c r="G35" s="26">
        <v>0.83</v>
      </c>
      <c r="H35" s="44">
        <v>0.87</v>
      </c>
      <c r="I35" s="44">
        <v>0.86</v>
      </c>
      <c r="J35" s="26">
        <v>0.85</v>
      </c>
      <c r="K35" s="26">
        <v>0.84</v>
      </c>
      <c r="L35" s="44">
        <v>0.89</v>
      </c>
      <c r="M35" s="44">
        <v>0.86</v>
      </c>
      <c r="N35" s="26"/>
      <c r="O35" s="26"/>
      <c r="P35" s="44"/>
      <c r="Q35" s="44">
        <v>0.83</v>
      </c>
    </row>
    <row r="36" spans="2:17" ht="20.100000000000001" customHeight="1" x14ac:dyDescent="0.25">
      <c r="B36" s="143"/>
      <c r="C36" s="2" t="s">
        <v>38</v>
      </c>
      <c r="D36" s="1" t="s">
        <v>77</v>
      </c>
      <c r="E36" s="1" t="s">
        <v>85</v>
      </c>
      <c r="F36" s="26"/>
      <c r="G36" s="26">
        <v>36.6</v>
      </c>
      <c r="H36" s="44">
        <v>37.700000000000003</v>
      </c>
      <c r="I36" s="44">
        <v>38</v>
      </c>
      <c r="J36" s="26">
        <v>37.5</v>
      </c>
      <c r="K36" s="26">
        <v>37.1</v>
      </c>
      <c r="L36" s="44">
        <v>37.6</v>
      </c>
      <c r="M36" s="44">
        <v>37.9</v>
      </c>
      <c r="N36" s="26"/>
      <c r="O36" s="26"/>
      <c r="P36" s="44"/>
      <c r="Q36" s="44">
        <v>36.799999999999997</v>
      </c>
    </row>
    <row r="37" spans="2:17" ht="20.100000000000001" customHeight="1" x14ac:dyDescent="0.25">
      <c r="B37" s="143"/>
      <c r="C37" s="2" t="s">
        <v>39</v>
      </c>
      <c r="D37" s="1" t="s">
        <v>77</v>
      </c>
      <c r="E37" s="1" t="s">
        <v>85</v>
      </c>
      <c r="F37" s="26"/>
      <c r="G37" s="26">
        <v>36.5</v>
      </c>
      <c r="H37" s="44">
        <v>38.6</v>
      </c>
      <c r="I37" s="44">
        <v>38.1</v>
      </c>
      <c r="J37" s="26">
        <v>38.4</v>
      </c>
      <c r="K37" s="26">
        <v>37.4</v>
      </c>
      <c r="L37" s="44">
        <v>39</v>
      </c>
      <c r="M37" s="44">
        <v>33</v>
      </c>
      <c r="N37" s="26"/>
      <c r="O37" s="26"/>
      <c r="P37" s="44"/>
      <c r="Q37" s="44">
        <v>36.9</v>
      </c>
    </row>
    <row r="38" spans="2:17" ht="20.100000000000001" customHeight="1" x14ac:dyDescent="0.25">
      <c r="B38" s="143"/>
      <c r="C38" s="30" t="s">
        <v>97</v>
      </c>
      <c r="D38" s="1" t="s">
        <v>77</v>
      </c>
      <c r="E38" s="1"/>
      <c r="F38" s="53">
        <f>F37-F41</f>
        <v>0</v>
      </c>
      <c r="G38" s="53">
        <f>G37-G41</f>
        <v>2.7000000000000028</v>
      </c>
      <c r="H38" s="53">
        <f>H37-H41</f>
        <v>4.2000000000000028</v>
      </c>
      <c r="I38" s="53">
        <v>4.7000000000000028</v>
      </c>
      <c r="J38" s="53">
        <f t="shared" ref="J38:P38" si="3">J37-J41</f>
        <v>3.6000000000000014</v>
      </c>
      <c r="K38" s="53">
        <v>3.5</v>
      </c>
      <c r="L38" s="53">
        <f t="shared" si="3"/>
        <v>4.2999999999999972</v>
      </c>
      <c r="M38" s="53">
        <v>4.1000000000000014</v>
      </c>
      <c r="N38" s="53">
        <f t="shared" si="3"/>
        <v>0</v>
      </c>
      <c r="O38" s="53">
        <f t="shared" si="3"/>
        <v>0</v>
      </c>
      <c r="P38" s="53">
        <f t="shared" si="3"/>
        <v>0</v>
      </c>
      <c r="Q38" s="53">
        <v>2.6999999999999957</v>
      </c>
    </row>
    <row r="39" spans="2:17" ht="20.100000000000001" customHeight="1" x14ac:dyDescent="0.25">
      <c r="B39" s="143"/>
      <c r="C39" s="2" t="s">
        <v>90</v>
      </c>
      <c r="D39" s="1" t="s">
        <v>45</v>
      </c>
      <c r="E39" s="1"/>
      <c r="F39" s="26"/>
      <c r="G39" s="26"/>
      <c r="H39" s="44"/>
      <c r="I39" s="44"/>
      <c r="J39" s="26"/>
      <c r="K39" s="26"/>
      <c r="L39" s="44"/>
      <c r="M39" s="44"/>
      <c r="N39" s="26"/>
      <c r="O39" s="26"/>
      <c r="P39" s="44"/>
      <c r="Q39" s="44"/>
    </row>
    <row r="40" spans="2:17" ht="20.100000000000001" customHeight="1" x14ac:dyDescent="0.25">
      <c r="B40" s="143"/>
      <c r="C40" s="2" t="s">
        <v>41</v>
      </c>
      <c r="D40" s="1" t="s">
        <v>77</v>
      </c>
      <c r="E40" s="1">
        <v>30.8</v>
      </c>
      <c r="F40" s="26"/>
      <c r="G40" s="26">
        <v>28.3</v>
      </c>
      <c r="H40" s="44">
        <v>29.1</v>
      </c>
      <c r="I40" s="44">
        <v>28.2</v>
      </c>
      <c r="J40" s="26">
        <v>29.2</v>
      </c>
      <c r="K40" s="26">
        <v>28.3</v>
      </c>
      <c r="L40" s="44">
        <v>29.1</v>
      </c>
      <c r="M40" s="44">
        <v>28.1</v>
      </c>
      <c r="N40" s="26"/>
      <c r="O40" s="26"/>
      <c r="P40" s="44"/>
      <c r="Q40" s="44">
        <v>28.5</v>
      </c>
    </row>
    <row r="41" spans="2:17" ht="20.100000000000001" customHeight="1" x14ac:dyDescent="0.25">
      <c r="B41" s="143"/>
      <c r="C41" s="2" t="s">
        <v>42</v>
      </c>
      <c r="D41" s="1" t="s">
        <v>77</v>
      </c>
      <c r="E41" s="1">
        <v>36.4</v>
      </c>
      <c r="F41" s="26"/>
      <c r="G41" s="26">
        <v>33.799999999999997</v>
      </c>
      <c r="H41" s="44">
        <v>34.4</v>
      </c>
      <c r="I41" s="44">
        <v>33.299999999999997</v>
      </c>
      <c r="J41" s="26">
        <v>34.799999999999997</v>
      </c>
      <c r="K41" s="26">
        <v>33.6</v>
      </c>
      <c r="L41" s="44">
        <v>34.700000000000003</v>
      </c>
      <c r="M41" s="44">
        <v>33.799999999999997</v>
      </c>
      <c r="N41" s="26"/>
      <c r="O41" s="26"/>
      <c r="P41" s="44"/>
      <c r="Q41" s="44">
        <v>34.1</v>
      </c>
    </row>
    <row r="42" spans="2:17" ht="20.100000000000001" customHeight="1" x14ac:dyDescent="0.25">
      <c r="B42" s="143"/>
      <c r="C42" s="2" t="s">
        <v>91</v>
      </c>
      <c r="D42" s="1" t="s">
        <v>77</v>
      </c>
      <c r="E42" s="1">
        <v>5.6</v>
      </c>
      <c r="F42" s="53">
        <f>F41-F40</f>
        <v>0</v>
      </c>
      <c r="G42" s="53">
        <f>G41-G40</f>
        <v>5.4999999999999964</v>
      </c>
      <c r="H42" s="53">
        <f t="shared" ref="H42:P42" si="4">H41-H40</f>
        <v>5.2999999999999972</v>
      </c>
      <c r="I42" s="53">
        <v>5.0999999999999979</v>
      </c>
      <c r="J42" s="53">
        <f t="shared" si="4"/>
        <v>5.5999999999999979</v>
      </c>
      <c r="K42" s="53">
        <v>5.3000000000000007</v>
      </c>
      <c r="L42" s="53">
        <f t="shared" si="4"/>
        <v>5.6000000000000014</v>
      </c>
      <c r="M42" s="53">
        <v>5.6999999999999957</v>
      </c>
      <c r="N42" s="53">
        <f t="shared" si="4"/>
        <v>0</v>
      </c>
      <c r="O42" s="53">
        <f t="shared" si="4"/>
        <v>0</v>
      </c>
      <c r="P42" s="53">
        <f t="shared" si="4"/>
        <v>0</v>
      </c>
      <c r="Q42" s="53">
        <v>5.6000000000000014</v>
      </c>
    </row>
    <row r="43" spans="2:17" ht="20.100000000000001" customHeight="1" x14ac:dyDescent="0.25">
      <c r="B43" s="143"/>
      <c r="C43" s="2" t="s">
        <v>43</v>
      </c>
      <c r="D43" s="1" t="s">
        <v>35</v>
      </c>
      <c r="E43" s="1">
        <v>1273.0999999999999</v>
      </c>
      <c r="F43" s="26"/>
      <c r="G43" s="26">
        <v>1221.08</v>
      </c>
      <c r="H43" s="44">
        <v>1287.28</v>
      </c>
      <c r="I43" s="44">
        <v>1264.76</v>
      </c>
      <c r="J43" s="26">
        <v>1298.8</v>
      </c>
      <c r="K43" s="26">
        <v>1295.42</v>
      </c>
      <c r="L43" s="44">
        <v>1215.2</v>
      </c>
      <c r="M43" s="44">
        <v>1193.5</v>
      </c>
      <c r="N43" s="26"/>
      <c r="O43" s="26"/>
      <c r="P43" s="44"/>
      <c r="Q43" s="44">
        <v>1213.3800000000001</v>
      </c>
    </row>
    <row r="44" spans="2:17" ht="20.100000000000001" customHeight="1" x14ac:dyDescent="0.25">
      <c r="B44" s="143"/>
      <c r="C44" s="2" t="s">
        <v>44</v>
      </c>
      <c r="D44" s="1" t="s">
        <v>34</v>
      </c>
      <c r="E44" s="1">
        <v>8226.9</v>
      </c>
      <c r="F44" s="54">
        <f>F42*F43/0.866</f>
        <v>0</v>
      </c>
      <c r="G44" s="54">
        <f>G42*G43/0.866</f>
        <v>7755.127020785214</v>
      </c>
      <c r="H44" s="54">
        <f t="shared" ref="H44:P44" si="5">H42*H43/0.866</f>
        <v>7878.2725173210119</v>
      </c>
      <c r="I44" s="54">
        <v>7500.3209302325549</v>
      </c>
      <c r="J44" s="54">
        <f t="shared" si="5"/>
        <v>8398.70669745958</v>
      </c>
      <c r="K44" s="54">
        <v>7983.4023255813972</v>
      </c>
      <c r="L44" s="54">
        <f t="shared" si="5"/>
        <v>7858.1062355658223</v>
      </c>
      <c r="M44" s="54">
        <v>7910.4069767441806</v>
      </c>
      <c r="N44" s="54">
        <f t="shared" si="5"/>
        <v>0</v>
      </c>
      <c r="O44" s="54">
        <f t="shared" si="5"/>
        <v>0</v>
      </c>
      <c r="P44" s="54">
        <f t="shared" si="5"/>
        <v>0</v>
      </c>
      <c r="Q44" s="54">
        <v>7901.0790697674447</v>
      </c>
    </row>
    <row r="45" spans="2:17" ht="20.100000000000001" customHeight="1" x14ac:dyDescent="0.25">
      <c r="B45" s="143" t="s">
        <v>46</v>
      </c>
      <c r="C45" s="2" t="s">
        <v>47</v>
      </c>
      <c r="D45" s="1" t="s">
        <v>22</v>
      </c>
      <c r="E45" s="1" t="s">
        <v>92</v>
      </c>
      <c r="F45" s="26"/>
      <c r="G45" s="26">
        <v>0.47</v>
      </c>
      <c r="H45" s="44">
        <v>0.47</v>
      </c>
      <c r="I45" s="44">
        <v>0.46</v>
      </c>
      <c r="J45" s="26">
        <v>0.47</v>
      </c>
      <c r="K45" s="26">
        <v>0.46</v>
      </c>
      <c r="L45" s="44">
        <v>0.45</v>
      </c>
      <c r="M45" s="44">
        <v>0.48</v>
      </c>
      <c r="N45" s="26"/>
      <c r="O45" s="26"/>
      <c r="P45" s="44"/>
      <c r="Q45" s="44">
        <v>0.47</v>
      </c>
    </row>
    <row r="46" spans="2:17" ht="20.100000000000001" customHeight="1" x14ac:dyDescent="0.25">
      <c r="B46" s="143"/>
      <c r="C46" s="2" t="s">
        <v>48</v>
      </c>
      <c r="D46" s="1" t="s">
        <v>77</v>
      </c>
      <c r="E46" s="1" t="s">
        <v>85</v>
      </c>
      <c r="F46" s="26"/>
      <c r="G46" s="26">
        <v>20</v>
      </c>
      <c r="H46" s="44">
        <v>20.100000000000001</v>
      </c>
      <c r="I46" s="44">
        <v>19.8</v>
      </c>
      <c r="J46" s="26">
        <v>19.8</v>
      </c>
      <c r="K46" s="26">
        <v>19.5</v>
      </c>
      <c r="L46" s="44">
        <v>20.7</v>
      </c>
      <c r="M46" s="44">
        <v>24</v>
      </c>
      <c r="N46" s="26"/>
      <c r="O46" s="26"/>
      <c r="P46" s="44"/>
      <c r="Q46" s="44">
        <v>20.2</v>
      </c>
    </row>
    <row r="47" spans="2:17" ht="20.100000000000001" customHeight="1" x14ac:dyDescent="0.25">
      <c r="B47" s="143"/>
      <c r="C47" s="2" t="s">
        <v>40</v>
      </c>
      <c r="D47" s="1" t="s">
        <v>45</v>
      </c>
      <c r="E47" s="1" t="s">
        <v>45</v>
      </c>
      <c r="F47" s="26"/>
      <c r="G47" s="26">
        <v>185.9</v>
      </c>
      <c r="H47" s="44">
        <v>121.4</v>
      </c>
      <c r="I47" s="44">
        <v>125.4</v>
      </c>
      <c r="J47" s="26">
        <v>209.2</v>
      </c>
      <c r="K47" s="26">
        <v>203.9</v>
      </c>
      <c r="L47" s="44">
        <v>218.2</v>
      </c>
      <c r="M47" s="44">
        <v>207.2</v>
      </c>
      <c r="N47" s="26"/>
      <c r="O47" s="26"/>
      <c r="P47" s="44"/>
      <c r="Q47" s="44">
        <v>198.8</v>
      </c>
    </row>
    <row r="48" spans="2:17" ht="20.100000000000001" customHeight="1" x14ac:dyDescent="0.25">
      <c r="B48" s="156" t="s">
        <v>49</v>
      </c>
      <c r="C48" s="156"/>
      <c r="D48" s="156"/>
      <c r="E48" s="37" t="s">
        <v>93</v>
      </c>
      <c r="F48" s="26"/>
      <c r="G48" s="26"/>
      <c r="H48" s="44"/>
      <c r="I48" s="44"/>
      <c r="J48" s="26"/>
      <c r="K48" s="26"/>
      <c r="L48" s="44"/>
      <c r="M48" s="44"/>
      <c r="N48" s="26"/>
      <c r="O48" s="26"/>
      <c r="P48" s="44"/>
      <c r="Q48" s="44"/>
    </row>
    <row r="49" spans="2:17" ht="20.100000000000001" customHeight="1" x14ac:dyDescent="0.25">
      <c r="B49" s="156" t="s">
        <v>50</v>
      </c>
      <c r="C49" s="156"/>
      <c r="D49" s="156"/>
      <c r="E49" s="52">
        <v>5.89</v>
      </c>
      <c r="F49" s="26"/>
      <c r="G49" s="26">
        <v>5.43</v>
      </c>
      <c r="H49" s="44">
        <v>4.74</v>
      </c>
      <c r="I49" s="44">
        <v>5.27</v>
      </c>
      <c r="J49" s="26">
        <v>5.53</v>
      </c>
      <c r="K49" s="26">
        <v>5.48</v>
      </c>
      <c r="L49" s="44">
        <v>5.38</v>
      </c>
      <c r="M49" s="44">
        <v>5.17</v>
      </c>
      <c r="N49" s="26"/>
      <c r="O49" s="26"/>
      <c r="P49" s="44"/>
      <c r="Q49" s="44">
        <v>4.97</v>
      </c>
    </row>
    <row r="50" spans="2:17" ht="20.100000000000001" customHeight="1" x14ac:dyDescent="0.25">
      <c r="B50" s="156" t="s">
        <v>51</v>
      </c>
      <c r="C50" s="156"/>
      <c r="D50" s="156"/>
      <c r="E50" s="52"/>
      <c r="F50" s="26"/>
      <c r="G50" s="26"/>
      <c r="H50" s="44"/>
      <c r="I50" s="44"/>
      <c r="J50" s="26"/>
      <c r="K50" s="26"/>
      <c r="L50" s="44"/>
      <c r="M50" s="44"/>
      <c r="N50" s="26"/>
      <c r="O50" s="26"/>
      <c r="P50" s="44"/>
      <c r="Q50" s="44"/>
    </row>
    <row r="51" spans="2:17" ht="20.100000000000001" customHeight="1" thickBot="1" x14ac:dyDescent="0.3">
      <c r="B51" s="156" t="s">
        <v>52</v>
      </c>
      <c r="C51" s="156"/>
      <c r="D51" s="156"/>
      <c r="E51" s="51"/>
      <c r="F51" s="26"/>
      <c r="G51" s="26"/>
      <c r="H51" s="44"/>
      <c r="I51" s="44"/>
      <c r="J51" s="26"/>
      <c r="K51" s="26"/>
      <c r="L51" s="44"/>
      <c r="M51" s="44"/>
      <c r="N51" s="26"/>
      <c r="O51" s="26"/>
      <c r="P51" s="44"/>
      <c r="Q51" s="44"/>
    </row>
    <row r="52" spans="2:17" x14ac:dyDescent="0.25">
      <c r="B52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/>
    </row>
    <row r="54" spans="2:17" x14ac:dyDescent="0.25">
      <c r="C54" s="20" t="s">
        <v>95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2"/>
    </row>
    <row r="55" spans="2:17" x14ac:dyDescent="0.25"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2"/>
    </row>
    <row r="56" spans="2:17" x14ac:dyDescent="0.25"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2"/>
    </row>
    <row r="57" spans="2:17" x14ac:dyDescent="0.25">
      <c r="C57" s="20" t="s">
        <v>69</v>
      </c>
      <c r="D57" s="21"/>
      <c r="E57" s="21"/>
      <c r="F57" s="32" t="b">
        <v>0</v>
      </c>
      <c r="G57" s="34" t="s">
        <v>79</v>
      </c>
      <c r="H57" s="21"/>
      <c r="I57" s="21"/>
      <c r="J57" s="21"/>
      <c r="K57" s="21"/>
      <c r="L57" s="21"/>
      <c r="M57" s="21"/>
      <c r="N57" s="21"/>
      <c r="O57" s="21"/>
      <c r="P57" s="21"/>
      <c r="Q57" s="22"/>
    </row>
    <row r="58" spans="2:17" x14ac:dyDescent="0.25">
      <c r="C58" s="20" t="s">
        <v>69</v>
      </c>
      <c r="D58" s="21"/>
      <c r="E58" s="21"/>
      <c r="F58" s="26" t="s">
        <v>70</v>
      </c>
      <c r="G58" s="33" t="s">
        <v>71</v>
      </c>
      <c r="H58" s="21"/>
      <c r="I58" s="21"/>
      <c r="J58" s="21"/>
      <c r="K58" s="21"/>
      <c r="L58" s="21"/>
      <c r="M58" s="21"/>
      <c r="N58" s="21"/>
      <c r="O58" s="21"/>
      <c r="P58" s="21"/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B2B41-993E-43FB-8BED-24F8683F660F}">
  <dimension ref="B1:Q59"/>
  <sheetViews>
    <sheetView view="pageBreakPreview" topLeftCell="A10" zoomScale="80" zoomScaleNormal="60" zoomScaleSheetLayoutView="80" workbookViewId="0">
      <selection activeCell="F39" sqref="F39"/>
    </sheetView>
  </sheetViews>
  <sheetFormatPr defaultRowHeight="15" x14ac:dyDescent="0.25"/>
  <cols>
    <col min="1" max="1" width="3.85546875" customWidth="1"/>
    <col min="2" max="2" width="25.85546875" bestFit="1" customWidth="1"/>
    <col min="3" max="3" width="60.5703125" bestFit="1" customWidth="1"/>
    <col min="4" max="4" width="20.5703125" bestFit="1" customWidth="1"/>
    <col min="5" max="5" width="22.7109375" customWidth="1"/>
    <col min="6" max="17" width="14.7109375" customWidth="1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7" t="s">
        <v>64</v>
      </c>
      <c r="O2" s="8"/>
      <c r="P2" s="8"/>
      <c r="Q2" s="9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13" t="s">
        <v>63</v>
      </c>
      <c r="O3" s="14" t="s">
        <v>96</v>
      </c>
      <c r="P3" s="14"/>
      <c r="Q3" s="15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13" t="s">
        <v>62</v>
      </c>
      <c r="O4" s="14"/>
      <c r="P4" s="14"/>
      <c r="Q4" s="15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10" t="s">
        <v>61</v>
      </c>
      <c r="O5" s="11"/>
      <c r="P5" s="11"/>
      <c r="Q5" s="12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3">
        <v>0.375</v>
      </c>
      <c r="G9" s="4" t="s">
        <v>60</v>
      </c>
      <c r="H9" s="5">
        <v>0.375</v>
      </c>
      <c r="I9" s="6" t="s">
        <v>60</v>
      </c>
      <c r="J9" s="3">
        <v>0.375</v>
      </c>
      <c r="K9" s="4" t="s">
        <v>60</v>
      </c>
      <c r="L9" s="5">
        <v>0.375</v>
      </c>
      <c r="M9" s="6" t="s">
        <v>60</v>
      </c>
      <c r="N9" s="3">
        <v>0.375</v>
      </c>
      <c r="O9" s="4" t="s">
        <v>60</v>
      </c>
      <c r="P9" s="5">
        <v>0.375</v>
      </c>
      <c r="Q9" s="6" t="s">
        <v>60</v>
      </c>
    </row>
    <row r="10" spans="2:17" ht="26.25" customHeight="1" x14ac:dyDescent="0.25">
      <c r="B10" s="134" t="s">
        <v>66</v>
      </c>
      <c r="C10" s="135"/>
      <c r="D10" s="52" t="s">
        <v>78</v>
      </c>
      <c r="E10" s="27"/>
      <c r="F10" s="40" t="s">
        <v>100</v>
      </c>
      <c r="G10" s="93" t="s">
        <v>100</v>
      </c>
      <c r="H10" s="42"/>
      <c r="I10" s="96" t="s">
        <v>100</v>
      </c>
      <c r="J10" s="40"/>
      <c r="K10" s="93" t="s">
        <v>100</v>
      </c>
      <c r="L10" s="42" t="s">
        <v>100</v>
      </c>
      <c r="M10" s="96" t="s">
        <v>100</v>
      </c>
      <c r="N10" s="40"/>
      <c r="O10" s="41"/>
      <c r="P10" s="42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1" t="s">
        <v>4</v>
      </c>
      <c r="E11" s="1" t="s">
        <v>80</v>
      </c>
      <c r="F11" s="26">
        <v>71.3</v>
      </c>
      <c r="G11" s="26">
        <v>72.8</v>
      </c>
      <c r="H11" s="44"/>
      <c r="I11" s="44">
        <v>74.7</v>
      </c>
      <c r="J11" s="26"/>
      <c r="K11" s="26">
        <v>75.5</v>
      </c>
      <c r="L11" s="44">
        <v>74.5</v>
      </c>
      <c r="M11" s="44">
        <v>74.5</v>
      </c>
      <c r="N11" s="26"/>
      <c r="O11" s="26"/>
      <c r="P11" s="44">
        <v>78.5</v>
      </c>
      <c r="Q11" s="44">
        <v>78.599999999999994</v>
      </c>
    </row>
    <row r="12" spans="2:17" ht="20.100000000000001" customHeight="1" x14ac:dyDescent="0.25">
      <c r="B12" s="156" t="s">
        <v>3</v>
      </c>
      <c r="C12" s="156"/>
      <c r="D12" s="1" t="s">
        <v>4</v>
      </c>
      <c r="E12" s="1" t="s">
        <v>80</v>
      </c>
      <c r="F12" s="26">
        <v>0.6</v>
      </c>
      <c r="G12" s="26">
        <v>0.6</v>
      </c>
      <c r="H12" s="44"/>
      <c r="I12" s="44">
        <v>0</v>
      </c>
      <c r="J12" s="26"/>
      <c r="K12" s="26">
        <v>0</v>
      </c>
      <c r="L12" s="44">
        <v>0.1</v>
      </c>
      <c r="M12" s="44">
        <v>0.1</v>
      </c>
      <c r="N12" s="26"/>
      <c r="O12" s="26"/>
      <c r="P12" s="44">
        <v>0.2</v>
      </c>
      <c r="Q12" s="44">
        <v>0.2</v>
      </c>
    </row>
    <row r="13" spans="2:17" ht="20.100000000000001" customHeight="1" x14ac:dyDescent="0.25">
      <c r="B13" s="156" t="s">
        <v>5</v>
      </c>
      <c r="C13" s="156"/>
      <c r="D13" s="1" t="s">
        <v>4</v>
      </c>
      <c r="E13" s="1" t="s">
        <v>80</v>
      </c>
      <c r="F13" s="26">
        <v>67.099999999999994</v>
      </c>
      <c r="G13" s="26">
        <v>67.099999999999994</v>
      </c>
      <c r="H13" s="44"/>
      <c r="I13" s="44">
        <v>69.900000000000006</v>
      </c>
      <c r="J13" s="26"/>
      <c r="K13" s="26">
        <v>70.900000000000006</v>
      </c>
      <c r="L13" s="44">
        <v>68.8</v>
      </c>
      <c r="M13" s="44">
        <v>68.8</v>
      </c>
      <c r="N13" s="26"/>
      <c r="O13" s="26"/>
      <c r="P13" s="44">
        <v>74</v>
      </c>
      <c r="Q13" s="44">
        <v>74</v>
      </c>
    </row>
    <row r="14" spans="2:17" ht="20.100000000000001" customHeight="1" x14ac:dyDescent="0.25">
      <c r="B14" s="156" t="s">
        <v>6</v>
      </c>
      <c r="C14" s="156"/>
      <c r="D14" s="1" t="s">
        <v>4</v>
      </c>
      <c r="E14" s="1" t="s">
        <v>80</v>
      </c>
      <c r="F14" s="26">
        <v>63.2</v>
      </c>
      <c r="G14" s="26">
        <v>65.2</v>
      </c>
      <c r="H14" s="44"/>
      <c r="I14" s="44">
        <v>67.2</v>
      </c>
      <c r="J14" s="26"/>
      <c r="K14" s="26">
        <v>62.6</v>
      </c>
      <c r="L14" s="44">
        <v>63.7</v>
      </c>
      <c r="M14" s="44">
        <v>66.3</v>
      </c>
      <c r="N14" s="26"/>
      <c r="O14" s="26"/>
      <c r="P14" s="44">
        <v>70.400000000000006</v>
      </c>
      <c r="Q14" s="44">
        <v>72.599999999999994</v>
      </c>
    </row>
    <row r="15" spans="2:17" ht="20.100000000000001" customHeight="1" x14ac:dyDescent="0.25">
      <c r="B15" s="156" t="s">
        <v>7</v>
      </c>
      <c r="C15" s="156"/>
      <c r="D15" s="1" t="s">
        <v>4</v>
      </c>
      <c r="E15" s="1" t="s">
        <v>80</v>
      </c>
      <c r="F15" s="26">
        <v>51.1</v>
      </c>
      <c r="G15" s="26">
        <v>52.2</v>
      </c>
      <c r="H15" s="44"/>
      <c r="I15" s="44">
        <v>50.8</v>
      </c>
      <c r="J15" s="26"/>
      <c r="K15" s="26">
        <v>39.5</v>
      </c>
      <c r="L15" s="44">
        <v>34.6</v>
      </c>
      <c r="M15" s="44">
        <v>34</v>
      </c>
      <c r="N15" s="26"/>
      <c r="O15" s="26"/>
      <c r="P15" s="44">
        <v>41.2</v>
      </c>
      <c r="Q15" s="44">
        <v>40.9</v>
      </c>
    </row>
    <row r="16" spans="2:17" ht="20.100000000000001" customHeight="1" x14ac:dyDescent="0.25">
      <c r="B16" s="143" t="s">
        <v>8</v>
      </c>
      <c r="C16" s="2" t="s">
        <v>9</v>
      </c>
      <c r="D16" s="1" t="s">
        <v>12</v>
      </c>
      <c r="E16" s="1" t="s">
        <v>81</v>
      </c>
      <c r="F16" s="26">
        <v>6.6</v>
      </c>
      <c r="G16" s="26">
        <v>6.6</v>
      </c>
      <c r="H16" s="26">
        <v>6.6</v>
      </c>
      <c r="I16" s="26">
        <v>6.6</v>
      </c>
      <c r="J16" s="26">
        <v>6.6</v>
      </c>
      <c r="K16" s="26">
        <v>6.6</v>
      </c>
      <c r="L16" s="26">
        <v>6.6</v>
      </c>
      <c r="M16" s="26">
        <v>6.6</v>
      </c>
      <c r="N16" s="26">
        <v>6.6</v>
      </c>
      <c r="O16" s="26">
        <v>6.6</v>
      </c>
      <c r="P16" s="26">
        <v>6.6</v>
      </c>
      <c r="Q16" s="26">
        <v>6.6</v>
      </c>
    </row>
    <row r="17" spans="2:17" ht="20.100000000000001" customHeight="1" x14ac:dyDescent="0.25">
      <c r="B17" s="143"/>
      <c r="C17" s="2" t="s">
        <v>10</v>
      </c>
      <c r="D17" s="1" t="s">
        <v>13</v>
      </c>
      <c r="E17" s="1" t="s">
        <v>82</v>
      </c>
      <c r="F17" s="26">
        <v>118.1</v>
      </c>
      <c r="G17" s="26">
        <v>117.6</v>
      </c>
      <c r="H17" s="44"/>
      <c r="I17" s="44">
        <v>115.5</v>
      </c>
      <c r="J17" s="26"/>
      <c r="K17" s="26">
        <v>117.1</v>
      </c>
      <c r="L17" s="44">
        <v>119.7</v>
      </c>
      <c r="M17" s="44">
        <v>118.1</v>
      </c>
      <c r="N17" s="26"/>
      <c r="O17" s="26"/>
      <c r="P17" s="44">
        <v>120.7</v>
      </c>
      <c r="Q17" s="44">
        <v>118.8</v>
      </c>
    </row>
    <row r="18" spans="2:17" ht="20.100000000000001" customHeight="1" x14ac:dyDescent="0.25">
      <c r="B18" s="143"/>
      <c r="C18" s="2" t="s">
        <v>11</v>
      </c>
      <c r="D18" s="1" t="s">
        <v>14</v>
      </c>
      <c r="E18" s="1" t="s">
        <v>83</v>
      </c>
      <c r="F18" s="26">
        <v>1160</v>
      </c>
      <c r="G18" s="26">
        <v>1160</v>
      </c>
      <c r="H18" s="44"/>
      <c r="I18" s="44">
        <v>1175</v>
      </c>
      <c r="J18" s="26"/>
      <c r="K18" s="26">
        <v>1190</v>
      </c>
      <c r="L18" s="44">
        <v>1216</v>
      </c>
      <c r="M18" s="44">
        <v>1205</v>
      </c>
      <c r="N18" s="26"/>
      <c r="O18" s="26"/>
      <c r="P18" s="44">
        <v>1218</v>
      </c>
      <c r="Q18" s="44">
        <v>1210</v>
      </c>
    </row>
    <row r="19" spans="2:17" ht="20.100000000000001" customHeight="1" x14ac:dyDescent="0.25">
      <c r="B19" s="143" t="s">
        <v>24</v>
      </c>
      <c r="C19" s="2" t="s">
        <v>15</v>
      </c>
      <c r="D19" s="1" t="s">
        <v>16</v>
      </c>
      <c r="E19" s="35" t="s">
        <v>84</v>
      </c>
      <c r="F19" s="26">
        <v>45808</v>
      </c>
      <c r="G19" s="26">
        <v>45798.8</v>
      </c>
      <c r="H19" s="44"/>
      <c r="I19" s="44">
        <v>46567.199999999997</v>
      </c>
      <c r="J19" s="26"/>
      <c r="K19" s="26">
        <v>44356.4</v>
      </c>
      <c r="L19" s="44">
        <v>46593</v>
      </c>
      <c r="M19" s="44">
        <v>46583.9</v>
      </c>
      <c r="N19" s="26"/>
      <c r="O19" s="26"/>
      <c r="P19" s="44">
        <v>47701</v>
      </c>
      <c r="Q19" s="44">
        <v>47691.5</v>
      </c>
    </row>
    <row r="20" spans="2:17" ht="20.100000000000001" customHeight="1" x14ac:dyDescent="0.25">
      <c r="B20" s="143"/>
      <c r="C20" s="2" t="s">
        <v>17</v>
      </c>
      <c r="D20" s="1" t="s">
        <v>77</v>
      </c>
      <c r="E20" s="1" t="s">
        <v>85</v>
      </c>
      <c r="F20" s="26"/>
      <c r="G20" s="26"/>
      <c r="H20" s="44"/>
      <c r="I20" s="44"/>
      <c r="J20" s="26"/>
      <c r="K20" s="26"/>
      <c r="L20" s="44"/>
      <c r="M20" s="44"/>
      <c r="N20" s="26"/>
      <c r="O20" s="26"/>
      <c r="P20" s="44"/>
      <c r="Q20" s="44"/>
    </row>
    <row r="21" spans="2:17" ht="20.100000000000001" customHeight="1" x14ac:dyDescent="0.25">
      <c r="B21" s="143"/>
      <c r="C21" s="2" t="s">
        <v>18</v>
      </c>
      <c r="D21" s="1" t="s">
        <v>77</v>
      </c>
      <c r="E21" s="1" t="s">
        <v>75</v>
      </c>
      <c r="F21" s="26"/>
      <c r="G21" s="26"/>
      <c r="H21" s="44"/>
      <c r="I21" s="44"/>
      <c r="J21" s="26"/>
      <c r="K21" s="26"/>
      <c r="L21" s="44"/>
      <c r="M21" s="44"/>
      <c r="N21" s="26"/>
      <c r="O21" s="26"/>
      <c r="P21" s="44"/>
      <c r="Q21" s="44"/>
    </row>
    <row r="22" spans="2:17" ht="20.100000000000001" customHeight="1" x14ac:dyDescent="0.25">
      <c r="B22" s="143"/>
      <c r="C22" s="2" t="s">
        <v>19</v>
      </c>
      <c r="D22" s="1" t="s">
        <v>77</v>
      </c>
      <c r="E22" s="1" t="s">
        <v>73</v>
      </c>
      <c r="F22" s="26">
        <v>58.2</v>
      </c>
      <c r="G22" s="26">
        <v>58.1</v>
      </c>
      <c r="H22" s="44"/>
      <c r="I22" s="44">
        <v>59</v>
      </c>
      <c r="J22" s="26"/>
      <c r="K22" s="26">
        <v>57.8</v>
      </c>
      <c r="L22" s="44">
        <v>57.5</v>
      </c>
      <c r="M22" s="44">
        <v>57.3</v>
      </c>
      <c r="N22" s="26"/>
      <c r="O22" s="26"/>
      <c r="P22" s="44">
        <v>59.4</v>
      </c>
      <c r="Q22" s="44">
        <v>59.4</v>
      </c>
    </row>
    <row r="23" spans="2:17" ht="60" x14ac:dyDescent="0.25">
      <c r="B23" s="143"/>
      <c r="C23" s="30" t="s">
        <v>20</v>
      </c>
      <c r="D23" s="26" t="s">
        <v>22</v>
      </c>
      <c r="E23" s="29" t="s">
        <v>76</v>
      </c>
      <c r="F23" s="26">
        <v>0.52</v>
      </c>
      <c r="G23" s="26">
        <v>0.52</v>
      </c>
      <c r="H23" s="44"/>
      <c r="I23" s="44">
        <v>0.49</v>
      </c>
      <c r="J23" s="26"/>
      <c r="K23" s="26">
        <v>0.69</v>
      </c>
      <c r="L23" s="44">
        <v>0.54</v>
      </c>
      <c r="M23" s="44">
        <v>0.57999999999999996</v>
      </c>
      <c r="N23" s="26"/>
      <c r="O23" s="26"/>
      <c r="P23" s="44">
        <v>0.48</v>
      </c>
      <c r="Q23" s="44">
        <v>0.48</v>
      </c>
    </row>
    <row r="24" spans="2:17" ht="39.75" customHeight="1" x14ac:dyDescent="0.25">
      <c r="B24" s="143"/>
      <c r="C24" s="30" t="s">
        <v>21</v>
      </c>
      <c r="D24" s="1"/>
      <c r="E24" s="1"/>
      <c r="F24" s="26"/>
      <c r="G24" s="26"/>
      <c r="H24" s="44"/>
      <c r="I24" s="44"/>
      <c r="J24" s="26"/>
      <c r="K24" s="26"/>
      <c r="L24" s="44"/>
      <c r="M24" s="44"/>
      <c r="N24" s="26"/>
      <c r="O24" s="26"/>
      <c r="P24" s="44"/>
      <c r="Q24" s="44"/>
    </row>
    <row r="25" spans="2:17" ht="20.100000000000001" customHeight="1" x14ac:dyDescent="0.25">
      <c r="B25" s="143"/>
      <c r="C25" s="2" t="s">
        <v>23</v>
      </c>
      <c r="D25" s="1" t="s">
        <v>77</v>
      </c>
      <c r="E25" s="1" t="s">
        <v>74</v>
      </c>
      <c r="F25" s="26">
        <v>45</v>
      </c>
      <c r="G25" s="26">
        <v>44.9</v>
      </c>
      <c r="H25" s="44"/>
      <c r="I25" s="44">
        <v>44.8</v>
      </c>
      <c r="J25" s="26"/>
      <c r="K25" s="26">
        <v>45</v>
      </c>
      <c r="L25" s="44">
        <v>44.9</v>
      </c>
      <c r="M25" s="44">
        <v>44.8</v>
      </c>
      <c r="N25" s="26"/>
      <c r="O25" s="26"/>
      <c r="P25" s="44">
        <v>44.9</v>
      </c>
      <c r="Q25" s="44">
        <v>44.9</v>
      </c>
    </row>
    <row r="26" spans="2:17" ht="20.100000000000001" customHeight="1" x14ac:dyDescent="0.25">
      <c r="B26" s="143" t="s">
        <v>25</v>
      </c>
      <c r="C26" s="2" t="s">
        <v>26</v>
      </c>
      <c r="D26" s="1" t="s">
        <v>22</v>
      </c>
      <c r="E26" s="36" t="s">
        <v>86</v>
      </c>
      <c r="F26" s="26">
        <v>0.23</v>
      </c>
      <c r="G26" s="26">
        <v>0.28000000000000003</v>
      </c>
      <c r="H26" s="44"/>
      <c r="I26" s="44">
        <v>0.22</v>
      </c>
      <c r="J26" s="26"/>
      <c r="K26" s="26">
        <v>0.28000000000000003</v>
      </c>
      <c r="L26" s="44">
        <v>0.23</v>
      </c>
      <c r="M26" s="44">
        <v>0.22</v>
      </c>
      <c r="N26" s="26"/>
      <c r="O26" s="26"/>
      <c r="P26" s="44">
        <v>0.23</v>
      </c>
      <c r="Q26" s="44">
        <v>0.28000000000000003</v>
      </c>
    </row>
    <row r="27" spans="2:17" ht="20.100000000000001" customHeight="1" x14ac:dyDescent="0.25">
      <c r="B27" s="143"/>
      <c r="C27" s="2" t="s">
        <v>27</v>
      </c>
      <c r="D27" s="1" t="s">
        <v>77</v>
      </c>
      <c r="E27" s="1" t="s">
        <v>85</v>
      </c>
      <c r="F27" s="26">
        <v>4.2</v>
      </c>
      <c r="G27" s="26">
        <v>4</v>
      </c>
      <c r="H27" s="44"/>
      <c r="I27" s="44">
        <v>4</v>
      </c>
      <c r="J27" s="26"/>
      <c r="K27" s="26">
        <v>4</v>
      </c>
      <c r="L27" s="44">
        <v>4.7</v>
      </c>
      <c r="M27" s="44">
        <v>4.5</v>
      </c>
      <c r="N27" s="26"/>
      <c r="O27" s="26"/>
      <c r="P27" s="44">
        <v>4.3</v>
      </c>
      <c r="Q27" s="44">
        <v>4.2</v>
      </c>
    </row>
    <row r="28" spans="2:17" ht="20.100000000000001" customHeight="1" x14ac:dyDescent="0.25">
      <c r="B28" s="143"/>
      <c r="C28" s="2" t="s">
        <v>28</v>
      </c>
      <c r="D28" s="1" t="s">
        <v>77</v>
      </c>
      <c r="E28" s="1" t="s">
        <v>85</v>
      </c>
      <c r="F28" s="26">
        <v>3.8</v>
      </c>
      <c r="G28" s="26">
        <v>3.8</v>
      </c>
      <c r="H28" s="44"/>
      <c r="I28" s="44">
        <v>2.9</v>
      </c>
      <c r="J28" s="26"/>
      <c r="K28" s="26">
        <v>3.3</v>
      </c>
      <c r="L28" s="44">
        <v>3.6</v>
      </c>
      <c r="M28" s="44">
        <v>3.4</v>
      </c>
      <c r="N28" s="26"/>
      <c r="O28" s="26"/>
      <c r="P28" s="44">
        <v>3.3</v>
      </c>
      <c r="Q28" s="44">
        <v>3.2</v>
      </c>
    </row>
    <row r="29" spans="2:17" ht="20.100000000000001" customHeight="1" x14ac:dyDescent="0.25">
      <c r="B29" s="143"/>
      <c r="C29" s="2" t="s">
        <v>98</v>
      </c>
      <c r="D29" s="1" t="s">
        <v>77</v>
      </c>
      <c r="E29" s="1" t="s">
        <v>85</v>
      </c>
      <c r="F29" s="53">
        <f>F32-F27</f>
        <v>0.59999999999999964</v>
      </c>
      <c r="G29" s="53">
        <f t="shared" ref="G29:Q29" si="0">G32-G27</f>
        <v>0.29999999999999982</v>
      </c>
      <c r="H29" s="53">
        <f t="shared" si="0"/>
        <v>0</v>
      </c>
      <c r="I29" s="53">
        <f t="shared" si="0"/>
        <v>0.59999999999999964</v>
      </c>
      <c r="J29" s="53">
        <f t="shared" si="0"/>
        <v>0</v>
      </c>
      <c r="K29" s="53">
        <f t="shared" si="0"/>
        <v>0.40000000000000036</v>
      </c>
      <c r="L29" s="53">
        <f t="shared" si="0"/>
        <v>0.29999999999999982</v>
      </c>
      <c r="M29" s="53">
        <f t="shared" si="0"/>
        <v>-9.9999999999999645E-2</v>
      </c>
      <c r="N29" s="53">
        <f t="shared" si="0"/>
        <v>0</v>
      </c>
      <c r="O29" s="53">
        <f t="shared" si="0"/>
        <v>0</v>
      </c>
      <c r="P29" s="53">
        <f t="shared" si="0"/>
        <v>0.79999999999999982</v>
      </c>
      <c r="Q29" s="53">
        <f t="shared" si="0"/>
        <v>0.70000000000000018</v>
      </c>
    </row>
    <row r="30" spans="2:17" ht="20.100000000000001" customHeight="1" x14ac:dyDescent="0.25">
      <c r="B30" s="143"/>
      <c r="C30" s="2" t="s">
        <v>29</v>
      </c>
      <c r="D30" s="1" t="s">
        <v>35</v>
      </c>
      <c r="E30" s="1" t="s">
        <v>87</v>
      </c>
      <c r="F30" s="26">
        <v>735</v>
      </c>
      <c r="G30" s="26">
        <v>685.68</v>
      </c>
      <c r="H30" s="44"/>
      <c r="I30" s="44">
        <v>669.04</v>
      </c>
      <c r="J30" s="26"/>
      <c r="K30" s="26">
        <v>654.24</v>
      </c>
      <c r="L30" s="44">
        <v>748</v>
      </c>
      <c r="M30" s="44">
        <v>689.6</v>
      </c>
      <c r="N30" s="26"/>
      <c r="O30" s="26"/>
      <c r="P30" s="44">
        <v>730</v>
      </c>
      <c r="Q30" s="44">
        <v>675.12</v>
      </c>
    </row>
    <row r="31" spans="2:17" ht="20.100000000000001" customHeight="1" x14ac:dyDescent="0.25">
      <c r="B31" s="143"/>
      <c r="C31" s="2" t="s">
        <v>30</v>
      </c>
      <c r="D31" s="1" t="s">
        <v>77</v>
      </c>
      <c r="E31" s="1">
        <v>13.5</v>
      </c>
      <c r="F31" s="26">
        <v>12.7</v>
      </c>
      <c r="G31" s="26">
        <v>12.6</v>
      </c>
      <c r="H31" s="44"/>
      <c r="I31" s="44">
        <v>12.8</v>
      </c>
      <c r="J31" s="26"/>
      <c r="K31" s="26">
        <v>13.2</v>
      </c>
      <c r="L31" s="44">
        <v>12.7</v>
      </c>
      <c r="M31" s="44">
        <v>13.2</v>
      </c>
      <c r="N31" s="26"/>
      <c r="O31" s="26"/>
      <c r="P31" s="44">
        <v>12.8</v>
      </c>
      <c r="Q31" s="44">
        <v>13</v>
      </c>
    </row>
    <row r="32" spans="2:17" ht="20.100000000000001" customHeight="1" x14ac:dyDescent="0.25">
      <c r="B32" s="143"/>
      <c r="C32" s="2" t="s">
        <v>31</v>
      </c>
      <c r="D32" s="1" t="s">
        <v>77</v>
      </c>
      <c r="E32" s="1">
        <v>4</v>
      </c>
      <c r="F32" s="26">
        <v>4.8</v>
      </c>
      <c r="G32" s="26">
        <v>4.3</v>
      </c>
      <c r="H32" s="44"/>
      <c r="I32" s="44">
        <v>4.5999999999999996</v>
      </c>
      <c r="J32" s="26"/>
      <c r="K32" s="26">
        <v>4.4000000000000004</v>
      </c>
      <c r="L32" s="44">
        <v>5</v>
      </c>
      <c r="M32" s="44">
        <v>4.4000000000000004</v>
      </c>
      <c r="N32" s="26"/>
      <c r="O32" s="26"/>
      <c r="P32" s="44">
        <v>5.0999999999999996</v>
      </c>
      <c r="Q32" s="44">
        <v>4.9000000000000004</v>
      </c>
    </row>
    <row r="33" spans="2:17" ht="20.100000000000001" customHeight="1" x14ac:dyDescent="0.25">
      <c r="B33" s="143"/>
      <c r="C33" s="2" t="s">
        <v>32</v>
      </c>
      <c r="D33" s="1" t="s">
        <v>77</v>
      </c>
      <c r="E33" s="1">
        <v>9.5</v>
      </c>
      <c r="F33" s="53">
        <f>F31-F32</f>
        <v>7.8999999999999995</v>
      </c>
      <c r="G33" s="53">
        <f>G31-G32</f>
        <v>8.3000000000000007</v>
      </c>
      <c r="H33" s="53">
        <f t="shared" ref="H33:Q33" si="1">H31-H32</f>
        <v>0</v>
      </c>
      <c r="I33" s="53">
        <f t="shared" si="1"/>
        <v>8.2000000000000011</v>
      </c>
      <c r="J33" s="53">
        <f t="shared" si="1"/>
        <v>0</v>
      </c>
      <c r="K33" s="53">
        <f t="shared" si="1"/>
        <v>8.7999999999999989</v>
      </c>
      <c r="L33" s="53">
        <f t="shared" si="1"/>
        <v>7.6999999999999993</v>
      </c>
      <c r="M33" s="53">
        <f t="shared" si="1"/>
        <v>8.7999999999999989</v>
      </c>
      <c r="N33" s="53">
        <f t="shared" si="1"/>
        <v>0</v>
      </c>
      <c r="O33" s="53">
        <f t="shared" si="1"/>
        <v>0</v>
      </c>
      <c r="P33" s="53">
        <f t="shared" si="1"/>
        <v>7.7000000000000011</v>
      </c>
      <c r="Q33" s="53">
        <f t="shared" si="1"/>
        <v>8.1</v>
      </c>
    </row>
    <row r="34" spans="2:17" ht="20.100000000000001" customHeight="1" x14ac:dyDescent="0.25">
      <c r="B34" s="143"/>
      <c r="C34" s="2" t="s">
        <v>33</v>
      </c>
      <c r="D34" s="1" t="s">
        <v>34</v>
      </c>
      <c r="E34" s="1" t="s">
        <v>88</v>
      </c>
      <c r="F34" s="54">
        <f>(F33*F30)/0.866</f>
        <v>6704.9653579676678</v>
      </c>
      <c r="G34" s="54">
        <f>(G33*G30)/0.866</f>
        <v>6571.7598152424944</v>
      </c>
      <c r="H34" s="54">
        <f t="shared" ref="H34:Q34" si="2">(H33*H30)/0.866</f>
        <v>0</v>
      </c>
      <c r="I34" s="54">
        <f t="shared" si="2"/>
        <v>6335.0207852194008</v>
      </c>
      <c r="J34" s="54">
        <f t="shared" si="2"/>
        <v>0</v>
      </c>
      <c r="K34" s="54">
        <f t="shared" si="2"/>
        <v>6648.1662817551951</v>
      </c>
      <c r="L34" s="54">
        <f t="shared" si="2"/>
        <v>6650.8083140877588</v>
      </c>
      <c r="M34" s="54">
        <f t="shared" si="2"/>
        <v>7007.4826789838335</v>
      </c>
      <c r="N34" s="54">
        <f t="shared" si="2"/>
        <v>0</v>
      </c>
      <c r="O34" s="54">
        <f t="shared" si="2"/>
        <v>0</v>
      </c>
      <c r="P34" s="54">
        <f t="shared" si="2"/>
        <v>6490.7621247113175</v>
      </c>
      <c r="Q34" s="54">
        <f t="shared" si="2"/>
        <v>6314.6327944572749</v>
      </c>
    </row>
    <row r="35" spans="2:17" ht="20.100000000000001" customHeight="1" x14ac:dyDescent="0.25">
      <c r="B35" s="143" t="s">
        <v>36</v>
      </c>
      <c r="C35" s="2" t="s">
        <v>37</v>
      </c>
      <c r="D35" s="1" t="s">
        <v>22</v>
      </c>
      <c r="E35" s="1" t="s">
        <v>89</v>
      </c>
      <c r="F35" s="26">
        <v>0.84</v>
      </c>
      <c r="G35" s="26">
        <v>0.82</v>
      </c>
      <c r="H35" s="44"/>
      <c r="I35" s="44">
        <v>0.85</v>
      </c>
      <c r="J35" s="26"/>
      <c r="K35" s="26">
        <v>0.83</v>
      </c>
      <c r="L35" s="44">
        <v>0.87</v>
      </c>
      <c r="M35" s="44">
        <v>0.85</v>
      </c>
      <c r="N35" s="26"/>
      <c r="O35" s="26"/>
      <c r="P35" s="44">
        <v>0.83</v>
      </c>
      <c r="Q35" s="44">
        <v>0.82</v>
      </c>
    </row>
    <row r="36" spans="2:17" ht="20.100000000000001" customHeight="1" x14ac:dyDescent="0.25">
      <c r="B36" s="143"/>
      <c r="C36" s="2" t="s">
        <v>38</v>
      </c>
      <c r="D36" s="1" t="s">
        <v>77</v>
      </c>
      <c r="E36" s="1" t="s">
        <v>85</v>
      </c>
      <c r="F36" s="26">
        <v>36.799999999999997</v>
      </c>
      <c r="G36" s="26">
        <v>36</v>
      </c>
      <c r="H36" s="44"/>
      <c r="I36" s="44">
        <v>36.799999999999997</v>
      </c>
      <c r="J36" s="26"/>
      <c r="K36" s="26">
        <v>36.1</v>
      </c>
      <c r="L36" s="44">
        <v>38.1</v>
      </c>
      <c r="M36" s="44">
        <v>37.200000000000003</v>
      </c>
      <c r="N36" s="26"/>
      <c r="O36" s="26"/>
      <c r="P36" s="44">
        <v>37.200000000000003</v>
      </c>
      <c r="Q36" s="44">
        <v>36.5</v>
      </c>
    </row>
    <row r="37" spans="2:17" ht="20.100000000000001" customHeight="1" x14ac:dyDescent="0.25">
      <c r="B37" s="143"/>
      <c r="C37" s="2" t="s">
        <v>39</v>
      </c>
      <c r="D37" s="1" t="s">
        <v>77</v>
      </c>
      <c r="E37" s="1" t="s">
        <v>85</v>
      </c>
      <c r="F37" s="26">
        <v>37.200000000000003</v>
      </c>
      <c r="G37" s="26">
        <v>36.4</v>
      </c>
      <c r="H37" s="44"/>
      <c r="I37" s="44">
        <v>37.6</v>
      </c>
      <c r="J37" s="26"/>
      <c r="K37" s="26">
        <v>36.9</v>
      </c>
      <c r="L37" s="44">
        <v>38.4</v>
      </c>
      <c r="M37" s="44">
        <v>37.6</v>
      </c>
      <c r="N37" s="26"/>
      <c r="O37" s="26"/>
      <c r="P37" s="44">
        <v>37.4</v>
      </c>
      <c r="Q37" s="44">
        <v>36.6</v>
      </c>
    </row>
    <row r="38" spans="2:17" ht="20.100000000000001" customHeight="1" x14ac:dyDescent="0.25">
      <c r="B38" s="143"/>
      <c r="C38" s="30" t="s">
        <v>97</v>
      </c>
      <c r="D38" s="1" t="s">
        <v>77</v>
      </c>
      <c r="E38" s="1"/>
      <c r="F38" s="53">
        <f>F37-F41</f>
        <v>2</v>
      </c>
      <c r="G38" s="53">
        <f>G36-G41</f>
        <v>2.5</v>
      </c>
      <c r="H38" s="53">
        <f>H37-H41</f>
        <v>0</v>
      </c>
      <c r="I38" s="53">
        <f>I36-I41</f>
        <v>3.7999999999999972</v>
      </c>
      <c r="J38" s="53">
        <f t="shared" ref="J38:Q38" si="3">J37-J41</f>
        <v>0</v>
      </c>
      <c r="K38" s="53">
        <f t="shared" si="3"/>
        <v>3.6000000000000014</v>
      </c>
      <c r="L38" s="53">
        <f t="shared" si="3"/>
        <v>3.2999999999999972</v>
      </c>
      <c r="M38" s="53">
        <f t="shared" si="3"/>
        <v>4.2000000000000028</v>
      </c>
      <c r="N38" s="53">
        <f t="shared" si="3"/>
        <v>0</v>
      </c>
      <c r="O38" s="53">
        <f t="shared" si="3"/>
        <v>0</v>
      </c>
      <c r="P38" s="53">
        <f t="shared" si="3"/>
        <v>2.1999999999999957</v>
      </c>
      <c r="Q38" s="53">
        <f t="shared" si="3"/>
        <v>2.8000000000000043</v>
      </c>
    </row>
    <row r="39" spans="2:17" ht="20.100000000000001" customHeight="1" x14ac:dyDescent="0.25">
      <c r="B39" s="143"/>
      <c r="C39" s="2" t="s">
        <v>90</v>
      </c>
      <c r="D39" s="1" t="s">
        <v>45</v>
      </c>
      <c r="E39" s="1"/>
      <c r="F39" s="26"/>
      <c r="G39" s="26"/>
      <c r="H39" s="44"/>
      <c r="I39" s="44"/>
      <c r="J39" s="26"/>
      <c r="K39" s="26"/>
      <c r="L39" s="44"/>
      <c r="M39" s="44"/>
      <c r="N39" s="26"/>
      <c r="O39" s="26"/>
      <c r="P39" s="44"/>
      <c r="Q39" s="44"/>
    </row>
    <row r="40" spans="2:17" ht="20.100000000000001" customHeight="1" x14ac:dyDescent="0.25">
      <c r="B40" s="143"/>
      <c r="C40" s="2" t="s">
        <v>41</v>
      </c>
      <c r="D40" s="1" t="s">
        <v>77</v>
      </c>
      <c r="E40" s="1">
        <v>30.8</v>
      </c>
      <c r="F40" s="26">
        <v>29.4</v>
      </c>
      <c r="G40" s="26">
        <v>28</v>
      </c>
      <c r="H40" s="44"/>
      <c r="I40" s="44">
        <v>27.9</v>
      </c>
      <c r="J40" s="26"/>
      <c r="K40" s="26">
        <v>27.9</v>
      </c>
      <c r="L40" s="44">
        <v>29.3</v>
      </c>
      <c r="M40" s="44">
        <v>27.8</v>
      </c>
      <c r="N40" s="26"/>
      <c r="O40" s="26"/>
      <c r="P40" s="44">
        <v>29.2</v>
      </c>
      <c r="Q40" s="44">
        <v>28</v>
      </c>
    </row>
    <row r="41" spans="2:17" ht="20.100000000000001" customHeight="1" x14ac:dyDescent="0.25">
      <c r="B41" s="143"/>
      <c r="C41" s="2" t="s">
        <v>42</v>
      </c>
      <c r="D41" s="1" t="s">
        <v>77</v>
      </c>
      <c r="E41" s="1">
        <v>36.4</v>
      </c>
      <c r="F41" s="26">
        <v>35.200000000000003</v>
      </c>
      <c r="G41" s="26">
        <v>33.5</v>
      </c>
      <c r="H41" s="44"/>
      <c r="I41" s="44">
        <v>33</v>
      </c>
      <c r="J41" s="26"/>
      <c r="K41" s="26">
        <v>33.299999999999997</v>
      </c>
      <c r="L41" s="44">
        <v>35.1</v>
      </c>
      <c r="M41" s="44">
        <v>33.4</v>
      </c>
      <c r="N41" s="26"/>
      <c r="O41" s="26"/>
      <c r="P41" s="44">
        <v>35.200000000000003</v>
      </c>
      <c r="Q41" s="44">
        <v>33.799999999999997</v>
      </c>
    </row>
    <row r="42" spans="2:17" ht="20.100000000000001" customHeight="1" x14ac:dyDescent="0.25">
      <c r="B42" s="143"/>
      <c r="C42" s="2" t="s">
        <v>91</v>
      </c>
      <c r="D42" s="1" t="s">
        <v>77</v>
      </c>
      <c r="E42" s="1">
        <v>5.6</v>
      </c>
      <c r="F42" s="53">
        <f>F41-F40</f>
        <v>5.8000000000000043</v>
      </c>
      <c r="G42" s="53">
        <f>G41-G40</f>
        <v>5.5</v>
      </c>
      <c r="H42" s="53">
        <f t="shared" ref="H42:Q42" si="4">H41-H40</f>
        <v>0</v>
      </c>
      <c r="I42" s="53">
        <f t="shared" si="4"/>
        <v>5.1000000000000014</v>
      </c>
      <c r="J42" s="53">
        <f t="shared" si="4"/>
        <v>0</v>
      </c>
      <c r="K42" s="53">
        <f t="shared" si="4"/>
        <v>5.3999999999999986</v>
      </c>
      <c r="L42" s="53">
        <f t="shared" si="4"/>
        <v>5.8000000000000007</v>
      </c>
      <c r="M42" s="53">
        <f t="shared" si="4"/>
        <v>5.5999999999999979</v>
      </c>
      <c r="N42" s="53">
        <f t="shared" si="4"/>
        <v>0</v>
      </c>
      <c r="O42" s="53">
        <f t="shared" si="4"/>
        <v>0</v>
      </c>
      <c r="P42" s="53">
        <f t="shared" si="4"/>
        <v>6.0000000000000036</v>
      </c>
      <c r="Q42" s="53">
        <f t="shared" si="4"/>
        <v>5.7999999999999972</v>
      </c>
    </row>
    <row r="43" spans="2:17" ht="20.100000000000001" customHeight="1" x14ac:dyDescent="0.25">
      <c r="B43" s="143"/>
      <c r="C43" s="2" t="s">
        <v>43</v>
      </c>
      <c r="D43" s="1" t="s">
        <v>35</v>
      </c>
      <c r="E43" s="1">
        <v>1273.0999999999999</v>
      </c>
      <c r="F43" s="26">
        <v>1211</v>
      </c>
      <c r="G43" s="26">
        <v>1218.4000000000001</v>
      </c>
      <c r="H43" s="44"/>
      <c r="I43" s="44">
        <v>1258.74</v>
      </c>
      <c r="J43" s="26"/>
      <c r="K43" s="26">
        <v>1287.3</v>
      </c>
      <c r="L43" s="44">
        <v>1193</v>
      </c>
      <c r="M43" s="44">
        <v>1190.1400000000001</v>
      </c>
      <c r="N43" s="26"/>
      <c r="O43" s="26"/>
      <c r="P43" s="44">
        <v>1207</v>
      </c>
      <c r="Q43" s="44">
        <v>1205.82</v>
      </c>
    </row>
    <row r="44" spans="2:17" ht="20.100000000000001" customHeight="1" x14ac:dyDescent="0.25">
      <c r="B44" s="143"/>
      <c r="C44" s="2" t="s">
        <v>44</v>
      </c>
      <c r="D44" s="1" t="s">
        <v>34</v>
      </c>
      <c r="E44" s="1">
        <v>8226.9</v>
      </c>
      <c r="F44" s="54">
        <f>F42*F43/0.866</f>
        <v>8110.6235565819916</v>
      </c>
      <c r="G44" s="54">
        <f>G42*G43/0.866</f>
        <v>7738.1062355658205</v>
      </c>
      <c r="H44" s="54">
        <f t="shared" ref="H44:Q44" si="5">H42*H43/0.866</f>
        <v>0</v>
      </c>
      <c r="I44" s="54">
        <f t="shared" si="5"/>
        <v>7412.9030023094701</v>
      </c>
      <c r="J44" s="54">
        <f t="shared" si="5"/>
        <v>0</v>
      </c>
      <c r="K44" s="54">
        <f t="shared" si="5"/>
        <v>8027.0438799076192</v>
      </c>
      <c r="L44" s="54">
        <f t="shared" si="5"/>
        <v>7990.0692840646661</v>
      </c>
      <c r="M44" s="54">
        <f t="shared" si="5"/>
        <v>7696.0554272517293</v>
      </c>
      <c r="N44" s="54">
        <f t="shared" si="5"/>
        <v>0</v>
      </c>
      <c r="O44" s="54">
        <f t="shared" si="5"/>
        <v>0</v>
      </c>
      <c r="P44" s="54">
        <f t="shared" si="5"/>
        <v>8362.5866050808363</v>
      </c>
      <c r="Q44" s="54">
        <f t="shared" si="5"/>
        <v>8075.9307159353302</v>
      </c>
    </row>
    <row r="45" spans="2:17" ht="20.100000000000001" customHeight="1" x14ac:dyDescent="0.25">
      <c r="B45" s="143" t="s">
        <v>46</v>
      </c>
      <c r="C45" s="2" t="s">
        <v>47</v>
      </c>
      <c r="D45" s="1" t="s">
        <v>22</v>
      </c>
      <c r="E45" s="1" t="s">
        <v>92</v>
      </c>
      <c r="F45" s="26">
        <v>0.47</v>
      </c>
      <c r="G45" s="26">
        <v>0.46</v>
      </c>
      <c r="H45" s="44"/>
      <c r="I45" s="44">
        <v>0.47</v>
      </c>
      <c r="J45" s="26"/>
      <c r="K45" s="26">
        <v>0.45</v>
      </c>
      <c r="L45" s="44">
        <v>0.49</v>
      </c>
      <c r="M45" s="44">
        <v>0.48</v>
      </c>
      <c r="N45" s="26"/>
      <c r="O45" s="26"/>
      <c r="P45" s="44">
        <v>0.48</v>
      </c>
      <c r="Q45" s="44">
        <v>0.46</v>
      </c>
    </row>
    <row r="46" spans="2:17" ht="20.100000000000001" customHeight="1" x14ac:dyDescent="0.25">
      <c r="B46" s="143"/>
      <c r="C46" s="2" t="s">
        <v>48</v>
      </c>
      <c r="D46" s="1" t="s">
        <v>77</v>
      </c>
      <c r="E46" s="1" t="s">
        <v>85</v>
      </c>
      <c r="F46" s="26">
        <v>20.2</v>
      </c>
      <c r="G46" s="26">
        <v>19.7</v>
      </c>
      <c r="H46" s="44"/>
      <c r="I46" s="44">
        <v>19.8</v>
      </c>
      <c r="J46" s="26"/>
      <c r="K46" s="26">
        <v>19.3</v>
      </c>
      <c r="L46" s="44">
        <v>21</v>
      </c>
      <c r="M46" s="44">
        <v>20.399999999999999</v>
      </c>
      <c r="N46" s="26"/>
      <c r="O46" s="26"/>
      <c r="P46" s="44">
        <v>20.399999999999999</v>
      </c>
      <c r="Q46" s="44">
        <v>19.899999999999999</v>
      </c>
    </row>
    <row r="47" spans="2:17" ht="20.100000000000001" customHeight="1" x14ac:dyDescent="0.25">
      <c r="B47" s="143"/>
      <c r="C47" s="2" t="s">
        <v>40</v>
      </c>
      <c r="D47" s="1" t="s">
        <v>45</v>
      </c>
      <c r="E47" s="1" t="s">
        <v>45</v>
      </c>
      <c r="F47" s="26">
        <v>192.4</v>
      </c>
      <c r="G47" s="26">
        <v>201.4</v>
      </c>
      <c r="H47" s="44"/>
      <c r="I47" s="44">
        <v>128.6</v>
      </c>
      <c r="J47" s="26"/>
      <c r="K47" s="26">
        <v>210.5</v>
      </c>
      <c r="L47" s="44">
        <v>207.6</v>
      </c>
      <c r="M47" s="44">
        <v>203.5</v>
      </c>
      <c r="N47" s="26"/>
      <c r="O47" s="26"/>
      <c r="P47" s="44">
        <v>205.9</v>
      </c>
      <c r="Q47" s="44">
        <v>199.7</v>
      </c>
    </row>
    <row r="48" spans="2:17" ht="20.100000000000001" customHeight="1" x14ac:dyDescent="0.25">
      <c r="B48" s="156" t="s">
        <v>49</v>
      </c>
      <c r="C48" s="156"/>
      <c r="D48" s="156"/>
      <c r="E48" s="37" t="s">
        <v>93</v>
      </c>
      <c r="F48" s="26"/>
      <c r="G48" s="26"/>
      <c r="H48" s="44"/>
      <c r="I48" s="44"/>
      <c r="J48" s="26"/>
      <c r="K48" s="26"/>
      <c r="L48" s="44"/>
      <c r="M48" s="44"/>
      <c r="N48" s="26"/>
      <c r="O48" s="26"/>
      <c r="P48" s="44"/>
      <c r="Q48" s="44"/>
    </row>
    <row r="49" spans="2:17" ht="20.100000000000001" customHeight="1" x14ac:dyDescent="0.25">
      <c r="B49" s="156" t="s">
        <v>50</v>
      </c>
      <c r="C49" s="156"/>
      <c r="D49" s="156"/>
      <c r="E49" s="52">
        <v>5.89</v>
      </c>
      <c r="F49" s="26">
        <v>5.0599999999999996</v>
      </c>
      <c r="G49" s="26">
        <v>5.35</v>
      </c>
      <c r="H49" s="44"/>
      <c r="I49" s="44">
        <v>5.23</v>
      </c>
      <c r="J49" s="26"/>
      <c r="K49" s="26">
        <v>5.54</v>
      </c>
      <c r="L49" s="44">
        <v>4.74</v>
      </c>
      <c r="M49" s="44">
        <v>5.17</v>
      </c>
      <c r="N49" s="26"/>
      <c r="O49" s="26"/>
      <c r="P49" s="44">
        <v>4.66</v>
      </c>
      <c r="Q49" s="44">
        <v>5.04</v>
      </c>
    </row>
    <row r="50" spans="2:17" ht="20.100000000000001" customHeight="1" x14ac:dyDescent="0.25">
      <c r="B50" s="156" t="s">
        <v>51</v>
      </c>
      <c r="C50" s="156"/>
      <c r="D50" s="156"/>
      <c r="E50" s="52"/>
      <c r="F50" s="26"/>
      <c r="G50" s="26"/>
      <c r="H50" s="44"/>
      <c r="I50" s="44"/>
      <c r="J50" s="26"/>
      <c r="K50" s="26"/>
      <c r="L50" s="44"/>
      <c r="M50" s="44"/>
      <c r="N50" s="26"/>
      <c r="O50" s="26"/>
      <c r="P50" s="44"/>
      <c r="Q50" s="44"/>
    </row>
    <row r="51" spans="2:17" ht="20.100000000000001" customHeight="1" thickBot="1" x14ac:dyDescent="0.3">
      <c r="B51" s="156" t="s">
        <v>52</v>
      </c>
      <c r="C51" s="156"/>
      <c r="D51" s="156"/>
      <c r="E51" s="51"/>
      <c r="F51" s="26"/>
      <c r="G51" s="26"/>
      <c r="H51" s="44"/>
      <c r="I51" s="44"/>
      <c r="J51" s="26"/>
      <c r="K51" s="26"/>
      <c r="L51" s="44"/>
      <c r="M51" s="44"/>
      <c r="N51" s="26"/>
      <c r="O51" s="26"/>
      <c r="P51" s="44"/>
      <c r="Q51" s="44"/>
    </row>
    <row r="52" spans="2:17" x14ac:dyDescent="0.25">
      <c r="B52" t="s">
        <v>67</v>
      </c>
      <c r="C52" s="17" t="s">
        <v>68</v>
      </c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9"/>
    </row>
    <row r="53" spans="2:17" x14ac:dyDescent="0.25">
      <c r="C53" s="20" t="s">
        <v>94</v>
      </c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2"/>
    </row>
    <row r="54" spans="2:17" x14ac:dyDescent="0.25">
      <c r="C54" s="20" t="s">
        <v>95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2"/>
    </row>
    <row r="55" spans="2:17" x14ac:dyDescent="0.25"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2"/>
    </row>
    <row r="56" spans="2:17" x14ac:dyDescent="0.25"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2"/>
    </row>
    <row r="57" spans="2:17" x14ac:dyDescent="0.25">
      <c r="C57" s="20" t="s">
        <v>69</v>
      </c>
      <c r="D57" s="21"/>
      <c r="E57" s="21"/>
      <c r="F57" s="32" t="b">
        <v>0</v>
      </c>
      <c r="G57" s="34" t="s">
        <v>79</v>
      </c>
      <c r="H57" s="21"/>
      <c r="I57" s="21"/>
      <c r="J57" s="21"/>
      <c r="K57" s="21"/>
      <c r="L57" s="21"/>
      <c r="M57" s="21"/>
      <c r="N57" s="21"/>
      <c r="O57" s="21"/>
      <c r="P57" s="21"/>
      <c r="Q57" s="22"/>
    </row>
    <row r="58" spans="2:17" x14ac:dyDescent="0.25">
      <c r="C58" s="20" t="s">
        <v>69</v>
      </c>
      <c r="D58" s="21"/>
      <c r="E58" s="21"/>
      <c r="F58" s="26" t="s">
        <v>70</v>
      </c>
      <c r="G58" s="33" t="s">
        <v>71</v>
      </c>
      <c r="H58" s="21"/>
      <c r="I58" s="21"/>
      <c r="J58" s="21"/>
      <c r="K58" s="21"/>
      <c r="L58" s="21"/>
      <c r="M58" s="21"/>
      <c r="N58" s="21"/>
      <c r="O58" s="21"/>
      <c r="P58" s="21"/>
      <c r="Q58" s="22"/>
    </row>
    <row r="59" spans="2:17" ht="15.75" thickBot="1" x14ac:dyDescent="0.3"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C400-836C-438B-9320-8CB5D821EA15}">
  <dimension ref="B1:Q59"/>
  <sheetViews>
    <sheetView view="pageBreakPreview" topLeftCell="A22" zoomScale="80" zoomScaleNormal="60" zoomScaleSheetLayoutView="80" workbookViewId="0">
      <selection activeCell="M47" sqref="M47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84" t="s">
        <v>78</v>
      </c>
      <c r="E10" s="83"/>
      <c r="F10" s="93"/>
      <c r="G10" s="94" t="s">
        <v>100</v>
      </c>
      <c r="H10" s="95"/>
      <c r="I10" s="96" t="s">
        <v>100</v>
      </c>
      <c r="J10" s="93"/>
      <c r="K10" s="94" t="s">
        <v>100</v>
      </c>
      <c r="L10" s="95"/>
      <c r="M10" s="96" t="s">
        <v>100</v>
      </c>
      <c r="N10" s="93"/>
      <c r="O10" s="94"/>
      <c r="P10" s="95"/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>
        <v>69.400000000000006</v>
      </c>
      <c r="G11" s="82">
        <v>70.099999999999994</v>
      </c>
      <c r="H11" s="97">
        <v>69.900000000000006</v>
      </c>
      <c r="I11" s="97">
        <v>76.8</v>
      </c>
      <c r="J11" s="82">
        <v>63.7</v>
      </c>
      <c r="K11" s="82">
        <v>62.8</v>
      </c>
      <c r="L11" s="97"/>
      <c r="M11" s="97">
        <v>73.900000000000006</v>
      </c>
      <c r="N11" s="82"/>
      <c r="O11" s="82"/>
      <c r="P11" s="97"/>
      <c r="Q11" s="97">
        <v>77.7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>
        <v>0.6</v>
      </c>
      <c r="G12" s="82">
        <v>0.6</v>
      </c>
      <c r="H12" s="97">
        <v>0</v>
      </c>
      <c r="I12" s="97">
        <v>0</v>
      </c>
      <c r="J12" s="82">
        <v>0</v>
      </c>
      <c r="K12" s="82">
        <v>0</v>
      </c>
      <c r="L12" s="97"/>
      <c r="M12" s="97">
        <v>0.1</v>
      </c>
      <c r="N12" s="82"/>
      <c r="O12" s="82"/>
      <c r="P12" s="97"/>
      <c r="Q12" s="97">
        <v>0.2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>
        <v>44.7</v>
      </c>
      <c r="G13" s="82">
        <v>67.099999999999994</v>
      </c>
      <c r="H13" s="97">
        <v>52.4</v>
      </c>
      <c r="I13" s="97">
        <v>72.099999999999994</v>
      </c>
      <c r="J13" s="82">
        <v>39.4</v>
      </c>
      <c r="K13" s="82">
        <v>57.9</v>
      </c>
      <c r="L13" s="97"/>
      <c r="M13" s="97">
        <v>69.099999999999994</v>
      </c>
      <c r="N13" s="82"/>
      <c r="O13" s="82"/>
      <c r="P13" s="97"/>
      <c r="Q13" s="97">
        <v>72.5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>
        <v>71.7</v>
      </c>
      <c r="G14" s="82">
        <v>64.099999999999994</v>
      </c>
      <c r="H14" s="97">
        <v>78.599999999999994</v>
      </c>
      <c r="I14" s="97">
        <v>66.3</v>
      </c>
      <c r="J14" s="82">
        <v>73.2</v>
      </c>
      <c r="K14" s="82">
        <v>61.4</v>
      </c>
      <c r="L14" s="97"/>
      <c r="M14" s="97">
        <v>65.3</v>
      </c>
      <c r="N14" s="82"/>
      <c r="O14" s="82"/>
      <c r="P14" s="97"/>
      <c r="Q14" s="97">
        <v>71.5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>
        <v>66.599999999999994</v>
      </c>
      <c r="G15" s="82">
        <v>55.3</v>
      </c>
      <c r="H15" s="97">
        <v>76.3</v>
      </c>
      <c r="I15" s="97">
        <v>72.099999999999994</v>
      </c>
      <c r="J15" s="82">
        <v>67.900000000000006</v>
      </c>
      <c r="K15" s="82">
        <v>40.6</v>
      </c>
      <c r="L15" s="97"/>
      <c r="M15" s="97">
        <v>35.9</v>
      </c>
      <c r="N15" s="82"/>
      <c r="O15" s="82"/>
      <c r="P15" s="97"/>
      <c r="Q15" s="97">
        <v>40.700000000000003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>
        <v>6.6</v>
      </c>
      <c r="G16" s="82">
        <v>6.6</v>
      </c>
      <c r="H16" s="82">
        <v>6.6</v>
      </c>
      <c r="I16" s="82">
        <v>6.6</v>
      </c>
      <c r="J16" s="82">
        <v>6.6</v>
      </c>
      <c r="K16" s="82">
        <v>6.6</v>
      </c>
      <c r="L16" s="82">
        <v>6.6</v>
      </c>
      <c r="M16" s="82">
        <v>6.6</v>
      </c>
      <c r="N16" s="82">
        <v>6.6</v>
      </c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>
        <v>117.1</v>
      </c>
      <c r="G17" s="82">
        <v>114.9</v>
      </c>
      <c r="H17" s="97">
        <v>118.8</v>
      </c>
      <c r="I17" s="97">
        <v>115.5</v>
      </c>
      <c r="J17" s="82">
        <v>115.1</v>
      </c>
      <c r="K17" s="82">
        <v>105.1</v>
      </c>
      <c r="L17" s="97"/>
      <c r="M17" s="97">
        <v>115.6</v>
      </c>
      <c r="N17" s="82"/>
      <c r="O17" s="82"/>
      <c r="P17" s="97"/>
      <c r="Q17" s="97">
        <v>115.7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>
        <v>1158</v>
      </c>
      <c r="G18" s="82">
        <v>1124</v>
      </c>
      <c r="H18" s="97">
        <v>1210</v>
      </c>
      <c r="I18" s="97">
        <v>1169</v>
      </c>
      <c r="J18" s="82">
        <v>1173</v>
      </c>
      <c r="K18" s="82">
        <v>1068</v>
      </c>
      <c r="L18" s="97"/>
      <c r="M18" s="97">
        <v>1183</v>
      </c>
      <c r="N18" s="82"/>
      <c r="O18" s="82"/>
      <c r="P18" s="97"/>
      <c r="Q18" s="97">
        <v>1180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>
        <v>45831</v>
      </c>
      <c r="G19" s="82">
        <v>45823</v>
      </c>
      <c r="H19" s="97">
        <v>46585</v>
      </c>
      <c r="I19" s="97">
        <v>46577</v>
      </c>
      <c r="J19" s="82">
        <v>44374</v>
      </c>
      <c r="K19" s="82">
        <v>44366</v>
      </c>
      <c r="L19" s="97"/>
      <c r="M19" s="97">
        <v>46605</v>
      </c>
      <c r="N19" s="82"/>
      <c r="O19" s="82"/>
      <c r="P19" s="97"/>
      <c r="Q19" s="97">
        <v>47715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>
        <v>58.1</v>
      </c>
      <c r="G22" s="82">
        <v>57.8</v>
      </c>
      <c r="H22" s="97">
        <v>59.1</v>
      </c>
      <c r="I22" s="97">
        <v>58.7</v>
      </c>
      <c r="J22" s="82">
        <v>57.4</v>
      </c>
      <c r="K22" s="82">
        <v>57.9</v>
      </c>
      <c r="L22" s="97"/>
      <c r="M22" s="97">
        <v>57.3</v>
      </c>
      <c r="N22" s="82"/>
      <c r="O22" s="82"/>
      <c r="P22" s="97"/>
      <c r="Q22" s="97">
        <v>59.3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>
        <v>0.52</v>
      </c>
      <c r="G23" s="82">
        <v>0.51</v>
      </c>
      <c r="H23" s="97">
        <v>0.49</v>
      </c>
      <c r="I23" s="97">
        <v>0.49</v>
      </c>
      <c r="J23" s="82">
        <v>0.53</v>
      </c>
      <c r="K23" s="82">
        <v>0.57999999999999996</v>
      </c>
      <c r="L23" s="97"/>
      <c r="M23" s="97">
        <v>0.59</v>
      </c>
      <c r="N23" s="82"/>
      <c r="O23" s="82"/>
      <c r="P23" s="97"/>
      <c r="Q23" s="97">
        <v>0.47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>
        <v>44.7</v>
      </c>
      <c r="G25" s="82">
        <v>45.2</v>
      </c>
      <c r="H25" s="97">
        <v>44.8</v>
      </c>
      <c r="I25" s="97">
        <v>45.1</v>
      </c>
      <c r="J25" s="82">
        <v>44.4</v>
      </c>
      <c r="K25" s="82">
        <v>46.1</v>
      </c>
      <c r="L25" s="97"/>
      <c r="M25" s="97">
        <v>45.1</v>
      </c>
      <c r="N25" s="82"/>
      <c r="O25" s="82"/>
      <c r="P25" s="97"/>
      <c r="Q25" s="97">
        <v>45.1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>
        <v>0.24</v>
      </c>
      <c r="G26" s="82">
        <v>0.22</v>
      </c>
      <c r="H26" s="97">
        <v>0.22</v>
      </c>
      <c r="I26" s="97">
        <v>0.21</v>
      </c>
      <c r="J26" s="82">
        <v>0.23</v>
      </c>
      <c r="K26" s="82">
        <v>0.28000000000000003</v>
      </c>
      <c r="L26" s="97"/>
      <c r="M26" s="97">
        <v>0.22</v>
      </c>
      <c r="N26" s="82"/>
      <c r="O26" s="82"/>
      <c r="P26" s="97"/>
      <c r="Q26" s="97">
        <v>0.22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>
        <v>4.5999999999999996</v>
      </c>
      <c r="G27" s="82">
        <v>3.4</v>
      </c>
      <c r="H27" s="97">
        <v>3.6</v>
      </c>
      <c r="I27" s="97">
        <v>3.2</v>
      </c>
      <c r="J27" s="82">
        <v>4.2</v>
      </c>
      <c r="K27" s="82">
        <v>3.7</v>
      </c>
      <c r="L27" s="97"/>
      <c r="M27" s="97">
        <v>3.9</v>
      </c>
      <c r="N27" s="82"/>
      <c r="O27" s="82"/>
      <c r="P27" s="97"/>
      <c r="Q27" s="97">
        <v>3.6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>
        <v>3.9</v>
      </c>
      <c r="G28" s="82">
        <v>3</v>
      </c>
      <c r="H28" s="97">
        <v>2.9</v>
      </c>
      <c r="I28" s="97">
        <v>2.4</v>
      </c>
      <c r="J28" s="82">
        <v>3.5</v>
      </c>
      <c r="K28" s="82">
        <v>2.9</v>
      </c>
      <c r="L28" s="97"/>
      <c r="M28" s="97">
        <v>2.8</v>
      </c>
      <c r="N28" s="82"/>
      <c r="O28" s="82"/>
      <c r="P28" s="97"/>
      <c r="Q28" s="97">
        <v>2.8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>
        <f>F32-F27</f>
        <v>0</v>
      </c>
      <c r="G29" s="98">
        <f t="shared" ref="G29:Q29" si="0">G32-G27</f>
        <v>0.60000000000000009</v>
      </c>
      <c r="H29" s="98">
        <f t="shared" si="0"/>
        <v>1.6999999999999997</v>
      </c>
      <c r="I29" s="98">
        <f t="shared" si="0"/>
        <v>0.89999999999999947</v>
      </c>
      <c r="J29" s="98">
        <f t="shared" si="0"/>
        <v>0.39999999999999947</v>
      </c>
      <c r="K29" s="98">
        <f t="shared" si="0"/>
        <v>0.29999999999999982</v>
      </c>
      <c r="L29" s="98">
        <f t="shared" si="0"/>
        <v>0</v>
      </c>
      <c r="M29" s="98">
        <f t="shared" si="0"/>
        <v>0</v>
      </c>
      <c r="N29" s="98">
        <f t="shared" si="0"/>
        <v>0</v>
      </c>
      <c r="O29" s="98">
        <f t="shared" si="0"/>
        <v>0</v>
      </c>
      <c r="P29" s="98">
        <f t="shared" si="0"/>
        <v>0</v>
      </c>
      <c r="Q29" s="98">
        <f t="shared" si="0"/>
        <v>0.69999999999999973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>
        <v>681.28</v>
      </c>
      <c r="G30" s="82">
        <v>660.56</v>
      </c>
      <c r="H30" s="97">
        <v>704.08</v>
      </c>
      <c r="I30" s="97">
        <v>649.12</v>
      </c>
      <c r="J30" s="82">
        <v>671.52</v>
      </c>
      <c r="K30" s="82">
        <v>651.67999999999995</v>
      </c>
      <c r="L30" s="97"/>
      <c r="M30" s="97">
        <v>669.68</v>
      </c>
      <c r="N30" s="82"/>
      <c r="O30" s="82"/>
      <c r="P30" s="97"/>
      <c r="Q30" s="97">
        <v>655.36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>
        <v>13.3</v>
      </c>
      <c r="G31" s="82">
        <v>12.4</v>
      </c>
      <c r="H31" s="97">
        <v>13.4</v>
      </c>
      <c r="I31" s="97">
        <v>12.4</v>
      </c>
      <c r="J31" s="82">
        <v>13.4</v>
      </c>
      <c r="K31" s="82">
        <v>11.6</v>
      </c>
      <c r="L31" s="97"/>
      <c r="M31" s="97">
        <v>12.7</v>
      </c>
      <c r="N31" s="82"/>
      <c r="O31" s="82"/>
      <c r="P31" s="97"/>
      <c r="Q31" s="97">
        <v>12.6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>
        <v>4.5999999999999996</v>
      </c>
      <c r="G32" s="82">
        <v>4</v>
      </c>
      <c r="H32" s="97">
        <v>5.3</v>
      </c>
      <c r="I32" s="97">
        <v>4.0999999999999996</v>
      </c>
      <c r="J32" s="82">
        <v>4.5999999999999996</v>
      </c>
      <c r="K32" s="82">
        <v>4</v>
      </c>
      <c r="L32" s="97"/>
      <c r="M32" s="97">
        <v>3.9</v>
      </c>
      <c r="N32" s="82"/>
      <c r="O32" s="82"/>
      <c r="P32" s="97"/>
      <c r="Q32" s="97">
        <v>4.3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8.7000000000000011</v>
      </c>
      <c r="G33" s="98">
        <f>G31-G32</f>
        <v>8.4</v>
      </c>
      <c r="H33" s="98">
        <f t="shared" ref="H33:Q33" si="1">H31-H32</f>
        <v>8.1000000000000014</v>
      </c>
      <c r="I33" s="98">
        <f t="shared" si="1"/>
        <v>8.3000000000000007</v>
      </c>
      <c r="J33" s="98">
        <f t="shared" si="1"/>
        <v>8.8000000000000007</v>
      </c>
      <c r="K33" s="98">
        <f t="shared" si="1"/>
        <v>7.6</v>
      </c>
      <c r="L33" s="98">
        <f t="shared" si="1"/>
        <v>0</v>
      </c>
      <c r="M33" s="98">
        <f t="shared" si="1"/>
        <v>8.7999999999999989</v>
      </c>
      <c r="N33" s="98">
        <f t="shared" si="1"/>
        <v>0</v>
      </c>
      <c r="O33" s="98">
        <f t="shared" si="1"/>
        <v>0</v>
      </c>
      <c r="P33" s="98">
        <f t="shared" si="1"/>
        <v>0</v>
      </c>
      <c r="Q33" s="98">
        <f t="shared" si="1"/>
        <v>8.3000000000000007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6844.2678983833721</v>
      </c>
      <c r="G34" s="99">
        <f>(G33*G30)/0.866</f>
        <v>6407.2794457274822</v>
      </c>
      <c r="H34" s="99">
        <f t="shared" ref="H34:Q34" si="2">(H33*H30)/0.866</f>
        <v>6585.5057736720573</v>
      </c>
      <c r="I34" s="99">
        <f t="shared" si="2"/>
        <v>6221.3579676674372</v>
      </c>
      <c r="J34" s="99">
        <f t="shared" si="2"/>
        <v>6823.7598152424944</v>
      </c>
      <c r="K34" s="99">
        <f t="shared" si="2"/>
        <v>5719.1316397228629</v>
      </c>
      <c r="L34" s="99">
        <f t="shared" si="2"/>
        <v>0</v>
      </c>
      <c r="M34" s="99">
        <f t="shared" si="2"/>
        <v>6805.0623556581977</v>
      </c>
      <c r="N34" s="99">
        <f t="shared" si="2"/>
        <v>0</v>
      </c>
      <c r="O34" s="99">
        <f t="shared" si="2"/>
        <v>0</v>
      </c>
      <c r="P34" s="99">
        <f t="shared" si="2"/>
        <v>0</v>
      </c>
      <c r="Q34" s="99">
        <f t="shared" si="2"/>
        <v>6281.1639722863747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>
        <v>0.81</v>
      </c>
      <c r="G35" s="82">
        <v>0.79</v>
      </c>
      <c r="H35" s="97">
        <v>0.85</v>
      </c>
      <c r="I35" s="97">
        <v>0.83</v>
      </c>
      <c r="J35" s="82">
        <v>0.82</v>
      </c>
      <c r="K35" s="82">
        <v>0.79</v>
      </c>
      <c r="L35" s="97"/>
      <c r="M35" s="97">
        <v>0.82</v>
      </c>
      <c r="N35" s="82"/>
      <c r="O35" s="82"/>
      <c r="P35" s="97"/>
      <c r="Q35" s="97">
        <v>0.89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>
        <v>35.799999999999997</v>
      </c>
      <c r="G36" s="82">
        <v>35.1</v>
      </c>
      <c r="H36" s="97">
        <v>36.700000000000003</v>
      </c>
      <c r="I36" s="97">
        <v>35.9</v>
      </c>
      <c r="J36" s="82">
        <v>35.799999999999997</v>
      </c>
      <c r="K36" s="82">
        <v>35</v>
      </c>
      <c r="L36" s="97"/>
      <c r="M36" s="97">
        <v>36.6</v>
      </c>
      <c r="N36" s="82"/>
      <c r="O36" s="82"/>
      <c r="P36" s="97"/>
      <c r="Q36" s="97">
        <v>35.5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>
        <v>36.1</v>
      </c>
      <c r="G37" s="82">
        <v>35.5</v>
      </c>
      <c r="H37" s="97">
        <v>37.5</v>
      </c>
      <c r="I37" s="97">
        <v>36.9</v>
      </c>
      <c r="J37" s="82">
        <v>36.5</v>
      </c>
      <c r="K37" s="82">
        <v>35.4</v>
      </c>
      <c r="L37" s="97"/>
      <c r="M37" s="97">
        <v>36.700000000000003</v>
      </c>
      <c r="N37" s="82"/>
      <c r="O37" s="82"/>
      <c r="P37" s="97"/>
      <c r="Q37" s="97">
        <v>35.6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F37-F41</f>
        <v>2.8000000000000043</v>
      </c>
      <c r="G38" s="98">
        <f>G37-G41</f>
        <v>1.8999999999999986</v>
      </c>
      <c r="H38" s="98">
        <f>H37-H41</f>
        <v>4.6000000000000014</v>
      </c>
      <c r="I38" s="98">
        <f>I37-I41</f>
        <v>4.2999999999999972</v>
      </c>
      <c r="J38" s="98">
        <f t="shared" ref="J38:Q38" si="3">J37-J41</f>
        <v>3.2999999999999972</v>
      </c>
      <c r="K38" s="98">
        <f t="shared" si="3"/>
        <v>0</v>
      </c>
      <c r="L38" s="98">
        <f t="shared" si="3"/>
        <v>0</v>
      </c>
      <c r="M38" s="98">
        <f t="shared" si="3"/>
        <v>3.4000000000000057</v>
      </c>
      <c r="N38" s="98">
        <f t="shared" si="3"/>
        <v>0</v>
      </c>
      <c r="O38" s="98">
        <f t="shared" si="3"/>
        <v>0</v>
      </c>
      <c r="P38" s="98">
        <f t="shared" si="3"/>
        <v>0</v>
      </c>
      <c r="Q38" s="98">
        <f t="shared" si="3"/>
        <v>2.1000000000000014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>
        <v>27.7</v>
      </c>
      <c r="G40" s="82">
        <v>27.7</v>
      </c>
      <c r="H40" s="97">
        <v>27.5</v>
      </c>
      <c r="I40" s="97">
        <v>27.6</v>
      </c>
      <c r="J40" s="82">
        <v>27.2</v>
      </c>
      <c r="K40" s="82">
        <v>27.7</v>
      </c>
      <c r="L40" s="97"/>
      <c r="M40" s="97">
        <v>27.7</v>
      </c>
      <c r="N40" s="82"/>
      <c r="O40" s="82"/>
      <c r="P40" s="97"/>
      <c r="Q40" s="97">
        <v>27.5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>
        <v>33.299999999999997</v>
      </c>
      <c r="G41" s="82">
        <v>33.6</v>
      </c>
      <c r="H41" s="97">
        <v>32.9</v>
      </c>
      <c r="I41" s="97">
        <v>32.6</v>
      </c>
      <c r="J41" s="82">
        <v>33.200000000000003</v>
      </c>
      <c r="K41" s="82">
        <v>35.4</v>
      </c>
      <c r="L41" s="97"/>
      <c r="M41" s="97">
        <v>33.299999999999997</v>
      </c>
      <c r="N41" s="82"/>
      <c r="O41" s="82"/>
      <c r="P41" s="97"/>
      <c r="Q41" s="97">
        <v>33.5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5.5999999999999979</v>
      </c>
      <c r="G42" s="98">
        <f>G41-G40</f>
        <v>5.9000000000000021</v>
      </c>
      <c r="H42" s="98">
        <f t="shared" ref="H42:Q42" si="4">H41-H40</f>
        <v>5.3999999999999986</v>
      </c>
      <c r="I42" s="98">
        <f t="shared" si="4"/>
        <v>5</v>
      </c>
      <c r="J42" s="98">
        <f t="shared" si="4"/>
        <v>6.0000000000000036</v>
      </c>
      <c r="K42" s="98">
        <f t="shared" si="4"/>
        <v>7.6999999999999993</v>
      </c>
      <c r="L42" s="98">
        <f t="shared" si="4"/>
        <v>0</v>
      </c>
      <c r="M42" s="98">
        <f t="shared" si="4"/>
        <v>5.5999999999999979</v>
      </c>
      <c r="N42" s="98">
        <f t="shared" si="4"/>
        <v>0</v>
      </c>
      <c r="O42" s="98">
        <f t="shared" si="4"/>
        <v>0</v>
      </c>
      <c r="P42" s="98">
        <f t="shared" si="4"/>
        <v>0</v>
      </c>
      <c r="Q42" s="98">
        <f t="shared" si="4"/>
        <v>6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>
        <v>1209.5999999999999</v>
      </c>
      <c r="G43" s="82">
        <v>1220.0999999999999</v>
      </c>
      <c r="H43" s="97">
        <v>1249.78</v>
      </c>
      <c r="I43" s="97">
        <v>1259.58</v>
      </c>
      <c r="J43" s="82">
        <v>1284.78</v>
      </c>
      <c r="K43" s="82">
        <v>1288.98</v>
      </c>
      <c r="L43" s="97"/>
      <c r="M43" s="97">
        <v>1196.8599999999999</v>
      </c>
      <c r="N43" s="82"/>
      <c r="O43" s="82"/>
      <c r="P43" s="97"/>
      <c r="Q43" s="97">
        <v>1210.72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7821.8937644341759</v>
      </c>
      <c r="G44" s="99">
        <f>G42*G43/0.866</f>
        <v>8312.4595842956151</v>
      </c>
      <c r="H44" s="99">
        <f t="shared" ref="H44:Q44" si="5">H42*H43/0.866</f>
        <v>7793.0854503464179</v>
      </c>
      <c r="I44" s="99">
        <f t="shared" si="5"/>
        <v>7272.4018475750572</v>
      </c>
      <c r="J44" s="99">
        <f t="shared" si="5"/>
        <v>8901.4780600461945</v>
      </c>
      <c r="K44" s="99">
        <f t="shared" si="5"/>
        <v>11460.907621247112</v>
      </c>
      <c r="L44" s="99">
        <f t="shared" si="5"/>
        <v>0</v>
      </c>
      <c r="M44" s="99">
        <f t="shared" si="5"/>
        <v>7739.5103926096963</v>
      </c>
      <c r="N44" s="99">
        <f t="shared" si="5"/>
        <v>0</v>
      </c>
      <c r="O44" s="99">
        <f t="shared" si="5"/>
        <v>0</v>
      </c>
      <c r="P44" s="99">
        <f t="shared" si="5"/>
        <v>0</v>
      </c>
      <c r="Q44" s="99">
        <f t="shared" si="5"/>
        <v>8388.3602771362584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>
        <v>0.46</v>
      </c>
      <c r="G45" s="82">
        <v>0.45</v>
      </c>
      <c r="H45" s="97">
        <v>0.46</v>
      </c>
      <c r="I45" s="97">
        <v>0.45</v>
      </c>
      <c r="J45" s="82">
        <v>0.46</v>
      </c>
      <c r="K45" s="82">
        <v>0.45</v>
      </c>
      <c r="L45" s="97"/>
      <c r="M45" s="97">
        <v>0.46</v>
      </c>
      <c r="N45" s="82"/>
      <c r="O45" s="82"/>
      <c r="P45" s="97"/>
      <c r="Q45" s="97">
        <v>0.45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>
        <v>19.600000000000001</v>
      </c>
      <c r="G46" s="82">
        <v>18.899999999999999</v>
      </c>
      <c r="H46" s="97">
        <v>19.5</v>
      </c>
      <c r="I46" s="97">
        <v>19</v>
      </c>
      <c r="J46" s="82">
        <v>19.2</v>
      </c>
      <c r="K46" s="82">
        <v>18.899999999999999</v>
      </c>
      <c r="L46" s="97"/>
      <c r="M46" s="97">
        <v>19.7</v>
      </c>
      <c r="N46" s="82"/>
      <c r="O46" s="82"/>
      <c r="P46" s="97"/>
      <c r="Q46" s="97">
        <v>19.2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>
        <v>172</v>
      </c>
      <c r="G47" s="82">
        <v>198.4</v>
      </c>
      <c r="H47" s="97">
        <v>125.3</v>
      </c>
      <c r="I47" s="97">
        <v>122.8</v>
      </c>
      <c r="J47" s="82">
        <v>208.6</v>
      </c>
      <c r="K47" s="82">
        <v>194.9</v>
      </c>
      <c r="L47" s="97"/>
      <c r="M47" s="97">
        <v>203.6</v>
      </c>
      <c r="N47" s="82"/>
      <c r="O47" s="82"/>
      <c r="P47" s="97"/>
      <c r="Q47" s="97">
        <v>195.3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84">
        <v>5.89</v>
      </c>
      <c r="F49" s="82">
        <v>5.72</v>
      </c>
      <c r="G49" s="82">
        <v>5.86</v>
      </c>
      <c r="H49" s="97">
        <v>5.01</v>
      </c>
      <c r="I49" s="97">
        <v>5.47</v>
      </c>
      <c r="J49" s="82">
        <v>5.64</v>
      </c>
      <c r="K49" s="82">
        <v>5.72</v>
      </c>
      <c r="L49" s="97"/>
      <c r="M49" s="97">
        <v>5.41</v>
      </c>
      <c r="N49" s="82"/>
      <c r="O49" s="82"/>
      <c r="P49" s="97"/>
      <c r="Q49" s="97">
        <v>5.26</v>
      </c>
    </row>
    <row r="50" spans="2:17" ht="20.100000000000001" customHeight="1" x14ac:dyDescent="0.25">
      <c r="B50" s="156" t="s">
        <v>51</v>
      </c>
      <c r="C50" s="156"/>
      <c r="D50" s="156"/>
      <c r="E50" s="84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72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C191-687C-4B9A-ABC1-6264F03888AB}">
  <dimension ref="B1:Q59"/>
  <sheetViews>
    <sheetView view="pageBreakPreview" topLeftCell="C4" zoomScale="90" zoomScaleNormal="60" zoomScaleSheetLayoutView="90" workbookViewId="0">
      <selection activeCell="P54" sqref="P54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00" t="s">
        <v>78</v>
      </c>
      <c r="E10" s="83"/>
      <c r="F10" s="93"/>
      <c r="G10" s="94" t="s">
        <v>100</v>
      </c>
      <c r="H10" s="96" t="s">
        <v>100</v>
      </c>
      <c r="I10" s="96" t="s">
        <v>100</v>
      </c>
      <c r="J10" s="93"/>
      <c r="K10" s="94" t="s">
        <v>100</v>
      </c>
      <c r="L10" s="96" t="s">
        <v>100</v>
      </c>
      <c r="M10" s="96" t="s">
        <v>100</v>
      </c>
      <c r="N10" s="93"/>
      <c r="O10" s="94"/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/>
      <c r="G11" s="82">
        <v>71.7</v>
      </c>
      <c r="H11" s="97">
        <v>80.3</v>
      </c>
      <c r="I11" s="97">
        <v>66.3</v>
      </c>
      <c r="J11" s="82"/>
      <c r="K11" s="82">
        <v>36.6</v>
      </c>
      <c r="L11" s="97">
        <v>72.900000000000006</v>
      </c>
      <c r="M11" s="97">
        <v>72.900000000000006</v>
      </c>
      <c r="N11" s="82"/>
      <c r="O11" s="82"/>
      <c r="P11" s="97">
        <v>75.8</v>
      </c>
      <c r="Q11" s="97">
        <v>75.8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/>
      <c r="G12" s="82">
        <v>0.6</v>
      </c>
      <c r="H12" s="97">
        <v>0</v>
      </c>
      <c r="I12" s="97">
        <v>0</v>
      </c>
      <c r="J12" s="82"/>
      <c r="K12" s="82">
        <v>0</v>
      </c>
      <c r="L12" s="97">
        <v>0.1</v>
      </c>
      <c r="M12" s="97">
        <v>0.1</v>
      </c>
      <c r="N12" s="82"/>
      <c r="O12" s="82"/>
      <c r="P12" s="97">
        <v>0.2</v>
      </c>
      <c r="Q12" s="97">
        <v>0.2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/>
      <c r="G13" s="82">
        <v>66.599999999999994</v>
      </c>
      <c r="H13" s="97">
        <v>76.7</v>
      </c>
      <c r="I13" s="97">
        <v>62.2</v>
      </c>
      <c r="J13" s="82"/>
      <c r="K13" s="82">
        <v>27.4</v>
      </c>
      <c r="L13" s="97">
        <v>67.7</v>
      </c>
      <c r="M13" s="97">
        <v>67.7</v>
      </c>
      <c r="N13" s="82"/>
      <c r="O13" s="82"/>
      <c r="P13" s="97">
        <v>71.3</v>
      </c>
      <c r="Q13" s="97">
        <v>71.3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/>
      <c r="G14" s="82">
        <v>63.5</v>
      </c>
      <c r="H14" s="97">
        <v>68.2</v>
      </c>
      <c r="I14" s="97">
        <v>59.7</v>
      </c>
      <c r="J14" s="82"/>
      <c r="K14" s="82">
        <v>50.4</v>
      </c>
      <c r="L14" s="97">
        <v>66.3</v>
      </c>
      <c r="M14" s="97">
        <v>65.8</v>
      </c>
      <c r="N14" s="82"/>
      <c r="O14" s="82"/>
      <c r="P14" s="97">
        <v>73.2</v>
      </c>
      <c r="Q14" s="97">
        <v>71.599999999999994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/>
      <c r="G15" s="82">
        <v>53</v>
      </c>
      <c r="H15" s="97">
        <v>47.7</v>
      </c>
      <c r="I15" s="97">
        <v>51.7</v>
      </c>
      <c r="J15" s="82"/>
      <c r="K15" s="82">
        <v>16.899999999999999</v>
      </c>
      <c r="L15" s="97">
        <v>30.6</v>
      </c>
      <c r="M15" s="97">
        <v>31.6</v>
      </c>
      <c r="N15" s="82"/>
      <c r="O15" s="82"/>
      <c r="P15" s="97">
        <v>38.799999999999997</v>
      </c>
      <c r="Q15" s="97">
        <v>40.9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/>
      <c r="G16" s="82">
        <v>6.6</v>
      </c>
      <c r="H16" s="82">
        <v>6.6</v>
      </c>
      <c r="I16" s="82">
        <v>6.6</v>
      </c>
      <c r="J16" s="82"/>
      <c r="K16" s="82">
        <v>6.6</v>
      </c>
      <c r="L16" s="82">
        <v>6.6</v>
      </c>
      <c r="M16" s="82">
        <v>6.6</v>
      </c>
      <c r="N16" s="82">
        <v>6.6</v>
      </c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/>
      <c r="G17" s="82">
        <v>114.7</v>
      </c>
      <c r="H17" s="97">
        <v>117.7</v>
      </c>
      <c r="I17" s="97">
        <v>106</v>
      </c>
      <c r="J17" s="82"/>
      <c r="K17" s="82">
        <v>81.5</v>
      </c>
      <c r="L17" s="97">
        <v>116.8</v>
      </c>
      <c r="M17" s="97">
        <v>116.2</v>
      </c>
      <c r="N17" s="82"/>
      <c r="O17" s="82"/>
      <c r="P17" s="97">
        <v>117</v>
      </c>
      <c r="Q17" s="97">
        <v>116.3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/>
      <c r="G18" s="82">
        <v>1145</v>
      </c>
      <c r="H18" s="97">
        <v>1203</v>
      </c>
      <c r="I18" s="97">
        <v>1087</v>
      </c>
      <c r="J18" s="82"/>
      <c r="K18" s="82">
        <v>829</v>
      </c>
      <c r="L18" s="97">
        <v>1182</v>
      </c>
      <c r="M18" s="97">
        <v>1185</v>
      </c>
      <c r="N18" s="82"/>
      <c r="O18" s="82"/>
      <c r="P18" s="97">
        <v>1183</v>
      </c>
      <c r="Q18" s="97">
        <v>1180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/>
      <c r="G19" s="82">
        <v>45846.9</v>
      </c>
      <c r="H19" s="97">
        <v>46609.8</v>
      </c>
      <c r="I19" s="97">
        <v>46601.1</v>
      </c>
      <c r="J19" s="82"/>
      <c r="K19" s="82">
        <v>44390.1</v>
      </c>
      <c r="L19" s="97">
        <v>46623.9</v>
      </c>
      <c r="M19" s="97">
        <v>46615.199999999997</v>
      </c>
      <c r="N19" s="82"/>
      <c r="O19" s="82"/>
      <c r="P19" s="97">
        <v>47733.9</v>
      </c>
      <c r="Q19" s="97">
        <v>47725.3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/>
      <c r="G22" s="82">
        <v>58.1</v>
      </c>
      <c r="H22" s="97">
        <v>59.3</v>
      </c>
      <c r="I22" s="97">
        <v>58.9</v>
      </c>
      <c r="J22" s="82"/>
      <c r="K22" s="82">
        <v>57.6</v>
      </c>
      <c r="L22" s="97">
        <v>57.2</v>
      </c>
      <c r="M22" s="97">
        <v>57.3</v>
      </c>
      <c r="N22" s="82"/>
      <c r="O22" s="82"/>
      <c r="P22" s="97">
        <v>59.2</v>
      </c>
      <c r="Q22" s="97">
        <v>59.4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/>
      <c r="G23" s="82">
        <v>0.52</v>
      </c>
      <c r="H23" s="97">
        <v>0.49</v>
      </c>
      <c r="I23" s="97">
        <v>0.49</v>
      </c>
      <c r="J23" s="82"/>
      <c r="K23" s="82">
        <v>0.57999999999999996</v>
      </c>
      <c r="L23" s="97">
        <v>0.53</v>
      </c>
      <c r="M23" s="97">
        <v>0.59</v>
      </c>
      <c r="N23" s="82"/>
      <c r="O23" s="82"/>
      <c r="P23" s="97">
        <v>0.49</v>
      </c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/>
      <c r="G25" s="82">
        <v>44.8</v>
      </c>
      <c r="H25" s="97">
        <v>44.8</v>
      </c>
      <c r="I25" s="97">
        <v>45</v>
      </c>
      <c r="J25" s="82"/>
      <c r="K25" s="82">
        <v>45.2</v>
      </c>
      <c r="L25" s="97">
        <v>45.9</v>
      </c>
      <c r="M25" s="97">
        <v>44.9</v>
      </c>
      <c r="N25" s="82"/>
      <c r="O25" s="82"/>
      <c r="P25" s="97">
        <v>45.1</v>
      </c>
      <c r="Q25" s="97">
        <v>44.8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/>
      <c r="G26" s="82">
        <v>0.22</v>
      </c>
      <c r="H26" s="97">
        <v>0.22</v>
      </c>
      <c r="I26" s="97">
        <v>0.21</v>
      </c>
      <c r="J26" s="82"/>
      <c r="K26" s="82">
        <v>0.22</v>
      </c>
      <c r="L26" s="97">
        <v>0.22</v>
      </c>
      <c r="M26" s="97">
        <v>0.22</v>
      </c>
      <c r="N26" s="82"/>
      <c r="O26" s="82"/>
      <c r="P26" s="97">
        <v>0.22</v>
      </c>
      <c r="Q26" s="97">
        <v>0.22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/>
      <c r="G27" s="82">
        <v>3.6</v>
      </c>
      <c r="H27" s="97">
        <v>3.4</v>
      </c>
      <c r="I27" s="97">
        <v>3.3</v>
      </c>
      <c r="J27" s="82"/>
      <c r="K27" s="82">
        <v>4.3</v>
      </c>
      <c r="L27" s="97">
        <v>4.2</v>
      </c>
      <c r="M27" s="97">
        <v>4.3</v>
      </c>
      <c r="N27" s="82"/>
      <c r="O27" s="82"/>
      <c r="P27" s="97">
        <v>4.2</v>
      </c>
      <c r="Q27" s="97">
        <v>3.9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/>
      <c r="G28" s="82">
        <v>3.2</v>
      </c>
      <c r="H28" s="97">
        <v>2.7</v>
      </c>
      <c r="I28" s="97">
        <v>2.2999999999999998</v>
      </c>
      <c r="J28" s="82"/>
      <c r="K28" s="82">
        <v>3.4</v>
      </c>
      <c r="L28" s="97">
        <v>3.2</v>
      </c>
      <c r="M28" s="97">
        <v>3.4</v>
      </c>
      <c r="N28" s="82"/>
      <c r="O28" s="82"/>
      <c r="P28" s="97">
        <v>3.2</v>
      </c>
      <c r="Q28" s="97">
        <v>3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/>
      <c r="G29" s="98">
        <f t="shared" ref="G29:Q29" si="0">G32-G27</f>
        <v>0.60000000000000009</v>
      </c>
      <c r="H29" s="98">
        <f t="shared" si="0"/>
        <v>1.8000000000000003</v>
      </c>
      <c r="I29" s="98">
        <f t="shared" si="0"/>
        <v>0.60000000000000009</v>
      </c>
      <c r="J29" s="98">
        <f t="shared" si="0"/>
        <v>0</v>
      </c>
      <c r="K29" s="98">
        <f t="shared" si="0"/>
        <v>-0.39999999999999991</v>
      </c>
      <c r="L29" s="98">
        <f t="shared" si="0"/>
        <v>0.39999999999999947</v>
      </c>
      <c r="M29" s="98">
        <f t="shared" si="0"/>
        <v>0.10000000000000053</v>
      </c>
      <c r="N29" s="98">
        <f t="shared" si="0"/>
        <v>0</v>
      </c>
      <c r="O29" s="98">
        <f t="shared" si="0"/>
        <v>0</v>
      </c>
      <c r="P29" s="98">
        <f t="shared" si="0"/>
        <v>0.79999999999999982</v>
      </c>
      <c r="Q29" s="98">
        <f t="shared" si="0"/>
        <v>0.69999999999999973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/>
      <c r="G30" s="82">
        <v>648.20000000000005</v>
      </c>
      <c r="H30" s="97">
        <v>717.76</v>
      </c>
      <c r="I30" s="97">
        <v>654.6</v>
      </c>
      <c r="J30" s="82"/>
      <c r="K30" s="82">
        <v>654.17999999999995</v>
      </c>
      <c r="L30" s="97">
        <v>677.68</v>
      </c>
      <c r="M30" s="97">
        <v>656.5</v>
      </c>
      <c r="N30" s="82"/>
      <c r="O30" s="82"/>
      <c r="P30" s="97">
        <v>657.92</v>
      </c>
      <c r="Q30" s="97">
        <v>641.79999999999995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/>
      <c r="G31" s="82">
        <v>12.8</v>
      </c>
      <c r="H31" s="97">
        <v>13</v>
      </c>
      <c r="I31" s="97">
        <v>11.7</v>
      </c>
      <c r="J31" s="82"/>
      <c r="K31" s="82">
        <v>9.8000000000000007</v>
      </c>
      <c r="L31" s="97">
        <v>13.2</v>
      </c>
      <c r="M31" s="97">
        <v>13.1</v>
      </c>
      <c r="N31" s="82"/>
      <c r="O31" s="82"/>
      <c r="P31" s="97">
        <v>13.2</v>
      </c>
      <c r="Q31" s="97">
        <v>13.2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/>
      <c r="G32" s="82">
        <v>4.2</v>
      </c>
      <c r="H32" s="97">
        <v>5.2</v>
      </c>
      <c r="I32" s="97">
        <v>3.9</v>
      </c>
      <c r="J32" s="82"/>
      <c r="K32" s="82">
        <v>3.9</v>
      </c>
      <c r="L32" s="97">
        <v>4.5999999999999996</v>
      </c>
      <c r="M32" s="97">
        <v>4.4000000000000004</v>
      </c>
      <c r="N32" s="82"/>
      <c r="O32" s="82"/>
      <c r="P32" s="97">
        <v>5</v>
      </c>
      <c r="Q32" s="97">
        <v>4.5999999999999996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/>
      <c r="G33" s="98">
        <f>G31-G32</f>
        <v>8.6000000000000014</v>
      </c>
      <c r="H33" s="98">
        <f t="shared" ref="H33:Q33" si="1">H31-H32</f>
        <v>7.8</v>
      </c>
      <c r="I33" s="98">
        <f t="shared" si="1"/>
        <v>7.7999999999999989</v>
      </c>
      <c r="J33" s="98">
        <f t="shared" si="1"/>
        <v>0</v>
      </c>
      <c r="K33" s="98">
        <f t="shared" si="1"/>
        <v>5.9</v>
      </c>
      <c r="L33" s="98">
        <f t="shared" si="1"/>
        <v>8.6</v>
      </c>
      <c r="M33" s="98">
        <f t="shared" si="1"/>
        <v>8.6999999999999993</v>
      </c>
      <c r="N33" s="98">
        <f t="shared" si="1"/>
        <v>0</v>
      </c>
      <c r="O33" s="98">
        <f t="shared" si="1"/>
        <v>0</v>
      </c>
      <c r="P33" s="98">
        <f t="shared" si="1"/>
        <v>8.1999999999999993</v>
      </c>
      <c r="Q33" s="98">
        <f t="shared" si="1"/>
        <v>8.6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/>
      <c r="G34" s="99">
        <f>(G33*G30)/0.866</f>
        <v>6437.090069284066</v>
      </c>
      <c r="H34" s="99">
        <f t="shared" ref="H34:Q34" si="2">(H33*H30)/0.866</f>
        <v>6464.8129330254042</v>
      </c>
      <c r="I34" s="99">
        <f t="shared" si="2"/>
        <v>5895.9353348729783</v>
      </c>
      <c r="J34" s="99">
        <f t="shared" si="2"/>
        <v>0</v>
      </c>
      <c r="K34" s="99">
        <f t="shared" si="2"/>
        <v>4456.8845265588916</v>
      </c>
      <c r="L34" s="99">
        <f t="shared" si="2"/>
        <v>6729.8475750577363</v>
      </c>
      <c r="M34" s="99">
        <f t="shared" si="2"/>
        <v>6595.3233256351032</v>
      </c>
      <c r="N34" s="99">
        <f t="shared" si="2"/>
        <v>0</v>
      </c>
      <c r="O34" s="99">
        <f t="shared" si="2"/>
        <v>0</v>
      </c>
      <c r="P34" s="99">
        <f t="shared" si="2"/>
        <v>6229.7274826789835</v>
      </c>
      <c r="Q34" s="99">
        <f t="shared" si="2"/>
        <v>6373.5334872979211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/>
      <c r="G35" s="82">
        <v>0.82</v>
      </c>
      <c r="H35" s="97">
        <v>0.87</v>
      </c>
      <c r="I35" s="97">
        <v>0.84</v>
      </c>
      <c r="J35" s="82"/>
      <c r="K35" s="82">
        <v>0.77</v>
      </c>
      <c r="L35" s="97">
        <v>0.86</v>
      </c>
      <c r="M35" s="97">
        <v>0.85</v>
      </c>
      <c r="N35" s="82"/>
      <c r="O35" s="82"/>
      <c r="P35" s="97">
        <v>0.83</v>
      </c>
      <c r="Q35" s="97">
        <v>0.82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/>
      <c r="G36" s="82">
        <v>36.200000000000003</v>
      </c>
      <c r="H36" s="97">
        <v>37.299999999999997</v>
      </c>
      <c r="I36" s="97">
        <v>36.4</v>
      </c>
      <c r="J36" s="82"/>
      <c r="K36" s="82">
        <v>34</v>
      </c>
      <c r="L36" s="97">
        <v>38</v>
      </c>
      <c r="M36" s="97">
        <v>38</v>
      </c>
      <c r="N36" s="82"/>
      <c r="O36" s="82"/>
      <c r="P36" s="97">
        <v>36.6</v>
      </c>
      <c r="Q36" s="97">
        <v>36.6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/>
      <c r="G37" s="82">
        <v>36.5</v>
      </c>
      <c r="H37" s="97">
        <v>38.5</v>
      </c>
      <c r="I37" s="97">
        <v>37.200000000000003</v>
      </c>
      <c r="J37" s="82"/>
      <c r="K37" s="82">
        <v>34.6</v>
      </c>
      <c r="L37" s="97">
        <v>37.9</v>
      </c>
      <c r="M37" s="97">
        <v>37.700000000000003</v>
      </c>
      <c r="N37" s="82"/>
      <c r="O37" s="82"/>
      <c r="P37" s="97">
        <v>36.799999999999997</v>
      </c>
      <c r="Q37" s="97">
        <v>36.700000000000003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/>
      <c r="G38" s="98">
        <f>G37-G41</f>
        <v>1.7999999999999972</v>
      </c>
      <c r="H38" s="98">
        <f t="shared" ref="H38:Q38" si="3">H37-H41</f>
        <v>4.6000000000000014</v>
      </c>
      <c r="I38" s="98">
        <f t="shared" si="3"/>
        <v>3.9000000000000057</v>
      </c>
      <c r="J38" s="98">
        <f t="shared" si="3"/>
        <v>0</v>
      </c>
      <c r="K38" s="98">
        <f t="shared" si="3"/>
        <v>2</v>
      </c>
      <c r="L38" s="98">
        <f t="shared" si="3"/>
        <v>4.1000000000000014</v>
      </c>
      <c r="M38" s="98">
        <f t="shared" si="3"/>
        <v>3.3000000000000043</v>
      </c>
      <c r="N38" s="98">
        <f t="shared" si="3"/>
        <v>0</v>
      </c>
      <c r="O38" s="98">
        <f t="shared" si="3"/>
        <v>0</v>
      </c>
      <c r="P38" s="98">
        <f t="shared" si="3"/>
        <v>2.7999999999999972</v>
      </c>
      <c r="Q38" s="98">
        <f t="shared" si="3"/>
        <v>2.2000000000000028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/>
      <c r="G40" s="82">
        <v>28.8</v>
      </c>
      <c r="H40" s="97">
        <v>28.6</v>
      </c>
      <c r="I40" s="97">
        <v>28.8</v>
      </c>
      <c r="J40" s="82"/>
      <c r="K40" s="82">
        <v>28.9</v>
      </c>
      <c r="L40" s="97">
        <v>28.3</v>
      </c>
      <c r="M40" s="97">
        <v>28.9</v>
      </c>
      <c r="N40" s="82"/>
      <c r="O40" s="82"/>
      <c r="P40" s="97">
        <v>28.6</v>
      </c>
      <c r="Q40" s="97">
        <v>28.7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/>
      <c r="G41" s="82">
        <v>34.700000000000003</v>
      </c>
      <c r="H41" s="97">
        <v>33.9</v>
      </c>
      <c r="I41" s="97">
        <v>33.299999999999997</v>
      </c>
      <c r="J41" s="82"/>
      <c r="K41" s="82">
        <v>32.6</v>
      </c>
      <c r="L41" s="97">
        <v>33.799999999999997</v>
      </c>
      <c r="M41" s="97">
        <v>34.4</v>
      </c>
      <c r="N41" s="82"/>
      <c r="O41" s="82"/>
      <c r="P41" s="97">
        <v>34</v>
      </c>
      <c r="Q41" s="97">
        <v>34.5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/>
      <c r="G42" s="98">
        <f>G41-G40</f>
        <v>5.9000000000000021</v>
      </c>
      <c r="H42" s="98">
        <f t="shared" ref="H42:Q42" si="4">H41-H40</f>
        <v>5.2999999999999972</v>
      </c>
      <c r="I42" s="98">
        <f t="shared" si="4"/>
        <v>4.4999999999999964</v>
      </c>
      <c r="J42" s="98">
        <f t="shared" si="4"/>
        <v>0</v>
      </c>
      <c r="K42" s="98">
        <f t="shared" si="4"/>
        <v>3.7000000000000028</v>
      </c>
      <c r="L42" s="98">
        <f t="shared" si="4"/>
        <v>5.4999999999999964</v>
      </c>
      <c r="M42" s="98">
        <f t="shared" si="4"/>
        <v>5.5</v>
      </c>
      <c r="N42" s="98">
        <f t="shared" si="4"/>
        <v>0</v>
      </c>
      <c r="O42" s="98">
        <f t="shared" si="4"/>
        <v>0</v>
      </c>
      <c r="P42" s="98">
        <f t="shared" si="4"/>
        <v>5.3999999999999986</v>
      </c>
      <c r="Q42" s="98">
        <f t="shared" si="4"/>
        <v>5.8000000000000007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/>
      <c r="G43" s="82">
        <v>1221.5</v>
      </c>
      <c r="H43" s="97">
        <v>1257.48</v>
      </c>
      <c r="I43" s="97">
        <v>1254.2</v>
      </c>
      <c r="J43" s="82"/>
      <c r="K43" s="82">
        <v>1291</v>
      </c>
      <c r="L43" s="97">
        <v>1203.72</v>
      </c>
      <c r="M43" s="97">
        <v>1196.7</v>
      </c>
      <c r="N43" s="82"/>
      <c r="O43" s="82"/>
      <c r="P43" s="97">
        <v>1212.54</v>
      </c>
      <c r="Q43" s="97">
        <v>1217.3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/>
      <c r="G44" s="99">
        <f>G42*G43/0.866</f>
        <v>8321.9976905311796</v>
      </c>
      <c r="H44" s="99">
        <f t="shared" ref="H44:Q44" si="5">H42*H43/0.866</f>
        <v>7695.8937644341759</v>
      </c>
      <c r="I44" s="99">
        <f t="shared" si="5"/>
        <v>6517.2055427251689</v>
      </c>
      <c r="J44" s="99">
        <f t="shared" si="5"/>
        <v>0</v>
      </c>
      <c r="K44" s="99">
        <f t="shared" si="5"/>
        <v>5515.8198614318744</v>
      </c>
      <c r="L44" s="99">
        <f t="shared" si="5"/>
        <v>7644.8729792147751</v>
      </c>
      <c r="M44" s="99">
        <f t="shared" si="5"/>
        <v>7600.2886836027719</v>
      </c>
      <c r="N44" s="99">
        <f t="shared" si="5"/>
        <v>0</v>
      </c>
      <c r="O44" s="99">
        <f t="shared" si="5"/>
        <v>0</v>
      </c>
      <c r="P44" s="99">
        <f t="shared" si="5"/>
        <v>7560.8729792147788</v>
      </c>
      <c r="Q44" s="99">
        <f t="shared" si="5"/>
        <v>8152.8175519630495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/>
      <c r="G45" s="82">
        <v>0.46</v>
      </c>
      <c r="H45" s="97">
        <v>0.47</v>
      </c>
      <c r="I45" s="97">
        <v>0.46</v>
      </c>
      <c r="J45" s="82"/>
      <c r="K45" s="82">
        <v>0.48</v>
      </c>
      <c r="L45" s="97">
        <v>0.45</v>
      </c>
      <c r="M45" s="97">
        <v>0.48</v>
      </c>
      <c r="N45" s="82"/>
      <c r="O45" s="82"/>
      <c r="P45" s="97">
        <v>0.47</v>
      </c>
      <c r="Q45" s="97">
        <v>0.47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/>
      <c r="G46" s="82">
        <v>19.600000000000001</v>
      </c>
      <c r="H46" s="97">
        <v>20</v>
      </c>
      <c r="I46" s="97">
        <v>19.5</v>
      </c>
      <c r="J46" s="82"/>
      <c r="K46" s="82">
        <v>20.5</v>
      </c>
      <c r="L46" s="97">
        <v>20.5</v>
      </c>
      <c r="M46" s="97">
        <v>28.5</v>
      </c>
      <c r="N46" s="82"/>
      <c r="O46" s="82"/>
      <c r="P46" s="97">
        <v>20.100000000000001</v>
      </c>
      <c r="Q46" s="97">
        <v>20.100000000000001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/>
      <c r="G47" s="82">
        <v>212.2</v>
      </c>
      <c r="H47" s="97">
        <v>118</v>
      </c>
      <c r="I47" s="97">
        <v>124.4</v>
      </c>
      <c r="J47" s="82"/>
      <c r="K47" s="82">
        <v>209.9</v>
      </c>
      <c r="L47" s="97">
        <v>214.4</v>
      </c>
      <c r="M47" s="97">
        <v>209.9</v>
      </c>
      <c r="N47" s="82"/>
      <c r="O47" s="82"/>
      <c r="P47" s="97">
        <v>191.7</v>
      </c>
      <c r="Q47" s="97">
        <v>196.4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00">
        <v>5.89</v>
      </c>
      <c r="F49" s="82"/>
      <c r="G49" s="82">
        <v>5.6</v>
      </c>
      <c r="H49" s="97">
        <v>5.21</v>
      </c>
      <c r="I49" s="97">
        <v>5.13</v>
      </c>
      <c r="J49" s="82"/>
      <c r="K49" s="82">
        <v>5.42</v>
      </c>
      <c r="L49" s="97">
        <v>5.4</v>
      </c>
      <c r="M49" s="97">
        <v>5.42</v>
      </c>
      <c r="N49" s="82"/>
      <c r="O49" s="82"/>
      <c r="P49" s="97">
        <v>5.39</v>
      </c>
      <c r="Q49" s="97">
        <v>5.29</v>
      </c>
    </row>
    <row r="50" spans="2:17" ht="20.100000000000001" customHeight="1" x14ac:dyDescent="0.25">
      <c r="B50" s="156" t="s">
        <v>51</v>
      </c>
      <c r="C50" s="156"/>
      <c r="D50" s="156"/>
      <c r="E50" s="100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01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C88F3-D1DD-4B12-9104-CFF4A1EB37D4}">
  <dimension ref="B1:Q59"/>
  <sheetViews>
    <sheetView view="pageBreakPreview" zoomScale="90" zoomScaleNormal="60" zoomScaleSheetLayoutView="90" workbookViewId="0">
      <selection activeCell="F24" sqref="F24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02" t="s">
        <v>78</v>
      </c>
      <c r="E10" s="83"/>
      <c r="F10" s="93" t="s">
        <v>100</v>
      </c>
      <c r="G10" s="94" t="s">
        <v>100</v>
      </c>
      <c r="H10" s="96" t="s">
        <v>100</v>
      </c>
      <c r="I10" s="96" t="s">
        <v>100</v>
      </c>
      <c r="J10" s="93" t="s">
        <v>100</v>
      </c>
      <c r="K10" s="94" t="s">
        <v>100</v>
      </c>
      <c r="L10" s="96" t="s">
        <v>100</v>
      </c>
      <c r="M10" s="96" t="s">
        <v>100</v>
      </c>
      <c r="N10" s="93" t="s">
        <v>100</v>
      </c>
      <c r="O10" s="94" t="s">
        <v>100</v>
      </c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>
        <v>69.8</v>
      </c>
      <c r="G11" s="82">
        <v>70.400000000000006</v>
      </c>
      <c r="H11" s="97"/>
      <c r="I11" s="97">
        <v>80.3</v>
      </c>
      <c r="J11" s="82">
        <v>77.099999999999994</v>
      </c>
      <c r="K11" s="82">
        <v>72.7</v>
      </c>
      <c r="L11" s="97"/>
      <c r="M11" s="97">
        <v>73</v>
      </c>
      <c r="N11" s="82">
        <v>70.900000000000006</v>
      </c>
      <c r="O11" s="82">
        <v>71.099999999999994</v>
      </c>
      <c r="P11" s="97"/>
      <c r="Q11" s="97">
        <v>74.5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>
        <v>0</v>
      </c>
      <c r="G12" s="82">
        <v>0</v>
      </c>
      <c r="H12" s="97"/>
      <c r="I12" s="97">
        <v>0</v>
      </c>
      <c r="J12" s="82">
        <v>0</v>
      </c>
      <c r="K12" s="82">
        <v>0</v>
      </c>
      <c r="L12" s="97"/>
      <c r="M12" s="97">
        <v>0.1</v>
      </c>
      <c r="N12" s="82">
        <v>0</v>
      </c>
      <c r="O12" s="82">
        <v>0</v>
      </c>
      <c r="P12" s="97"/>
      <c r="Q12" s="97">
        <v>0.3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>
        <v>64.900000000000006</v>
      </c>
      <c r="G13" s="82">
        <v>64.900000000000006</v>
      </c>
      <c r="H13" s="97"/>
      <c r="I13" s="97">
        <v>76.7</v>
      </c>
      <c r="J13" s="82">
        <v>71.8</v>
      </c>
      <c r="K13" s="82">
        <v>66.400000000000006</v>
      </c>
      <c r="L13" s="97"/>
      <c r="M13" s="97">
        <v>67.7</v>
      </c>
      <c r="N13" s="82">
        <v>65.400000000000006</v>
      </c>
      <c r="O13" s="82">
        <v>65.5</v>
      </c>
      <c r="P13" s="97"/>
      <c r="Q13" s="97">
        <v>69.099999999999994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>
        <v>66.5</v>
      </c>
      <c r="G14" s="82">
        <v>65.3</v>
      </c>
      <c r="H14" s="97"/>
      <c r="I14" s="97">
        <v>66</v>
      </c>
      <c r="J14" s="82">
        <v>63.2</v>
      </c>
      <c r="K14" s="82">
        <v>63.1</v>
      </c>
      <c r="L14" s="97"/>
      <c r="M14" s="97">
        <v>65.3</v>
      </c>
      <c r="N14" s="82">
        <v>72.599999999999994</v>
      </c>
      <c r="O14" s="82">
        <v>70</v>
      </c>
      <c r="P14" s="97"/>
      <c r="Q14" s="97">
        <v>72.099999999999994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>
        <v>56</v>
      </c>
      <c r="G15" s="82">
        <v>56.3</v>
      </c>
      <c r="H15" s="97"/>
      <c r="I15" s="97">
        <v>48.2</v>
      </c>
      <c r="J15" s="82">
        <v>42.7</v>
      </c>
      <c r="K15" s="82">
        <v>36</v>
      </c>
      <c r="L15" s="97"/>
      <c r="M15" s="97">
        <v>34.1</v>
      </c>
      <c r="N15" s="82">
        <v>57.8</v>
      </c>
      <c r="O15" s="82">
        <v>46.2</v>
      </c>
      <c r="P15" s="97"/>
      <c r="Q15" s="97">
        <v>41.5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>
        <v>6.6</v>
      </c>
      <c r="G16" s="82">
        <v>6.6</v>
      </c>
      <c r="H16" s="82"/>
      <c r="I16" s="82">
        <v>6.6</v>
      </c>
      <c r="J16" s="82">
        <v>6.6</v>
      </c>
      <c r="K16" s="82">
        <v>6.6</v>
      </c>
      <c r="L16" s="82"/>
      <c r="M16" s="82">
        <v>6.6</v>
      </c>
      <c r="N16" s="82">
        <v>6.6</v>
      </c>
      <c r="O16" s="82">
        <v>6.6</v>
      </c>
      <c r="P16" s="82"/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>
        <v>114.6</v>
      </c>
      <c r="G17" s="82">
        <v>118.7</v>
      </c>
      <c r="H17" s="97"/>
      <c r="I17" s="97">
        <v>119.6</v>
      </c>
      <c r="J17" s="82">
        <v>116.3</v>
      </c>
      <c r="K17" s="82">
        <v>117.9</v>
      </c>
      <c r="L17" s="97"/>
      <c r="M17" s="97">
        <v>120.3</v>
      </c>
      <c r="N17" s="82">
        <v>155.6</v>
      </c>
      <c r="O17" s="82">
        <v>118.2</v>
      </c>
      <c r="P17" s="97"/>
      <c r="Q17" s="97">
        <v>118.9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>
        <v>1128</v>
      </c>
      <c r="G18" s="82">
        <v>1161</v>
      </c>
      <c r="H18" s="97"/>
      <c r="I18" s="97">
        <v>1209</v>
      </c>
      <c r="J18" s="82">
        <v>1194</v>
      </c>
      <c r="K18" s="82">
        <v>1187</v>
      </c>
      <c r="L18" s="97"/>
      <c r="M18" s="97">
        <v>1210</v>
      </c>
      <c r="N18" s="82">
        <v>1180</v>
      </c>
      <c r="O18" s="82">
        <v>1201</v>
      </c>
      <c r="P18" s="97"/>
      <c r="Q18" s="97">
        <v>1198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>
        <v>45865</v>
      </c>
      <c r="G19" s="82">
        <v>45856.2</v>
      </c>
      <c r="H19" s="97"/>
      <c r="I19" s="97">
        <v>46624.5</v>
      </c>
      <c r="J19" s="82">
        <v>44408</v>
      </c>
      <c r="K19" s="82">
        <v>44399.4</v>
      </c>
      <c r="L19" s="97"/>
      <c r="M19" s="97">
        <v>46638.7</v>
      </c>
      <c r="N19" s="82">
        <v>45984</v>
      </c>
      <c r="O19" s="82">
        <v>45975.9</v>
      </c>
      <c r="P19" s="97"/>
      <c r="Q19" s="97">
        <v>47743.8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>
        <v>58</v>
      </c>
      <c r="G22" s="82">
        <v>58.2</v>
      </c>
      <c r="H22" s="97"/>
      <c r="I22" s="97">
        <v>59.6</v>
      </c>
      <c r="J22" s="82">
        <v>57.4</v>
      </c>
      <c r="K22" s="82">
        <v>57.8</v>
      </c>
      <c r="L22" s="97"/>
      <c r="M22" s="97">
        <v>57.3</v>
      </c>
      <c r="N22" s="82">
        <v>58.7</v>
      </c>
      <c r="O22" s="82">
        <v>58.7</v>
      </c>
      <c r="P22" s="97"/>
      <c r="Q22" s="97">
        <v>59.6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>
        <v>0.52</v>
      </c>
      <c r="G23" s="82">
        <v>0.53</v>
      </c>
      <c r="H23" s="97"/>
      <c r="I23" s="97">
        <v>0.49</v>
      </c>
      <c r="J23" s="82">
        <v>0.57999999999999996</v>
      </c>
      <c r="K23" s="82">
        <v>0.59</v>
      </c>
      <c r="L23" s="97"/>
      <c r="M23" s="97">
        <v>0.54</v>
      </c>
      <c r="N23" s="82">
        <v>0.48</v>
      </c>
      <c r="O23" s="82">
        <v>0.49</v>
      </c>
      <c r="P23" s="97"/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>
        <v>44.9</v>
      </c>
      <c r="G25" s="82">
        <v>44.7</v>
      </c>
      <c r="H25" s="97"/>
      <c r="I25" s="97">
        <v>44.8</v>
      </c>
      <c r="J25" s="82">
        <v>44.9</v>
      </c>
      <c r="K25" s="82">
        <v>44.8</v>
      </c>
      <c r="L25" s="97"/>
      <c r="M25" s="97">
        <v>45</v>
      </c>
      <c r="N25" s="82">
        <v>44.9</v>
      </c>
      <c r="O25" s="82">
        <v>45.1</v>
      </c>
      <c r="P25" s="97"/>
      <c r="Q25" s="97">
        <v>44.7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>
        <v>0.23</v>
      </c>
      <c r="G26" s="82">
        <v>0.23</v>
      </c>
      <c r="H26" s="97"/>
      <c r="I26" s="97">
        <v>0.22</v>
      </c>
      <c r="J26" s="82">
        <v>0.22</v>
      </c>
      <c r="K26" s="82">
        <v>0.23</v>
      </c>
      <c r="L26" s="97"/>
      <c r="M26" s="97">
        <v>0.23</v>
      </c>
      <c r="N26" s="82">
        <v>0.23</v>
      </c>
      <c r="O26" s="82">
        <v>0.23</v>
      </c>
      <c r="P26" s="97"/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>
        <v>4.2</v>
      </c>
      <c r="G27" s="82">
        <v>4.4000000000000004</v>
      </c>
      <c r="H27" s="97"/>
      <c r="I27" s="97">
        <v>3.6</v>
      </c>
      <c r="J27" s="82">
        <v>4.2</v>
      </c>
      <c r="K27" s="82">
        <v>4.7</v>
      </c>
      <c r="L27" s="97"/>
      <c r="M27" s="97">
        <v>4.9000000000000004</v>
      </c>
      <c r="N27" s="82">
        <v>5.0999999999999996</v>
      </c>
      <c r="O27" s="82">
        <v>5</v>
      </c>
      <c r="P27" s="97"/>
      <c r="Q27" s="97">
        <v>4.8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>
        <v>3.8</v>
      </c>
      <c r="G28" s="82">
        <v>4.0999999999999996</v>
      </c>
      <c r="H28" s="97"/>
      <c r="I28" s="97">
        <v>2.6</v>
      </c>
      <c r="J28" s="82">
        <v>3.4</v>
      </c>
      <c r="K28" s="82">
        <v>4</v>
      </c>
      <c r="L28" s="97"/>
      <c r="M28" s="97">
        <v>3.8</v>
      </c>
      <c r="N28" s="82">
        <v>3.8</v>
      </c>
      <c r="O28" s="82">
        <v>4.5999999999999996</v>
      </c>
      <c r="P28" s="97"/>
      <c r="Q28" s="97">
        <v>3.8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>
        <f>F32-F27</f>
        <v>0.29999999999999982</v>
      </c>
      <c r="G29" s="98">
        <f t="shared" ref="G29:Q29" si="0">G32-G27</f>
        <v>0.59999999999999964</v>
      </c>
      <c r="H29" s="98">
        <f t="shared" si="0"/>
        <v>0</v>
      </c>
      <c r="I29" s="98">
        <f t="shared" si="0"/>
        <v>1.6</v>
      </c>
      <c r="J29" s="98">
        <f t="shared" si="0"/>
        <v>0.39999999999999947</v>
      </c>
      <c r="K29" s="98">
        <f t="shared" si="0"/>
        <v>0</v>
      </c>
      <c r="L29" s="98">
        <f t="shared" si="0"/>
        <v>0</v>
      </c>
      <c r="M29" s="98">
        <f t="shared" si="0"/>
        <v>0.19999999999999929</v>
      </c>
      <c r="N29" s="98">
        <f t="shared" si="0"/>
        <v>-0.29999999999999982</v>
      </c>
      <c r="O29" s="98">
        <f t="shared" si="0"/>
        <v>0.20000000000000018</v>
      </c>
      <c r="P29" s="98">
        <f t="shared" si="0"/>
        <v>0</v>
      </c>
      <c r="Q29" s="98">
        <f t="shared" si="0"/>
        <v>0.70000000000000018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>
        <v>734.16</v>
      </c>
      <c r="G30" s="82">
        <v>709.1</v>
      </c>
      <c r="H30" s="97"/>
      <c r="I30" s="97">
        <v>686.4</v>
      </c>
      <c r="J30" s="82">
        <v>700.08</v>
      </c>
      <c r="K30" s="82">
        <v>673.9</v>
      </c>
      <c r="L30" s="97"/>
      <c r="M30" s="97">
        <v>715.3</v>
      </c>
      <c r="N30" s="82">
        <v>768.16</v>
      </c>
      <c r="O30" s="82">
        <v>722.5</v>
      </c>
      <c r="P30" s="97"/>
      <c r="Q30" s="97">
        <v>700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>
        <v>12.4</v>
      </c>
      <c r="G31" s="82">
        <v>13.2</v>
      </c>
      <c r="H31" s="97"/>
      <c r="I31" s="97">
        <v>13.1</v>
      </c>
      <c r="J31" s="82">
        <v>13.1</v>
      </c>
      <c r="K31" s="82">
        <v>13.2</v>
      </c>
      <c r="L31" s="97"/>
      <c r="M31" s="97">
        <v>13.3</v>
      </c>
      <c r="N31" s="82">
        <v>12.4</v>
      </c>
      <c r="O31" s="82">
        <v>13.4</v>
      </c>
      <c r="P31" s="97"/>
      <c r="Q31" s="97">
        <v>13.3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>
        <v>4.5</v>
      </c>
      <c r="G32" s="82">
        <v>5</v>
      </c>
      <c r="H32" s="97"/>
      <c r="I32" s="97">
        <v>5.2</v>
      </c>
      <c r="J32" s="82">
        <v>4.5999999999999996</v>
      </c>
      <c r="K32" s="82">
        <v>4.7</v>
      </c>
      <c r="L32" s="97"/>
      <c r="M32" s="97">
        <v>5.0999999999999996</v>
      </c>
      <c r="N32" s="82">
        <v>4.8</v>
      </c>
      <c r="O32" s="82">
        <v>5.2</v>
      </c>
      <c r="P32" s="97"/>
      <c r="Q32" s="97">
        <v>5.5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7.9</v>
      </c>
      <c r="G33" s="98">
        <f>G31-G32</f>
        <v>8.1999999999999993</v>
      </c>
      <c r="H33" s="98">
        <f t="shared" ref="H33:Q33" si="1">H31-H32</f>
        <v>0</v>
      </c>
      <c r="I33" s="98">
        <f t="shared" si="1"/>
        <v>7.8999999999999995</v>
      </c>
      <c r="J33" s="98">
        <f t="shared" si="1"/>
        <v>8.5</v>
      </c>
      <c r="K33" s="98">
        <f t="shared" si="1"/>
        <v>8.5</v>
      </c>
      <c r="L33" s="98">
        <f t="shared" si="1"/>
        <v>0</v>
      </c>
      <c r="M33" s="98">
        <f t="shared" si="1"/>
        <v>8.2000000000000011</v>
      </c>
      <c r="N33" s="98">
        <f t="shared" si="1"/>
        <v>7.6000000000000005</v>
      </c>
      <c r="O33" s="98">
        <f t="shared" si="1"/>
        <v>8.1999999999999993</v>
      </c>
      <c r="P33" s="98">
        <f t="shared" si="1"/>
        <v>0</v>
      </c>
      <c r="Q33" s="98">
        <f t="shared" si="1"/>
        <v>7.8000000000000007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6697.3025404157042</v>
      </c>
      <c r="G34" s="99">
        <f>(G33*G30)/0.866</f>
        <v>6714.3418013856808</v>
      </c>
      <c r="H34" s="99">
        <f t="shared" ref="H34:Q34" si="2">(H33*H30)/0.866</f>
        <v>0</v>
      </c>
      <c r="I34" s="99">
        <f t="shared" si="2"/>
        <v>6261.6166281755195</v>
      </c>
      <c r="J34" s="99">
        <f t="shared" si="2"/>
        <v>6871.4549653579679</v>
      </c>
      <c r="K34" s="99">
        <f t="shared" si="2"/>
        <v>6614.4919168591223</v>
      </c>
      <c r="L34" s="99">
        <f t="shared" si="2"/>
        <v>0</v>
      </c>
      <c r="M34" s="99">
        <f t="shared" si="2"/>
        <v>6773.0484988452654</v>
      </c>
      <c r="N34" s="99">
        <f t="shared" si="2"/>
        <v>6741.3579676674372</v>
      </c>
      <c r="O34" s="99">
        <f t="shared" si="2"/>
        <v>6841.2240184757493</v>
      </c>
      <c r="P34" s="99">
        <f t="shared" si="2"/>
        <v>0</v>
      </c>
      <c r="Q34" s="99">
        <f t="shared" si="2"/>
        <v>6304.8498845265603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>
        <v>0.79</v>
      </c>
      <c r="G35" s="82">
        <v>0.84</v>
      </c>
      <c r="H35" s="97"/>
      <c r="I35" s="97">
        <v>0.87</v>
      </c>
      <c r="J35" s="82">
        <v>0.81</v>
      </c>
      <c r="K35" s="82">
        <v>0.85</v>
      </c>
      <c r="L35" s="97"/>
      <c r="M35" s="97">
        <v>0.87</v>
      </c>
      <c r="N35" s="82">
        <v>0.85</v>
      </c>
      <c r="O35" s="82">
        <v>0.85</v>
      </c>
      <c r="P35" s="97"/>
      <c r="Q35" s="97">
        <v>0.84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>
        <v>35.1</v>
      </c>
      <c r="G36" s="82">
        <v>36.9</v>
      </c>
      <c r="H36" s="97"/>
      <c r="I36" s="97">
        <v>37.9</v>
      </c>
      <c r="J36" s="82">
        <v>34.9</v>
      </c>
      <c r="K36" s="82">
        <v>37.299999999999997</v>
      </c>
      <c r="L36" s="97"/>
      <c r="M36" s="97">
        <v>38.799999999999997</v>
      </c>
      <c r="N36" s="82">
        <v>35.700000000000003</v>
      </c>
      <c r="O36" s="82">
        <v>37.5</v>
      </c>
      <c r="P36" s="97"/>
      <c r="Q36" s="97">
        <v>37.299999999999997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>
        <v>35.6</v>
      </c>
      <c r="G37" s="82">
        <v>37.299999999999997</v>
      </c>
      <c r="H37" s="97"/>
      <c r="I37" s="97">
        <v>38.6</v>
      </c>
      <c r="J37" s="82">
        <v>36.299999999999997</v>
      </c>
      <c r="K37" s="82">
        <v>37.9</v>
      </c>
      <c r="L37" s="97"/>
      <c r="M37" s="97">
        <v>38.4</v>
      </c>
      <c r="N37" s="82">
        <v>36</v>
      </c>
      <c r="O37" s="82">
        <v>37.9</v>
      </c>
      <c r="P37" s="97"/>
      <c r="Q37" s="97">
        <v>37.4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F37-F31</f>
        <v>23.200000000000003</v>
      </c>
      <c r="G38" s="98">
        <f>G37-G41</f>
        <v>2</v>
      </c>
      <c r="H38" s="98">
        <f t="shared" ref="H38:Q38" si="3">H37-H41</f>
        <v>0</v>
      </c>
      <c r="I38" s="98">
        <f t="shared" si="3"/>
        <v>4.1000000000000014</v>
      </c>
      <c r="J38" s="98">
        <f t="shared" si="3"/>
        <v>2.6999999999999957</v>
      </c>
      <c r="K38" s="98">
        <f t="shared" si="3"/>
        <v>2.6999999999999957</v>
      </c>
      <c r="L38" s="98">
        <f t="shared" si="3"/>
        <v>0</v>
      </c>
      <c r="M38" s="98">
        <f t="shared" si="3"/>
        <v>3.3999999999999986</v>
      </c>
      <c r="N38" s="98">
        <f t="shared" si="3"/>
        <v>2.3999999999999986</v>
      </c>
      <c r="O38" s="98">
        <f t="shared" si="3"/>
        <v>2.2999999999999972</v>
      </c>
      <c r="P38" s="98">
        <f t="shared" si="3"/>
        <v>0</v>
      </c>
      <c r="Q38" s="98">
        <f t="shared" si="3"/>
        <v>2.1999999999999957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>
        <v>27.9</v>
      </c>
      <c r="G40" s="82">
        <v>29.7</v>
      </c>
      <c r="H40" s="97"/>
      <c r="I40" s="97">
        <v>29.5</v>
      </c>
      <c r="J40" s="82">
        <v>27.9</v>
      </c>
      <c r="K40" s="82">
        <v>29.7</v>
      </c>
      <c r="L40" s="97"/>
      <c r="M40" s="97">
        <v>29.6</v>
      </c>
      <c r="N40" s="82">
        <v>27.6</v>
      </c>
      <c r="O40" s="82">
        <v>29.5</v>
      </c>
      <c r="P40" s="97"/>
      <c r="Q40" s="97">
        <v>29.4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>
        <v>33.4</v>
      </c>
      <c r="G41" s="82">
        <v>35.299999999999997</v>
      </c>
      <c r="H41" s="97"/>
      <c r="I41" s="97">
        <v>34.5</v>
      </c>
      <c r="J41" s="82">
        <v>33.6</v>
      </c>
      <c r="K41" s="82">
        <v>35.200000000000003</v>
      </c>
      <c r="L41" s="97"/>
      <c r="M41" s="97">
        <v>35</v>
      </c>
      <c r="N41" s="82">
        <v>33.6</v>
      </c>
      <c r="O41" s="82">
        <v>35.6</v>
      </c>
      <c r="P41" s="97"/>
      <c r="Q41" s="97">
        <v>35.200000000000003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5.5</v>
      </c>
      <c r="G42" s="98">
        <f>G41-G40</f>
        <v>5.5999999999999979</v>
      </c>
      <c r="H42" s="98">
        <f t="shared" ref="H42:Q42" si="4">H41-H40</f>
        <v>0</v>
      </c>
      <c r="I42" s="98">
        <f t="shared" si="4"/>
        <v>5</v>
      </c>
      <c r="J42" s="98">
        <f t="shared" si="4"/>
        <v>5.7000000000000028</v>
      </c>
      <c r="K42" s="98">
        <f t="shared" si="4"/>
        <v>5.5000000000000036</v>
      </c>
      <c r="L42" s="98">
        <f t="shared" si="4"/>
        <v>0</v>
      </c>
      <c r="M42" s="98">
        <f t="shared" si="4"/>
        <v>5.3999999999999986</v>
      </c>
      <c r="N42" s="98">
        <f t="shared" si="4"/>
        <v>6</v>
      </c>
      <c r="O42" s="98">
        <f t="shared" si="4"/>
        <v>6.1000000000000014</v>
      </c>
      <c r="P42" s="98">
        <f t="shared" si="4"/>
        <v>0</v>
      </c>
      <c r="Q42" s="98">
        <f t="shared" si="4"/>
        <v>5.8000000000000043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>
        <v>1297.5999999999999</v>
      </c>
      <c r="G43" s="82">
        <v>1263.3</v>
      </c>
      <c r="H43" s="97"/>
      <c r="I43" s="97">
        <v>1302.0999999999999</v>
      </c>
      <c r="J43" s="82">
        <v>1296.4000000000001</v>
      </c>
      <c r="K43" s="82">
        <v>1286.9000000000001</v>
      </c>
      <c r="L43" s="97"/>
      <c r="M43" s="97">
        <v>1242.3</v>
      </c>
      <c r="N43" s="82">
        <v>1152.3399999999999</v>
      </c>
      <c r="O43" s="82">
        <v>1086.7</v>
      </c>
      <c r="P43" s="97"/>
      <c r="Q43" s="97">
        <v>1259.5999999999999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8241.1085450346418</v>
      </c>
      <c r="G44" s="99">
        <f>G42*G43/0.866</f>
        <v>8169.1454965357934</v>
      </c>
      <c r="H44" s="99">
        <f t="shared" ref="H44:Q44" si="5">H42*H43/0.866</f>
        <v>0</v>
      </c>
      <c r="I44" s="99">
        <f t="shared" si="5"/>
        <v>7517.8983833718248</v>
      </c>
      <c r="J44" s="99">
        <f t="shared" si="5"/>
        <v>8532.8868360277193</v>
      </c>
      <c r="K44" s="99">
        <f t="shared" si="5"/>
        <v>8173.1524249422691</v>
      </c>
      <c r="L44" s="99">
        <f t="shared" si="5"/>
        <v>0</v>
      </c>
      <c r="M44" s="99">
        <f t="shared" si="5"/>
        <v>7746.4434180138551</v>
      </c>
      <c r="N44" s="99">
        <f t="shared" si="5"/>
        <v>7983.8799076212463</v>
      </c>
      <c r="O44" s="99">
        <f t="shared" si="5"/>
        <v>7654.5842956120114</v>
      </c>
      <c r="P44" s="99">
        <f t="shared" si="5"/>
        <v>0</v>
      </c>
      <c r="Q44" s="99">
        <f t="shared" si="5"/>
        <v>8436.1200923787583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>
        <v>0.46</v>
      </c>
      <c r="G45" s="82">
        <v>0.48</v>
      </c>
      <c r="H45" s="97"/>
      <c r="I45" s="97">
        <v>0.47</v>
      </c>
      <c r="J45" s="82">
        <v>0.45</v>
      </c>
      <c r="K45" s="82">
        <v>0.48</v>
      </c>
      <c r="L45" s="97"/>
      <c r="M45" s="97">
        <v>0.49</v>
      </c>
      <c r="N45" s="82">
        <v>0.46</v>
      </c>
      <c r="O45" s="82">
        <v>0.48</v>
      </c>
      <c r="P45" s="97"/>
      <c r="Q45" s="97">
        <v>0.48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>
        <v>19.5</v>
      </c>
      <c r="G46" s="82">
        <v>20.5</v>
      </c>
      <c r="H46" s="97"/>
      <c r="I46" s="97">
        <v>20.100000000000001</v>
      </c>
      <c r="J46" s="82">
        <v>18.8</v>
      </c>
      <c r="K46" s="82">
        <v>20.5</v>
      </c>
      <c r="L46" s="97"/>
      <c r="M46" s="97">
        <v>21.2</v>
      </c>
      <c r="N46" s="82">
        <v>19.8</v>
      </c>
      <c r="O46" s="82">
        <v>20.9</v>
      </c>
      <c r="P46" s="97"/>
      <c r="Q46" s="97">
        <v>20.9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>
        <v>212.7</v>
      </c>
      <c r="G47" s="82">
        <v>218.9</v>
      </c>
      <c r="H47" s="97"/>
      <c r="I47" s="97">
        <v>134.6</v>
      </c>
      <c r="J47" s="82">
        <v>198.1</v>
      </c>
      <c r="K47" s="82">
        <v>207.1</v>
      </c>
      <c r="L47" s="97"/>
      <c r="M47" s="97">
        <v>218.5</v>
      </c>
      <c r="N47" s="82">
        <v>155.6</v>
      </c>
      <c r="O47" s="82">
        <v>159.1</v>
      </c>
      <c r="P47" s="97"/>
      <c r="Q47" s="97">
        <v>200.7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02">
        <v>5.89</v>
      </c>
      <c r="F49" s="82">
        <v>5.41</v>
      </c>
      <c r="G49" s="82">
        <v>5.15</v>
      </c>
      <c r="H49" s="97"/>
      <c r="I49" s="97">
        <v>4.8600000000000003</v>
      </c>
      <c r="J49" s="82">
        <v>5.42</v>
      </c>
      <c r="K49" s="82">
        <v>5.33</v>
      </c>
      <c r="L49" s="97"/>
      <c r="M49" s="97">
        <v>5.05</v>
      </c>
      <c r="N49" s="82">
        <v>4.8499999999999996</v>
      </c>
      <c r="O49" s="82">
        <v>4.99</v>
      </c>
      <c r="P49" s="97"/>
      <c r="Q49" s="97">
        <v>4.84</v>
      </c>
    </row>
    <row r="50" spans="2:17" ht="20.100000000000001" customHeight="1" x14ac:dyDescent="0.25">
      <c r="B50" s="156" t="s">
        <v>51</v>
      </c>
      <c r="C50" s="156"/>
      <c r="D50" s="156"/>
      <c r="E50" s="102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03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617E-61D9-4073-BE28-A3EF57EC10E9}">
  <dimension ref="B1:Q59"/>
  <sheetViews>
    <sheetView view="pageBreakPreview" topLeftCell="A7" zoomScale="90" zoomScaleNormal="60" zoomScaleSheetLayoutView="90" workbookViewId="0">
      <selection activeCell="F11" sqref="F11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05" t="s">
        <v>78</v>
      </c>
      <c r="E10" s="83"/>
      <c r="F10" s="93" t="s">
        <v>100</v>
      </c>
      <c r="G10" s="94" t="s">
        <v>100</v>
      </c>
      <c r="H10" s="96" t="s">
        <v>100</v>
      </c>
      <c r="I10" s="96" t="s">
        <v>100</v>
      </c>
      <c r="J10" s="93" t="s">
        <v>100</v>
      </c>
      <c r="K10" s="94" t="s">
        <v>100</v>
      </c>
      <c r="L10" s="96" t="s">
        <v>100</v>
      </c>
      <c r="M10" s="96" t="s">
        <v>100</v>
      </c>
      <c r="N10" s="93" t="s">
        <v>100</v>
      </c>
      <c r="O10" s="94" t="s">
        <v>100</v>
      </c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/>
      <c r="G11" s="82">
        <v>70.5</v>
      </c>
      <c r="H11" s="97">
        <v>74.7</v>
      </c>
      <c r="I11" s="97">
        <v>74.599999999999994</v>
      </c>
      <c r="J11" s="82"/>
      <c r="K11" s="82">
        <v>74.5</v>
      </c>
      <c r="L11" s="97">
        <v>74.2</v>
      </c>
      <c r="M11" s="97">
        <v>71.7</v>
      </c>
      <c r="N11" s="82"/>
      <c r="O11" s="82">
        <v>73.3</v>
      </c>
      <c r="P11" s="97">
        <v>77.7</v>
      </c>
      <c r="Q11" s="97">
        <v>79.2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/>
      <c r="G12" s="82">
        <v>0.8</v>
      </c>
      <c r="H12" s="97">
        <v>0</v>
      </c>
      <c r="I12" s="97">
        <v>0</v>
      </c>
      <c r="J12" s="82"/>
      <c r="K12" s="82">
        <v>0</v>
      </c>
      <c r="L12" s="97">
        <v>0.2</v>
      </c>
      <c r="M12" s="97">
        <v>0.1</v>
      </c>
      <c r="N12" s="82"/>
      <c r="O12" s="82">
        <v>0</v>
      </c>
      <c r="P12" s="97">
        <v>0.1</v>
      </c>
      <c r="Q12" s="97">
        <v>0.2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/>
      <c r="G13" s="82">
        <v>64.099999999999994</v>
      </c>
      <c r="H13" s="97">
        <v>69.3</v>
      </c>
      <c r="I13" s="97">
        <v>69.3</v>
      </c>
      <c r="J13" s="82"/>
      <c r="K13" s="82">
        <v>69.099999999999994</v>
      </c>
      <c r="L13" s="97">
        <v>68.900000000000006</v>
      </c>
      <c r="M13" s="97">
        <v>66.8</v>
      </c>
      <c r="N13" s="82"/>
      <c r="O13" s="82">
        <v>67.3</v>
      </c>
      <c r="P13" s="97">
        <v>73.8</v>
      </c>
      <c r="Q13" s="97">
        <v>75.3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/>
      <c r="G14" s="82">
        <v>68.5</v>
      </c>
      <c r="H14" s="97">
        <v>51.7</v>
      </c>
      <c r="I14" s="97">
        <v>70.400000000000006</v>
      </c>
      <c r="J14" s="82"/>
      <c r="K14" s="82">
        <v>63.1</v>
      </c>
      <c r="L14" s="97">
        <v>67.900000000000006</v>
      </c>
      <c r="M14" s="97">
        <v>67.2</v>
      </c>
      <c r="N14" s="82"/>
      <c r="O14" s="82">
        <v>74.400000000000006</v>
      </c>
      <c r="P14" s="97">
        <v>73.900000000000006</v>
      </c>
      <c r="Q14" s="97">
        <v>73.2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/>
      <c r="G15" s="82">
        <v>49.9</v>
      </c>
      <c r="H15" s="97">
        <v>70.2</v>
      </c>
      <c r="I15" s="97">
        <v>48.3</v>
      </c>
      <c r="J15" s="82"/>
      <c r="K15" s="82">
        <v>38</v>
      </c>
      <c r="L15" s="97">
        <v>33.700000000000003</v>
      </c>
      <c r="M15" s="97">
        <v>33.4</v>
      </c>
      <c r="N15" s="82"/>
      <c r="O15" s="82">
        <v>45.5</v>
      </c>
      <c r="P15" s="97">
        <v>39.799999999999997</v>
      </c>
      <c r="Q15" s="97">
        <v>41.5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/>
      <c r="G16" s="82">
        <v>6.6</v>
      </c>
      <c r="H16" s="82">
        <v>6.6</v>
      </c>
      <c r="I16" s="82">
        <v>6.6</v>
      </c>
      <c r="J16" s="82"/>
      <c r="K16" s="82">
        <v>6.6</v>
      </c>
      <c r="L16" s="82">
        <v>6.6</v>
      </c>
      <c r="M16" s="82">
        <v>6.6</v>
      </c>
      <c r="N16" s="82"/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/>
      <c r="G17" s="82">
        <v>115.9</v>
      </c>
      <c r="H17" s="97">
        <v>116.7</v>
      </c>
      <c r="I17" s="97">
        <v>116.3</v>
      </c>
      <c r="J17" s="82"/>
      <c r="K17" s="82">
        <v>117.7</v>
      </c>
      <c r="L17" s="97">
        <v>118.1</v>
      </c>
      <c r="M17" s="97">
        <v>115.8</v>
      </c>
      <c r="N17" s="82"/>
      <c r="O17" s="82">
        <v>118.5</v>
      </c>
      <c r="P17" s="97">
        <v>118.1</v>
      </c>
      <c r="Q17" s="97">
        <v>119.2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/>
      <c r="G18" s="82">
        <v>1135</v>
      </c>
      <c r="H18" s="97">
        <v>1181</v>
      </c>
      <c r="I18" s="97">
        <v>1180</v>
      </c>
      <c r="J18" s="82"/>
      <c r="K18" s="82">
        <v>1200</v>
      </c>
      <c r="L18" s="97">
        <v>1197</v>
      </c>
      <c r="M18" s="97">
        <v>1186</v>
      </c>
      <c r="N18" s="82"/>
      <c r="O18" s="82">
        <v>1210</v>
      </c>
      <c r="P18" s="97">
        <v>1195</v>
      </c>
      <c r="Q18" s="97">
        <v>1216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/>
      <c r="G19" s="82">
        <v>45873.7</v>
      </c>
      <c r="H19" s="97">
        <v>46774.9</v>
      </c>
      <c r="I19" s="97">
        <v>46634.2</v>
      </c>
      <c r="J19" s="82"/>
      <c r="K19" s="82">
        <v>44416.9</v>
      </c>
      <c r="L19" s="97">
        <v>46808</v>
      </c>
      <c r="M19" s="97">
        <v>46648.5</v>
      </c>
      <c r="N19" s="82"/>
      <c r="O19" s="82">
        <v>45995.9</v>
      </c>
      <c r="P19" s="97">
        <v>47889.3</v>
      </c>
      <c r="Q19" s="97">
        <v>47754.7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/>
      <c r="G22" s="82">
        <v>58.1</v>
      </c>
      <c r="H22" s="97">
        <v>59.1</v>
      </c>
      <c r="I22" s="97">
        <v>58.9</v>
      </c>
      <c r="J22" s="82"/>
      <c r="K22" s="82">
        <v>57.6</v>
      </c>
      <c r="L22" s="97">
        <v>57.2</v>
      </c>
      <c r="M22" s="97">
        <v>57.3</v>
      </c>
      <c r="N22" s="82"/>
      <c r="O22" s="82">
        <v>59</v>
      </c>
      <c r="P22" s="97">
        <v>59.3</v>
      </c>
      <c r="Q22" s="97">
        <v>59.4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/>
      <c r="G23" s="82">
        <v>0.52</v>
      </c>
      <c r="H23" s="97">
        <v>0.5</v>
      </c>
      <c r="I23" s="97">
        <v>0.5</v>
      </c>
      <c r="J23" s="82"/>
      <c r="K23" s="82">
        <v>0.59</v>
      </c>
      <c r="L23" s="97">
        <v>0.53</v>
      </c>
      <c r="M23" s="97">
        <v>0.53</v>
      </c>
      <c r="N23" s="82"/>
      <c r="O23" s="82">
        <v>0.49</v>
      </c>
      <c r="P23" s="97">
        <v>0.47</v>
      </c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/>
      <c r="G25" s="82">
        <v>45.1</v>
      </c>
      <c r="H25" s="97">
        <v>44.8</v>
      </c>
      <c r="I25" s="97">
        <v>45.2</v>
      </c>
      <c r="J25" s="82"/>
      <c r="K25" s="82">
        <v>45</v>
      </c>
      <c r="L25" s="97">
        <v>45</v>
      </c>
      <c r="M25" s="97">
        <v>44.8</v>
      </c>
      <c r="N25" s="82"/>
      <c r="O25" s="82">
        <v>44.8</v>
      </c>
      <c r="P25" s="97">
        <v>45.1</v>
      </c>
      <c r="Q25" s="97">
        <v>44.8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/>
      <c r="G26" s="82">
        <v>0.23</v>
      </c>
      <c r="H26" s="97">
        <v>0.22</v>
      </c>
      <c r="I26" s="97">
        <v>0.22</v>
      </c>
      <c r="J26" s="82"/>
      <c r="K26" s="82">
        <v>0.23</v>
      </c>
      <c r="L26" s="97">
        <v>0.22</v>
      </c>
      <c r="M26" s="97">
        <v>0.23</v>
      </c>
      <c r="N26" s="82"/>
      <c r="O26" s="82">
        <v>0.23</v>
      </c>
      <c r="P26" s="97">
        <v>0.23</v>
      </c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/>
      <c r="G27" s="82">
        <v>4.2</v>
      </c>
      <c r="H27" s="97">
        <v>4.2</v>
      </c>
      <c r="I27" s="97">
        <v>4</v>
      </c>
      <c r="J27" s="82"/>
      <c r="K27" s="82">
        <v>4.0999999999999996</v>
      </c>
      <c r="L27" s="97">
        <v>4.2</v>
      </c>
      <c r="M27" s="97">
        <v>4.5999999999999996</v>
      </c>
      <c r="N27" s="82"/>
      <c r="O27" s="82">
        <v>4.9000000000000004</v>
      </c>
      <c r="P27" s="97">
        <v>3.8</v>
      </c>
      <c r="Q27" s="97">
        <v>4.0999999999999996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/>
      <c r="G28" s="82">
        <v>3.9</v>
      </c>
      <c r="H28" s="97">
        <v>3.2</v>
      </c>
      <c r="I28" s="97">
        <v>3.3</v>
      </c>
      <c r="J28" s="82"/>
      <c r="K28" s="82">
        <v>3.4</v>
      </c>
      <c r="L28" s="97">
        <v>3.2</v>
      </c>
      <c r="M28" s="97">
        <v>3.4</v>
      </c>
      <c r="N28" s="82"/>
      <c r="O28" s="82">
        <v>3.8</v>
      </c>
      <c r="P28" s="97">
        <v>3.2</v>
      </c>
      <c r="Q28" s="97">
        <v>3.4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>
        <f>F32-F27</f>
        <v>0</v>
      </c>
      <c r="G29" s="98">
        <f t="shared" ref="G29:Q29" si="0">G32-G27</f>
        <v>0.5</v>
      </c>
      <c r="H29" s="98">
        <f t="shared" si="0"/>
        <v>1.2000000000000002</v>
      </c>
      <c r="I29" s="98">
        <f t="shared" si="0"/>
        <v>1.2000000000000002</v>
      </c>
      <c r="J29" s="98">
        <f t="shared" si="0"/>
        <v>0</v>
      </c>
      <c r="K29" s="98">
        <f t="shared" si="0"/>
        <v>0</v>
      </c>
      <c r="L29" s="98">
        <f t="shared" si="0"/>
        <v>0.29999999999999982</v>
      </c>
      <c r="M29" s="98">
        <f t="shared" si="0"/>
        <v>0.10000000000000053</v>
      </c>
      <c r="N29" s="98">
        <f t="shared" si="0"/>
        <v>0</v>
      </c>
      <c r="O29" s="98">
        <f t="shared" si="0"/>
        <v>0.19999999999999929</v>
      </c>
      <c r="P29" s="98">
        <f t="shared" si="0"/>
        <v>0.79999999999999982</v>
      </c>
      <c r="Q29" s="98">
        <f t="shared" si="0"/>
        <v>0.80000000000000071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/>
      <c r="G30" s="82">
        <v>667.9</v>
      </c>
      <c r="H30" s="97">
        <v>692.64</v>
      </c>
      <c r="I30" s="97">
        <v>684.4</v>
      </c>
      <c r="J30" s="82"/>
      <c r="K30" s="82">
        <v>664.2</v>
      </c>
      <c r="L30" s="97">
        <v>718.2</v>
      </c>
      <c r="M30" s="97">
        <v>658</v>
      </c>
      <c r="N30" s="82"/>
      <c r="O30" s="82">
        <v>696.6</v>
      </c>
      <c r="P30" s="97">
        <v>703.76</v>
      </c>
      <c r="Q30" s="97">
        <v>645.29999999999995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/>
      <c r="G31" s="82">
        <v>13.6</v>
      </c>
      <c r="H31" s="97">
        <v>13.3</v>
      </c>
      <c r="I31" s="97">
        <v>13.7</v>
      </c>
      <c r="J31" s="82"/>
      <c r="K31" s="82">
        <v>13.9</v>
      </c>
      <c r="L31" s="97">
        <v>13.4</v>
      </c>
      <c r="M31" s="97">
        <v>13.4</v>
      </c>
      <c r="N31" s="82"/>
      <c r="O31" s="82">
        <v>13.4</v>
      </c>
      <c r="P31" s="97">
        <v>13.4</v>
      </c>
      <c r="Q31" s="97">
        <v>13.5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/>
      <c r="G32" s="82">
        <v>4.7</v>
      </c>
      <c r="H32" s="97">
        <v>5.4</v>
      </c>
      <c r="I32" s="97">
        <v>5.2</v>
      </c>
      <c r="J32" s="82"/>
      <c r="K32" s="82">
        <v>4.0999999999999996</v>
      </c>
      <c r="L32" s="97">
        <v>4.5</v>
      </c>
      <c r="M32" s="97">
        <v>4.7</v>
      </c>
      <c r="N32" s="82"/>
      <c r="O32" s="82">
        <v>5.0999999999999996</v>
      </c>
      <c r="P32" s="97">
        <v>4.5999999999999996</v>
      </c>
      <c r="Q32" s="97">
        <v>4.9000000000000004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0</v>
      </c>
      <c r="G33" s="98">
        <f>G31-G32</f>
        <v>8.8999999999999986</v>
      </c>
      <c r="H33" s="98">
        <f t="shared" ref="H33:Q33" si="1">H31-H32</f>
        <v>7.9</v>
      </c>
      <c r="I33" s="98">
        <f t="shared" si="1"/>
        <v>8.5</v>
      </c>
      <c r="J33" s="98">
        <f t="shared" si="1"/>
        <v>0</v>
      </c>
      <c r="K33" s="98">
        <f t="shared" si="1"/>
        <v>9.8000000000000007</v>
      </c>
      <c r="L33" s="98">
        <f t="shared" si="1"/>
        <v>8.9</v>
      </c>
      <c r="M33" s="98">
        <f t="shared" si="1"/>
        <v>8.6999999999999993</v>
      </c>
      <c r="N33" s="98">
        <f t="shared" si="1"/>
        <v>0</v>
      </c>
      <c r="O33" s="98">
        <f t="shared" si="1"/>
        <v>8.3000000000000007</v>
      </c>
      <c r="P33" s="98">
        <f t="shared" si="1"/>
        <v>8.8000000000000007</v>
      </c>
      <c r="Q33" s="98">
        <f t="shared" si="1"/>
        <v>8.6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0</v>
      </c>
      <c r="G34" s="99">
        <f>(G33*G30)/0.866</f>
        <v>6864.0993071593521</v>
      </c>
      <c r="H34" s="99">
        <f t="shared" ref="H34:Q34" si="2">(H33*H30)/0.866</f>
        <v>6318.5404157043877</v>
      </c>
      <c r="I34" s="99">
        <f t="shared" si="2"/>
        <v>6717.5519630484987</v>
      </c>
      <c r="J34" s="99">
        <f t="shared" si="2"/>
        <v>0</v>
      </c>
      <c r="K34" s="99">
        <f t="shared" si="2"/>
        <v>7516.3510392609705</v>
      </c>
      <c r="L34" s="99">
        <f t="shared" si="2"/>
        <v>7381.0392609699775</v>
      </c>
      <c r="M34" s="99">
        <f t="shared" si="2"/>
        <v>6610.3926096997684</v>
      </c>
      <c r="N34" s="99">
        <f t="shared" si="2"/>
        <v>0</v>
      </c>
      <c r="O34" s="99">
        <f t="shared" si="2"/>
        <v>6676.4203233256358</v>
      </c>
      <c r="P34" s="99">
        <f t="shared" si="2"/>
        <v>7151.3718244803704</v>
      </c>
      <c r="Q34" s="99">
        <f t="shared" si="2"/>
        <v>6408.2909930715923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/>
      <c r="G35" s="82">
        <v>0.82</v>
      </c>
      <c r="H35" s="97">
        <v>0.85</v>
      </c>
      <c r="I35" s="97">
        <v>0.86</v>
      </c>
      <c r="J35" s="82"/>
      <c r="K35" s="82">
        <v>0.84</v>
      </c>
      <c r="L35" s="97">
        <v>0.82</v>
      </c>
      <c r="M35" s="97">
        <v>0.85</v>
      </c>
      <c r="N35" s="82"/>
      <c r="O35" s="82">
        <v>0.84</v>
      </c>
      <c r="P35" s="97">
        <v>0.82</v>
      </c>
      <c r="Q35" s="97">
        <v>0.82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/>
      <c r="G36" s="82">
        <v>36.299999999999997</v>
      </c>
      <c r="H36" s="97">
        <v>36.799999999999997</v>
      </c>
      <c r="I36" s="97">
        <v>37.1</v>
      </c>
      <c r="J36" s="82"/>
      <c r="K36" s="82">
        <v>36.6</v>
      </c>
      <c r="L36" s="97">
        <v>37.4</v>
      </c>
      <c r="M36" s="97">
        <v>38.1</v>
      </c>
      <c r="N36" s="82"/>
      <c r="O36" s="82">
        <v>37.1</v>
      </c>
      <c r="P36" s="97">
        <v>36.1</v>
      </c>
      <c r="Q36" s="97">
        <v>36.799999999999997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/>
      <c r="G37" s="82">
        <v>36.700000000000003</v>
      </c>
      <c r="H37" s="97">
        <v>37.6</v>
      </c>
      <c r="I37" s="97">
        <v>38.1</v>
      </c>
      <c r="J37" s="82"/>
      <c r="K37" s="82">
        <v>37.4</v>
      </c>
      <c r="L37" s="97">
        <v>37.299999999999997</v>
      </c>
      <c r="M37" s="97">
        <v>37.700000000000003</v>
      </c>
      <c r="N37" s="82"/>
      <c r="O37" s="82">
        <v>37.4</v>
      </c>
      <c r="P37" s="97">
        <v>36.299999999999997</v>
      </c>
      <c r="Q37" s="97">
        <v>36.9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F37-F31</f>
        <v>0</v>
      </c>
      <c r="G38" s="98">
        <f>G37-G41</f>
        <v>2.1000000000000014</v>
      </c>
      <c r="H38" s="98">
        <f t="shared" ref="H38:Q38" si="3">H37-H41</f>
        <v>4.1000000000000014</v>
      </c>
      <c r="I38" s="98">
        <f t="shared" si="3"/>
        <v>4.3000000000000043</v>
      </c>
      <c r="J38" s="98">
        <f t="shared" si="3"/>
        <v>0</v>
      </c>
      <c r="K38" s="98">
        <f t="shared" si="3"/>
        <v>2.6999999999999957</v>
      </c>
      <c r="L38" s="98">
        <f t="shared" si="3"/>
        <v>3.3999999999999986</v>
      </c>
      <c r="M38" s="98">
        <f t="shared" si="3"/>
        <v>3.3000000000000043</v>
      </c>
      <c r="N38" s="98">
        <f t="shared" si="3"/>
        <v>0</v>
      </c>
      <c r="O38" s="98">
        <f t="shared" si="3"/>
        <v>2.1999999999999957</v>
      </c>
      <c r="P38" s="98">
        <f t="shared" si="3"/>
        <v>2.3999999999999986</v>
      </c>
      <c r="Q38" s="98">
        <f t="shared" si="3"/>
        <v>2.1999999999999957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/>
      <c r="G40" s="82">
        <v>29.2</v>
      </c>
      <c r="H40" s="97">
        <v>28.3</v>
      </c>
      <c r="I40" s="97">
        <v>29</v>
      </c>
      <c r="J40" s="82"/>
      <c r="K40" s="82">
        <v>29.1</v>
      </c>
      <c r="L40" s="97">
        <v>28.5</v>
      </c>
      <c r="M40" s="97">
        <v>29</v>
      </c>
      <c r="N40" s="82"/>
      <c r="O40" s="82">
        <v>28.8</v>
      </c>
      <c r="P40" s="97">
        <v>28.4</v>
      </c>
      <c r="Q40" s="97">
        <v>28.8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/>
      <c r="G41" s="82">
        <v>34.6</v>
      </c>
      <c r="H41" s="97">
        <v>33.5</v>
      </c>
      <c r="I41" s="97">
        <v>33.799999999999997</v>
      </c>
      <c r="J41" s="82"/>
      <c r="K41" s="82">
        <v>34.700000000000003</v>
      </c>
      <c r="L41" s="97">
        <v>33.9</v>
      </c>
      <c r="M41" s="97">
        <v>34.4</v>
      </c>
      <c r="N41" s="82"/>
      <c r="O41" s="82">
        <v>35.200000000000003</v>
      </c>
      <c r="P41" s="97">
        <v>33.9</v>
      </c>
      <c r="Q41" s="97">
        <v>34.700000000000003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0</v>
      </c>
      <c r="G42" s="98">
        <f>G41-G40</f>
        <v>5.4000000000000021</v>
      </c>
      <c r="H42" s="98">
        <f t="shared" ref="H42:Q42" si="4">H41-H40</f>
        <v>5.1999999999999993</v>
      </c>
      <c r="I42" s="98">
        <f t="shared" si="4"/>
        <v>4.7999999999999972</v>
      </c>
      <c r="J42" s="98">
        <f t="shared" si="4"/>
        <v>0</v>
      </c>
      <c r="K42" s="98">
        <f t="shared" si="4"/>
        <v>5.6000000000000014</v>
      </c>
      <c r="L42" s="98">
        <f t="shared" si="4"/>
        <v>5.3999999999999986</v>
      </c>
      <c r="M42" s="98">
        <f t="shared" si="4"/>
        <v>5.3999999999999986</v>
      </c>
      <c r="N42" s="98">
        <f t="shared" si="4"/>
        <v>0</v>
      </c>
      <c r="O42" s="98">
        <f t="shared" si="4"/>
        <v>6.4000000000000021</v>
      </c>
      <c r="P42" s="98">
        <f t="shared" si="4"/>
        <v>5.5</v>
      </c>
      <c r="Q42" s="98">
        <f t="shared" si="4"/>
        <v>5.9000000000000021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/>
      <c r="G43" s="82">
        <v>1266.3</v>
      </c>
      <c r="H43" s="97">
        <v>1302.3800000000001</v>
      </c>
      <c r="I43" s="97">
        <v>1297.9000000000001</v>
      </c>
      <c r="J43" s="82"/>
      <c r="K43" s="82">
        <v>1297.2</v>
      </c>
      <c r="L43" s="97"/>
      <c r="M43" s="97">
        <v>1245.5999999999999</v>
      </c>
      <c r="N43" s="82"/>
      <c r="O43" s="82">
        <v>1087.3</v>
      </c>
      <c r="P43" s="97">
        <v>1263</v>
      </c>
      <c r="Q43" s="97">
        <v>1259.8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0</v>
      </c>
      <c r="G44" s="99">
        <f>G42*G43/0.866</f>
        <v>7896.0969976905335</v>
      </c>
      <c r="H44" s="99">
        <f t="shared" ref="H44:Q44" si="5">H42*H43/0.866</f>
        <v>7820.2956120092367</v>
      </c>
      <c r="I44" s="99">
        <f t="shared" si="5"/>
        <v>7193.9030023094647</v>
      </c>
      <c r="J44" s="99">
        <f t="shared" si="5"/>
        <v>0</v>
      </c>
      <c r="K44" s="99">
        <f t="shared" si="5"/>
        <v>8388.3602771362621</v>
      </c>
      <c r="L44" s="99">
        <f t="shared" si="5"/>
        <v>0</v>
      </c>
      <c r="M44" s="99">
        <f t="shared" si="5"/>
        <v>7767.0207852193971</v>
      </c>
      <c r="N44" s="99">
        <f t="shared" si="5"/>
        <v>0</v>
      </c>
      <c r="O44" s="99">
        <f t="shared" si="5"/>
        <v>8035.4734411085474</v>
      </c>
      <c r="P44" s="99">
        <f t="shared" si="5"/>
        <v>8021.3625866050807</v>
      </c>
      <c r="Q44" s="99">
        <f t="shared" si="5"/>
        <v>8582.9330254041597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/>
      <c r="G45" s="82">
        <v>0.47</v>
      </c>
      <c r="H45" s="97">
        <v>0.47</v>
      </c>
      <c r="I45" s="97">
        <v>0.48</v>
      </c>
      <c r="J45" s="82"/>
      <c r="K45" s="82">
        <v>0.46</v>
      </c>
      <c r="L45" s="97">
        <v>0.47</v>
      </c>
      <c r="M45" s="97">
        <v>0.48</v>
      </c>
      <c r="N45" s="82"/>
      <c r="O45" s="82">
        <v>0.48</v>
      </c>
      <c r="P45" s="97">
        <v>0.46</v>
      </c>
      <c r="Q45" s="97">
        <v>0.47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/>
      <c r="G46" s="82">
        <v>20.2</v>
      </c>
      <c r="H46" s="97">
        <v>20.100000000000001</v>
      </c>
      <c r="I46" s="97">
        <v>20.5</v>
      </c>
      <c r="J46" s="82"/>
      <c r="K46" s="82">
        <v>19.5</v>
      </c>
      <c r="L46" s="97">
        <v>20.3</v>
      </c>
      <c r="M46" s="97">
        <v>20.7</v>
      </c>
      <c r="N46" s="82"/>
      <c r="O46" s="82">
        <v>20.5</v>
      </c>
      <c r="P46" s="97">
        <v>19.600000000000001</v>
      </c>
      <c r="Q46" s="97">
        <v>20.100000000000001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/>
      <c r="G47" s="82">
        <v>213.4</v>
      </c>
      <c r="H47" s="97">
        <v>119.4</v>
      </c>
      <c r="I47" s="97">
        <v>123.9</v>
      </c>
      <c r="J47" s="82"/>
      <c r="K47" s="82">
        <v>199.8</v>
      </c>
      <c r="L47" s="97">
        <v>214.4</v>
      </c>
      <c r="M47" s="97">
        <v>216.4</v>
      </c>
      <c r="N47" s="82"/>
      <c r="O47" s="82">
        <v>155.5</v>
      </c>
      <c r="P47" s="97">
        <v>201.8</v>
      </c>
      <c r="Q47" s="97">
        <v>201.9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05">
        <v>5.89</v>
      </c>
      <c r="F49" s="82"/>
      <c r="G49" s="82">
        <v>5.82</v>
      </c>
      <c r="H49" s="97">
        <v>4.95</v>
      </c>
      <c r="I49" s="97">
        <v>5.21</v>
      </c>
      <c r="J49" s="82"/>
      <c r="K49" s="82">
        <v>5.38</v>
      </c>
      <c r="L49" s="97">
        <v>5.54</v>
      </c>
      <c r="M49" s="97">
        <v>5.43</v>
      </c>
      <c r="N49" s="82"/>
      <c r="O49" s="82">
        <v>5.0599999999999996</v>
      </c>
      <c r="P49" s="97">
        <v>5.51</v>
      </c>
      <c r="Q49" s="97">
        <v>5.25</v>
      </c>
    </row>
    <row r="50" spans="2:17" ht="20.100000000000001" customHeight="1" x14ac:dyDescent="0.25">
      <c r="B50" s="156" t="s">
        <v>51</v>
      </c>
      <c r="C50" s="156"/>
      <c r="D50" s="156"/>
      <c r="E50" s="105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04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BAF4-8428-4243-B93A-C240D69BC074}">
  <dimension ref="B1:Q59"/>
  <sheetViews>
    <sheetView view="pageBreakPreview" zoomScale="85" zoomScaleNormal="60" zoomScaleSheetLayoutView="85" workbookViewId="0">
      <selection activeCell="P50" sqref="P50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07" t="s">
        <v>78</v>
      </c>
      <c r="E10" s="83"/>
      <c r="F10" s="93" t="s">
        <v>100</v>
      </c>
      <c r="G10" s="94" t="s">
        <v>100</v>
      </c>
      <c r="H10" s="96" t="s">
        <v>100</v>
      </c>
      <c r="I10" s="96" t="s">
        <v>100</v>
      </c>
      <c r="J10" s="93" t="s">
        <v>100</v>
      </c>
      <c r="K10" s="94" t="s">
        <v>100</v>
      </c>
      <c r="L10" s="96" t="s">
        <v>100</v>
      </c>
      <c r="M10" s="96" t="s">
        <v>100</v>
      </c>
      <c r="N10" s="93" t="s">
        <v>100</v>
      </c>
      <c r="O10" s="94" t="s">
        <v>100</v>
      </c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>
        <v>71.7</v>
      </c>
      <c r="G11" s="82">
        <v>73.5</v>
      </c>
      <c r="H11" s="97"/>
      <c r="I11" s="97">
        <v>74.7</v>
      </c>
      <c r="J11" s="82"/>
      <c r="K11" s="82">
        <v>75.099999999999994</v>
      </c>
      <c r="L11" s="97">
        <v>74.2</v>
      </c>
      <c r="M11" s="97">
        <v>74.2</v>
      </c>
      <c r="N11" s="82"/>
      <c r="O11" s="82">
        <v>72</v>
      </c>
      <c r="P11" s="97">
        <v>77.8</v>
      </c>
      <c r="Q11" s="97">
        <v>77.7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>
        <v>0.3</v>
      </c>
      <c r="G12" s="82">
        <v>0.3</v>
      </c>
      <c r="H12" s="97"/>
      <c r="I12" s="97">
        <v>0</v>
      </c>
      <c r="J12" s="82"/>
      <c r="K12" s="82">
        <v>0</v>
      </c>
      <c r="L12" s="97">
        <v>0.2</v>
      </c>
      <c r="M12" s="97">
        <v>0.2</v>
      </c>
      <c r="N12" s="82"/>
      <c r="O12" s="82">
        <v>0</v>
      </c>
      <c r="P12" s="97">
        <v>0.1</v>
      </c>
      <c r="Q12" s="97">
        <v>0.1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>
        <v>68.7</v>
      </c>
      <c r="G13" s="82">
        <v>68.8</v>
      </c>
      <c r="H13" s="97"/>
      <c r="I13" s="97">
        <v>69.3</v>
      </c>
      <c r="J13" s="82"/>
      <c r="K13" s="82">
        <v>69.900000000000006</v>
      </c>
      <c r="L13" s="97">
        <v>68.900000000000006</v>
      </c>
      <c r="M13" s="97">
        <v>68.900000000000006</v>
      </c>
      <c r="N13" s="82"/>
      <c r="O13" s="82">
        <v>67.099999999999994</v>
      </c>
      <c r="P13" s="97">
        <v>73.8</v>
      </c>
      <c r="Q13" s="97">
        <v>73.8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>
        <v>65.3</v>
      </c>
      <c r="G14" s="82">
        <v>68.3</v>
      </c>
      <c r="H14" s="97"/>
      <c r="I14" s="97">
        <v>51.7</v>
      </c>
      <c r="J14" s="82"/>
      <c r="K14" s="82">
        <v>63.5</v>
      </c>
      <c r="L14" s="97">
        <v>65</v>
      </c>
      <c r="M14" s="97">
        <v>67.900000000000006</v>
      </c>
      <c r="N14" s="82"/>
      <c r="O14" s="82">
        <v>74.2</v>
      </c>
      <c r="P14" s="97">
        <v>70.8</v>
      </c>
      <c r="Q14" s="97">
        <v>73.900000000000006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>
        <v>56.4</v>
      </c>
      <c r="G15" s="82">
        <v>55.3</v>
      </c>
      <c r="H15" s="97"/>
      <c r="I15" s="97">
        <v>70.2</v>
      </c>
      <c r="J15" s="82"/>
      <c r="K15" s="82">
        <v>38.6</v>
      </c>
      <c r="L15" s="97">
        <v>34.9</v>
      </c>
      <c r="M15" s="97">
        <v>33.700000000000003</v>
      </c>
      <c r="N15" s="82"/>
      <c r="O15" s="82">
        <v>44.3</v>
      </c>
      <c r="P15" s="97">
        <v>73.8</v>
      </c>
      <c r="Q15" s="97">
        <v>39.799999999999997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>
        <v>6.6</v>
      </c>
      <c r="G16" s="82">
        <v>6.6</v>
      </c>
      <c r="H16" s="82">
        <v>6.6</v>
      </c>
      <c r="I16" s="82">
        <v>6.6</v>
      </c>
      <c r="J16" s="82">
        <v>6.6</v>
      </c>
      <c r="K16" s="82">
        <v>6.6</v>
      </c>
      <c r="L16" s="82">
        <v>6.6</v>
      </c>
      <c r="M16" s="82">
        <v>6.6</v>
      </c>
      <c r="N16" s="82">
        <v>6.6</v>
      </c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>
        <v>119.6</v>
      </c>
      <c r="G17" s="82">
        <v>119.7</v>
      </c>
      <c r="H17" s="97"/>
      <c r="I17" s="97">
        <v>116.7</v>
      </c>
      <c r="J17" s="82"/>
      <c r="K17" s="82">
        <v>117.5</v>
      </c>
      <c r="L17" s="97">
        <v>120.6</v>
      </c>
      <c r="M17" s="97">
        <v>118.1</v>
      </c>
      <c r="N17" s="82"/>
      <c r="O17" s="82">
        <v>118</v>
      </c>
      <c r="P17" s="97">
        <v>120.9</v>
      </c>
      <c r="Q17" s="97">
        <v>118.1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>
        <v>1189</v>
      </c>
      <c r="G18" s="82">
        <v>1168</v>
      </c>
      <c r="H18" s="97"/>
      <c r="I18" s="97">
        <v>1181</v>
      </c>
      <c r="J18" s="82"/>
      <c r="K18" s="82">
        <v>1194</v>
      </c>
      <c r="L18" s="97">
        <v>1230</v>
      </c>
      <c r="M18" s="97">
        <v>1197</v>
      </c>
      <c r="N18" s="82"/>
      <c r="O18" s="82">
        <v>1198</v>
      </c>
      <c r="P18" s="97">
        <v>1227</v>
      </c>
      <c r="Q18" s="97">
        <v>1195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>
        <v>46034</v>
      </c>
      <c r="G19" s="82">
        <v>46023.4</v>
      </c>
      <c r="H19" s="97"/>
      <c r="I19" s="97">
        <v>46774.9</v>
      </c>
      <c r="J19" s="82"/>
      <c r="K19" s="82">
        <v>44553.1</v>
      </c>
      <c r="L19" s="97">
        <v>46819.3</v>
      </c>
      <c r="M19" s="97">
        <v>46808</v>
      </c>
      <c r="N19" s="82"/>
      <c r="O19" s="82">
        <v>46129.1</v>
      </c>
      <c r="P19" s="97">
        <v>47900.6</v>
      </c>
      <c r="Q19" s="97">
        <v>47889.3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>
        <v>58</v>
      </c>
      <c r="G22" s="82">
        <v>58</v>
      </c>
      <c r="H22" s="97"/>
      <c r="I22" s="97">
        <v>59.1</v>
      </c>
      <c r="J22" s="82"/>
      <c r="K22" s="82">
        <v>57.9</v>
      </c>
      <c r="L22" s="97">
        <v>44.8</v>
      </c>
      <c r="M22" s="97">
        <v>57.2</v>
      </c>
      <c r="N22" s="82"/>
      <c r="O22" s="82">
        <v>58.9</v>
      </c>
      <c r="P22" s="97">
        <v>59.4</v>
      </c>
      <c r="Q22" s="97">
        <v>59.3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>
        <v>0.53</v>
      </c>
      <c r="G23" s="82">
        <v>0.52</v>
      </c>
      <c r="H23" s="97"/>
      <c r="I23" s="97">
        <v>0.5</v>
      </c>
      <c r="J23" s="82"/>
      <c r="K23" s="82">
        <v>0.59</v>
      </c>
      <c r="L23" s="97">
        <v>0.53</v>
      </c>
      <c r="M23" s="97">
        <v>0.53</v>
      </c>
      <c r="N23" s="82"/>
      <c r="O23" s="82">
        <v>0.48</v>
      </c>
      <c r="P23" s="97">
        <v>0.48</v>
      </c>
      <c r="Q23" s="97">
        <v>0.47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>
        <v>45.1</v>
      </c>
      <c r="G25" s="82">
        <v>44.9</v>
      </c>
      <c r="H25" s="97"/>
      <c r="I25" s="97">
        <v>44.8</v>
      </c>
      <c r="J25" s="82"/>
      <c r="K25" s="82">
        <v>44.8</v>
      </c>
      <c r="L25" s="97">
        <v>44.8</v>
      </c>
      <c r="M25" s="97">
        <v>45</v>
      </c>
      <c r="N25" s="82"/>
      <c r="O25" s="82">
        <v>44.7</v>
      </c>
      <c r="P25" s="97">
        <v>45</v>
      </c>
      <c r="Q25" s="97">
        <v>45.1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>
        <v>0.26</v>
      </c>
      <c r="G26" s="82">
        <v>0.26</v>
      </c>
      <c r="H26" s="97"/>
      <c r="I26" s="97">
        <v>0.22</v>
      </c>
      <c r="J26" s="82"/>
      <c r="K26" s="82">
        <v>0.26</v>
      </c>
      <c r="L26" s="97">
        <v>0.23</v>
      </c>
      <c r="M26" s="97">
        <v>0.22</v>
      </c>
      <c r="N26" s="82"/>
      <c r="O26" s="82">
        <v>0.23</v>
      </c>
      <c r="P26" s="97">
        <v>0.23</v>
      </c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>
        <v>4.5</v>
      </c>
      <c r="G27" s="82">
        <v>4</v>
      </c>
      <c r="H27" s="97"/>
      <c r="I27" s="97">
        <v>4.2</v>
      </c>
      <c r="J27" s="82"/>
      <c r="K27" s="82">
        <v>4.4000000000000004</v>
      </c>
      <c r="L27" s="97">
        <v>5</v>
      </c>
      <c r="M27" s="97">
        <v>4.2</v>
      </c>
      <c r="N27" s="82"/>
      <c r="O27" s="82">
        <v>4.8</v>
      </c>
      <c r="P27" s="97">
        <v>4.5</v>
      </c>
      <c r="Q27" s="97">
        <v>3.8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>
        <v>4.0999999999999996</v>
      </c>
      <c r="G28" s="82">
        <v>3.7</v>
      </c>
      <c r="H28" s="97"/>
      <c r="I28" s="97">
        <v>3.2</v>
      </c>
      <c r="J28" s="82"/>
      <c r="K28" s="82">
        <v>3.5</v>
      </c>
      <c r="L28" s="97">
        <v>3.9</v>
      </c>
      <c r="M28" s="97">
        <v>3.2</v>
      </c>
      <c r="N28" s="82"/>
      <c r="O28" s="82">
        <v>3.2</v>
      </c>
      <c r="P28" s="97">
        <v>3.7</v>
      </c>
      <c r="Q28" s="97">
        <v>3.2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>
        <f>F32-F27</f>
        <v>0.70000000000000018</v>
      </c>
      <c r="G29" s="98">
        <f t="shared" ref="G29:Q29" si="0">G32-G27</f>
        <v>0.90000000000000036</v>
      </c>
      <c r="H29" s="98">
        <f t="shared" si="0"/>
        <v>0</v>
      </c>
      <c r="I29" s="98">
        <f t="shared" si="0"/>
        <v>1.2000000000000002</v>
      </c>
      <c r="J29" s="98">
        <f t="shared" si="0"/>
        <v>0</v>
      </c>
      <c r="K29" s="98">
        <f t="shared" si="0"/>
        <v>-0.20000000000000018</v>
      </c>
      <c r="L29" s="98">
        <f t="shared" si="0"/>
        <v>0.29999999999999982</v>
      </c>
      <c r="M29" s="98">
        <f t="shared" si="0"/>
        <v>0.29999999999999982</v>
      </c>
      <c r="N29" s="98">
        <f t="shared" si="0"/>
        <v>0</v>
      </c>
      <c r="O29" s="98">
        <f t="shared" si="0"/>
        <v>0.20000000000000018</v>
      </c>
      <c r="P29" s="98">
        <f t="shared" si="0"/>
        <v>1</v>
      </c>
      <c r="Q29" s="98">
        <f t="shared" si="0"/>
        <v>0.79999999999999982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>
        <v>755.3</v>
      </c>
      <c r="G30" s="82">
        <v>725.2</v>
      </c>
      <c r="H30" s="97"/>
      <c r="I30" s="97">
        <v>692.64</v>
      </c>
      <c r="J30" s="82"/>
      <c r="K30" s="82">
        <v>678.2</v>
      </c>
      <c r="L30" s="97">
        <v>749.44</v>
      </c>
      <c r="M30" s="97">
        <v>718.2</v>
      </c>
      <c r="N30" s="82"/>
      <c r="O30" s="82">
        <v>727.95</v>
      </c>
      <c r="P30" s="97">
        <v>750.88</v>
      </c>
      <c r="Q30" s="97">
        <v>703.76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>
        <v>13.1</v>
      </c>
      <c r="G31" s="82">
        <v>13.4</v>
      </c>
      <c r="H31" s="97"/>
      <c r="I31" s="97">
        <v>13.3</v>
      </c>
      <c r="J31" s="82"/>
      <c r="K31" s="82">
        <v>13.1</v>
      </c>
      <c r="L31" s="97">
        <v>13.2</v>
      </c>
      <c r="M31" s="97">
        <v>13.4</v>
      </c>
      <c r="N31" s="82"/>
      <c r="O31" s="82">
        <v>13.3</v>
      </c>
      <c r="P31" s="97">
        <v>13.4</v>
      </c>
      <c r="Q31" s="97">
        <v>13.4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>
        <v>5.2</v>
      </c>
      <c r="G32" s="82">
        <v>4.9000000000000004</v>
      </c>
      <c r="H32" s="97"/>
      <c r="I32" s="97">
        <v>5.4</v>
      </c>
      <c r="J32" s="82"/>
      <c r="K32" s="82">
        <v>4.2</v>
      </c>
      <c r="L32" s="97">
        <v>5.3</v>
      </c>
      <c r="M32" s="97">
        <v>4.5</v>
      </c>
      <c r="N32" s="82"/>
      <c r="O32" s="82">
        <v>5</v>
      </c>
      <c r="P32" s="97">
        <v>5.5</v>
      </c>
      <c r="Q32" s="97">
        <v>4.5999999999999996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7.8999999999999995</v>
      </c>
      <c r="G33" s="98">
        <f>G31-G32</f>
        <v>8.5</v>
      </c>
      <c r="H33" s="98">
        <f t="shared" ref="H33:Q33" si="1">H31-H32</f>
        <v>0</v>
      </c>
      <c r="I33" s="98">
        <f t="shared" si="1"/>
        <v>7.9</v>
      </c>
      <c r="J33" s="98">
        <f t="shared" si="1"/>
        <v>0</v>
      </c>
      <c r="K33" s="98">
        <f t="shared" si="1"/>
        <v>8.8999999999999986</v>
      </c>
      <c r="L33" s="98">
        <f t="shared" si="1"/>
        <v>7.8999999999999995</v>
      </c>
      <c r="M33" s="98">
        <f t="shared" si="1"/>
        <v>8.9</v>
      </c>
      <c r="N33" s="98">
        <f t="shared" si="1"/>
        <v>0</v>
      </c>
      <c r="O33" s="98">
        <f t="shared" si="1"/>
        <v>8.3000000000000007</v>
      </c>
      <c r="P33" s="98">
        <f t="shared" si="1"/>
        <v>7.9</v>
      </c>
      <c r="Q33" s="98">
        <f t="shared" si="1"/>
        <v>8.8000000000000007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6890.1501154734397</v>
      </c>
      <c r="G34" s="99">
        <f>(G33*G30)/0.866</f>
        <v>7118.0138568129341</v>
      </c>
      <c r="H34" s="99">
        <f t="shared" ref="H34:Q34" si="2">(H33*H30)/0.866</f>
        <v>0</v>
      </c>
      <c r="I34" s="99">
        <f t="shared" si="2"/>
        <v>6318.5404157043877</v>
      </c>
      <c r="J34" s="99">
        <f t="shared" si="2"/>
        <v>0</v>
      </c>
      <c r="K34" s="99">
        <f t="shared" si="2"/>
        <v>6969.9538106235559</v>
      </c>
      <c r="L34" s="99">
        <f t="shared" si="2"/>
        <v>6836.6928406466513</v>
      </c>
      <c r="M34" s="99">
        <f t="shared" si="2"/>
        <v>7381.0392609699775</v>
      </c>
      <c r="N34" s="99">
        <f t="shared" si="2"/>
        <v>0</v>
      </c>
      <c r="O34" s="99">
        <f t="shared" si="2"/>
        <v>6976.8879907621258</v>
      </c>
      <c r="P34" s="99">
        <f t="shared" si="2"/>
        <v>6849.8290993071596</v>
      </c>
      <c r="Q34" s="99">
        <f t="shared" si="2"/>
        <v>7151.3718244803704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>
        <v>0.83</v>
      </c>
      <c r="G35" s="82">
        <v>0.82</v>
      </c>
      <c r="H35" s="97"/>
      <c r="I35" s="97">
        <v>0.85</v>
      </c>
      <c r="J35" s="82"/>
      <c r="K35" s="82">
        <v>0.83</v>
      </c>
      <c r="L35" s="97">
        <v>0.86</v>
      </c>
      <c r="M35" s="97">
        <v>0.82</v>
      </c>
      <c r="N35" s="82"/>
      <c r="O35" s="82">
        <v>0.83</v>
      </c>
      <c r="P35" s="97">
        <v>0.84</v>
      </c>
      <c r="Q35" s="97">
        <v>0.82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>
        <v>36.799999999999997</v>
      </c>
      <c r="G36" s="82">
        <v>35.9</v>
      </c>
      <c r="H36" s="97"/>
      <c r="I36" s="97">
        <v>36.799999999999997</v>
      </c>
      <c r="J36" s="82"/>
      <c r="K36" s="82">
        <v>36.200000000000003</v>
      </c>
      <c r="L36" s="97">
        <v>38.299999999999997</v>
      </c>
      <c r="M36" s="97">
        <v>37.4</v>
      </c>
      <c r="N36" s="82"/>
      <c r="O36" s="82">
        <v>36.6</v>
      </c>
      <c r="P36" s="97">
        <v>37</v>
      </c>
      <c r="Q36" s="97">
        <v>36.1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>
        <v>37.1</v>
      </c>
      <c r="G37" s="82">
        <v>36.4</v>
      </c>
      <c r="H37" s="97"/>
      <c r="I37" s="97">
        <v>37.6</v>
      </c>
      <c r="J37" s="82"/>
      <c r="K37" s="82">
        <v>36.9</v>
      </c>
      <c r="L37" s="97">
        <v>38.200000000000003</v>
      </c>
      <c r="M37" s="97">
        <v>37.299999999999997</v>
      </c>
      <c r="N37" s="82"/>
      <c r="O37" s="82">
        <v>36.9</v>
      </c>
      <c r="P37" s="97">
        <v>37.200000000000003</v>
      </c>
      <c r="Q37" s="97">
        <v>36.299999999999997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F37-F41</f>
        <v>2.1000000000000014</v>
      </c>
      <c r="G38" s="98">
        <f>G37-G41</f>
        <v>2.1000000000000014</v>
      </c>
      <c r="H38" s="98">
        <f t="shared" ref="H38:Q38" si="3">H37-H41</f>
        <v>0</v>
      </c>
      <c r="I38" s="98">
        <f t="shared" si="3"/>
        <v>4.1000000000000014</v>
      </c>
      <c r="J38" s="98">
        <f t="shared" si="3"/>
        <v>0</v>
      </c>
      <c r="K38" s="98">
        <f t="shared" si="3"/>
        <v>2.6999999999999957</v>
      </c>
      <c r="L38" s="98">
        <f t="shared" si="3"/>
        <v>3.4000000000000057</v>
      </c>
      <c r="M38" s="98">
        <f t="shared" si="3"/>
        <v>3.3999999999999986</v>
      </c>
      <c r="N38" s="98">
        <f t="shared" si="3"/>
        <v>0</v>
      </c>
      <c r="O38" s="98">
        <f t="shared" si="3"/>
        <v>2.2999999999999972</v>
      </c>
      <c r="P38" s="98">
        <f t="shared" si="3"/>
        <v>2.3000000000000043</v>
      </c>
      <c r="Q38" s="98">
        <f t="shared" si="3"/>
        <v>2.3999999999999986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>
        <v>29.2</v>
      </c>
      <c r="G40" s="82">
        <v>28.5</v>
      </c>
      <c r="H40" s="97"/>
      <c r="I40" s="97">
        <v>28.3</v>
      </c>
      <c r="J40" s="82"/>
      <c r="K40" s="82">
        <v>28.5</v>
      </c>
      <c r="L40" s="97">
        <v>29.1</v>
      </c>
      <c r="M40" s="97">
        <v>28.5</v>
      </c>
      <c r="N40" s="82"/>
      <c r="O40" s="82">
        <v>28.2</v>
      </c>
      <c r="P40" s="97">
        <v>28.9</v>
      </c>
      <c r="Q40" s="97">
        <v>28.4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>
        <v>35</v>
      </c>
      <c r="G41" s="82">
        <v>34.299999999999997</v>
      </c>
      <c r="H41" s="97"/>
      <c r="I41" s="97">
        <v>33.5</v>
      </c>
      <c r="J41" s="82"/>
      <c r="K41" s="82">
        <v>34.200000000000003</v>
      </c>
      <c r="L41" s="97">
        <v>34.799999999999997</v>
      </c>
      <c r="M41" s="97">
        <v>33.9</v>
      </c>
      <c r="N41" s="82"/>
      <c r="O41" s="82">
        <v>34.6</v>
      </c>
      <c r="P41" s="97">
        <v>34.9</v>
      </c>
      <c r="Q41" s="97">
        <v>33.9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5.8000000000000007</v>
      </c>
      <c r="G42" s="98">
        <f>G41-G40</f>
        <v>5.7999999999999972</v>
      </c>
      <c r="H42" s="98">
        <f t="shared" ref="H42:Q42" si="4">H41-H40</f>
        <v>0</v>
      </c>
      <c r="I42" s="98">
        <f t="shared" si="4"/>
        <v>5.1999999999999993</v>
      </c>
      <c r="J42" s="98">
        <f t="shared" si="4"/>
        <v>0</v>
      </c>
      <c r="K42" s="98">
        <f t="shared" si="4"/>
        <v>5.7000000000000028</v>
      </c>
      <c r="L42" s="98">
        <f t="shared" si="4"/>
        <v>5.6999999999999957</v>
      </c>
      <c r="M42" s="98">
        <f t="shared" si="4"/>
        <v>5.3999999999999986</v>
      </c>
      <c r="N42" s="98">
        <f t="shared" si="4"/>
        <v>0</v>
      </c>
      <c r="O42" s="98">
        <f t="shared" si="4"/>
        <v>6.4000000000000021</v>
      </c>
      <c r="P42" s="98">
        <f t="shared" si="4"/>
        <v>6</v>
      </c>
      <c r="Q42" s="98">
        <f t="shared" si="4"/>
        <v>5.5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>
        <v>1220.31</v>
      </c>
      <c r="G43" s="82">
        <v>1267.42</v>
      </c>
      <c r="H43" s="97"/>
      <c r="I43" s="97">
        <v>1302.3800000000001</v>
      </c>
      <c r="J43" s="82"/>
      <c r="K43" s="82">
        <v>1298.3</v>
      </c>
      <c r="L43" s="97">
        <v>1201.2</v>
      </c>
      <c r="M43" s="97">
        <v>1245.2</v>
      </c>
      <c r="N43" s="82"/>
      <c r="O43" s="82">
        <v>1085.2</v>
      </c>
      <c r="P43" s="97">
        <v>1194.21</v>
      </c>
      <c r="Q43" s="97">
        <v>1263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8172.9769053117789</v>
      </c>
      <c r="G44" s="99">
        <f>G42*G43/0.866</f>
        <v>8488.4942263279409</v>
      </c>
      <c r="H44" s="99">
        <f t="shared" ref="H44:Q44" si="5">H42*H43/0.866</f>
        <v>0</v>
      </c>
      <c r="I44" s="99">
        <f t="shared" si="5"/>
        <v>7820.2956120092367</v>
      </c>
      <c r="J44" s="99">
        <f t="shared" si="5"/>
        <v>0</v>
      </c>
      <c r="K44" s="99">
        <f t="shared" si="5"/>
        <v>8545.3926096997729</v>
      </c>
      <c r="L44" s="99">
        <f t="shared" si="5"/>
        <v>7906.2817551962989</v>
      </c>
      <c r="M44" s="99">
        <f t="shared" si="5"/>
        <v>7764.5265588914526</v>
      </c>
      <c r="N44" s="99">
        <f t="shared" si="5"/>
        <v>0</v>
      </c>
      <c r="O44" s="99">
        <f t="shared" si="5"/>
        <v>8019.9538106235595</v>
      </c>
      <c r="P44" s="99">
        <f t="shared" si="5"/>
        <v>8273.9722863741335</v>
      </c>
      <c r="Q44" s="99">
        <f t="shared" si="5"/>
        <v>8021.3625866050807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>
        <v>0.47</v>
      </c>
      <c r="G45" s="82">
        <v>0.46</v>
      </c>
      <c r="H45" s="97"/>
      <c r="I45" s="97">
        <v>0.47</v>
      </c>
      <c r="J45" s="82"/>
      <c r="K45" s="82">
        <v>0.46</v>
      </c>
      <c r="L45" s="97">
        <v>0.49</v>
      </c>
      <c r="M45" s="97">
        <v>0.47</v>
      </c>
      <c r="N45" s="82"/>
      <c r="O45" s="82">
        <v>0.47</v>
      </c>
      <c r="P45" s="97">
        <v>0.48</v>
      </c>
      <c r="Q45" s="97">
        <v>0.46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>
        <v>20.2</v>
      </c>
      <c r="G46" s="82">
        <v>19.7</v>
      </c>
      <c r="H46" s="97"/>
      <c r="I46" s="97">
        <v>20.100000000000001</v>
      </c>
      <c r="J46" s="82"/>
      <c r="K46" s="82">
        <v>19.5</v>
      </c>
      <c r="L46" s="97">
        <v>21.1</v>
      </c>
      <c r="M46" s="97">
        <v>20.3</v>
      </c>
      <c r="N46" s="82"/>
      <c r="O46" s="82">
        <v>20.100000000000001</v>
      </c>
      <c r="P46" s="97">
        <v>20.399999999999999</v>
      </c>
      <c r="Q46" s="97">
        <v>19.600000000000001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>
        <v>198.4</v>
      </c>
      <c r="G47" s="82">
        <v>205.3</v>
      </c>
      <c r="H47" s="97"/>
      <c r="I47" s="97">
        <v>119.4</v>
      </c>
      <c r="J47" s="82"/>
      <c r="K47" s="82">
        <v>200</v>
      </c>
      <c r="L47" s="97">
        <v>216.2</v>
      </c>
      <c r="M47" s="97">
        <v>214.4</v>
      </c>
      <c r="N47" s="82"/>
      <c r="O47" s="82">
        <v>167.5</v>
      </c>
      <c r="P47" s="97">
        <v>204.5</v>
      </c>
      <c r="Q47" s="97">
        <v>201.8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07">
        <v>5.89</v>
      </c>
      <c r="F49" s="82">
        <v>4.92</v>
      </c>
      <c r="G49" s="82">
        <v>5.51</v>
      </c>
      <c r="H49" s="97"/>
      <c r="I49" s="97">
        <v>4.95</v>
      </c>
      <c r="J49" s="82"/>
      <c r="K49" s="82">
        <v>5.48</v>
      </c>
      <c r="L49" s="97">
        <v>4.82</v>
      </c>
      <c r="M49" s="97">
        <v>5.54</v>
      </c>
      <c r="N49" s="82"/>
      <c r="O49" s="82">
        <v>5.13</v>
      </c>
      <c r="P49" s="97" t="s">
        <v>101</v>
      </c>
      <c r="Q49" s="97">
        <v>5.51</v>
      </c>
    </row>
    <row r="50" spans="2:17" ht="20.100000000000001" customHeight="1" x14ac:dyDescent="0.25">
      <c r="B50" s="156" t="s">
        <v>51</v>
      </c>
      <c r="C50" s="156"/>
      <c r="D50" s="156"/>
      <c r="E50" s="107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06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13559-FB75-4E98-BCDB-EDA5F51C5B35}">
  <dimension ref="B1:Q59"/>
  <sheetViews>
    <sheetView view="pageBreakPreview" zoomScale="85" zoomScaleNormal="60" zoomScaleSheetLayoutView="85" workbookViewId="0">
      <selection activeCell="N57" sqref="N57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09" t="s">
        <v>78</v>
      </c>
      <c r="E10" s="83"/>
      <c r="F10" s="93"/>
      <c r="G10" s="94" t="s">
        <v>100</v>
      </c>
      <c r="H10" s="96" t="s">
        <v>100</v>
      </c>
      <c r="I10" s="96" t="s">
        <v>100</v>
      </c>
      <c r="J10" s="93"/>
      <c r="K10" s="94" t="s">
        <v>100</v>
      </c>
      <c r="L10" s="96"/>
      <c r="M10" s="96" t="s">
        <v>100</v>
      </c>
      <c r="N10" s="94" t="s">
        <v>100</v>
      </c>
      <c r="O10" s="94" t="s">
        <v>100</v>
      </c>
      <c r="P10" s="96"/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/>
      <c r="G11" s="82">
        <v>73.5</v>
      </c>
      <c r="H11" s="97">
        <v>81.099999999999994</v>
      </c>
      <c r="I11" s="97">
        <v>75.900000000000006</v>
      </c>
      <c r="J11" s="82"/>
      <c r="K11" s="82">
        <v>75.400000000000006</v>
      </c>
      <c r="L11" s="97"/>
      <c r="M11" s="97">
        <v>75.5</v>
      </c>
      <c r="N11" s="82">
        <v>73.7</v>
      </c>
      <c r="O11" s="82">
        <v>73.099999999999994</v>
      </c>
      <c r="P11" s="97"/>
      <c r="Q11" s="97">
        <v>78.2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/>
      <c r="G12" s="82">
        <v>0.6</v>
      </c>
      <c r="H12" s="97">
        <v>0</v>
      </c>
      <c r="I12" s="97">
        <v>0</v>
      </c>
      <c r="J12" s="82"/>
      <c r="K12" s="82">
        <v>0</v>
      </c>
      <c r="L12" s="97"/>
      <c r="M12" s="97">
        <v>0.1</v>
      </c>
      <c r="N12" s="82">
        <v>0</v>
      </c>
      <c r="O12" s="82">
        <v>0</v>
      </c>
      <c r="P12" s="97"/>
      <c r="Q12" s="97">
        <v>0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/>
      <c r="G13" s="82">
        <v>68.2</v>
      </c>
      <c r="H13" s="97">
        <v>78.099999999999994</v>
      </c>
      <c r="I13" s="97">
        <v>71.3</v>
      </c>
      <c r="J13" s="82"/>
      <c r="K13" s="82">
        <v>69</v>
      </c>
      <c r="L13" s="97"/>
      <c r="M13" s="97">
        <v>69.7</v>
      </c>
      <c r="N13" s="82">
        <v>67.8</v>
      </c>
      <c r="O13" s="82">
        <v>67.400000000000006</v>
      </c>
      <c r="P13" s="97"/>
      <c r="Q13" s="97">
        <v>73.5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/>
      <c r="G14" s="82">
        <v>67.900000000000006</v>
      </c>
      <c r="H14" s="97">
        <v>66.400000000000006</v>
      </c>
      <c r="I14" s="97">
        <v>71.400000000000006</v>
      </c>
      <c r="J14" s="82"/>
      <c r="K14" s="82">
        <v>69.599999999999994</v>
      </c>
      <c r="L14" s="97"/>
      <c r="M14" s="97">
        <v>68.099999999999994</v>
      </c>
      <c r="N14" s="82">
        <v>70.8</v>
      </c>
      <c r="O14" s="82">
        <v>76</v>
      </c>
      <c r="P14" s="97"/>
      <c r="Q14" s="97">
        <v>74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/>
      <c r="G15" s="82">
        <v>56.9</v>
      </c>
      <c r="H15" s="97">
        <v>52.1</v>
      </c>
      <c r="I15" s="97">
        <v>56.2</v>
      </c>
      <c r="J15" s="82"/>
      <c r="K15" s="82">
        <v>39.299999999999997</v>
      </c>
      <c r="L15" s="97"/>
      <c r="M15" s="97">
        <v>37.5</v>
      </c>
      <c r="N15" s="82">
        <v>55.1</v>
      </c>
      <c r="O15" s="82">
        <v>50.7</v>
      </c>
      <c r="P15" s="97"/>
      <c r="Q15" s="97">
        <v>45.2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>
        <v>6.6</v>
      </c>
      <c r="G16" s="82">
        <v>6.6</v>
      </c>
      <c r="H16" s="82">
        <v>6.6</v>
      </c>
      <c r="I16" s="82">
        <v>6.6</v>
      </c>
      <c r="J16" s="82">
        <v>6.6</v>
      </c>
      <c r="K16" s="82">
        <v>6.6</v>
      </c>
      <c r="L16" s="82">
        <v>6.6</v>
      </c>
      <c r="M16" s="82">
        <v>6.6</v>
      </c>
      <c r="N16" s="82">
        <v>6.6</v>
      </c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/>
      <c r="G17" s="82">
        <v>118.2</v>
      </c>
      <c r="H17" s="97">
        <v>119.9</v>
      </c>
      <c r="I17" s="97">
        <v>117.2</v>
      </c>
      <c r="J17" s="82"/>
      <c r="K17" s="82">
        <v>117.8</v>
      </c>
      <c r="L17" s="97"/>
      <c r="M17" s="97">
        <v>118.8</v>
      </c>
      <c r="N17" s="82">
        <v>118.6</v>
      </c>
      <c r="O17" s="82">
        <v>117.5</v>
      </c>
      <c r="P17" s="97"/>
      <c r="Q17" s="97">
        <v>118.1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/>
      <c r="G18" s="82">
        <v>1159</v>
      </c>
      <c r="H18" s="97">
        <v>1216</v>
      </c>
      <c r="I18" s="97">
        <v>1186</v>
      </c>
      <c r="J18" s="82"/>
      <c r="K18" s="82">
        <v>1191</v>
      </c>
      <c r="L18" s="97"/>
      <c r="M18" s="97">
        <v>1204</v>
      </c>
      <c r="N18" s="82">
        <v>1212</v>
      </c>
      <c r="O18" s="82">
        <v>1187</v>
      </c>
      <c r="P18" s="97"/>
      <c r="Q18" s="97">
        <v>1192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/>
      <c r="G19" s="82">
        <v>45901.9</v>
      </c>
      <c r="H19" s="97">
        <v>46795.3</v>
      </c>
      <c r="I19" s="97">
        <v>46661.9</v>
      </c>
      <c r="J19" s="82"/>
      <c r="K19" s="82">
        <v>44436</v>
      </c>
      <c r="L19" s="97"/>
      <c r="M19" s="97">
        <v>46687.5</v>
      </c>
      <c r="N19" s="82">
        <v>46149.7</v>
      </c>
      <c r="O19" s="82">
        <v>46014.8</v>
      </c>
      <c r="P19" s="97"/>
      <c r="Q19" s="97">
        <v>47789.5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/>
      <c r="G22" s="82">
        <v>58</v>
      </c>
      <c r="H22" s="97">
        <v>59.3</v>
      </c>
      <c r="I22" s="97">
        <v>59</v>
      </c>
      <c r="J22" s="82"/>
      <c r="K22" s="82">
        <v>58</v>
      </c>
      <c r="L22" s="97"/>
      <c r="M22" s="97">
        <v>57.7</v>
      </c>
      <c r="N22" s="82">
        <v>58.6</v>
      </c>
      <c r="O22" s="82">
        <v>58.6</v>
      </c>
      <c r="P22" s="97"/>
      <c r="Q22" s="97">
        <v>59.1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/>
      <c r="G23" s="82">
        <v>0.52</v>
      </c>
      <c r="H23" s="97">
        <v>0.49</v>
      </c>
      <c r="I23" s="97">
        <v>0.5</v>
      </c>
      <c r="J23" s="82"/>
      <c r="K23" s="82">
        <v>0.59</v>
      </c>
      <c r="L23" s="97"/>
      <c r="M23" s="97">
        <v>0.53</v>
      </c>
      <c r="N23" s="82">
        <v>0.48</v>
      </c>
      <c r="O23" s="82">
        <v>0.48</v>
      </c>
      <c r="P23" s="97"/>
      <c r="Q23" s="97">
        <v>0.47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82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/>
      <c r="G25" s="82">
        <v>44.9</v>
      </c>
      <c r="H25" s="97">
        <v>45</v>
      </c>
      <c r="I25" s="97">
        <v>45</v>
      </c>
      <c r="J25" s="82"/>
      <c r="K25" s="82">
        <v>44.9</v>
      </c>
      <c r="L25" s="97"/>
      <c r="M25" s="97">
        <v>45</v>
      </c>
      <c r="N25" s="82">
        <v>44.9</v>
      </c>
      <c r="O25" s="82">
        <v>44.9</v>
      </c>
      <c r="P25" s="97"/>
      <c r="Q25" s="97">
        <v>45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/>
      <c r="G26" s="82">
        <v>0.26</v>
      </c>
      <c r="H26" s="97">
        <v>0.22</v>
      </c>
      <c r="I26" s="97">
        <v>0.22</v>
      </c>
      <c r="J26" s="82"/>
      <c r="K26" s="82">
        <v>0.26</v>
      </c>
      <c r="L26" s="97"/>
      <c r="M26" s="97">
        <v>0.22</v>
      </c>
      <c r="N26" s="82">
        <v>0.23</v>
      </c>
      <c r="O26" s="82">
        <v>0.23</v>
      </c>
      <c r="P26" s="97"/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/>
      <c r="G27" s="82">
        <v>3.9</v>
      </c>
      <c r="H27" s="97">
        <v>3.6</v>
      </c>
      <c r="I27" s="97">
        <v>4.3</v>
      </c>
      <c r="J27" s="82"/>
      <c r="K27" s="82">
        <v>4</v>
      </c>
      <c r="L27" s="97"/>
      <c r="M27" s="97">
        <v>4.3</v>
      </c>
      <c r="N27" s="82">
        <v>5.2</v>
      </c>
      <c r="O27" s="82">
        <v>4.5999999999999996</v>
      </c>
      <c r="P27" s="97"/>
      <c r="Q27" s="97">
        <v>3.8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/>
      <c r="G28" s="82">
        <v>3.3</v>
      </c>
      <c r="H28" s="97">
        <v>2.8</v>
      </c>
      <c r="I28" s="97">
        <v>3.2</v>
      </c>
      <c r="J28" s="82"/>
      <c r="K28" s="82">
        <v>3.2</v>
      </c>
      <c r="L28" s="97"/>
      <c r="M28" s="97">
        <v>3.2</v>
      </c>
      <c r="N28" s="82">
        <v>4</v>
      </c>
      <c r="O28" s="82">
        <v>3.2</v>
      </c>
      <c r="P28" s="97"/>
      <c r="Q28" s="97">
        <v>3.2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/>
      <c r="G29" s="98">
        <f t="shared" ref="G29:Q29" si="0">G32-G27</f>
        <v>0.30000000000000027</v>
      </c>
      <c r="H29" s="98">
        <f t="shared" si="0"/>
        <v>1.8000000000000003</v>
      </c>
      <c r="I29" s="98">
        <f t="shared" si="0"/>
        <v>1.1000000000000005</v>
      </c>
      <c r="J29" s="98">
        <f t="shared" si="0"/>
        <v>0</v>
      </c>
      <c r="K29" s="98">
        <f t="shared" si="0"/>
        <v>0.20000000000000018</v>
      </c>
      <c r="L29" s="98">
        <f t="shared" si="0"/>
        <v>0</v>
      </c>
      <c r="M29" s="98">
        <f t="shared" si="0"/>
        <v>0.20000000000000018</v>
      </c>
      <c r="N29" s="98">
        <f t="shared" si="0"/>
        <v>0.20000000000000018</v>
      </c>
      <c r="O29" s="98">
        <f t="shared" si="0"/>
        <v>0.10000000000000053</v>
      </c>
      <c r="P29" s="98">
        <f t="shared" si="0"/>
        <v>0</v>
      </c>
      <c r="Q29" s="98">
        <f t="shared" si="0"/>
        <v>0.70000000000000018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/>
      <c r="G30" s="82">
        <v>632.9</v>
      </c>
      <c r="H30" s="97">
        <v>734.4</v>
      </c>
      <c r="I30" s="97">
        <v>649.6</v>
      </c>
      <c r="J30" s="82"/>
      <c r="K30" s="82">
        <v>649.1</v>
      </c>
      <c r="L30" s="97"/>
      <c r="M30" s="97">
        <v>650.79999999999995</v>
      </c>
      <c r="N30" s="82">
        <v>768.8</v>
      </c>
      <c r="O30" s="82">
        <v>636.29999999999995</v>
      </c>
      <c r="P30" s="97"/>
      <c r="Q30" s="97">
        <v>636.29999999999995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/>
      <c r="G31" s="82">
        <v>13.7</v>
      </c>
      <c r="H31" s="97">
        <v>13.2</v>
      </c>
      <c r="I31" s="97">
        <v>13.9</v>
      </c>
      <c r="J31" s="82"/>
      <c r="K31" s="82">
        <v>13.1</v>
      </c>
      <c r="L31" s="97"/>
      <c r="M31" s="97">
        <v>13.6</v>
      </c>
      <c r="N31" s="82">
        <v>13.3</v>
      </c>
      <c r="O31" s="82">
        <v>13.8</v>
      </c>
      <c r="P31" s="97"/>
      <c r="Q31" s="97">
        <v>13.6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/>
      <c r="G32" s="82">
        <v>4.2</v>
      </c>
      <c r="H32" s="97">
        <v>5.4</v>
      </c>
      <c r="I32" s="97">
        <v>5.4</v>
      </c>
      <c r="J32" s="82"/>
      <c r="K32" s="82">
        <v>4.2</v>
      </c>
      <c r="L32" s="97"/>
      <c r="M32" s="97">
        <v>4.5</v>
      </c>
      <c r="N32" s="82">
        <v>5.4</v>
      </c>
      <c r="O32" s="82">
        <v>4.7</v>
      </c>
      <c r="P32" s="97"/>
      <c r="Q32" s="97">
        <v>4.5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/>
      <c r="G33" s="98">
        <f>G31-G32</f>
        <v>9.5</v>
      </c>
      <c r="H33" s="98">
        <f t="shared" ref="H33:Q33" si="1">H31-H32</f>
        <v>7.7999999999999989</v>
      </c>
      <c r="I33" s="98">
        <f t="shared" si="1"/>
        <v>8.5</v>
      </c>
      <c r="J33" s="98">
        <f t="shared" si="1"/>
        <v>0</v>
      </c>
      <c r="K33" s="98">
        <f t="shared" si="1"/>
        <v>8.8999999999999986</v>
      </c>
      <c r="L33" s="98"/>
      <c r="M33" s="98">
        <f t="shared" si="1"/>
        <v>9.1</v>
      </c>
      <c r="N33" s="98">
        <f t="shared" si="1"/>
        <v>7.9</v>
      </c>
      <c r="O33" s="98">
        <f t="shared" si="1"/>
        <v>9.1000000000000014</v>
      </c>
      <c r="P33" s="98"/>
      <c r="Q33" s="98">
        <f t="shared" si="1"/>
        <v>9.1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0</v>
      </c>
      <c r="G34" s="99">
        <f>(G33*G30)/0.866</f>
        <v>6942.8983833718248</v>
      </c>
      <c r="H34" s="99">
        <f t="shared" ref="H34:Q34" si="2">(H33*H30)/0.866</f>
        <v>6614.688221709006</v>
      </c>
      <c r="I34" s="99">
        <f t="shared" si="2"/>
        <v>6375.9815242494233</v>
      </c>
      <c r="J34" s="99">
        <f t="shared" si="2"/>
        <v>0</v>
      </c>
      <c r="K34" s="99">
        <f t="shared" si="2"/>
        <v>6670.8891454965342</v>
      </c>
      <c r="L34" s="99">
        <f t="shared" si="2"/>
        <v>0</v>
      </c>
      <c r="M34" s="99">
        <f t="shared" si="2"/>
        <v>6838.6605080831405</v>
      </c>
      <c r="N34" s="99">
        <f t="shared" si="2"/>
        <v>7013.3025404157042</v>
      </c>
      <c r="O34" s="99">
        <f t="shared" si="2"/>
        <v>6686.2933025404163</v>
      </c>
      <c r="P34" s="99">
        <f t="shared" si="2"/>
        <v>0</v>
      </c>
      <c r="Q34" s="99">
        <f t="shared" si="2"/>
        <v>6686.2933025404145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/>
      <c r="G35" s="82">
        <v>0.82</v>
      </c>
      <c r="H35" s="97">
        <v>0.86</v>
      </c>
      <c r="I35" s="97">
        <v>0.85</v>
      </c>
      <c r="J35" s="82"/>
      <c r="K35" s="82">
        <v>0.83</v>
      </c>
      <c r="L35" s="97"/>
      <c r="M35" s="97">
        <v>0.82</v>
      </c>
      <c r="N35" s="82">
        <v>0.83</v>
      </c>
      <c r="O35" s="82">
        <v>0.83</v>
      </c>
      <c r="P35" s="97"/>
      <c r="Q35" s="97">
        <v>0.82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/>
      <c r="G36" s="82">
        <v>35.200000000000003</v>
      </c>
      <c r="H36" s="97">
        <v>37.200000000000003</v>
      </c>
      <c r="I36" s="97">
        <v>36.200000000000003</v>
      </c>
      <c r="J36" s="82"/>
      <c r="K36" s="82">
        <v>35.4</v>
      </c>
      <c r="L36" s="97"/>
      <c r="M36" s="97">
        <v>36.700000000000003</v>
      </c>
      <c r="N36" s="82">
        <v>36.6</v>
      </c>
      <c r="O36" s="82">
        <v>35.700000000000003</v>
      </c>
      <c r="P36" s="97"/>
      <c r="Q36" s="97">
        <v>35.299999999999997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/>
      <c r="G37" s="82">
        <v>35.5</v>
      </c>
      <c r="H37" s="97">
        <v>38.1</v>
      </c>
      <c r="I37" s="97">
        <v>37</v>
      </c>
      <c r="J37" s="82"/>
      <c r="K37" s="82">
        <v>36.1</v>
      </c>
      <c r="L37" s="97"/>
      <c r="M37" s="97">
        <v>36.6</v>
      </c>
      <c r="N37" s="82">
        <v>37</v>
      </c>
      <c r="O37" s="82">
        <v>36.1</v>
      </c>
      <c r="P37" s="97"/>
      <c r="Q37" s="97">
        <v>35.5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/>
      <c r="G38" s="98">
        <f>G37-G41</f>
        <v>2.1000000000000014</v>
      </c>
      <c r="H38" s="98">
        <f t="shared" ref="H38:Q38" si="3">H37-H41</f>
        <v>4.3000000000000043</v>
      </c>
      <c r="I38" s="98">
        <f t="shared" si="3"/>
        <v>4.2999999999999972</v>
      </c>
      <c r="J38" s="98">
        <f t="shared" si="3"/>
        <v>0</v>
      </c>
      <c r="K38" s="98">
        <f t="shared" si="3"/>
        <v>2.8000000000000043</v>
      </c>
      <c r="L38" s="98">
        <f t="shared" si="3"/>
        <v>0</v>
      </c>
      <c r="M38" s="98">
        <f t="shared" si="3"/>
        <v>3.5</v>
      </c>
      <c r="N38" s="98">
        <f t="shared" si="3"/>
        <v>2.5</v>
      </c>
      <c r="O38" s="98">
        <f t="shared" si="3"/>
        <v>2.3000000000000043</v>
      </c>
      <c r="P38" s="98">
        <f t="shared" si="3"/>
        <v>0</v>
      </c>
      <c r="Q38" s="98">
        <f t="shared" si="3"/>
        <v>2.3999999999999986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/>
      <c r="G40" s="82">
        <v>27.7</v>
      </c>
      <c r="H40" s="97">
        <v>28.8</v>
      </c>
      <c r="I40" s="97">
        <v>27.4</v>
      </c>
      <c r="J40" s="82"/>
      <c r="K40" s="82">
        <v>27.7</v>
      </c>
      <c r="L40" s="97"/>
      <c r="M40" s="97">
        <v>27.6</v>
      </c>
      <c r="N40" s="82">
        <v>28.5</v>
      </c>
      <c r="O40" s="82">
        <v>27.3</v>
      </c>
      <c r="P40" s="97"/>
      <c r="Q40" s="97">
        <v>27.5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/>
      <c r="G41" s="82">
        <v>33.4</v>
      </c>
      <c r="H41" s="97">
        <v>33.799999999999997</v>
      </c>
      <c r="I41" s="97">
        <v>32.700000000000003</v>
      </c>
      <c r="J41" s="82"/>
      <c r="K41" s="82">
        <v>33.299999999999997</v>
      </c>
      <c r="L41" s="97"/>
      <c r="M41" s="97">
        <v>33.1</v>
      </c>
      <c r="N41" s="82">
        <v>34.5</v>
      </c>
      <c r="O41" s="82">
        <v>33.799999999999997</v>
      </c>
      <c r="P41" s="97"/>
      <c r="Q41" s="97">
        <v>33.1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/>
      <c r="G42" s="98">
        <f>G41-G40</f>
        <v>5.6999999999999993</v>
      </c>
      <c r="H42" s="98">
        <f t="shared" ref="H42:Q42" si="4">H41-H40</f>
        <v>4.9999999999999964</v>
      </c>
      <c r="I42" s="98">
        <f t="shared" si="4"/>
        <v>5.3000000000000043</v>
      </c>
      <c r="J42" s="98">
        <f t="shared" si="4"/>
        <v>0</v>
      </c>
      <c r="K42" s="98">
        <f t="shared" si="4"/>
        <v>5.5999999999999979</v>
      </c>
      <c r="L42" s="98"/>
      <c r="M42" s="98">
        <f t="shared" si="4"/>
        <v>5.5</v>
      </c>
      <c r="N42" s="98">
        <f t="shared" si="4"/>
        <v>6</v>
      </c>
      <c r="O42" s="98">
        <f t="shared" si="4"/>
        <v>6.4999999999999964</v>
      </c>
      <c r="P42" s="98"/>
      <c r="Q42" s="98">
        <f t="shared" si="4"/>
        <v>5.6000000000000014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/>
      <c r="G43" s="82">
        <v>1262.9000000000001</v>
      </c>
      <c r="H43" s="97">
        <v>1300.8</v>
      </c>
      <c r="I43" s="97">
        <v>1301.7</v>
      </c>
      <c r="J43" s="82"/>
      <c r="K43" s="82">
        <v>1294.3</v>
      </c>
      <c r="L43" s="97"/>
      <c r="M43" s="97">
        <v>1240.5999999999999</v>
      </c>
      <c r="N43" s="82">
        <v>1169.9000000000001</v>
      </c>
      <c r="O43" s="82">
        <v>1088.3</v>
      </c>
      <c r="P43" s="97"/>
      <c r="Q43" s="97">
        <v>1265.0999999999999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0</v>
      </c>
      <c r="G44" s="99">
        <f>G42*G43/0.866</f>
        <v>8312.3903002309471</v>
      </c>
      <c r="H44" s="99">
        <f t="shared" ref="H44:Q44" si="5">H42*H43/0.866</f>
        <v>7510.3926096997639</v>
      </c>
      <c r="I44" s="99">
        <f t="shared" si="5"/>
        <v>7966.5242494226395</v>
      </c>
      <c r="J44" s="99">
        <f t="shared" si="5"/>
        <v>0</v>
      </c>
      <c r="K44" s="99">
        <f t="shared" si="5"/>
        <v>8369.6073903002271</v>
      </c>
      <c r="L44" s="99">
        <f t="shared" si="5"/>
        <v>0</v>
      </c>
      <c r="M44" s="99">
        <f t="shared" si="5"/>
        <v>7879.099307159353</v>
      </c>
      <c r="N44" s="99">
        <f t="shared" si="5"/>
        <v>8105.5427251732108</v>
      </c>
      <c r="O44" s="99">
        <f t="shared" si="5"/>
        <v>8168.5334872979174</v>
      </c>
      <c r="P44" s="99">
        <f t="shared" si="5"/>
        <v>0</v>
      </c>
      <c r="Q44" s="99">
        <f t="shared" si="5"/>
        <v>8180.7852193995395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/>
      <c r="G45" s="82">
        <v>0.46</v>
      </c>
      <c r="H45" s="97">
        <v>0.47</v>
      </c>
      <c r="I45" s="97">
        <v>0.47</v>
      </c>
      <c r="J45" s="82"/>
      <c r="K45" s="82">
        <v>0.46</v>
      </c>
      <c r="L45" s="97"/>
      <c r="M45" s="97">
        <v>0.47</v>
      </c>
      <c r="N45" s="82">
        <v>0.47</v>
      </c>
      <c r="O45" s="82">
        <v>0.46</v>
      </c>
      <c r="P45" s="97"/>
      <c r="Q45" s="97">
        <v>0.45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/>
      <c r="G46" s="82">
        <v>19.7</v>
      </c>
      <c r="H46" s="97">
        <v>19.8</v>
      </c>
      <c r="I46" s="97">
        <v>20.100000000000001</v>
      </c>
      <c r="J46" s="82"/>
      <c r="K46" s="82">
        <v>19.5</v>
      </c>
      <c r="L46" s="97"/>
      <c r="M46" s="97">
        <v>19.8</v>
      </c>
      <c r="N46" s="82">
        <v>20.3</v>
      </c>
      <c r="O46" s="82">
        <v>19.399999999999999</v>
      </c>
      <c r="P46" s="97"/>
      <c r="Q46" s="97">
        <v>19.2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/>
      <c r="G47" s="82">
        <v>197.1</v>
      </c>
      <c r="H47" s="97">
        <v>121.2</v>
      </c>
      <c r="I47" s="97">
        <v>133</v>
      </c>
      <c r="J47" s="82"/>
      <c r="K47" s="82">
        <v>211.5</v>
      </c>
      <c r="L47" s="97"/>
      <c r="M47" s="97">
        <v>206.8</v>
      </c>
      <c r="N47" s="82">
        <v>157.6</v>
      </c>
      <c r="O47" s="82">
        <v>161.6</v>
      </c>
      <c r="P47" s="97"/>
      <c r="Q47" s="97">
        <v>193.2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09">
        <v>5.89</v>
      </c>
      <c r="F49" s="82"/>
      <c r="G49" s="82">
        <v>5.86</v>
      </c>
      <c r="H49" s="97">
        <v>4.83</v>
      </c>
      <c r="I49" s="97">
        <v>5.41</v>
      </c>
      <c r="J49" s="82"/>
      <c r="K49" s="82">
        <v>5.55</v>
      </c>
      <c r="L49" s="97"/>
      <c r="M49" s="97">
        <v>5.49</v>
      </c>
      <c r="N49" s="82">
        <v>4.76</v>
      </c>
      <c r="O49" s="82">
        <v>5.71</v>
      </c>
      <c r="P49" s="97" t="s">
        <v>101</v>
      </c>
      <c r="Q49" s="97">
        <v>5.5</v>
      </c>
    </row>
    <row r="50" spans="2:17" ht="20.100000000000001" customHeight="1" x14ac:dyDescent="0.25">
      <c r="B50" s="156" t="s">
        <v>51</v>
      </c>
      <c r="C50" s="156"/>
      <c r="D50" s="156"/>
      <c r="E50" s="109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08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D3D21-F650-4144-8B1F-314B4BA08CAE}">
  <dimension ref="B1:Q59"/>
  <sheetViews>
    <sheetView view="pageBreakPreview" topLeftCell="B21" zoomScale="85" zoomScaleNormal="60" zoomScaleSheetLayoutView="85" workbookViewId="0">
      <selection activeCell="P38" sqref="P38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11" t="s">
        <v>78</v>
      </c>
      <c r="E10" s="83"/>
      <c r="F10" s="94" t="s">
        <v>100</v>
      </c>
      <c r="G10" s="94" t="s">
        <v>100</v>
      </c>
      <c r="H10" s="96" t="s">
        <v>100</v>
      </c>
      <c r="I10" s="96" t="s">
        <v>100</v>
      </c>
      <c r="J10" s="93"/>
      <c r="K10" s="94" t="s">
        <v>100</v>
      </c>
      <c r="L10" s="96"/>
      <c r="M10" s="96" t="s">
        <v>100</v>
      </c>
      <c r="N10" s="94" t="s">
        <v>100</v>
      </c>
      <c r="O10" s="94" t="s">
        <v>100</v>
      </c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>
        <v>70.2</v>
      </c>
      <c r="G11" s="82">
        <v>68.599999999999994</v>
      </c>
      <c r="H11" s="97"/>
      <c r="I11" s="97">
        <v>75.2</v>
      </c>
      <c r="J11" s="82"/>
      <c r="K11" s="82">
        <v>73.5</v>
      </c>
      <c r="L11" s="97"/>
      <c r="M11" s="97">
        <v>73.099999999999994</v>
      </c>
      <c r="N11" s="82"/>
      <c r="O11" s="82">
        <v>71.900000000000006</v>
      </c>
      <c r="P11" s="97">
        <v>77.3</v>
      </c>
      <c r="Q11" s="97">
        <v>77.2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>
        <v>0.3</v>
      </c>
      <c r="G12" s="82">
        <v>0.3</v>
      </c>
      <c r="H12" s="97"/>
      <c r="I12" s="97">
        <v>0</v>
      </c>
      <c r="J12" s="82"/>
      <c r="K12" s="82">
        <v>0</v>
      </c>
      <c r="L12" s="97"/>
      <c r="M12" s="97">
        <v>0.2</v>
      </c>
      <c r="N12" s="82"/>
      <c r="O12" s="82">
        <v>0</v>
      </c>
      <c r="P12" s="97">
        <v>0.3</v>
      </c>
      <c r="Q12" s="97">
        <v>0.3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>
        <v>64.5</v>
      </c>
      <c r="G13" s="82">
        <v>51.9</v>
      </c>
      <c r="H13" s="97"/>
      <c r="I13" s="97">
        <v>70.099999999999994</v>
      </c>
      <c r="J13" s="82"/>
      <c r="K13" s="82">
        <v>68.3</v>
      </c>
      <c r="L13" s="97"/>
      <c r="M13" s="97">
        <v>67.900000000000006</v>
      </c>
      <c r="N13" s="82"/>
      <c r="O13" s="82">
        <v>66.3</v>
      </c>
      <c r="P13" s="97">
        <v>72.8</v>
      </c>
      <c r="Q13" s="97">
        <v>72.7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>
        <v>64.099999999999994</v>
      </c>
      <c r="G14" s="82">
        <v>70.8</v>
      </c>
      <c r="H14" s="97"/>
      <c r="I14" s="97">
        <v>69.3</v>
      </c>
      <c r="J14" s="82"/>
      <c r="K14" s="82">
        <v>63.7</v>
      </c>
      <c r="L14" s="97"/>
      <c r="M14" s="97">
        <v>67.599999999999994</v>
      </c>
      <c r="N14" s="82"/>
      <c r="O14" s="82">
        <v>73.599999999999994</v>
      </c>
      <c r="P14" s="97">
        <v>69.7</v>
      </c>
      <c r="Q14" s="97">
        <v>73.599999999999994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>
        <v>56.9</v>
      </c>
      <c r="G15" s="82">
        <v>64.5</v>
      </c>
      <c r="H15" s="97"/>
      <c r="I15" s="97">
        <v>50.4</v>
      </c>
      <c r="J15" s="82"/>
      <c r="K15" s="82">
        <v>37.5</v>
      </c>
      <c r="L15" s="97"/>
      <c r="M15" s="97">
        <v>32.4</v>
      </c>
      <c r="N15" s="82"/>
      <c r="O15" s="82"/>
      <c r="P15" s="97">
        <v>39.1</v>
      </c>
      <c r="Q15" s="97">
        <v>41.4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>
        <v>6.6</v>
      </c>
      <c r="G16" s="82">
        <v>6.6</v>
      </c>
      <c r="H16" s="82"/>
      <c r="I16" s="82">
        <v>6.6</v>
      </c>
      <c r="J16" s="82"/>
      <c r="K16" s="82">
        <v>6.6</v>
      </c>
      <c r="L16" s="82"/>
      <c r="M16" s="82">
        <v>6.6</v>
      </c>
      <c r="N16" s="82"/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>
        <v>118.9</v>
      </c>
      <c r="G17" s="82">
        <v>117.4</v>
      </c>
      <c r="H17" s="97"/>
      <c r="I17" s="97">
        <v>116.9</v>
      </c>
      <c r="J17" s="82"/>
      <c r="K17" s="82">
        <v>116.2</v>
      </c>
      <c r="L17" s="97"/>
      <c r="M17" s="97">
        <v>117.3</v>
      </c>
      <c r="N17" s="82"/>
      <c r="O17" s="82">
        <v>118.1</v>
      </c>
      <c r="P17" s="97">
        <v>120.8</v>
      </c>
      <c r="Q17" s="97">
        <v>117.8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>
        <v>1167</v>
      </c>
      <c r="G18" s="82">
        <v>1150</v>
      </c>
      <c r="H18" s="97"/>
      <c r="I18" s="97">
        <v>1189</v>
      </c>
      <c r="J18" s="82"/>
      <c r="K18" s="82">
        <v>1188</v>
      </c>
      <c r="L18" s="97"/>
      <c r="M18" s="97">
        <v>1191</v>
      </c>
      <c r="N18" s="82"/>
      <c r="O18" s="82">
        <v>1202</v>
      </c>
      <c r="P18" s="97">
        <v>1223</v>
      </c>
      <c r="Q18" s="97">
        <v>1197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>
        <v>46062.9</v>
      </c>
      <c r="G19" s="82">
        <v>45912</v>
      </c>
      <c r="H19" s="97"/>
      <c r="I19" s="97">
        <v>46684</v>
      </c>
      <c r="J19" s="82"/>
      <c r="K19" s="82">
        <v>44446</v>
      </c>
      <c r="L19" s="97"/>
      <c r="M19" s="97">
        <v>46698</v>
      </c>
      <c r="N19" s="82"/>
      <c r="O19" s="82">
        <v>46037</v>
      </c>
      <c r="P19" s="97">
        <v>47927.5</v>
      </c>
      <c r="Q19" s="97">
        <v>47799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>
        <v>58.1</v>
      </c>
      <c r="G22" s="82">
        <v>58.6</v>
      </c>
      <c r="H22" s="97"/>
      <c r="I22" s="97">
        <v>59.2</v>
      </c>
      <c r="J22" s="82"/>
      <c r="K22" s="82">
        <v>58.2</v>
      </c>
      <c r="L22" s="97"/>
      <c r="M22" s="97">
        <v>57.2</v>
      </c>
      <c r="N22" s="82"/>
      <c r="O22" s="82">
        <v>58.9</v>
      </c>
      <c r="P22" s="97">
        <v>59.4</v>
      </c>
      <c r="Q22" s="97">
        <v>59.4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>
        <v>0.53</v>
      </c>
      <c r="G23" s="82">
        <v>0.53</v>
      </c>
      <c r="H23" s="97"/>
      <c r="I23" s="97">
        <v>0.5</v>
      </c>
      <c r="J23" s="82"/>
      <c r="K23" s="82">
        <v>0.53</v>
      </c>
      <c r="L23" s="97"/>
      <c r="M23" s="97">
        <v>0.59</v>
      </c>
      <c r="N23" s="82"/>
      <c r="O23" s="82">
        <v>0.53</v>
      </c>
      <c r="P23" s="97">
        <v>0.48</v>
      </c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82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>
        <v>44.8</v>
      </c>
      <c r="G25" s="82">
        <v>45</v>
      </c>
      <c r="H25" s="97"/>
      <c r="I25" s="97">
        <v>44.8</v>
      </c>
      <c r="J25" s="82"/>
      <c r="K25" s="82">
        <v>44.3</v>
      </c>
      <c r="L25" s="97"/>
      <c r="M25" s="97">
        <v>45</v>
      </c>
      <c r="N25" s="82"/>
      <c r="O25" s="82">
        <v>44.6</v>
      </c>
      <c r="P25" s="97">
        <v>44.8</v>
      </c>
      <c r="Q25" s="97"/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>
        <v>0.21</v>
      </c>
      <c r="G26" s="82">
        <v>0.28000000000000003</v>
      </c>
      <c r="H26" s="97"/>
      <c r="I26" s="97">
        <v>0.22</v>
      </c>
      <c r="J26" s="82"/>
      <c r="K26" s="82">
        <v>0.23</v>
      </c>
      <c r="L26" s="97"/>
      <c r="M26" s="97">
        <v>0.23</v>
      </c>
      <c r="N26" s="82"/>
      <c r="O26" s="82">
        <v>0.21</v>
      </c>
      <c r="P26" s="97">
        <v>0.23</v>
      </c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>
        <v>4.8</v>
      </c>
      <c r="G27" s="82">
        <v>4.5999999999999996</v>
      </c>
      <c r="H27" s="97"/>
      <c r="I27" s="97">
        <v>4.3</v>
      </c>
      <c r="J27" s="82"/>
      <c r="K27" s="82">
        <v>4.5</v>
      </c>
      <c r="L27" s="97"/>
      <c r="M27" s="97">
        <v>4.2</v>
      </c>
      <c r="N27" s="82"/>
      <c r="O27" s="82">
        <v>5</v>
      </c>
      <c r="P27" s="97">
        <v>4.5999999999999996</v>
      </c>
      <c r="Q27" s="97">
        <v>4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>
        <v>4.4000000000000004</v>
      </c>
      <c r="G28" s="82">
        <v>4.2</v>
      </c>
      <c r="H28" s="97"/>
      <c r="I28" s="97">
        <v>3.3</v>
      </c>
      <c r="J28" s="82"/>
      <c r="K28" s="82">
        <v>3.6</v>
      </c>
      <c r="L28" s="97"/>
      <c r="M28" s="97">
        <v>3.5</v>
      </c>
      <c r="N28" s="82"/>
      <c r="O28" s="82">
        <v>3.7</v>
      </c>
      <c r="P28" s="97">
        <v>3.9</v>
      </c>
      <c r="Q28" s="97">
        <v>3.4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>
        <f t="shared" ref="F29:Q29" si="0">F32-F27</f>
        <v>0.5</v>
      </c>
      <c r="G29" s="98">
        <f t="shared" si="0"/>
        <v>0</v>
      </c>
      <c r="H29" s="98">
        <f t="shared" si="0"/>
        <v>0</v>
      </c>
      <c r="I29" s="98">
        <f t="shared" si="0"/>
        <v>0.29999999999999982</v>
      </c>
      <c r="J29" s="98">
        <f t="shared" si="0"/>
        <v>0</v>
      </c>
      <c r="K29" s="98">
        <f t="shared" si="0"/>
        <v>0.20000000000000018</v>
      </c>
      <c r="L29" s="98">
        <f t="shared" si="0"/>
        <v>0</v>
      </c>
      <c r="M29" s="98">
        <f t="shared" si="0"/>
        <v>0.39999999999999947</v>
      </c>
      <c r="N29" s="98">
        <f t="shared" si="0"/>
        <v>0</v>
      </c>
      <c r="O29" s="98">
        <f t="shared" si="0"/>
        <v>-0.20000000000000018</v>
      </c>
      <c r="P29" s="98">
        <f t="shared" si="0"/>
        <v>1</v>
      </c>
      <c r="Q29" s="98">
        <f t="shared" si="0"/>
        <v>1.0999999999999996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>
        <v>762.3</v>
      </c>
      <c r="G30" s="82">
        <v>706.96</v>
      </c>
      <c r="H30" s="97"/>
      <c r="I30" s="97">
        <v>680.16</v>
      </c>
      <c r="J30" s="82"/>
      <c r="K30" s="82">
        <v>664.72</v>
      </c>
      <c r="L30" s="97"/>
      <c r="M30" s="97">
        <v>700.64</v>
      </c>
      <c r="N30" s="82"/>
      <c r="O30" s="82">
        <v>709.44</v>
      </c>
      <c r="P30" s="97">
        <v>746.1</v>
      </c>
      <c r="Q30" s="97">
        <v>689.36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>
        <v>13</v>
      </c>
      <c r="G31" s="82">
        <v>12.8</v>
      </c>
      <c r="H31" s="97"/>
      <c r="I31" s="97">
        <v>12.8</v>
      </c>
      <c r="J31" s="82"/>
      <c r="K31" s="82">
        <v>13.5</v>
      </c>
      <c r="L31" s="97"/>
      <c r="M31" s="97">
        <v>13.2</v>
      </c>
      <c r="N31" s="82"/>
      <c r="O31" s="82">
        <v>12.9</v>
      </c>
      <c r="P31" s="97">
        <v>13.1</v>
      </c>
      <c r="Q31" s="97">
        <v>13.1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>
        <v>5.3</v>
      </c>
      <c r="G32" s="82">
        <v>4.5999999999999996</v>
      </c>
      <c r="H32" s="97"/>
      <c r="I32" s="97">
        <v>4.5999999999999996</v>
      </c>
      <c r="J32" s="82"/>
      <c r="K32" s="82">
        <v>4.7</v>
      </c>
      <c r="L32" s="97"/>
      <c r="M32" s="97">
        <v>4.5999999999999996</v>
      </c>
      <c r="N32" s="82"/>
      <c r="O32" s="82">
        <v>4.8</v>
      </c>
      <c r="P32" s="97">
        <v>5.6</v>
      </c>
      <c r="Q32" s="97">
        <v>5.0999999999999996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7.7</v>
      </c>
      <c r="G33" s="98">
        <f>G31-G32</f>
        <v>8.2000000000000011</v>
      </c>
      <c r="H33" s="98">
        <f t="shared" ref="H33:Q33" si="1">H31-H32</f>
        <v>0</v>
      </c>
      <c r="I33" s="98">
        <f t="shared" si="1"/>
        <v>8.2000000000000011</v>
      </c>
      <c r="J33" s="98">
        <f t="shared" si="1"/>
        <v>0</v>
      </c>
      <c r="K33" s="98">
        <f t="shared" si="1"/>
        <v>8.8000000000000007</v>
      </c>
      <c r="L33" s="98"/>
      <c r="M33" s="98">
        <f t="shared" si="1"/>
        <v>8.6</v>
      </c>
      <c r="N33" s="98">
        <f t="shared" si="1"/>
        <v>0</v>
      </c>
      <c r="O33" s="98">
        <f t="shared" si="1"/>
        <v>8.1000000000000014</v>
      </c>
      <c r="P33" s="98">
        <f t="shared" si="1"/>
        <v>7.5</v>
      </c>
      <c r="Q33" s="98">
        <f t="shared" si="1"/>
        <v>8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6777.956120092379</v>
      </c>
      <c r="G34" s="99">
        <f>(G33*G30)/0.866</f>
        <v>6694.078521939955</v>
      </c>
      <c r="H34" s="99">
        <f t="shared" ref="H34:Q34" si="2">(H33*H30)/0.866</f>
        <v>0</v>
      </c>
      <c r="I34" s="99">
        <f t="shared" si="2"/>
        <v>6440.3140877598162</v>
      </c>
      <c r="J34" s="99">
        <f t="shared" si="2"/>
        <v>0</v>
      </c>
      <c r="K34" s="99">
        <f t="shared" si="2"/>
        <v>6754.6605080831423</v>
      </c>
      <c r="L34" s="99">
        <f t="shared" si="2"/>
        <v>0</v>
      </c>
      <c r="M34" s="99">
        <f t="shared" si="2"/>
        <v>6957.8568129330251</v>
      </c>
      <c r="N34" s="99">
        <f t="shared" si="2"/>
        <v>0</v>
      </c>
      <c r="O34" s="99">
        <f t="shared" si="2"/>
        <v>6635.6397228637434</v>
      </c>
      <c r="P34" s="99">
        <f t="shared" si="2"/>
        <v>6461.6050808314085</v>
      </c>
      <c r="Q34" s="99">
        <f t="shared" si="2"/>
        <v>6368.2217090069289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>
        <v>0.84</v>
      </c>
      <c r="G35" s="82">
        <v>0.82</v>
      </c>
      <c r="H35" s="97"/>
      <c r="I35" s="97">
        <v>0.85</v>
      </c>
      <c r="J35" s="82"/>
      <c r="K35" s="82">
        <v>0.83</v>
      </c>
      <c r="L35" s="97"/>
      <c r="M35" s="97">
        <v>0.84</v>
      </c>
      <c r="N35" s="82"/>
      <c r="O35" s="82">
        <v>0.83</v>
      </c>
      <c r="P35" s="97">
        <v>0.86</v>
      </c>
      <c r="Q35" s="97">
        <v>0.82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>
        <v>36.9</v>
      </c>
      <c r="G36" s="82">
        <v>36.299999999999997</v>
      </c>
      <c r="H36" s="97"/>
      <c r="I36" s="97">
        <v>37.1</v>
      </c>
      <c r="J36" s="82"/>
      <c r="K36" s="82">
        <v>36.299999999999997</v>
      </c>
      <c r="L36" s="97"/>
      <c r="M36" s="97">
        <v>37.5</v>
      </c>
      <c r="N36" s="82"/>
      <c r="O36" s="82">
        <v>36.799999999999997</v>
      </c>
      <c r="P36" s="97">
        <v>37.299999999999997</v>
      </c>
      <c r="Q36" s="97">
        <v>36.4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>
        <v>37.799999999999997</v>
      </c>
      <c r="G37" s="82">
        <v>36.5</v>
      </c>
      <c r="H37" s="97"/>
      <c r="I37" s="97">
        <v>37.799999999999997</v>
      </c>
      <c r="J37" s="82"/>
      <c r="K37" s="82">
        <v>37</v>
      </c>
      <c r="L37" s="97"/>
      <c r="M37" s="97">
        <v>37.4</v>
      </c>
      <c r="N37" s="82"/>
      <c r="O37" s="82">
        <v>37.1</v>
      </c>
      <c r="P37" s="97">
        <v>37.4</v>
      </c>
      <c r="Q37" s="97">
        <v>36.4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F37-F41</f>
        <v>2.5</v>
      </c>
      <c r="G38" s="98">
        <f>G37-G41</f>
        <v>3.1000000000000014</v>
      </c>
      <c r="H38" s="98">
        <f t="shared" ref="H38:Q38" si="3">H37-H41</f>
        <v>0</v>
      </c>
      <c r="I38" s="98">
        <f t="shared" si="3"/>
        <v>4.8999999999999986</v>
      </c>
      <c r="J38" s="98">
        <f t="shared" si="3"/>
        <v>0</v>
      </c>
      <c r="K38" s="98">
        <f t="shared" si="3"/>
        <v>3.7000000000000028</v>
      </c>
      <c r="L38" s="98">
        <f t="shared" si="3"/>
        <v>0</v>
      </c>
      <c r="M38" s="98">
        <f t="shared" si="3"/>
        <v>4.1999999999999957</v>
      </c>
      <c r="N38" s="98">
        <f t="shared" si="3"/>
        <v>0</v>
      </c>
      <c r="O38" s="98">
        <f t="shared" si="3"/>
        <v>3.3999999999999986</v>
      </c>
      <c r="P38" s="98">
        <f t="shared" si="3"/>
        <v>2.1000000000000014</v>
      </c>
      <c r="Q38" s="98">
        <f t="shared" si="3"/>
        <v>2.7999999999999972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>
        <v>29.3</v>
      </c>
      <c r="G40" s="82">
        <v>28.1</v>
      </c>
      <c r="H40" s="97"/>
      <c r="I40" s="97">
        <v>27.8</v>
      </c>
      <c r="J40" s="82"/>
      <c r="K40" s="82">
        <v>27.9</v>
      </c>
      <c r="L40" s="97"/>
      <c r="M40" s="97">
        <v>27.7</v>
      </c>
      <c r="N40" s="82"/>
      <c r="O40" s="82">
        <v>27.9</v>
      </c>
      <c r="P40" s="97">
        <v>29.1</v>
      </c>
      <c r="Q40" s="97">
        <v>28.1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>
        <v>35.299999999999997</v>
      </c>
      <c r="G41" s="82">
        <v>33.4</v>
      </c>
      <c r="H41" s="97"/>
      <c r="I41" s="97">
        <v>32.9</v>
      </c>
      <c r="J41" s="82"/>
      <c r="K41" s="82">
        <v>33.299999999999997</v>
      </c>
      <c r="L41" s="97"/>
      <c r="M41" s="97">
        <v>33.200000000000003</v>
      </c>
      <c r="N41" s="82"/>
      <c r="O41" s="82">
        <v>33.700000000000003</v>
      </c>
      <c r="P41" s="97">
        <v>35.299999999999997</v>
      </c>
      <c r="Q41" s="97">
        <v>33.6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5.9999999999999964</v>
      </c>
      <c r="G42" s="98">
        <f>G41-G40</f>
        <v>5.2999999999999972</v>
      </c>
      <c r="H42" s="98">
        <f t="shared" ref="H42:Q42" si="4">H41-H40</f>
        <v>0</v>
      </c>
      <c r="I42" s="98">
        <f t="shared" si="4"/>
        <v>5.0999999999999979</v>
      </c>
      <c r="J42" s="98">
        <f t="shared" si="4"/>
        <v>0</v>
      </c>
      <c r="K42" s="98">
        <f t="shared" si="4"/>
        <v>5.3999999999999986</v>
      </c>
      <c r="L42" s="98"/>
      <c r="M42" s="98">
        <f t="shared" si="4"/>
        <v>5.5000000000000036</v>
      </c>
      <c r="N42" s="98">
        <f t="shared" si="4"/>
        <v>0</v>
      </c>
      <c r="O42" s="98">
        <f t="shared" si="4"/>
        <v>5.8000000000000043</v>
      </c>
      <c r="P42" s="98">
        <f t="shared" si="4"/>
        <v>6.1999999999999957</v>
      </c>
      <c r="Q42" s="98">
        <f t="shared" si="4"/>
        <v>5.5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>
        <v>1190</v>
      </c>
      <c r="G43" s="82">
        <v>1265.5999999999999</v>
      </c>
      <c r="H43" s="97"/>
      <c r="I43" s="97">
        <v>1298.22</v>
      </c>
      <c r="J43" s="82"/>
      <c r="K43" s="82">
        <v>133.32</v>
      </c>
      <c r="L43" s="97"/>
      <c r="M43" s="97">
        <v>1237.74</v>
      </c>
      <c r="N43" s="82"/>
      <c r="O43" s="82">
        <v>1078.98</v>
      </c>
      <c r="P43" s="97">
        <v>1199</v>
      </c>
      <c r="Q43" s="97">
        <v>1254.82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8244.8036951501108</v>
      </c>
      <c r="G44" s="99">
        <f>G42*G43/0.866</f>
        <v>7745.5889145496485</v>
      </c>
      <c r="H44" s="99">
        <f t="shared" ref="H44:Q44" si="5">H42*H43/0.866</f>
        <v>0</v>
      </c>
      <c r="I44" s="99">
        <f t="shared" si="5"/>
        <v>7645.4064665126998</v>
      </c>
      <c r="J44" s="99">
        <f t="shared" si="5"/>
        <v>0</v>
      </c>
      <c r="K44" s="99">
        <f t="shared" si="5"/>
        <v>831.32563510392583</v>
      </c>
      <c r="L44" s="99">
        <f t="shared" si="5"/>
        <v>0</v>
      </c>
      <c r="M44" s="99">
        <f t="shared" si="5"/>
        <v>7860.9353348729846</v>
      </c>
      <c r="N44" s="99">
        <f t="shared" si="5"/>
        <v>0</v>
      </c>
      <c r="O44" s="99">
        <f t="shared" si="5"/>
        <v>7226.4249422632847</v>
      </c>
      <c r="P44" s="99">
        <f t="shared" si="5"/>
        <v>8584.0646651270145</v>
      </c>
      <c r="Q44" s="99">
        <f t="shared" si="5"/>
        <v>7969.411085450346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>
        <v>0.48</v>
      </c>
      <c r="G45" s="82">
        <v>0.47</v>
      </c>
      <c r="H45" s="97"/>
      <c r="I45" s="97">
        <v>0.47</v>
      </c>
      <c r="J45" s="82"/>
      <c r="K45" s="82">
        <v>0.48</v>
      </c>
      <c r="L45" s="97"/>
      <c r="M45" s="97">
        <v>0.47</v>
      </c>
      <c r="N45" s="82"/>
      <c r="O45" s="82">
        <v>0.48</v>
      </c>
      <c r="P45" s="97">
        <v>0.48</v>
      </c>
      <c r="Q45" s="97">
        <v>0.46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>
        <v>20.5</v>
      </c>
      <c r="G46" s="82">
        <v>20.2</v>
      </c>
      <c r="H46" s="97"/>
      <c r="I46" s="97">
        <v>20.2</v>
      </c>
      <c r="J46" s="82"/>
      <c r="K46" s="82">
        <v>19.600000000000001</v>
      </c>
      <c r="L46" s="97"/>
      <c r="M46" s="97">
        <v>21.2</v>
      </c>
      <c r="N46" s="82"/>
      <c r="O46" s="82">
        <v>20.100000000000001</v>
      </c>
      <c r="P46" s="97">
        <v>20.7</v>
      </c>
      <c r="Q46" s="97">
        <v>19.8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>
        <v>176</v>
      </c>
      <c r="G47" s="82">
        <v>215.3</v>
      </c>
      <c r="H47" s="97"/>
      <c r="I47" s="97">
        <v>135</v>
      </c>
      <c r="J47" s="82"/>
      <c r="K47" s="82">
        <v>200.1</v>
      </c>
      <c r="L47" s="97"/>
      <c r="M47" s="97">
        <v>200.4</v>
      </c>
      <c r="N47" s="82"/>
      <c r="O47" s="82">
        <v>159</v>
      </c>
      <c r="P47" s="97">
        <v>193.7</v>
      </c>
      <c r="Q47" s="97">
        <v>196.9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11">
        <v>5.89</v>
      </c>
      <c r="F49" s="82">
        <v>4.8499999999999996</v>
      </c>
      <c r="G49" s="82">
        <v>5.37</v>
      </c>
      <c r="H49" s="97"/>
      <c r="I49" s="97">
        <v>4.91</v>
      </c>
      <c r="J49" s="82"/>
      <c r="K49" s="82">
        <v>5.46</v>
      </c>
      <c r="L49" s="97"/>
      <c r="M49" s="97">
        <v>5.53</v>
      </c>
      <c r="N49" s="82"/>
      <c r="O49" s="82">
        <v>5.03</v>
      </c>
      <c r="P49" s="97">
        <v>4.54</v>
      </c>
      <c r="Q49" s="97">
        <v>5.32</v>
      </c>
    </row>
    <row r="50" spans="2:17" ht="20.100000000000001" customHeight="1" x14ac:dyDescent="0.25">
      <c r="B50" s="156" t="s">
        <v>51</v>
      </c>
      <c r="C50" s="156"/>
      <c r="D50" s="156"/>
      <c r="E50" s="111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10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267BA-98B4-43B8-9D32-049BAB1303A7}">
  <dimension ref="B1:Q59"/>
  <sheetViews>
    <sheetView view="pageBreakPreview" topLeftCell="B7" zoomScale="85" zoomScaleNormal="60" zoomScaleSheetLayoutView="85" workbookViewId="0">
      <selection activeCell="P10" sqref="P10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13" t="s">
        <v>78</v>
      </c>
      <c r="E10" s="83"/>
      <c r="F10" s="94"/>
      <c r="G10" s="94" t="s">
        <v>100</v>
      </c>
      <c r="H10" s="96" t="s">
        <v>100</v>
      </c>
      <c r="I10" s="96" t="s">
        <v>100</v>
      </c>
      <c r="J10" s="93"/>
      <c r="K10" s="94" t="s">
        <v>100</v>
      </c>
      <c r="L10" s="96" t="s">
        <v>100</v>
      </c>
      <c r="M10" s="96" t="s">
        <v>100</v>
      </c>
      <c r="N10" s="94"/>
      <c r="O10" s="94" t="s">
        <v>100</v>
      </c>
      <c r="P10" s="96"/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/>
      <c r="G11" s="82">
        <v>70.5</v>
      </c>
      <c r="H11" s="97">
        <v>82.3</v>
      </c>
      <c r="I11" s="97">
        <v>73.099999999999994</v>
      </c>
      <c r="J11" s="82"/>
      <c r="K11" s="82">
        <v>72.599999999999994</v>
      </c>
      <c r="L11" s="97">
        <v>77.400000000000006</v>
      </c>
      <c r="M11" s="97">
        <v>71.900000000000006</v>
      </c>
      <c r="N11" s="82"/>
      <c r="O11" s="82">
        <v>71.900000000000006</v>
      </c>
      <c r="P11" s="97"/>
      <c r="Q11" s="97">
        <v>77.3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/>
      <c r="G12" s="82">
        <v>0.3</v>
      </c>
      <c r="H12" s="97">
        <v>0</v>
      </c>
      <c r="I12" s="97">
        <v>0</v>
      </c>
      <c r="J12" s="82"/>
      <c r="K12" s="82">
        <v>0</v>
      </c>
      <c r="L12" s="97">
        <v>0.1</v>
      </c>
      <c r="M12" s="97">
        <v>0.1</v>
      </c>
      <c r="N12" s="82"/>
      <c r="O12" s="82">
        <v>0</v>
      </c>
      <c r="P12" s="97"/>
      <c r="Q12" s="97">
        <v>0.3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/>
      <c r="G13" s="82">
        <v>65.2</v>
      </c>
      <c r="H13" s="97">
        <v>80.3</v>
      </c>
      <c r="I13" s="97">
        <v>68.3</v>
      </c>
      <c r="J13" s="82"/>
      <c r="K13" s="82">
        <v>67.400000000000006</v>
      </c>
      <c r="L13" s="97">
        <v>73.7</v>
      </c>
      <c r="M13" s="97">
        <v>65.5</v>
      </c>
      <c r="N13" s="82"/>
      <c r="O13" s="82">
        <v>64.8</v>
      </c>
      <c r="P13" s="97"/>
      <c r="Q13" s="97">
        <v>72.7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/>
      <c r="G14" s="82">
        <v>66.5</v>
      </c>
      <c r="H14" s="97">
        <v>65.3</v>
      </c>
      <c r="I14" s="97">
        <v>69</v>
      </c>
      <c r="J14" s="82"/>
      <c r="K14" s="82">
        <v>62.7</v>
      </c>
      <c r="L14" s="97">
        <v>64.599999999999994</v>
      </c>
      <c r="M14" s="97">
        <v>67.2</v>
      </c>
      <c r="N14" s="82"/>
      <c r="O14" s="82">
        <v>72.3</v>
      </c>
      <c r="P14" s="97"/>
      <c r="Q14" s="97">
        <v>72.599999999999994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/>
      <c r="G15" s="82">
        <v>57.9</v>
      </c>
      <c r="H15" s="97">
        <v>55</v>
      </c>
      <c r="I15" s="97">
        <v>48.3</v>
      </c>
      <c r="J15" s="82"/>
      <c r="K15" s="82">
        <v>35.1</v>
      </c>
      <c r="L15" s="97">
        <v>37.9</v>
      </c>
      <c r="M15" s="97">
        <v>34.799999999999997</v>
      </c>
      <c r="N15" s="82"/>
      <c r="O15" s="82">
        <v>46.7</v>
      </c>
      <c r="P15" s="97"/>
      <c r="Q15" s="97">
        <v>39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/>
      <c r="G16" s="82">
        <v>6.6</v>
      </c>
      <c r="H16" s="82">
        <v>6.6</v>
      </c>
      <c r="I16" s="82">
        <v>6.6</v>
      </c>
      <c r="J16" s="82"/>
      <c r="K16" s="82">
        <v>6.6</v>
      </c>
      <c r="L16" s="82">
        <v>6.6</v>
      </c>
      <c r="M16" s="82">
        <v>6.6</v>
      </c>
      <c r="N16" s="82"/>
      <c r="O16" s="82">
        <v>6.6</v>
      </c>
      <c r="P16" s="82"/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/>
      <c r="G17" s="82">
        <v>119.3</v>
      </c>
      <c r="H17" s="97">
        <v>117.6</v>
      </c>
      <c r="I17" s="97">
        <v>115.2</v>
      </c>
      <c r="J17" s="82"/>
      <c r="K17" s="82">
        <v>116.6</v>
      </c>
      <c r="L17" s="97">
        <v>118.8</v>
      </c>
      <c r="M17" s="97">
        <v>118.3</v>
      </c>
      <c r="N17" s="82"/>
      <c r="O17" s="82">
        <v>118</v>
      </c>
      <c r="P17" s="97"/>
      <c r="Q17" s="97">
        <v>120.1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/>
      <c r="G18" s="82">
        <v>1153</v>
      </c>
      <c r="H18" s="97">
        <v>1203</v>
      </c>
      <c r="I18" s="97">
        <v>1175</v>
      </c>
      <c r="J18" s="82"/>
      <c r="K18" s="82">
        <v>1195</v>
      </c>
      <c r="L18" s="97">
        <v>1221</v>
      </c>
      <c r="M18" s="97">
        <v>1203</v>
      </c>
      <c r="N18" s="82"/>
      <c r="O18" s="82">
        <v>1201</v>
      </c>
      <c r="P18" s="97"/>
      <c r="Q18" s="97">
        <v>1219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/>
      <c r="G19" s="82">
        <v>45935.5</v>
      </c>
      <c r="H19" s="97">
        <v>46703.3</v>
      </c>
      <c r="I19" s="97">
        <v>46693.2</v>
      </c>
      <c r="J19" s="82"/>
      <c r="K19" s="82">
        <v>44455.4</v>
      </c>
      <c r="L19" s="97">
        <v>46717.1</v>
      </c>
      <c r="M19" s="97">
        <v>46707</v>
      </c>
      <c r="N19" s="82"/>
      <c r="O19" s="82">
        <v>46046.6</v>
      </c>
      <c r="P19" s="97"/>
      <c r="Q19" s="97">
        <v>47823.1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/>
      <c r="G22" s="82">
        <v>58.8</v>
      </c>
      <c r="H22" s="97">
        <v>59.1</v>
      </c>
      <c r="I22" s="97">
        <v>59.6</v>
      </c>
      <c r="J22" s="82"/>
      <c r="K22" s="82">
        <v>57.9</v>
      </c>
      <c r="L22" s="97">
        <v>57.1</v>
      </c>
      <c r="M22" s="97">
        <v>57.6</v>
      </c>
      <c r="N22" s="82"/>
      <c r="O22" s="82">
        <v>58.9</v>
      </c>
      <c r="P22" s="97"/>
      <c r="Q22" s="97">
        <v>59.4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/>
      <c r="G23" s="82">
        <v>0.53</v>
      </c>
      <c r="H23" s="97">
        <v>0.48</v>
      </c>
      <c r="I23" s="97">
        <v>0.5</v>
      </c>
      <c r="J23" s="82"/>
      <c r="K23" s="82">
        <v>0.59</v>
      </c>
      <c r="L23" s="97">
        <v>0.59</v>
      </c>
      <c r="M23" s="97">
        <v>0.54</v>
      </c>
      <c r="N23" s="82"/>
      <c r="O23" s="82">
        <v>0.57999999999999996</v>
      </c>
      <c r="P23" s="97"/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82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/>
      <c r="G25" s="82">
        <v>45.2</v>
      </c>
      <c r="H25" s="97">
        <v>44.7</v>
      </c>
      <c r="I25" s="97">
        <v>45.6</v>
      </c>
      <c r="J25" s="82"/>
      <c r="K25" s="82">
        <v>44.9</v>
      </c>
      <c r="L25" s="97">
        <v>45</v>
      </c>
      <c r="M25" s="97">
        <v>44.8</v>
      </c>
      <c r="N25" s="82"/>
      <c r="O25" s="82">
        <v>45.6</v>
      </c>
      <c r="P25" s="97"/>
      <c r="Q25" s="97">
        <v>45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/>
      <c r="G26" s="82">
        <v>0.28000000000000003</v>
      </c>
      <c r="H26" s="97">
        <v>0.21</v>
      </c>
      <c r="I26" s="97">
        <v>0.23</v>
      </c>
      <c r="J26" s="82"/>
      <c r="K26" s="82">
        <v>0.23</v>
      </c>
      <c r="L26" s="97">
        <v>0.22</v>
      </c>
      <c r="M26" s="97">
        <v>0.23</v>
      </c>
      <c r="N26" s="82"/>
      <c r="O26" s="82">
        <v>0.23</v>
      </c>
      <c r="P26" s="97"/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/>
      <c r="G27" s="82">
        <v>4.5999999999999996</v>
      </c>
      <c r="H27" s="97">
        <v>3.1</v>
      </c>
      <c r="I27" s="97">
        <v>4.0999999999999996</v>
      </c>
      <c r="J27" s="82"/>
      <c r="K27" s="82">
        <v>4.3</v>
      </c>
      <c r="L27" s="97">
        <v>4.4000000000000004</v>
      </c>
      <c r="M27" s="97">
        <v>4.2</v>
      </c>
      <c r="N27" s="82"/>
      <c r="O27" s="82">
        <v>5.2</v>
      </c>
      <c r="P27" s="97"/>
      <c r="Q27" s="97">
        <v>4.5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/>
      <c r="G28" s="82">
        <v>4.2</v>
      </c>
      <c r="H28" s="97">
        <v>2.2999999999999998</v>
      </c>
      <c r="I28" s="97">
        <v>3.4</v>
      </c>
      <c r="J28" s="82"/>
      <c r="K28" s="82">
        <v>3.8</v>
      </c>
      <c r="L28" s="97">
        <v>3.4</v>
      </c>
      <c r="M28" s="97">
        <v>3.9</v>
      </c>
      <c r="N28" s="82"/>
      <c r="O28" s="82">
        <v>3.7</v>
      </c>
      <c r="P28" s="97"/>
      <c r="Q28" s="97">
        <v>3.8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/>
      <c r="G29" s="98">
        <f t="shared" ref="G29:Q29" si="0">G32-G27</f>
        <v>0.40000000000000036</v>
      </c>
      <c r="H29" s="98">
        <f t="shared" si="0"/>
        <v>1.9</v>
      </c>
      <c r="I29" s="98">
        <f t="shared" si="0"/>
        <v>1.1000000000000005</v>
      </c>
      <c r="J29" s="98">
        <f t="shared" si="0"/>
        <v>0</v>
      </c>
      <c r="K29" s="98">
        <f t="shared" si="0"/>
        <v>0.29999999999999982</v>
      </c>
      <c r="L29" s="98">
        <f t="shared" si="0"/>
        <v>0.39999999999999947</v>
      </c>
      <c r="M29" s="98">
        <f t="shared" si="0"/>
        <v>0.79999999999999982</v>
      </c>
      <c r="N29" s="98">
        <f t="shared" si="0"/>
        <v>0</v>
      </c>
      <c r="O29" s="98">
        <f t="shared" si="0"/>
        <v>0</v>
      </c>
      <c r="P29" s="98"/>
      <c r="Q29" s="98">
        <f t="shared" si="0"/>
        <v>1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/>
      <c r="G30" s="82">
        <v>728.48</v>
      </c>
      <c r="H30" s="97">
        <v>726</v>
      </c>
      <c r="I30" s="97">
        <v>699.92</v>
      </c>
      <c r="J30" s="82"/>
      <c r="K30" s="82">
        <v>657.28</v>
      </c>
      <c r="L30" s="97">
        <v>748.8</v>
      </c>
      <c r="M30" s="97">
        <v>721.6</v>
      </c>
      <c r="N30" s="82"/>
      <c r="O30" s="82">
        <v>728</v>
      </c>
      <c r="P30" s="97"/>
      <c r="Q30" s="97">
        <v>709.44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/>
      <c r="G31" s="82">
        <v>12.9</v>
      </c>
      <c r="H31" s="97">
        <v>12.9</v>
      </c>
      <c r="I31" s="97">
        <v>13</v>
      </c>
      <c r="J31" s="82"/>
      <c r="K31" s="82">
        <v>13.2</v>
      </c>
      <c r="L31" s="97">
        <v>13</v>
      </c>
      <c r="M31" s="97">
        <v>13.3</v>
      </c>
      <c r="N31" s="82"/>
      <c r="O31" s="82">
        <v>13</v>
      </c>
      <c r="P31" s="97"/>
      <c r="Q31" s="97">
        <v>13.2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/>
      <c r="G32" s="82">
        <v>5</v>
      </c>
      <c r="H32" s="97">
        <v>5</v>
      </c>
      <c r="I32" s="97">
        <v>5.2</v>
      </c>
      <c r="J32" s="82"/>
      <c r="K32" s="82">
        <v>4.5999999999999996</v>
      </c>
      <c r="L32" s="97">
        <v>4.8</v>
      </c>
      <c r="M32" s="97">
        <v>5</v>
      </c>
      <c r="N32" s="82"/>
      <c r="O32" s="82">
        <v>5.2</v>
      </c>
      <c r="P32" s="97"/>
      <c r="Q32" s="97">
        <v>5.5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/>
      <c r="G33" s="98">
        <f>G31-G32</f>
        <v>7.9</v>
      </c>
      <c r="H33" s="98">
        <f t="shared" ref="H33:Q33" si="1">H31-H32</f>
        <v>7.9</v>
      </c>
      <c r="I33" s="98">
        <f t="shared" si="1"/>
        <v>7.8</v>
      </c>
      <c r="J33" s="98">
        <f t="shared" si="1"/>
        <v>0</v>
      </c>
      <c r="K33" s="98">
        <f t="shared" si="1"/>
        <v>8.6</v>
      </c>
      <c r="L33" s="98">
        <f>L31-L32</f>
        <v>8.1999999999999993</v>
      </c>
      <c r="M33" s="98">
        <f t="shared" si="1"/>
        <v>8.3000000000000007</v>
      </c>
      <c r="N33" s="98">
        <f t="shared" si="1"/>
        <v>0</v>
      </c>
      <c r="O33" s="98">
        <f t="shared" si="1"/>
        <v>7.8</v>
      </c>
      <c r="P33" s="98"/>
      <c r="Q33" s="98">
        <f t="shared" si="1"/>
        <v>7.6999999999999993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/>
      <c r="G34" s="99">
        <f>(G33*G30)/0.866</f>
        <v>6645.4872979214788</v>
      </c>
      <c r="H34" s="99">
        <f t="shared" ref="H34:Q34" si="2">(H33*H30)/0.866</f>
        <v>6622.8637413394927</v>
      </c>
      <c r="I34" s="99">
        <f t="shared" si="2"/>
        <v>6304.1293302540407</v>
      </c>
      <c r="J34" s="99">
        <f t="shared" si="2"/>
        <v>0</v>
      </c>
      <c r="K34" s="99">
        <f t="shared" si="2"/>
        <v>6527.2609699769046</v>
      </c>
      <c r="L34" s="99">
        <f t="shared" si="2"/>
        <v>7090.2540415704379</v>
      </c>
      <c r="M34" s="99">
        <f t="shared" si="2"/>
        <v>6916.0277136258665</v>
      </c>
      <c r="N34" s="99">
        <f t="shared" si="2"/>
        <v>0</v>
      </c>
      <c r="O34" s="99">
        <f t="shared" si="2"/>
        <v>6557.043879907621</v>
      </c>
      <c r="P34" s="99"/>
      <c r="Q34" s="99">
        <f t="shared" si="2"/>
        <v>6307.9538106235568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/>
      <c r="G35" s="82">
        <v>0.84</v>
      </c>
      <c r="H35" s="97">
        <v>0.83</v>
      </c>
      <c r="I35" s="97">
        <v>0.87</v>
      </c>
      <c r="J35" s="82"/>
      <c r="K35" s="82">
        <v>0.85</v>
      </c>
      <c r="L35" s="97">
        <v>0.82</v>
      </c>
      <c r="M35" s="97">
        <v>0.87</v>
      </c>
      <c r="N35" s="82"/>
      <c r="O35" s="82">
        <v>0.85</v>
      </c>
      <c r="P35" s="97"/>
      <c r="Q35" s="97">
        <v>0.84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/>
      <c r="G36" s="82">
        <v>36.799999999999997</v>
      </c>
      <c r="H36" s="97">
        <v>35.799999999999997</v>
      </c>
      <c r="I36" s="97">
        <v>37.299999999999997</v>
      </c>
      <c r="J36" s="82"/>
      <c r="K36" s="82">
        <v>36.9</v>
      </c>
      <c r="L36" s="97">
        <v>36.4</v>
      </c>
      <c r="M36" s="97">
        <v>38.5</v>
      </c>
      <c r="N36" s="82"/>
      <c r="O36" s="82">
        <v>37.4</v>
      </c>
      <c r="P36" s="97"/>
      <c r="Q36" s="97">
        <v>37.1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/>
      <c r="G37" s="82">
        <v>37.1</v>
      </c>
      <c r="H37" s="97">
        <v>36.799999999999997</v>
      </c>
      <c r="I37" s="97">
        <v>38.200000000000003</v>
      </c>
      <c r="J37" s="82"/>
      <c r="K37" s="82">
        <v>37.5</v>
      </c>
      <c r="L37" s="97">
        <v>36.5</v>
      </c>
      <c r="M37" s="97">
        <v>38.200000000000003</v>
      </c>
      <c r="N37" s="82"/>
      <c r="O37" s="82">
        <v>37.700000000000003</v>
      </c>
      <c r="P37" s="97"/>
      <c r="Q37" s="97">
        <v>37.299999999999997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/>
      <c r="G38" s="98">
        <f>G37-G41</f>
        <v>2.8000000000000043</v>
      </c>
      <c r="H38" s="98">
        <f t="shared" ref="H38:Q38" si="3">H37-H41</f>
        <v>4.3999999999999986</v>
      </c>
      <c r="I38" s="98">
        <f t="shared" si="3"/>
        <v>4.5</v>
      </c>
      <c r="J38" s="98">
        <f t="shared" si="3"/>
        <v>0</v>
      </c>
      <c r="K38" s="98">
        <f t="shared" si="3"/>
        <v>3.5</v>
      </c>
      <c r="L38" s="98">
        <f t="shared" si="3"/>
        <v>3.6000000000000014</v>
      </c>
      <c r="M38" s="98">
        <f t="shared" si="3"/>
        <v>5</v>
      </c>
      <c r="N38" s="98">
        <f t="shared" si="3"/>
        <v>0</v>
      </c>
      <c r="O38" s="98">
        <f t="shared" si="3"/>
        <v>3</v>
      </c>
      <c r="P38" s="98"/>
      <c r="Q38" s="98">
        <f t="shared" si="3"/>
        <v>2.7999999999999972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/>
      <c r="G40" s="82">
        <v>28.8</v>
      </c>
      <c r="H40" s="97">
        <v>27.1</v>
      </c>
      <c r="I40" s="97">
        <v>28.7</v>
      </c>
      <c r="J40" s="82"/>
      <c r="K40" s="82">
        <v>28.8</v>
      </c>
      <c r="L40" s="97">
        <v>27.1</v>
      </c>
      <c r="M40" s="97">
        <v>27.7</v>
      </c>
      <c r="N40" s="82"/>
      <c r="O40" s="82">
        <v>28.7</v>
      </c>
      <c r="P40" s="97"/>
      <c r="Q40" s="97">
        <v>29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/>
      <c r="G41" s="82">
        <v>34.299999999999997</v>
      </c>
      <c r="H41" s="97">
        <v>32.4</v>
      </c>
      <c r="I41" s="97">
        <v>33.700000000000003</v>
      </c>
      <c r="J41" s="82"/>
      <c r="K41" s="82">
        <v>34</v>
      </c>
      <c r="L41" s="97">
        <v>32.9</v>
      </c>
      <c r="M41" s="97">
        <v>33.200000000000003</v>
      </c>
      <c r="N41" s="82"/>
      <c r="O41" s="82">
        <v>34.700000000000003</v>
      </c>
      <c r="P41" s="97"/>
      <c r="Q41" s="97">
        <v>34.5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/>
      <c r="G42" s="98">
        <f>G41-G40</f>
        <v>5.4999999999999964</v>
      </c>
      <c r="H42" s="98">
        <f t="shared" ref="H42:Q42" si="4">H41-H40</f>
        <v>5.2999999999999972</v>
      </c>
      <c r="I42" s="98">
        <f t="shared" si="4"/>
        <v>5.0000000000000036</v>
      </c>
      <c r="J42" s="98">
        <f t="shared" si="4"/>
        <v>0</v>
      </c>
      <c r="K42" s="98">
        <f t="shared" si="4"/>
        <v>5.1999999999999993</v>
      </c>
      <c r="L42" s="98">
        <f>L41-L40</f>
        <v>5.7999999999999972</v>
      </c>
      <c r="M42" s="98">
        <f t="shared" si="4"/>
        <v>5.5000000000000036</v>
      </c>
      <c r="N42" s="98">
        <f t="shared" si="4"/>
        <v>0</v>
      </c>
      <c r="O42" s="98">
        <f t="shared" si="4"/>
        <v>6.0000000000000036</v>
      </c>
      <c r="P42" s="98"/>
      <c r="Q42" s="98">
        <f t="shared" si="4"/>
        <v>5.5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/>
      <c r="G43" s="82">
        <v>1261.26</v>
      </c>
      <c r="H43" s="97">
        <v>1263.3</v>
      </c>
      <c r="I43" s="97">
        <v>1304.6600000000001</v>
      </c>
      <c r="J43" s="82"/>
      <c r="K43" s="82">
        <v>1296.26</v>
      </c>
      <c r="L43" s="97">
        <v>1204.7</v>
      </c>
      <c r="M43" s="97">
        <v>1237.74</v>
      </c>
      <c r="N43" s="82"/>
      <c r="O43" s="82">
        <v>1079.54</v>
      </c>
      <c r="P43" s="97"/>
      <c r="Q43" s="97">
        <v>1254.96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/>
      <c r="G44" s="99">
        <f>G42*G43/0.866</f>
        <v>8010.3117782909885</v>
      </c>
      <c r="H44" s="99">
        <f t="shared" ref="H44:Q44" si="5">H42*H43/0.866</f>
        <v>7731.5127020785176</v>
      </c>
      <c r="I44" s="99">
        <f t="shared" si="5"/>
        <v>7532.6789838337236</v>
      </c>
      <c r="J44" s="99">
        <f t="shared" si="5"/>
        <v>0</v>
      </c>
      <c r="K44" s="99">
        <f t="shared" si="5"/>
        <v>7783.5473441108534</v>
      </c>
      <c r="L44" s="99">
        <f t="shared" si="5"/>
        <v>8068.42956120092</v>
      </c>
      <c r="M44" s="99">
        <f t="shared" si="5"/>
        <v>7860.9353348729846</v>
      </c>
      <c r="N44" s="99">
        <f t="shared" si="5"/>
        <v>0</v>
      </c>
      <c r="O44" s="99">
        <f t="shared" si="5"/>
        <v>7479.4919168591268</v>
      </c>
      <c r="P44" s="99"/>
      <c r="Q44" s="99">
        <f t="shared" si="5"/>
        <v>7970.3002309468829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/>
      <c r="G45" s="82">
        <v>0.48</v>
      </c>
      <c r="H45" s="97">
        <v>0.44</v>
      </c>
      <c r="I45" s="97">
        <v>0.48</v>
      </c>
      <c r="J45" s="82"/>
      <c r="K45" s="82">
        <v>0.47</v>
      </c>
      <c r="L45" s="97">
        <v>0.46</v>
      </c>
      <c r="M45" s="97">
        <v>0.47</v>
      </c>
      <c r="N45" s="82"/>
      <c r="O45" s="82">
        <v>0.48</v>
      </c>
      <c r="P45" s="97"/>
      <c r="Q45" s="97">
        <v>0.48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/>
      <c r="G46" s="82">
        <v>20.399999999999999</v>
      </c>
      <c r="H46" s="97">
        <v>18.7</v>
      </c>
      <c r="I46" s="97">
        <v>20.6</v>
      </c>
      <c r="J46" s="82"/>
      <c r="K46" s="82">
        <v>20.100000000000001</v>
      </c>
      <c r="L46" s="97">
        <v>19.600000000000001</v>
      </c>
      <c r="M46" s="97">
        <v>21.2</v>
      </c>
      <c r="N46" s="82"/>
      <c r="O46" s="82">
        <v>20.8</v>
      </c>
      <c r="P46" s="97"/>
      <c r="Q46" s="97">
        <v>20.5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/>
      <c r="G47" s="82">
        <v>197.9</v>
      </c>
      <c r="H47" s="97">
        <v>131.19999999999999</v>
      </c>
      <c r="I47" s="97">
        <v>119</v>
      </c>
      <c r="J47" s="82"/>
      <c r="K47" s="82">
        <v>213</v>
      </c>
      <c r="L47" s="97">
        <v>211.5</v>
      </c>
      <c r="M47" s="97">
        <v>200.4</v>
      </c>
      <c r="N47" s="82"/>
      <c r="O47" s="82">
        <v>157.5</v>
      </c>
      <c r="P47" s="97"/>
      <c r="Q47" s="97">
        <v>208.8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13">
        <v>5.89</v>
      </c>
      <c r="F49" s="82"/>
      <c r="G49" s="82">
        <v>5.37</v>
      </c>
      <c r="H49" s="97">
        <v>4.9000000000000004</v>
      </c>
      <c r="I49" s="97">
        <v>5.0999999999999996</v>
      </c>
      <c r="J49" s="82"/>
      <c r="K49" s="82">
        <v>5.4</v>
      </c>
      <c r="L49" s="97">
        <v>4.91</v>
      </c>
      <c r="M49" s="97">
        <v>4.93</v>
      </c>
      <c r="N49" s="82"/>
      <c r="O49" s="82">
        <v>4.82</v>
      </c>
      <c r="P49" s="97"/>
      <c r="Q49" s="97">
        <v>4.7699999999999996</v>
      </c>
    </row>
    <row r="50" spans="2:17" ht="20.100000000000001" customHeight="1" x14ac:dyDescent="0.25">
      <c r="B50" s="156" t="s">
        <v>51</v>
      </c>
      <c r="C50" s="156"/>
      <c r="D50" s="156"/>
      <c r="E50" s="113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12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A5CE-B732-47C7-8A67-889392FD152D}">
  <dimension ref="B1:Q59"/>
  <sheetViews>
    <sheetView view="pageBreakPreview" topLeftCell="B1" zoomScale="85" zoomScaleNormal="60" zoomScaleSheetLayoutView="85" workbookViewId="0">
      <selection activeCell="N54" sqref="N54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15" t="s">
        <v>78</v>
      </c>
      <c r="E10" s="83"/>
      <c r="F10" s="94"/>
      <c r="G10" s="94" t="s">
        <v>100</v>
      </c>
      <c r="H10" s="96"/>
      <c r="I10" s="96" t="s">
        <v>100</v>
      </c>
      <c r="J10" s="93"/>
      <c r="K10" s="94" t="s">
        <v>100</v>
      </c>
      <c r="L10" s="96"/>
      <c r="M10" s="96" t="s">
        <v>100</v>
      </c>
      <c r="N10" s="94"/>
      <c r="O10" s="94" t="s">
        <v>100</v>
      </c>
      <c r="P10" s="96"/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/>
      <c r="G11" s="82">
        <v>70.5</v>
      </c>
      <c r="H11" s="97"/>
      <c r="I11" s="97">
        <v>75.7</v>
      </c>
      <c r="J11" s="82">
        <v>74.7</v>
      </c>
      <c r="K11" s="82">
        <v>74.7</v>
      </c>
      <c r="L11" s="97"/>
      <c r="M11" s="97">
        <v>69.8</v>
      </c>
      <c r="N11" s="82">
        <v>73.400000000000006</v>
      </c>
      <c r="O11" s="82">
        <v>73.400000000000006</v>
      </c>
      <c r="P11" s="97"/>
      <c r="Q11" s="97">
        <v>76.2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/>
      <c r="G12" s="82">
        <v>0.3</v>
      </c>
      <c r="H12" s="97"/>
      <c r="I12" s="97">
        <v>0</v>
      </c>
      <c r="J12" s="82">
        <v>0</v>
      </c>
      <c r="K12" s="82">
        <v>0</v>
      </c>
      <c r="L12" s="97"/>
      <c r="M12" s="97">
        <v>0.1</v>
      </c>
      <c r="N12" s="82">
        <v>0</v>
      </c>
      <c r="O12" s="82">
        <v>0</v>
      </c>
      <c r="P12" s="97"/>
      <c r="Q12" s="97">
        <v>0.2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/>
      <c r="G13" s="82">
        <v>64.599999999999994</v>
      </c>
      <c r="H13" s="97"/>
      <c r="I13" s="97">
        <v>70.599999999999994</v>
      </c>
      <c r="J13" s="82">
        <v>70.3</v>
      </c>
      <c r="K13" s="82">
        <v>70.3</v>
      </c>
      <c r="L13" s="97"/>
      <c r="M13" s="97">
        <v>64.400000000000006</v>
      </c>
      <c r="N13" s="82">
        <v>67.8</v>
      </c>
      <c r="O13" s="82">
        <v>67.8</v>
      </c>
      <c r="P13" s="97"/>
      <c r="Q13" s="97">
        <v>71.7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/>
      <c r="G14" s="82">
        <v>65.900000000000006</v>
      </c>
      <c r="H14" s="97"/>
      <c r="I14" s="97">
        <v>68</v>
      </c>
      <c r="J14" s="82">
        <v>63.8</v>
      </c>
      <c r="K14" s="82">
        <v>63.4</v>
      </c>
      <c r="L14" s="97"/>
      <c r="M14" s="97">
        <v>67.099999999999994</v>
      </c>
      <c r="N14" s="82">
        <v>76.2</v>
      </c>
      <c r="O14" s="82">
        <v>72.2</v>
      </c>
      <c r="P14" s="97"/>
      <c r="Q14" s="97">
        <v>72.3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/>
      <c r="G15" s="82">
        <v>42.3</v>
      </c>
      <c r="H15" s="97"/>
      <c r="I15" s="97">
        <v>52.4</v>
      </c>
      <c r="J15" s="82">
        <v>37.9</v>
      </c>
      <c r="K15" s="82">
        <v>37.200000000000003</v>
      </c>
      <c r="L15" s="97"/>
      <c r="M15" s="97">
        <v>31</v>
      </c>
      <c r="N15" s="82">
        <v>47.4</v>
      </c>
      <c r="O15" s="82">
        <v>67.8</v>
      </c>
      <c r="P15" s="97"/>
      <c r="Q15" s="97">
        <v>40.1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/>
      <c r="G16" s="82">
        <v>6.6</v>
      </c>
      <c r="H16" s="82"/>
      <c r="I16" s="82">
        <v>6.6</v>
      </c>
      <c r="J16" s="82">
        <v>6.6</v>
      </c>
      <c r="K16" s="82">
        <v>6.6</v>
      </c>
      <c r="L16" s="82"/>
      <c r="M16" s="82">
        <v>6.6</v>
      </c>
      <c r="N16" s="82">
        <v>6.6</v>
      </c>
      <c r="O16" s="82">
        <v>6.6</v>
      </c>
      <c r="P16" s="82"/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/>
      <c r="G17" s="82">
        <v>116.5</v>
      </c>
      <c r="H17" s="97"/>
      <c r="I17" s="97">
        <v>115.5</v>
      </c>
      <c r="J17" s="82">
        <v>116.4</v>
      </c>
      <c r="K17" s="82">
        <v>117.8</v>
      </c>
      <c r="L17" s="97"/>
      <c r="M17" s="97">
        <v>114.9</v>
      </c>
      <c r="N17" s="82">
        <v>118.2</v>
      </c>
      <c r="O17" s="82">
        <v>155.5</v>
      </c>
      <c r="P17" s="97"/>
      <c r="Q17" s="97">
        <v>117.7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/>
      <c r="G18" s="82">
        <v>1148</v>
      </c>
      <c r="H18" s="97"/>
      <c r="I18" s="97">
        <v>1179</v>
      </c>
      <c r="J18" s="82">
        <v>1199</v>
      </c>
      <c r="K18" s="82">
        <v>1211</v>
      </c>
      <c r="L18" s="97"/>
      <c r="M18" s="97">
        <v>1175</v>
      </c>
      <c r="N18" s="82">
        <v>1208</v>
      </c>
      <c r="O18" s="82">
        <v>12.4</v>
      </c>
      <c r="P18" s="97"/>
      <c r="Q18" s="97">
        <v>1198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/>
      <c r="G19" s="82">
        <v>45946</v>
      </c>
      <c r="H19" s="97"/>
      <c r="I19" s="97">
        <v>46714</v>
      </c>
      <c r="J19" s="82">
        <v>44474</v>
      </c>
      <c r="K19" s="82">
        <v>44466</v>
      </c>
      <c r="L19" s="97"/>
      <c r="M19" s="97">
        <v>46731</v>
      </c>
      <c r="N19" s="82">
        <v>46065</v>
      </c>
      <c r="O19" s="82">
        <v>46057</v>
      </c>
      <c r="P19" s="97"/>
      <c r="Q19" s="97">
        <v>47833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/>
      <c r="G22" s="82">
        <v>58.2</v>
      </c>
      <c r="H22" s="97"/>
      <c r="I22" s="97">
        <v>59.1</v>
      </c>
      <c r="J22" s="82">
        <v>57.8</v>
      </c>
      <c r="K22" s="82">
        <v>58.1</v>
      </c>
      <c r="L22" s="97"/>
      <c r="M22" s="97">
        <v>57.4</v>
      </c>
      <c r="N22" s="82">
        <v>58.5</v>
      </c>
      <c r="O22" s="82">
        <v>58.6</v>
      </c>
      <c r="P22" s="97"/>
      <c r="Q22" s="97">
        <v>59.3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/>
      <c r="G23" s="82">
        <v>0.53</v>
      </c>
      <c r="H23" s="97"/>
      <c r="I23" s="97">
        <v>0.49</v>
      </c>
      <c r="J23" s="82">
        <v>0.59</v>
      </c>
      <c r="K23" s="82">
        <v>0.59</v>
      </c>
      <c r="L23" s="97"/>
      <c r="M23" s="97">
        <v>0.54</v>
      </c>
      <c r="N23" s="82">
        <v>0.5</v>
      </c>
      <c r="O23" s="82">
        <v>0.57999999999999996</v>
      </c>
      <c r="P23" s="97"/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82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/>
      <c r="G25" s="82">
        <v>44.9</v>
      </c>
      <c r="H25" s="97"/>
      <c r="I25" s="97">
        <v>45</v>
      </c>
      <c r="J25" s="82">
        <v>45</v>
      </c>
      <c r="K25" s="82">
        <v>44.8</v>
      </c>
      <c r="L25" s="97"/>
      <c r="M25" s="97">
        <v>44.9</v>
      </c>
      <c r="N25" s="82">
        <v>45.1</v>
      </c>
      <c r="O25" s="82">
        <v>45.2</v>
      </c>
      <c r="P25" s="97"/>
      <c r="Q25" s="97">
        <v>45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/>
      <c r="G26" s="82">
        <v>0.28000000000000003</v>
      </c>
      <c r="H26" s="97"/>
      <c r="I26" s="97">
        <v>0.22</v>
      </c>
      <c r="J26" s="82">
        <v>0.23</v>
      </c>
      <c r="K26" s="82">
        <v>0.28000000000000003</v>
      </c>
      <c r="L26" s="97"/>
      <c r="M26" s="97">
        <v>0.23</v>
      </c>
      <c r="N26" s="82">
        <v>0.24</v>
      </c>
      <c r="O26" s="82">
        <v>0.23</v>
      </c>
      <c r="P26" s="97"/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/>
      <c r="G27" s="82">
        <v>4.7</v>
      </c>
      <c r="H27" s="97"/>
      <c r="I27" s="97">
        <v>4</v>
      </c>
      <c r="J27" s="82">
        <v>4.5</v>
      </c>
      <c r="K27" s="82">
        <v>4.7</v>
      </c>
      <c r="L27" s="97"/>
      <c r="M27" s="97">
        <v>4.8</v>
      </c>
      <c r="N27" s="82">
        <v>5.3</v>
      </c>
      <c r="O27" s="82">
        <v>4.7</v>
      </c>
      <c r="P27" s="97"/>
      <c r="Q27" s="97">
        <v>4.3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/>
      <c r="G28" s="82">
        <v>4.0999999999999996</v>
      </c>
      <c r="H28" s="97"/>
      <c r="I28" s="97">
        <v>3</v>
      </c>
      <c r="J28" s="82">
        <v>3.5</v>
      </c>
      <c r="K28" s="82">
        <v>3.6</v>
      </c>
      <c r="L28" s="97"/>
      <c r="M28" s="97">
        <v>3.7</v>
      </c>
      <c r="N28" s="82">
        <v>4.2</v>
      </c>
      <c r="O28" s="82">
        <v>3.7</v>
      </c>
      <c r="P28" s="97"/>
      <c r="Q28" s="97">
        <v>3.5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/>
      <c r="G29" s="98">
        <f t="shared" ref="G29:Q29" si="0">G32-G27</f>
        <v>9.9999999999999645E-2</v>
      </c>
      <c r="H29" s="98">
        <f t="shared" si="0"/>
        <v>0</v>
      </c>
      <c r="I29" s="98">
        <f t="shared" si="0"/>
        <v>1</v>
      </c>
      <c r="J29" s="98">
        <f t="shared" si="0"/>
        <v>0</v>
      </c>
      <c r="K29" s="98">
        <f t="shared" si="0"/>
        <v>0</v>
      </c>
      <c r="L29" s="98">
        <f t="shared" si="0"/>
        <v>0</v>
      </c>
      <c r="M29" s="98">
        <f t="shared" si="0"/>
        <v>-9.9999999999999645E-2</v>
      </c>
      <c r="N29" s="98">
        <f t="shared" si="0"/>
        <v>0</v>
      </c>
      <c r="O29" s="98">
        <f t="shared" si="0"/>
        <v>9.9999999999999645E-2</v>
      </c>
      <c r="P29" s="98"/>
      <c r="Q29" s="98">
        <f t="shared" si="0"/>
        <v>0.79999999999999982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/>
      <c r="G30" s="82">
        <v>720.08</v>
      </c>
      <c r="H30" s="97"/>
      <c r="I30" s="97">
        <v>690.24</v>
      </c>
      <c r="J30" s="82">
        <v>657.6</v>
      </c>
      <c r="K30" s="82">
        <v>674.08</v>
      </c>
      <c r="L30" s="97"/>
      <c r="M30" s="97">
        <v>707.92</v>
      </c>
      <c r="N30" s="82">
        <v>728.56</v>
      </c>
      <c r="O30" s="82">
        <v>723.04</v>
      </c>
      <c r="P30" s="97"/>
      <c r="Q30" s="97">
        <v>698.24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/>
      <c r="G31" s="82">
        <v>12.8</v>
      </c>
      <c r="H31" s="97"/>
      <c r="I31" s="97">
        <v>13.1</v>
      </c>
      <c r="J31" s="82">
        <v>13.5</v>
      </c>
      <c r="K31" s="82">
        <v>13.4</v>
      </c>
      <c r="L31" s="97"/>
      <c r="M31" s="97">
        <v>13.1</v>
      </c>
      <c r="N31" s="82">
        <v>13.4</v>
      </c>
      <c r="O31" s="82">
        <v>12.8</v>
      </c>
      <c r="P31" s="97"/>
      <c r="Q31" s="97">
        <v>13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/>
      <c r="G32" s="82">
        <v>4.8</v>
      </c>
      <c r="H32" s="97"/>
      <c r="I32" s="97">
        <v>5</v>
      </c>
      <c r="J32" s="82">
        <v>4.5</v>
      </c>
      <c r="K32" s="82">
        <v>4.7</v>
      </c>
      <c r="L32" s="97"/>
      <c r="M32" s="97">
        <v>4.7</v>
      </c>
      <c r="N32" s="82">
        <v>5.3</v>
      </c>
      <c r="O32" s="82">
        <v>4.8</v>
      </c>
      <c r="P32" s="97"/>
      <c r="Q32" s="97">
        <v>5.0999999999999996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/>
      <c r="G33" s="98">
        <f>G31-G32</f>
        <v>8</v>
      </c>
      <c r="H33" s="98">
        <f t="shared" ref="H33:Q33" si="1">H31-H32</f>
        <v>0</v>
      </c>
      <c r="I33" s="98">
        <f t="shared" si="1"/>
        <v>8.1</v>
      </c>
      <c r="J33" s="98">
        <f t="shared" si="1"/>
        <v>9</v>
      </c>
      <c r="K33" s="98">
        <f t="shared" si="1"/>
        <v>8.6999999999999993</v>
      </c>
      <c r="L33" s="98">
        <f>L31-L32</f>
        <v>0</v>
      </c>
      <c r="M33" s="98">
        <f t="shared" si="1"/>
        <v>8.3999999999999986</v>
      </c>
      <c r="N33" s="98">
        <f t="shared" si="1"/>
        <v>8.1000000000000014</v>
      </c>
      <c r="O33" s="98">
        <f t="shared" si="1"/>
        <v>8</v>
      </c>
      <c r="P33" s="98"/>
      <c r="Q33" s="98">
        <f t="shared" si="1"/>
        <v>7.9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/>
      <c r="G34" s="99">
        <f>(G33*G30)/0.866</f>
        <v>6652.0092378752888</v>
      </c>
      <c r="H34" s="99">
        <f t="shared" ref="H34:Q34" si="2">(H33*H30)/0.866</f>
        <v>0</v>
      </c>
      <c r="I34" s="99">
        <f t="shared" si="2"/>
        <v>6456.055427251732</v>
      </c>
      <c r="J34" s="99">
        <f t="shared" si="2"/>
        <v>6834.1801385681301</v>
      </c>
      <c r="K34" s="99">
        <f t="shared" si="2"/>
        <v>6771.9353348729792</v>
      </c>
      <c r="L34" s="99">
        <f t="shared" si="2"/>
        <v>0</v>
      </c>
      <c r="M34" s="99">
        <f t="shared" si="2"/>
        <v>6866.6605080831396</v>
      </c>
      <c r="N34" s="99">
        <f t="shared" si="2"/>
        <v>6814.4757505773678</v>
      </c>
      <c r="O34" s="99">
        <f t="shared" si="2"/>
        <v>6679.3533487297918</v>
      </c>
      <c r="P34" s="99"/>
      <c r="Q34" s="99">
        <f t="shared" si="2"/>
        <v>6369.6258660508092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/>
      <c r="G35" s="82">
        <v>0.87</v>
      </c>
      <c r="H35" s="97"/>
      <c r="I35" s="97">
        <v>0.85</v>
      </c>
      <c r="J35" s="82">
        <v>0.83</v>
      </c>
      <c r="K35" s="82">
        <v>0.84</v>
      </c>
      <c r="L35" s="97"/>
      <c r="M35" s="97">
        <v>0.84</v>
      </c>
      <c r="N35" s="82">
        <v>0.82</v>
      </c>
      <c r="O35" s="82">
        <v>0.85</v>
      </c>
      <c r="P35" s="97"/>
      <c r="Q35" s="97">
        <v>0.84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/>
      <c r="G36" s="82">
        <v>36.299999999999997</v>
      </c>
      <c r="H36" s="97"/>
      <c r="I36" s="97">
        <v>37</v>
      </c>
      <c r="J36" s="82">
        <v>36.1</v>
      </c>
      <c r="K36" s="82">
        <v>36.4</v>
      </c>
      <c r="L36" s="97"/>
      <c r="M36" s="97">
        <v>37.700000000000003</v>
      </c>
      <c r="N36" s="82">
        <v>36.1</v>
      </c>
      <c r="O36" s="82">
        <v>36.799999999999997</v>
      </c>
      <c r="P36" s="97"/>
      <c r="Q36" s="97">
        <v>36.5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/>
      <c r="G37" s="82">
        <v>36.5</v>
      </c>
      <c r="H37" s="97"/>
      <c r="I37" s="97">
        <v>37.799999999999997</v>
      </c>
      <c r="J37" s="82">
        <v>36.9</v>
      </c>
      <c r="K37" s="82">
        <v>37.200000000000003</v>
      </c>
      <c r="L37" s="97"/>
      <c r="M37" s="97">
        <v>37.5</v>
      </c>
      <c r="N37" s="82">
        <v>36.6</v>
      </c>
      <c r="O37" s="82">
        <v>37.200000000000003</v>
      </c>
      <c r="P37" s="97"/>
      <c r="Q37" s="97">
        <v>36.6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/>
      <c r="G38" s="98">
        <f>G37-G41</f>
        <v>2.1000000000000014</v>
      </c>
      <c r="H38" s="98">
        <f t="shared" ref="H38:Q38" si="3">H37-H41</f>
        <v>0</v>
      </c>
      <c r="I38" s="98">
        <f t="shared" si="3"/>
        <v>4.2999999999999972</v>
      </c>
      <c r="J38" s="98">
        <f t="shared" si="3"/>
        <v>3.3999999999999986</v>
      </c>
      <c r="K38" s="98">
        <f t="shared" si="3"/>
        <v>2.7000000000000028</v>
      </c>
      <c r="L38" s="98">
        <f t="shared" si="3"/>
        <v>0</v>
      </c>
      <c r="M38" s="98">
        <f t="shared" si="3"/>
        <v>3.3999999999999986</v>
      </c>
      <c r="N38" s="98">
        <f t="shared" si="3"/>
        <v>3.3000000000000043</v>
      </c>
      <c r="O38" s="98">
        <f t="shared" si="3"/>
        <v>2.4000000000000057</v>
      </c>
      <c r="P38" s="98"/>
      <c r="Q38" s="98">
        <f t="shared" si="3"/>
        <v>2.3000000000000043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/>
      <c r="G40" s="82">
        <v>28.9</v>
      </c>
      <c r="H40" s="97"/>
      <c r="I40" s="97">
        <v>28.7</v>
      </c>
      <c r="J40" s="82">
        <v>27.9</v>
      </c>
      <c r="K40" s="82">
        <v>28.8</v>
      </c>
      <c r="L40" s="97"/>
      <c r="M40" s="97">
        <v>28.7</v>
      </c>
      <c r="N40" s="82">
        <v>27.8</v>
      </c>
      <c r="O40" s="82">
        <v>28.7</v>
      </c>
      <c r="P40" s="97"/>
      <c r="Q40" s="97">
        <v>28.6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/>
      <c r="G41" s="82">
        <v>34.4</v>
      </c>
      <c r="H41" s="97"/>
      <c r="I41" s="97">
        <v>33.5</v>
      </c>
      <c r="J41" s="82">
        <v>33.5</v>
      </c>
      <c r="K41" s="82">
        <v>34.5</v>
      </c>
      <c r="L41" s="97"/>
      <c r="M41" s="97">
        <v>34.1</v>
      </c>
      <c r="N41" s="82">
        <v>33.299999999999997</v>
      </c>
      <c r="O41" s="82">
        <v>34.799999999999997</v>
      </c>
      <c r="P41" s="97"/>
      <c r="Q41" s="97">
        <v>34.299999999999997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/>
      <c r="G42" s="98">
        <f>G41-G40</f>
        <v>5.5</v>
      </c>
      <c r="H42" s="98">
        <f t="shared" ref="H42:Q42" si="4">H41-H40</f>
        <v>0</v>
      </c>
      <c r="I42" s="98">
        <f t="shared" si="4"/>
        <v>4.8000000000000007</v>
      </c>
      <c r="J42" s="98">
        <f t="shared" si="4"/>
        <v>5.6000000000000014</v>
      </c>
      <c r="K42" s="98">
        <f t="shared" si="4"/>
        <v>5.6999999999999993</v>
      </c>
      <c r="L42" s="98">
        <f>L41-L40</f>
        <v>0</v>
      </c>
      <c r="M42" s="98">
        <f t="shared" si="4"/>
        <v>5.4000000000000021</v>
      </c>
      <c r="N42" s="98">
        <f t="shared" si="4"/>
        <v>5.4999999999999964</v>
      </c>
      <c r="O42" s="98">
        <f t="shared" si="4"/>
        <v>6.0999999999999979</v>
      </c>
      <c r="P42" s="98"/>
      <c r="Q42" s="98">
        <f t="shared" si="4"/>
        <v>5.6999999999999957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/>
      <c r="G43" s="82">
        <v>1264.48</v>
      </c>
      <c r="H43" s="97"/>
      <c r="I43" s="97">
        <v>1296.26</v>
      </c>
      <c r="J43" s="82">
        <v>1281.1400000000001</v>
      </c>
      <c r="K43" s="82">
        <v>1297.24</v>
      </c>
      <c r="L43" s="97"/>
      <c r="M43" s="97">
        <v>1240</v>
      </c>
      <c r="N43" s="82">
        <v>1225.98</v>
      </c>
      <c r="O43" s="82">
        <v>1077.58</v>
      </c>
      <c r="P43" s="97"/>
      <c r="Q43" s="97">
        <v>1256.6400000000001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/>
      <c r="G44" s="99">
        <f>G42*G43/0.866</f>
        <v>8030.7621247113166</v>
      </c>
      <c r="H44" s="99">
        <f t="shared" ref="H44:Q44" si="5">H42*H43/0.866</f>
        <v>0</v>
      </c>
      <c r="I44" s="99">
        <f t="shared" si="5"/>
        <v>7184.8129330254051</v>
      </c>
      <c r="J44" s="99">
        <f t="shared" si="5"/>
        <v>8284.5080831408814</v>
      </c>
      <c r="K44" s="99">
        <f t="shared" si="5"/>
        <v>8538.4157043879895</v>
      </c>
      <c r="L44" s="99">
        <f t="shared" si="5"/>
        <v>0</v>
      </c>
      <c r="M44" s="99">
        <f t="shared" si="5"/>
        <v>7732.1016166281788</v>
      </c>
      <c r="N44" s="99">
        <f t="shared" si="5"/>
        <v>7786.2471131639677</v>
      </c>
      <c r="O44" s="99">
        <f t="shared" si="5"/>
        <v>7590.3441108545003</v>
      </c>
      <c r="P44" s="99"/>
      <c r="Q44" s="99">
        <f t="shared" si="5"/>
        <v>8271.1870669745913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/>
      <c r="G45" s="82">
        <v>0.47</v>
      </c>
      <c r="H45" s="97"/>
      <c r="I45" s="97">
        <v>0.47</v>
      </c>
      <c r="J45" s="82">
        <v>0.46</v>
      </c>
      <c r="K45" s="82">
        <v>0.46</v>
      </c>
      <c r="L45" s="97"/>
      <c r="M45" s="97">
        <v>0.48</v>
      </c>
      <c r="N45" s="82">
        <v>0.47</v>
      </c>
      <c r="O45" s="82">
        <v>0.47</v>
      </c>
      <c r="P45" s="97"/>
      <c r="Q45" s="97">
        <v>0.47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/>
      <c r="G46" s="82">
        <v>20</v>
      </c>
      <c r="H46" s="97"/>
      <c r="I46" s="97">
        <v>20.2</v>
      </c>
      <c r="J46" s="82">
        <v>19.399999999999999</v>
      </c>
      <c r="K46" s="82">
        <v>19.399999999999999</v>
      </c>
      <c r="L46" s="97"/>
      <c r="M46" s="97">
        <v>20.8</v>
      </c>
      <c r="N46" s="82">
        <v>20.5</v>
      </c>
      <c r="O46" s="82">
        <v>20.2</v>
      </c>
      <c r="P46" s="97"/>
      <c r="Q46" s="97">
        <v>20.100000000000001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/>
      <c r="G47" s="82">
        <v>182.8</v>
      </c>
      <c r="H47" s="97"/>
      <c r="I47" s="97">
        <v>124.7</v>
      </c>
      <c r="J47" s="82">
        <v>208.1</v>
      </c>
      <c r="K47" s="82">
        <v>206.7</v>
      </c>
      <c r="L47" s="97"/>
      <c r="M47" s="97">
        <v>114.9</v>
      </c>
      <c r="N47" s="82">
        <v>162.30000000000001</v>
      </c>
      <c r="O47" s="82">
        <v>155.5</v>
      </c>
      <c r="P47" s="97"/>
      <c r="Q47" s="97">
        <v>201.9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15">
        <v>5.89</v>
      </c>
      <c r="F49" s="82"/>
      <c r="G49" s="82">
        <v>5.4</v>
      </c>
      <c r="H49" s="97"/>
      <c r="I49" s="97">
        <v>5.12</v>
      </c>
      <c r="J49" s="82">
        <v>5.52</v>
      </c>
      <c r="K49" s="82">
        <v>5.29</v>
      </c>
      <c r="L49" s="97"/>
      <c r="M49" s="97">
        <v>5.0999999999999996</v>
      </c>
      <c r="N49" s="82">
        <v>5.19</v>
      </c>
      <c r="O49" s="82">
        <v>5.1100000000000003</v>
      </c>
      <c r="P49" s="97"/>
      <c r="Q49" s="97">
        <v>4.97</v>
      </c>
    </row>
    <row r="50" spans="2:17" ht="20.100000000000001" customHeight="1" x14ac:dyDescent="0.25">
      <c r="B50" s="156" t="s">
        <v>51</v>
      </c>
      <c r="C50" s="156"/>
      <c r="D50" s="156"/>
      <c r="E50" s="115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14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761E-0639-4405-9C6C-8FFC7713377A}">
  <dimension ref="B1:Q59"/>
  <sheetViews>
    <sheetView view="pageBreakPreview" topLeftCell="A15" zoomScale="70" zoomScaleNormal="60" zoomScaleSheetLayoutView="70" workbookViewId="0">
      <selection activeCell="G49" sqref="G49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16" t="s">
        <v>78</v>
      </c>
      <c r="E10" s="83"/>
      <c r="F10" s="94"/>
      <c r="G10" s="94" t="s">
        <v>100</v>
      </c>
      <c r="H10" s="96" t="s">
        <v>100</v>
      </c>
      <c r="I10" s="96" t="s">
        <v>100</v>
      </c>
      <c r="J10" s="93"/>
      <c r="K10" s="94" t="s">
        <v>100</v>
      </c>
      <c r="L10" s="96"/>
      <c r="M10" s="96" t="s">
        <v>100</v>
      </c>
      <c r="N10" s="94"/>
      <c r="O10" s="94" t="s">
        <v>100</v>
      </c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/>
      <c r="G11" s="82">
        <v>71.400000000000006</v>
      </c>
      <c r="H11" s="97">
        <v>80.3</v>
      </c>
      <c r="I11" s="97">
        <v>76.400000000000006</v>
      </c>
      <c r="J11" s="82"/>
      <c r="K11" s="82">
        <v>74.7</v>
      </c>
      <c r="L11" s="97"/>
      <c r="M11" s="97">
        <v>73.7</v>
      </c>
      <c r="N11" s="82"/>
      <c r="O11" s="82">
        <v>73.400000000000006</v>
      </c>
      <c r="P11" s="97">
        <v>82.5</v>
      </c>
      <c r="Q11" s="97">
        <v>77.3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/>
      <c r="G12" s="82">
        <v>0.4</v>
      </c>
      <c r="H12" s="97">
        <v>0</v>
      </c>
      <c r="I12" s="97">
        <v>0</v>
      </c>
      <c r="J12" s="82"/>
      <c r="K12" s="82">
        <v>0</v>
      </c>
      <c r="L12" s="97"/>
      <c r="M12" s="97">
        <v>0.1</v>
      </c>
      <c r="N12" s="82"/>
      <c r="O12" s="82">
        <v>0</v>
      </c>
      <c r="P12" s="97">
        <v>0.1</v>
      </c>
      <c r="Q12" s="97">
        <v>0.1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/>
      <c r="G13" s="82">
        <v>65.7</v>
      </c>
      <c r="H13" s="97">
        <v>77.8</v>
      </c>
      <c r="I13" s="97">
        <v>72</v>
      </c>
      <c r="J13" s="82"/>
      <c r="K13" s="82">
        <v>70.3</v>
      </c>
      <c r="L13" s="97"/>
      <c r="M13" s="97">
        <v>68.3</v>
      </c>
      <c r="N13" s="82"/>
      <c r="O13" s="82">
        <v>67.900000000000006</v>
      </c>
      <c r="P13" s="97">
        <v>79.400000000000006</v>
      </c>
      <c r="Q13" s="97">
        <v>72.2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/>
      <c r="G14" s="82">
        <v>65.400000000000006</v>
      </c>
      <c r="H14" s="97">
        <v>62.6</v>
      </c>
      <c r="I14" s="97">
        <v>66.900000000000006</v>
      </c>
      <c r="J14" s="82"/>
      <c r="K14" s="82">
        <v>62.7</v>
      </c>
      <c r="L14" s="97"/>
      <c r="M14" s="97">
        <v>65.2</v>
      </c>
      <c r="N14" s="82"/>
      <c r="O14" s="82">
        <v>71.099999999999994</v>
      </c>
      <c r="P14" s="97">
        <v>67.5</v>
      </c>
      <c r="Q14" s="97">
        <v>72.3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/>
      <c r="G15" s="82">
        <v>41.7</v>
      </c>
      <c r="H15" s="97">
        <v>55</v>
      </c>
      <c r="I15" s="97">
        <v>50.9</v>
      </c>
      <c r="J15" s="82"/>
      <c r="K15" s="82">
        <v>41.4</v>
      </c>
      <c r="L15" s="97"/>
      <c r="M15" s="97">
        <v>35.9</v>
      </c>
      <c r="N15" s="82"/>
      <c r="O15" s="82">
        <v>49.9</v>
      </c>
      <c r="P15" s="97">
        <v>42.4</v>
      </c>
      <c r="Q15" s="97">
        <v>43.9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/>
      <c r="G16" s="82">
        <v>6.6</v>
      </c>
      <c r="H16" s="82">
        <v>6.6</v>
      </c>
      <c r="I16" s="82">
        <v>6.6</v>
      </c>
      <c r="J16" s="82"/>
      <c r="K16" s="82">
        <v>6.6</v>
      </c>
      <c r="L16" s="82"/>
      <c r="M16" s="82">
        <v>6.6</v>
      </c>
      <c r="N16" s="82"/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/>
      <c r="G17" s="82">
        <v>117.3</v>
      </c>
      <c r="H17" s="97">
        <v>115.8</v>
      </c>
      <c r="I17" s="97">
        <v>117</v>
      </c>
      <c r="J17" s="82"/>
      <c r="K17" s="82">
        <v>118</v>
      </c>
      <c r="L17" s="97"/>
      <c r="M17" s="97">
        <v>118.1</v>
      </c>
      <c r="N17" s="82"/>
      <c r="O17" s="82">
        <v>118.3</v>
      </c>
      <c r="P17" s="97">
        <v>119.2</v>
      </c>
      <c r="Q17" s="97">
        <v>118.6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/>
      <c r="G18" s="82">
        <v>1146</v>
      </c>
      <c r="H18" s="97">
        <v>1183</v>
      </c>
      <c r="I18" s="97">
        <v>1183</v>
      </c>
      <c r="J18" s="82"/>
      <c r="K18" s="82">
        <v>1205</v>
      </c>
      <c r="L18" s="97"/>
      <c r="M18" s="97">
        <v>1202</v>
      </c>
      <c r="N18" s="82"/>
      <c r="O18" s="82">
        <v>1204</v>
      </c>
      <c r="P18" s="97">
        <v>1213</v>
      </c>
      <c r="Q18" s="97">
        <v>1201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/>
      <c r="G19" s="82">
        <v>45955.3</v>
      </c>
      <c r="H19" s="97">
        <v>46732.3</v>
      </c>
      <c r="I19" s="97">
        <v>46723.3</v>
      </c>
      <c r="J19" s="82"/>
      <c r="K19" s="82">
        <v>44489.599999999999</v>
      </c>
      <c r="L19" s="97"/>
      <c r="M19" s="97">
        <v>46740.9</v>
      </c>
      <c r="N19" s="82"/>
      <c r="O19" s="82">
        <v>46080.800000000003</v>
      </c>
      <c r="P19" s="97">
        <v>47851.7</v>
      </c>
      <c r="Q19" s="97">
        <v>47842.7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/>
      <c r="G22" s="82">
        <v>58</v>
      </c>
      <c r="H22" s="97">
        <v>58.9</v>
      </c>
      <c r="I22" s="97">
        <v>59.1</v>
      </c>
      <c r="J22" s="82"/>
      <c r="K22" s="82">
        <v>57.9</v>
      </c>
      <c r="L22" s="97"/>
      <c r="M22" s="97">
        <v>57.2</v>
      </c>
      <c r="N22" s="82"/>
      <c r="O22" s="82">
        <v>58.6</v>
      </c>
      <c r="P22" s="97">
        <v>59</v>
      </c>
      <c r="Q22" s="97">
        <v>59.2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/>
      <c r="G23" s="82">
        <v>0.52</v>
      </c>
      <c r="H23" s="97">
        <v>0.48</v>
      </c>
      <c r="I23" s="97">
        <v>0.49</v>
      </c>
      <c r="J23" s="82"/>
      <c r="K23" s="82">
        <v>0.59</v>
      </c>
      <c r="L23" s="97"/>
      <c r="M23" s="97">
        <v>0.53</v>
      </c>
      <c r="N23" s="82"/>
      <c r="O23" s="82">
        <v>0.57999999999999996</v>
      </c>
      <c r="P23" s="97">
        <v>0.47</v>
      </c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82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/>
      <c r="G25" s="82">
        <v>45.1</v>
      </c>
      <c r="H25" s="97">
        <v>45</v>
      </c>
      <c r="I25" s="97">
        <v>44.8</v>
      </c>
      <c r="J25" s="82"/>
      <c r="K25" s="82">
        <v>44.8</v>
      </c>
      <c r="L25" s="97"/>
      <c r="M25" s="97">
        <v>45</v>
      </c>
      <c r="N25" s="82"/>
      <c r="O25" s="82">
        <v>44.8</v>
      </c>
      <c r="P25" s="97">
        <v>45</v>
      </c>
      <c r="Q25" s="97">
        <v>45.1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/>
      <c r="G26" s="82">
        <v>0.23</v>
      </c>
      <c r="H26" s="97">
        <v>0.21</v>
      </c>
      <c r="I26" s="97">
        <v>0.22</v>
      </c>
      <c r="J26" s="82"/>
      <c r="K26" s="82">
        <v>0.23</v>
      </c>
      <c r="L26" s="97"/>
      <c r="M26" s="97">
        <v>0.23</v>
      </c>
      <c r="N26" s="82"/>
      <c r="O26" s="82">
        <v>0.23</v>
      </c>
      <c r="P26" s="97">
        <v>0.23</v>
      </c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/>
      <c r="G27" s="82">
        <v>4.5999999999999996</v>
      </c>
      <c r="H27" s="97">
        <v>2.9</v>
      </c>
      <c r="I27" s="97">
        <v>3.8</v>
      </c>
      <c r="J27" s="82"/>
      <c r="K27" s="82">
        <v>4.5999999999999996</v>
      </c>
      <c r="L27" s="97"/>
      <c r="M27" s="97">
        <v>4.5999999999999996</v>
      </c>
      <c r="N27" s="82"/>
      <c r="O27" s="82">
        <v>4.8</v>
      </c>
      <c r="P27" s="97">
        <v>3.5</v>
      </c>
      <c r="Q27" s="97">
        <v>4.3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/>
      <c r="G28" s="82">
        <v>4</v>
      </c>
      <c r="H28" s="97">
        <v>2</v>
      </c>
      <c r="I28" s="97">
        <v>2.9</v>
      </c>
      <c r="J28" s="82"/>
      <c r="K28" s="82">
        <v>3.7</v>
      </c>
      <c r="L28" s="97"/>
      <c r="M28" s="97">
        <v>3.6</v>
      </c>
      <c r="N28" s="82"/>
      <c r="O28" s="82">
        <v>3.6</v>
      </c>
      <c r="P28" s="97">
        <v>2.8</v>
      </c>
      <c r="Q28" s="97">
        <v>3.6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/>
      <c r="G29" s="98">
        <f t="shared" ref="G29:Q29" si="0">G32-G27</f>
        <v>0.20000000000000018</v>
      </c>
      <c r="H29" s="98">
        <f t="shared" si="0"/>
        <v>1.1000000000000001</v>
      </c>
      <c r="I29" s="98">
        <f t="shared" si="0"/>
        <v>1.4000000000000004</v>
      </c>
      <c r="J29" s="98">
        <f t="shared" si="0"/>
        <v>0</v>
      </c>
      <c r="K29" s="98">
        <f t="shared" si="0"/>
        <v>-0.19999999999999929</v>
      </c>
      <c r="L29" s="98">
        <f t="shared" si="0"/>
        <v>0</v>
      </c>
      <c r="M29" s="98">
        <f t="shared" si="0"/>
        <v>0.40000000000000036</v>
      </c>
      <c r="N29" s="98">
        <f t="shared" si="0"/>
        <v>0</v>
      </c>
      <c r="O29" s="98">
        <f t="shared" si="0"/>
        <v>0.20000000000000018</v>
      </c>
      <c r="P29" s="98">
        <f t="shared" si="0"/>
        <v>0.79999999999999982</v>
      </c>
      <c r="Q29" s="98">
        <f t="shared" si="0"/>
        <v>0.90000000000000036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/>
      <c r="G30" s="82">
        <v>719.1</v>
      </c>
      <c r="H30" s="97">
        <v>719.28</v>
      </c>
      <c r="I30" s="97">
        <v>689.3</v>
      </c>
      <c r="J30" s="82"/>
      <c r="K30" s="82">
        <v>674.6</v>
      </c>
      <c r="L30" s="97"/>
      <c r="M30" s="97">
        <v>714.4</v>
      </c>
      <c r="N30" s="82"/>
      <c r="O30" s="82">
        <v>722.5</v>
      </c>
      <c r="P30" s="97">
        <v>734.64</v>
      </c>
      <c r="Q30" s="97">
        <v>699.7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/>
      <c r="G31" s="82">
        <v>13.3</v>
      </c>
      <c r="H31" s="97">
        <v>11.7</v>
      </c>
      <c r="I31" s="97">
        <v>13.1</v>
      </c>
      <c r="J31" s="82"/>
      <c r="K31" s="82">
        <v>13.2</v>
      </c>
      <c r="L31" s="97"/>
      <c r="M31" s="97">
        <v>13.1</v>
      </c>
      <c r="N31" s="82"/>
      <c r="O31" s="82">
        <v>13.2</v>
      </c>
      <c r="P31" s="97">
        <v>11.9</v>
      </c>
      <c r="Q31" s="97">
        <v>13.3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/>
      <c r="G32" s="82">
        <v>4.8</v>
      </c>
      <c r="H32" s="97">
        <v>4</v>
      </c>
      <c r="I32" s="97">
        <v>5.2</v>
      </c>
      <c r="J32" s="82"/>
      <c r="K32" s="82">
        <v>4.4000000000000004</v>
      </c>
      <c r="L32" s="97"/>
      <c r="M32" s="97">
        <v>5</v>
      </c>
      <c r="N32" s="82"/>
      <c r="O32" s="82">
        <v>5</v>
      </c>
      <c r="P32" s="97">
        <v>4.3</v>
      </c>
      <c r="Q32" s="97">
        <v>5.2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/>
      <c r="G33" s="98">
        <f>G31-G32</f>
        <v>8.5</v>
      </c>
      <c r="H33" s="98">
        <f t="shared" ref="H33:Q33" si="1">H31-H32</f>
        <v>7.6999999999999993</v>
      </c>
      <c r="I33" s="98">
        <f t="shared" si="1"/>
        <v>7.8999999999999995</v>
      </c>
      <c r="J33" s="98">
        <f t="shared" si="1"/>
        <v>0</v>
      </c>
      <c r="K33" s="98">
        <f t="shared" si="1"/>
        <v>8.7999999999999989</v>
      </c>
      <c r="L33" s="98">
        <f t="shared" si="1"/>
        <v>0</v>
      </c>
      <c r="M33" s="98">
        <f t="shared" si="1"/>
        <v>8.1</v>
      </c>
      <c r="N33" s="98">
        <f t="shared" si="1"/>
        <v>0</v>
      </c>
      <c r="O33" s="98">
        <f t="shared" si="1"/>
        <v>8.1999999999999993</v>
      </c>
      <c r="P33" s="98">
        <f t="shared" si="1"/>
        <v>7.6000000000000005</v>
      </c>
      <c r="Q33" s="98">
        <f t="shared" si="1"/>
        <v>8.1000000000000014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/>
      <c r="G34" s="99">
        <f>(G33*G30)/0.866</f>
        <v>7058.1408775981527</v>
      </c>
      <c r="H34" s="99">
        <f t="shared" ref="H34:Q34" si="2">(H33*H30)/0.866</f>
        <v>6395.4457274826782</v>
      </c>
      <c r="I34" s="99">
        <f t="shared" si="2"/>
        <v>6288.0715935334865</v>
      </c>
      <c r="J34" s="99">
        <f t="shared" si="2"/>
        <v>0</v>
      </c>
      <c r="K34" s="99">
        <f t="shared" si="2"/>
        <v>6855.0577367205542</v>
      </c>
      <c r="L34" s="99">
        <f t="shared" si="2"/>
        <v>0</v>
      </c>
      <c r="M34" s="99">
        <f t="shared" si="2"/>
        <v>6682.03233256351</v>
      </c>
      <c r="N34" s="99">
        <f t="shared" si="2"/>
        <v>0</v>
      </c>
      <c r="O34" s="99">
        <f t="shared" si="2"/>
        <v>6841.2240184757493</v>
      </c>
      <c r="P34" s="99">
        <f t="shared" si="2"/>
        <v>6447.1870669745958</v>
      </c>
      <c r="Q34" s="99">
        <f t="shared" si="2"/>
        <v>6544.5381062355673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/>
      <c r="G35" s="82">
        <v>0.82</v>
      </c>
      <c r="H35" s="97">
        <v>0.83</v>
      </c>
      <c r="I35" s="97">
        <v>0.85</v>
      </c>
      <c r="J35" s="82"/>
      <c r="K35" s="82">
        <v>0.83</v>
      </c>
      <c r="L35" s="97"/>
      <c r="M35" s="97">
        <v>0.84</v>
      </c>
      <c r="N35" s="82"/>
      <c r="O35" s="82">
        <v>0.86</v>
      </c>
      <c r="P35" s="97">
        <v>0.8</v>
      </c>
      <c r="Q35" s="97">
        <v>0.84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/>
      <c r="G36" s="82">
        <v>36.1</v>
      </c>
      <c r="H36" s="97">
        <v>36</v>
      </c>
      <c r="I36" s="97">
        <v>36.700000000000003</v>
      </c>
      <c r="J36" s="82"/>
      <c r="K36" s="82">
        <v>36.200000000000003</v>
      </c>
      <c r="L36" s="97"/>
      <c r="M36" s="97">
        <v>37.700000000000003</v>
      </c>
      <c r="N36" s="82"/>
      <c r="O36" s="82">
        <v>36.700000000000003</v>
      </c>
      <c r="P36" s="97">
        <v>35.299999999999997</v>
      </c>
      <c r="Q36" s="97">
        <v>36.299999999999997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/>
      <c r="G37" s="82">
        <v>36.4</v>
      </c>
      <c r="H37" s="97">
        <v>37</v>
      </c>
      <c r="I37" s="97">
        <v>37.6</v>
      </c>
      <c r="J37" s="82"/>
      <c r="K37" s="82">
        <v>37</v>
      </c>
      <c r="L37" s="97"/>
      <c r="M37" s="97">
        <v>37.5</v>
      </c>
      <c r="N37" s="82"/>
      <c r="O37" s="82">
        <v>37</v>
      </c>
      <c r="P37" s="97">
        <v>2.7</v>
      </c>
      <c r="Q37" s="97">
        <v>36.4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/>
      <c r="G38" s="98">
        <f>G37-G41</f>
        <v>2.1999999999999957</v>
      </c>
      <c r="H38" s="98">
        <f t="shared" ref="H38:Q38" si="3">H37-H41</f>
        <v>4.7999999999999972</v>
      </c>
      <c r="I38" s="98">
        <f t="shared" si="3"/>
        <v>4.1000000000000014</v>
      </c>
      <c r="J38" s="98">
        <f t="shared" si="3"/>
        <v>0</v>
      </c>
      <c r="K38" s="98">
        <f t="shared" si="3"/>
        <v>2.7000000000000028</v>
      </c>
      <c r="L38" s="98">
        <f t="shared" si="3"/>
        <v>0</v>
      </c>
      <c r="M38" s="98">
        <f t="shared" si="3"/>
        <v>3.5</v>
      </c>
      <c r="N38" s="98">
        <f t="shared" si="3"/>
        <v>0</v>
      </c>
      <c r="O38" s="98">
        <f t="shared" si="3"/>
        <v>2.2000000000000028</v>
      </c>
      <c r="P38" s="98">
        <f>P36-P41</f>
        <v>2.5999999999999943</v>
      </c>
      <c r="Q38" s="98">
        <f t="shared" si="3"/>
        <v>2.2999999999999972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/>
      <c r="G40" s="82">
        <v>28.7</v>
      </c>
      <c r="H40" s="97">
        <v>27</v>
      </c>
      <c r="I40" s="97">
        <v>28.4</v>
      </c>
      <c r="J40" s="82"/>
      <c r="K40" s="82">
        <v>28.5</v>
      </c>
      <c r="L40" s="97"/>
      <c r="M40" s="97">
        <v>28.6</v>
      </c>
      <c r="N40" s="82"/>
      <c r="O40" s="82">
        <v>28.3</v>
      </c>
      <c r="P40" s="97">
        <v>26.8</v>
      </c>
      <c r="Q40" s="97">
        <v>28.4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/>
      <c r="G41" s="82">
        <v>34.200000000000003</v>
      </c>
      <c r="H41" s="97">
        <v>32.200000000000003</v>
      </c>
      <c r="I41" s="97">
        <v>33.5</v>
      </c>
      <c r="J41" s="82"/>
      <c r="K41" s="82">
        <v>34.299999999999997</v>
      </c>
      <c r="L41" s="97"/>
      <c r="M41" s="97">
        <v>34</v>
      </c>
      <c r="N41" s="82"/>
      <c r="O41" s="82">
        <v>34.799999999999997</v>
      </c>
      <c r="P41" s="97">
        <v>32.700000000000003</v>
      </c>
      <c r="Q41" s="97">
        <v>34.1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/>
      <c r="G42" s="98">
        <f>G41-G40</f>
        <v>5.5000000000000036</v>
      </c>
      <c r="H42" s="98">
        <f t="shared" ref="H42:Q42" si="4">H41-H40</f>
        <v>5.2000000000000028</v>
      </c>
      <c r="I42" s="98">
        <f t="shared" si="4"/>
        <v>5.1000000000000014</v>
      </c>
      <c r="J42" s="98">
        <f t="shared" si="4"/>
        <v>0</v>
      </c>
      <c r="K42" s="98">
        <f t="shared" si="4"/>
        <v>5.7999999999999972</v>
      </c>
      <c r="L42" s="98">
        <f t="shared" si="4"/>
        <v>0</v>
      </c>
      <c r="M42" s="98">
        <f t="shared" si="4"/>
        <v>5.3999999999999986</v>
      </c>
      <c r="N42" s="98">
        <f t="shared" si="4"/>
        <v>0</v>
      </c>
      <c r="O42" s="98">
        <f t="shared" si="4"/>
        <v>6.4999999999999964</v>
      </c>
      <c r="P42" s="98">
        <f t="shared" si="4"/>
        <v>5.9000000000000021</v>
      </c>
      <c r="Q42" s="98">
        <f t="shared" si="4"/>
        <v>5.7000000000000028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/>
      <c r="G43" s="82">
        <v>1265.5999999999999</v>
      </c>
      <c r="H43" s="97">
        <v>1231.1600000000001</v>
      </c>
      <c r="I43" s="97">
        <v>1304.3</v>
      </c>
      <c r="J43" s="82"/>
      <c r="K43" s="82">
        <v>1298.7</v>
      </c>
      <c r="L43" s="97"/>
      <c r="M43" s="97">
        <v>1239.4000000000001</v>
      </c>
      <c r="N43" s="82"/>
      <c r="O43" s="82">
        <v>1078.5999999999999</v>
      </c>
      <c r="P43" s="97">
        <v>1191.26</v>
      </c>
      <c r="Q43" s="97">
        <v>1261.9000000000001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/>
      <c r="G44" s="99">
        <f>G42*G43/0.866</f>
        <v>8037.8752886836073</v>
      </c>
      <c r="H44" s="99">
        <f t="shared" ref="H44:Q44" si="5">H42*H43/0.866</f>
        <v>7392.6466512702127</v>
      </c>
      <c r="I44" s="99">
        <f t="shared" si="5"/>
        <v>7681.212471131641</v>
      </c>
      <c r="J44" s="99">
        <f t="shared" si="5"/>
        <v>0</v>
      </c>
      <c r="K44" s="99">
        <f t="shared" si="5"/>
        <v>8697.9907621247075</v>
      </c>
      <c r="L44" s="99">
        <f t="shared" si="5"/>
        <v>0</v>
      </c>
      <c r="M44" s="99">
        <f t="shared" si="5"/>
        <v>7728.3602771362566</v>
      </c>
      <c r="N44" s="99">
        <f t="shared" si="5"/>
        <v>0</v>
      </c>
      <c r="O44" s="99">
        <f t="shared" si="5"/>
        <v>8095.727482678979</v>
      </c>
      <c r="P44" s="99">
        <f t="shared" si="5"/>
        <v>8115.9745958429594</v>
      </c>
      <c r="Q44" s="99">
        <f t="shared" si="5"/>
        <v>8305.8083140877643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/>
      <c r="G45" s="82">
        <v>0.46</v>
      </c>
      <c r="H45" s="97">
        <v>0.45</v>
      </c>
      <c r="I45" s="97">
        <v>0.46</v>
      </c>
      <c r="J45" s="82"/>
      <c r="K45" s="82">
        <v>0.46</v>
      </c>
      <c r="L45" s="97"/>
      <c r="M45" s="97">
        <v>0.48</v>
      </c>
      <c r="N45" s="82"/>
      <c r="O45" s="82">
        <v>0.47</v>
      </c>
      <c r="P45" s="97">
        <v>0.45</v>
      </c>
      <c r="Q45" s="97">
        <v>0.47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/>
      <c r="G46" s="82">
        <v>19.8</v>
      </c>
      <c r="H46" s="97">
        <v>18.7</v>
      </c>
      <c r="I46" s="97">
        <v>19.8</v>
      </c>
      <c r="J46" s="82"/>
      <c r="K46" s="82">
        <v>19.399999999999999</v>
      </c>
      <c r="L46" s="97"/>
      <c r="M46" s="97">
        <v>20.8</v>
      </c>
      <c r="N46" s="82"/>
      <c r="O46" s="82">
        <v>20.100000000000001</v>
      </c>
      <c r="P46" s="97">
        <v>18.8</v>
      </c>
      <c r="Q46" s="97">
        <v>20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/>
      <c r="G47" s="82">
        <v>187.8</v>
      </c>
      <c r="H47" s="97">
        <v>118.5</v>
      </c>
      <c r="I47" s="97">
        <v>124.6</v>
      </c>
      <c r="J47" s="82"/>
      <c r="K47" s="82">
        <v>200.4</v>
      </c>
      <c r="L47" s="97"/>
      <c r="M47" s="97">
        <v>214.1</v>
      </c>
      <c r="N47" s="82"/>
      <c r="O47" s="82">
        <v>160.5</v>
      </c>
      <c r="P47" s="97">
        <v>205.4</v>
      </c>
      <c r="Q47" s="97">
        <v>204.3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16">
        <v>5.89</v>
      </c>
      <c r="F49" s="82"/>
      <c r="G49" s="82">
        <v>5.52</v>
      </c>
      <c r="H49" s="97">
        <v>5.04</v>
      </c>
      <c r="I49" s="97">
        <v>4.96</v>
      </c>
      <c r="J49" s="82"/>
      <c r="K49" s="82">
        <v>5.35</v>
      </c>
      <c r="L49" s="97"/>
      <c r="M49" s="97">
        <v>5.2</v>
      </c>
      <c r="N49" s="82"/>
      <c r="O49" s="82">
        <v>4.93</v>
      </c>
      <c r="P49" s="97">
        <v>4.84</v>
      </c>
      <c r="Q49" s="97">
        <v>5.09</v>
      </c>
    </row>
    <row r="50" spans="2:17" ht="20.100000000000001" customHeight="1" x14ac:dyDescent="0.25">
      <c r="B50" s="156" t="s">
        <v>51</v>
      </c>
      <c r="C50" s="156"/>
      <c r="D50" s="156"/>
      <c r="E50" s="116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17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EA8F-63C6-487B-A74E-F15F81469F3F}">
  <dimension ref="B1:Q59"/>
  <sheetViews>
    <sheetView view="pageBreakPreview" topLeftCell="B1" zoomScale="85" zoomScaleNormal="60" zoomScaleSheetLayoutView="85" workbookViewId="0">
      <selection activeCell="P10" sqref="P10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19" t="s">
        <v>78</v>
      </c>
      <c r="E10" s="83"/>
      <c r="F10" s="94" t="s">
        <v>100</v>
      </c>
      <c r="G10" s="94" t="s">
        <v>100</v>
      </c>
      <c r="H10" s="96"/>
      <c r="I10" s="96" t="s">
        <v>100</v>
      </c>
      <c r="J10" s="93"/>
      <c r="K10" s="94" t="s">
        <v>100</v>
      </c>
      <c r="L10" s="96" t="s">
        <v>100</v>
      </c>
      <c r="M10" s="96" t="s">
        <v>100</v>
      </c>
      <c r="N10" s="94"/>
      <c r="O10" s="94" t="s">
        <v>100</v>
      </c>
      <c r="P10" s="96"/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>
        <v>74.900000000000006</v>
      </c>
      <c r="G11" s="82">
        <v>71.900000000000006</v>
      </c>
      <c r="H11" s="97"/>
      <c r="I11" s="97">
        <v>80.599999999999994</v>
      </c>
      <c r="J11" s="82"/>
      <c r="K11" s="82">
        <v>73.900000000000006</v>
      </c>
      <c r="L11" s="97">
        <v>74.900000000000006</v>
      </c>
      <c r="M11" s="97">
        <v>74.900000000000006</v>
      </c>
      <c r="N11" s="82"/>
      <c r="O11" s="82">
        <v>70</v>
      </c>
      <c r="P11" s="97"/>
      <c r="Q11" s="97">
        <v>79.3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>
        <v>0.3</v>
      </c>
      <c r="G12" s="82">
        <v>0.3</v>
      </c>
      <c r="H12" s="97"/>
      <c r="I12" s="97">
        <v>0</v>
      </c>
      <c r="J12" s="82"/>
      <c r="K12" s="82">
        <v>0</v>
      </c>
      <c r="L12" s="97">
        <v>0.2</v>
      </c>
      <c r="M12" s="97">
        <v>0.2</v>
      </c>
      <c r="N12" s="82"/>
      <c r="O12" s="82">
        <v>0</v>
      </c>
      <c r="P12" s="97"/>
      <c r="Q12" s="97">
        <v>0.2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>
        <v>69.5</v>
      </c>
      <c r="G13" s="82">
        <v>66.2</v>
      </c>
      <c r="H13" s="97"/>
      <c r="I13" s="97">
        <v>77.8</v>
      </c>
      <c r="J13" s="82"/>
      <c r="K13" s="82">
        <v>68.7</v>
      </c>
      <c r="L13" s="97">
        <v>69.2</v>
      </c>
      <c r="M13" s="97">
        <v>69.2</v>
      </c>
      <c r="N13" s="82"/>
      <c r="O13" s="82">
        <v>63.7</v>
      </c>
      <c r="P13" s="97"/>
      <c r="Q13" s="97">
        <v>74.599999999999994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>
        <v>65.900000000000006</v>
      </c>
      <c r="G14" s="82">
        <v>65.900000000000006</v>
      </c>
      <c r="H14" s="97"/>
      <c r="I14" s="97">
        <v>67.2</v>
      </c>
      <c r="J14" s="82"/>
      <c r="K14" s="82">
        <v>63.1</v>
      </c>
      <c r="L14" s="97">
        <v>66.3</v>
      </c>
      <c r="M14" s="97">
        <v>66.599999999999994</v>
      </c>
      <c r="N14" s="82"/>
      <c r="O14" s="82">
        <v>72.3</v>
      </c>
      <c r="P14" s="97"/>
      <c r="Q14" s="97">
        <v>72.3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>
        <v>55.2</v>
      </c>
      <c r="G15" s="82">
        <v>51.1</v>
      </c>
      <c r="H15" s="97"/>
      <c r="I15" s="97">
        <v>53.8</v>
      </c>
      <c r="J15" s="82"/>
      <c r="K15" s="82">
        <v>39.9</v>
      </c>
      <c r="L15" s="97">
        <v>38.9</v>
      </c>
      <c r="M15" s="97">
        <v>37.700000000000003</v>
      </c>
      <c r="N15" s="82"/>
      <c r="O15" s="82">
        <v>51.5</v>
      </c>
      <c r="P15" s="97"/>
      <c r="Q15" s="97">
        <v>42.6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>
        <v>6.6</v>
      </c>
      <c r="G16" s="82">
        <v>6.6</v>
      </c>
      <c r="H16" s="82"/>
      <c r="I16" s="82">
        <v>6.6</v>
      </c>
      <c r="J16" s="82"/>
      <c r="K16" s="82">
        <v>6.6</v>
      </c>
      <c r="L16" s="82">
        <v>6.6</v>
      </c>
      <c r="M16" s="82">
        <v>6.6</v>
      </c>
      <c r="N16" s="82"/>
      <c r="O16" s="82">
        <v>6.6</v>
      </c>
      <c r="P16" s="82"/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>
        <v>118.8</v>
      </c>
      <c r="G17" s="82">
        <v>117.7</v>
      </c>
      <c r="H17" s="97"/>
      <c r="I17" s="97">
        <v>118.6</v>
      </c>
      <c r="J17" s="82"/>
      <c r="K17" s="82">
        <v>115.9</v>
      </c>
      <c r="L17" s="97">
        <v>119.4</v>
      </c>
      <c r="M17" s="97">
        <v>119.1</v>
      </c>
      <c r="N17" s="82"/>
      <c r="O17" s="82">
        <v>115.6</v>
      </c>
      <c r="P17" s="97"/>
      <c r="Q17" s="97">
        <v>119.6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>
        <v>1159</v>
      </c>
      <c r="G18" s="82">
        <v>1153</v>
      </c>
      <c r="H18" s="97"/>
      <c r="I18" s="97">
        <v>1198</v>
      </c>
      <c r="J18" s="82"/>
      <c r="K18" s="82">
        <v>1182</v>
      </c>
      <c r="L18" s="97">
        <v>1202</v>
      </c>
      <c r="M18" s="97">
        <v>1207</v>
      </c>
      <c r="N18" s="82"/>
      <c r="O18" s="82">
        <v>1174</v>
      </c>
      <c r="P18" s="97"/>
      <c r="Q18" s="97">
        <v>1212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>
        <v>45972.5</v>
      </c>
      <c r="G19" s="82">
        <v>45964.6</v>
      </c>
      <c r="H19" s="97"/>
      <c r="I19" s="97">
        <v>46747.9</v>
      </c>
      <c r="J19" s="82"/>
      <c r="K19" s="82">
        <v>44499.199999999997</v>
      </c>
      <c r="L19" s="97">
        <v>46758.6</v>
      </c>
      <c r="M19" s="97">
        <v>46750.8</v>
      </c>
      <c r="N19" s="82"/>
      <c r="O19" s="82">
        <v>46090.7</v>
      </c>
      <c r="P19" s="97"/>
      <c r="Q19" s="97">
        <v>47862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>
        <v>58.1</v>
      </c>
      <c r="G22" s="82">
        <v>58.2</v>
      </c>
      <c r="H22" s="97"/>
      <c r="I22" s="97">
        <v>59.1</v>
      </c>
      <c r="J22" s="82"/>
      <c r="K22" s="82">
        <v>57.9</v>
      </c>
      <c r="L22" s="97">
        <v>56.8</v>
      </c>
      <c r="M22" s="97">
        <v>57.1</v>
      </c>
      <c r="N22" s="82"/>
      <c r="O22" s="82">
        <v>58.7</v>
      </c>
      <c r="P22" s="97"/>
      <c r="Q22" s="97">
        <v>59.2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>
        <v>0.52</v>
      </c>
      <c r="G23" s="82">
        <v>0.52</v>
      </c>
      <c r="H23" s="97"/>
      <c r="I23" s="97">
        <v>0.49</v>
      </c>
      <c r="J23" s="82"/>
      <c r="K23" s="82">
        <v>0.59</v>
      </c>
      <c r="L23" s="97">
        <v>0.53</v>
      </c>
      <c r="M23" s="97">
        <v>0.53</v>
      </c>
      <c r="N23" s="82"/>
      <c r="O23" s="82">
        <v>0.48</v>
      </c>
      <c r="P23" s="97"/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82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>
        <v>44.3</v>
      </c>
      <c r="G25" s="82">
        <v>45.2</v>
      </c>
      <c r="H25" s="97"/>
      <c r="I25" s="97">
        <v>45.1</v>
      </c>
      <c r="J25" s="82"/>
      <c r="K25" s="82">
        <v>45</v>
      </c>
      <c r="L25" s="97">
        <v>44.9</v>
      </c>
      <c r="M25" s="97">
        <v>45.1</v>
      </c>
      <c r="N25" s="82"/>
      <c r="O25" s="82">
        <v>45.1</v>
      </c>
      <c r="P25" s="97"/>
      <c r="Q25" s="97">
        <v>45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>
        <v>0.25</v>
      </c>
      <c r="G26" s="82">
        <v>0.23</v>
      </c>
      <c r="H26" s="97"/>
      <c r="I26" s="97">
        <v>0.21</v>
      </c>
      <c r="J26" s="82"/>
      <c r="K26" s="82">
        <v>0.23</v>
      </c>
      <c r="L26" s="97">
        <v>0.23</v>
      </c>
      <c r="M26" s="97">
        <v>0.23</v>
      </c>
      <c r="N26" s="82"/>
      <c r="O26" s="82">
        <v>0.23</v>
      </c>
      <c r="P26" s="97"/>
      <c r="Q26" s="97">
        <v>0.22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>
        <v>4.2</v>
      </c>
      <c r="G27" s="82">
        <v>4.2</v>
      </c>
      <c r="H27" s="97"/>
      <c r="I27" s="97">
        <v>3.1</v>
      </c>
      <c r="J27" s="82"/>
      <c r="K27" s="82">
        <v>4.3</v>
      </c>
      <c r="L27" s="97">
        <v>4.5999999999999996</v>
      </c>
      <c r="M27" s="97">
        <v>4.4000000000000004</v>
      </c>
      <c r="N27" s="82"/>
      <c r="O27" s="82">
        <v>4.8</v>
      </c>
      <c r="P27" s="97"/>
      <c r="Q27" s="97">
        <v>4.0999999999999996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>
        <v>3.4</v>
      </c>
      <c r="G28" s="82">
        <v>3.8</v>
      </c>
      <c r="H28" s="97"/>
      <c r="I28" s="97">
        <v>2.4</v>
      </c>
      <c r="J28" s="82"/>
      <c r="K28" s="82">
        <v>3.5</v>
      </c>
      <c r="L28" s="97">
        <v>3.6</v>
      </c>
      <c r="M28" s="97">
        <v>3.5</v>
      </c>
      <c r="N28" s="82"/>
      <c r="O28" s="82">
        <v>3.8</v>
      </c>
      <c r="P28" s="97"/>
      <c r="Q28" s="97">
        <v>3.8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>
        <f>F32-F27</f>
        <v>0.39999999999999947</v>
      </c>
      <c r="G29" s="98">
        <f t="shared" ref="G29:Q29" si="0">G32-G27</f>
        <v>0.5</v>
      </c>
      <c r="H29" s="98">
        <f t="shared" si="0"/>
        <v>0</v>
      </c>
      <c r="I29" s="98">
        <f t="shared" si="0"/>
        <v>1.6999999999999997</v>
      </c>
      <c r="J29" s="98">
        <f t="shared" si="0"/>
        <v>0</v>
      </c>
      <c r="K29" s="98">
        <f t="shared" si="0"/>
        <v>-9.9999999999999645E-2</v>
      </c>
      <c r="L29" s="98">
        <f t="shared" si="0"/>
        <v>0</v>
      </c>
      <c r="M29" s="98">
        <f t="shared" si="0"/>
        <v>0.39999999999999947</v>
      </c>
      <c r="N29" s="98">
        <f t="shared" si="0"/>
        <v>0</v>
      </c>
      <c r="O29" s="98">
        <f t="shared" si="0"/>
        <v>0.20000000000000018</v>
      </c>
      <c r="P29" s="98">
        <f t="shared" si="0"/>
        <v>0</v>
      </c>
      <c r="Q29" s="98">
        <f t="shared" si="0"/>
        <v>0.90000000000000036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>
        <v>748.48</v>
      </c>
      <c r="G30" s="82">
        <v>710.5</v>
      </c>
      <c r="H30" s="97"/>
      <c r="I30" s="97">
        <v>686</v>
      </c>
      <c r="J30" s="82"/>
      <c r="K30" s="82">
        <v>660.5</v>
      </c>
      <c r="L30" s="97">
        <v>750.16</v>
      </c>
      <c r="M30" s="97">
        <v>712.4</v>
      </c>
      <c r="N30" s="82"/>
      <c r="O30" s="82">
        <v>717.9</v>
      </c>
      <c r="P30" s="97"/>
      <c r="Q30" s="97">
        <v>692.8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>
        <v>12.4</v>
      </c>
      <c r="G31" s="82">
        <v>13.3</v>
      </c>
      <c r="H31" s="97"/>
      <c r="I31" s="97">
        <v>13.3</v>
      </c>
      <c r="J31" s="82"/>
      <c r="K31" s="82">
        <v>13.1</v>
      </c>
      <c r="L31" s="97">
        <v>12.8</v>
      </c>
      <c r="M31" s="97">
        <v>13.3</v>
      </c>
      <c r="N31" s="82"/>
      <c r="O31" s="82">
        <v>13.3</v>
      </c>
      <c r="P31" s="97"/>
      <c r="Q31" s="97">
        <v>13.3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>
        <v>4.5999999999999996</v>
      </c>
      <c r="G32" s="82">
        <v>4.7</v>
      </c>
      <c r="H32" s="97"/>
      <c r="I32" s="97">
        <v>4.8</v>
      </c>
      <c r="J32" s="82"/>
      <c r="K32" s="82">
        <v>4.2</v>
      </c>
      <c r="L32" s="97">
        <v>4.5999999999999996</v>
      </c>
      <c r="M32" s="97">
        <v>4.8</v>
      </c>
      <c r="N32" s="82"/>
      <c r="O32" s="82">
        <v>5</v>
      </c>
      <c r="P32" s="97"/>
      <c r="Q32" s="97">
        <v>5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7.8000000000000007</v>
      </c>
      <c r="G33" s="98">
        <f>G31-G32</f>
        <v>8.6000000000000014</v>
      </c>
      <c r="H33" s="98">
        <f t="shared" ref="H33:Q33" si="1">H31-H32</f>
        <v>0</v>
      </c>
      <c r="I33" s="98">
        <f t="shared" si="1"/>
        <v>8.5</v>
      </c>
      <c r="J33" s="98">
        <f t="shared" si="1"/>
        <v>0</v>
      </c>
      <c r="K33" s="98">
        <f t="shared" si="1"/>
        <v>8.8999999999999986</v>
      </c>
      <c r="L33" s="98">
        <f t="shared" si="1"/>
        <v>8.2000000000000011</v>
      </c>
      <c r="M33" s="98">
        <f t="shared" si="1"/>
        <v>8.5</v>
      </c>
      <c r="N33" s="98">
        <f t="shared" si="1"/>
        <v>0</v>
      </c>
      <c r="O33" s="98">
        <f t="shared" si="1"/>
        <v>8.3000000000000007</v>
      </c>
      <c r="P33" s="98">
        <f t="shared" si="1"/>
        <v>0</v>
      </c>
      <c r="Q33" s="98">
        <f t="shared" si="1"/>
        <v>8.3000000000000007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6741.5057736720555</v>
      </c>
      <c r="G34" s="99">
        <f>(G33*G30)/0.866</f>
        <v>7055.7736720554285</v>
      </c>
      <c r="H34" s="99">
        <f t="shared" ref="H34:Q34" si="2">(H33*H30)/0.866</f>
        <v>0</v>
      </c>
      <c r="I34" s="99">
        <f t="shared" si="2"/>
        <v>6733.2563510392611</v>
      </c>
      <c r="J34" s="99">
        <f t="shared" si="2"/>
        <v>0</v>
      </c>
      <c r="K34" s="99">
        <f t="shared" si="2"/>
        <v>6788.0484988452645</v>
      </c>
      <c r="L34" s="99">
        <f t="shared" si="2"/>
        <v>7103.1316397228647</v>
      </c>
      <c r="M34" s="99">
        <f t="shared" si="2"/>
        <v>6992.3787528868361</v>
      </c>
      <c r="N34" s="99">
        <f t="shared" si="2"/>
        <v>0</v>
      </c>
      <c r="O34" s="99">
        <f t="shared" si="2"/>
        <v>6880.5658198614328</v>
      </c>
      <c r="P34" s="99">
        <f t="shared" si="2"/>
        <v>0</v>
      </c>
      <c r="Q34" s="99">
        <f t="shared" si="2"/>
        <v>6640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>
        <v>0.78</v>
      </c>
      <c r="G35" s="82">
        <v>0.8</v>
      </c>
      <c r="H35" s="97"/>
      <c r="I35" s="97">
        <v>0.84</v>
      </c>
      <c r="J35" s="82"/>
      <c r="K35" s="82">
        <v>0.82</v>
      </c>
      <c r="L35" s="97">
        <v>0.81</v>
      </c>
      <c r="M35" s="97">
        <v>0.83</v>
      </c>
      <c r="N35" s="82"/>
      <c r="O35" s="82">
        <v>0.82</v>
      </c>
      <c r="P35" s="97"/>
      <c r="Q35" s="97">
        <v>0.81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>
        <v>34.700000000000003</v>
      </c>
      <c r="G36" s="82">
        <v>35.5</v>
      </c>
      <c r="H36" s="97"/>
      <c r="I36" s="97">
        <v>36.4</v>
      </c>
      <c r="J36" s="82"/>
      <c r="K36" s="82">
        <v>35.799999999999997</v>
      </c>
      <c r="L36" s="97">
        <v>36</v>
      </c>
      <c r="M36" s="97">
        <v>37.1</v>
      </c>
      <c r="N36" s="82"/>
      <c r="O36" s="82">
        <v>36.1</v>
      </c>
      <c r="P36" s="97"/>
      <c r="Q36" s="97">
        <v>36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>
        <v>35.1</v>
      </c>
      <c r="G37" s="82">
        <v>36</v>
      </c>
      <c r="H37" s="97"/>
      <c r="I37" s="97">
        <v>37.4</v>
      </c>
      <c r="J37" s="82"/>
      <c r="K37" s="82">
        <v>36.5</v>
      </c>
      <c r="L37" s="97">
        <v>36.299999999999997</v>
      </c>
      <c r="M37" s="97">
        <v>37.1</v>
      </c>
      <c r="N37" s="82"/>
      <c r="O37" s="82">
        <v>36.5</v>
      </c>
      <c r="P37" s="97"/>
      <c r="Q37" s="97">
        <v>36.200000000000003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F37-F41</f>
        <v>2.2000000000000028</v>
      </c>
      <c r="G38" s="98">
        <f>G37-G41</f>
        <v>2.2000000000000028</v>
      </c>
      <c r="H38" s="98">
        <f t="shared" ref="H38:Q38" si="3">H37-H41</f>
        <v>0</v>
      </c>
      <c r="I38" s="98">
        <f t="shared" si="3"/>
        <v>4.5</v>
      </c>
      <c r="J38" s="98">
        <f t="shared" si="3"/>
        <v>0</v>
      </c>
      <c r="K38" s="98">
        <f t="shared" si="3"/>
        <v>2.7999999999999972</v>
      </c>
      <c r="L38" s="98">
        <f t="shared" si="3"/>
        <v>3.5</v>
      </c>
      <c r="M38" s="98">
        <f t="shared" si="3"/>
        <v>3.5</v>
      </c>
      <c r="N38" s="98">
        <f t="shared" si="3"/>
        <v>0</v>
      </c>
      <c r="O38" s="98">
        <f t="shared" si="3"/>
        <v>2.3999999999999986</v>
      </c>
      <c r="P38" s="98">
        <f>P36-P41</f>
        <v>0</v>
      </c>
      <c r="Q38" s="98">
        <f t="shared" si="3"/>
        <v>2.3000000000000043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>
        <v>26.9</v>
      </c>
      <c r="G40" s="82">
        <v>28.3</v>
      </c>
      <c r="H40" s="97"/>
      <c r="I40" s="97">
        <v>28.1</v>
      </c>
      <c r="J40" s="82"/>
      <c r="K40" s="82">
        <v>28.1</v>
      </c>
      <c r="L40" s="97">
        <v>27</v>
      </c>
      <c r="M40" s="97">
        <v>28.1</v>
      </c>
      <c r="N40" s="82"/>
      <c r="O40" s="82">
        <v>28</v>
      </c>
      <c r="P40" s="97"/>
      <c r="Q40" s="97">
        <v>28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>
        <v>32.9</v>
      </c>
      <c r="G41" s="82">
        <v>33.799999999999997</v>
      </c>
      <c r="H41" s="97"/>
      <c r="I41" s="97">
        <v>32.9</v>
      </c>
      <c r="J41" s="82"/>
      <c r="K41" s="82">
        <v>33.700000000000003</v>
      </c>
      <c r="L41" s="97">
        <v>32.799999999999997</v>
      </c>
      <c r="M41" s="97">
        <v>33.6</v>
      </c>
      <c r="N41" s="82"/>
      <c r="O41" s="82">
        <v>34.1</v>
      </c>
      <c r="P41" s="97"/>
      <c r="Q41" s="97">
        <v>33.9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6</v>
      </c>
      <c r="G42" s="98">
        <f>G41-G40</f>
        <v>5.4999999999999964</v>
      </c>
      <c r="H42" s="98">
        <f t="shared" ref="H42:Q42" si="4">H41-H40</f>
        <v>0</v>
      </c>
      <c r="I42" s="98">
        <f t="shared" si="4"/>
        <v>4.7999999999999972</v>
      </c>
      <c r="J42" s="98">
        <f t="shared" si="4"/>
        <v>0</v>
      </c>
      <c r="K42" s="98">
        <f t="shared" si="4"/>
        <v>5.6000000000000014</v>
      </c>
      <c r="L42" s="98">
        <f t="shared" si="4"/>
        <v>5.7999999999999972</v>
      </c>
      <c r="M42" s="98">
        <f t="shared" si="4"/>
        <v>5.5</v>
      </c>
      <c r="N42" s="98">
        <f t="shared" si="4"/>
        <v>0</v>
      </c>
      <c r="O42" s="98">
        <f t="shared" si="4"/>
        <v>6.1000000000000014</v>
      </c>
      <c r="P42" s="98">
        <f t="shared" si="4"/>
        <v>0</v>
      </c>
      <c r="Q42" s="98">
        <f t="shared" si="4"/>
        <v>5.8999999999999986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>
        <v>1226.96</v>
      </c>
      <c r="G43" s="82">
        <v>1263.2</v>
      </c>
      <c r="H43" s="97"/>
      <c r="I43" s="97">
        <v>1309.7</v>
      </c>
      <c r="J43" s="82"/>
      <c r="K43" s="82">
        <v>1295.4000000000001</v>
      </c>
      <c r="L43" s="97">
        <v>1204.98</v>
      </c>
      <c r="M43" s="97">
        <v>1241.5999999999999</v>
      </c>
      <c r="N43" s="82"/>
      <c r="O43" s="82">
        <v>1079.4000000000001</v>
      </c>
      <c r="P43" s="97"/>
      <c r="Q43" s="97">
        <v>1258.8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(F42*F43)/0.866</f>
        <v>8500.877598152425</v>
      </c>
      <c r="G44" s="99">
        <f>G42*G43/0.866</f>
        <v>8022.6327944572704</v>
      </c>
      <c r="H44" s="99">
        <f t="shared" ref="H44:Q44" si="5">H42*H43/0.866</f>
        <v>0</v>
      </c>
      <c r="I44" s="99">
        <f t="shared" si="5"/>
        <v>7259.307159353345</v>
      </c>
      <c r="J44" s="99">
        <f t="shared" si="5"/>
        <v>0</v>
      </c>
      <c r="K44" s="99">
        <f t="shared" si="5"/>
        <v>8376.7205542725205</v>
      </c>
      <c r="L44" s="99">
        <f t="shared" si="5"/>
        <v>8070.3048498845228</v>
      </c>
      <c r="M44" s="99">
        <f t="shared" si="5"/>
        <v>7885.4503464203226</v>
      </c>
      <c r="N44" s="99">
        <f t="shared" si="5"/>
        <v>0</v>
      </c>
      <c r="O44" s="99">
        <f t="shared" si="5"/>
        <v>7603.1639722863765</v>
      </c>
      <c r="P44" s="99">
        <f t="shared" si="5"/>
        <v>0</v>
      </c>
      <c r="Q44" s="99">
        <f t="shared" si="5"/>
        <v>8576.120092378751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>
        <v>0.45</v>
      </c>
      <c r="G45" s="82">
        <v>0.46</v>
      </c>
      <c r="H45" s="97"/>
      <c r="I45" s="97">
        <v>0.45</v>
      </c>
      <c r="J45" s="82"/>
      <c r="K45" s="82">
        <v>0.45</v>
      </c>
      <c r="L45" s="97">
        <v>0.47</v>
      </c>
      <c r="M45" s="97">
        <v>0.47</v>
      </c>
      <c r="N45" s="82"/>
      <c r="O45" s="82">
        <v>0.47</v>
      </c>
      <c r="P45" s="97"/>
      <c r="Q45" s="97">
        <v>0.46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>
        <v>18.899999999999999</v>
      </c>
      <c r="G46" s="82">
        <v>19.600000000000001</v>
      </c>
      <c r="H46" s="97"/>
      <c r="I46" s="97">
        <v>19.2</v>
      </c>
      <c r="J46" s="82"/>
      <c r="K46" s="82">
        <v>19.3</v>
      </c>
      <c r="L46" s="97">
        <v>19.8</v>
      </c>
      <c r="M46" s="97">
        <v>20.2</v>
      </c>
      <c r="N46" s="82"/>
      <c r="O46" s="82">
        <v>20.100000000000001</v>
      </c>
      <c r="P46" s="97"/>
      <c r="Q46" s="97">
        <v>19.7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>
        <v>230.6</v>
      </c>
      <c r="G47" s="82">
        <v>192</v>
      </c>
      <c r="H47" s="97"/>
      <c r="I47" s="97">
        <v>127</v>
      </c>
      <c r="J47" s="82"/>
      <c r="K47" s="82">
        <v>204.5</v>
      </c>
      <c r="L47" s="97">
        <v>192.5</v>
      </c>
      <c r="M47" s="97">
        <v>199.1</v>
      </c>
      <c r="N47" s="82"/>
      <c r="O47" s="82">
        <v>151.80000000000001</v>
      </c>
      <c r="P47" s="97"/>
      <c r="Q47" s="97">
        <v>197.8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19">
        <v>5.89</v>
      </c>
      <c r="F49" s="82">
        <v>5.22</v>
      </c>
      <c r="G49" s="82">
        <v>5.35</v>
      </c>
      <c r="H49" s="97"/>
      <c r="I49" s="97">
        <v>5.15</v>
      </c>
      <c r="J49" s="82"/>
      <c r="K49" s="82">
        <v>5.56</v>
      </c>
      <c r="L49" s="97">
        <v>5.04</v>
      </c>
      <c r="M49" s="97">
        <v>5.18</v>
      </c>
      <c r="N49" s="82"/>
      <c r="O49" s="82">
        <v>5.13</v>
      </c>
      <c r="P49" s="97"/>
      <c r="Q49" s="97">
        <v>5.01</v>
      </c>
    </row>
    <row r="50" spans="2:17" ht="20.100000000000001" customHeight="1" x14ac:dyDescent="0.25">
      <c r="B50" s="156" t="s">
        <v>51</v>
      </c>
      <c r="C50" s="156"/>
      <c r="D50" s="156"/>
      <c r="E50" s="119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18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49854-6461-4D66-84E6-8D7ADED365BE}">
  <dimension ref="B1:Q59"/>
  <sheetViews>
    <sheetView view="pageBreakPreview" topLeftCell="B1" zoomScale="85" zoomScaleNormal="60" zoomScaleSheetLayoutView="85" workbookViewId="0">
      <selection activeCell="P19" sqref="P19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21" t="s">
        <v>78</v>
      </c>
      <c r="E10" s="83"/>
      <c r="F10" s="93"/>
      <c r="G10" s="94" t="s">
        <v>100</v>
      </c>
      <c r="H10" s="96" t="s">
        <v>100</v>
      </c>
      <c r="I10" s="96" t="s">
        <v>100</v>
      </c>
      <c r="J10" s="93" t="s">
        <v>100</v>
      </c>
      <c r="K10" s="94" t="s">
        <v>100</v>
      </c>
      <c r="L10" s="96"/>
      <c r="M10" s="96" t="s">
        <v>100</v>
      </c>
      <c r="N10" s="94" t="s">
        <v>100</v>
      </c>
      <c r="O10" s="94" t="s">
        <v>100</v>
      </c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/>
      <c r="G11" s="82">
        <v>73.5</v>
      </c>
      <c r="H11" s="97">
        <v>79.400000000000006</v>
      </c>
      <c r="I11" s="97">
        <v>75.900000000000006</v>
      </c>
      <c r="J11" s="82">
        <v>77.7</v>
      </c>
      <c r="K11" s="82">
        <v>75.400000000000006</v>
      </c>
      <c r="L11" s="97"/>
      <c r="M11" s="97">
        <v>75.5</v>
      </c>
      <c r="N11" s="82"/>
      <c r="O11" s="82"/>
      <c r="P11" s="97">
        <v>77.2</v>
      </c>
      <c r="Q11" s="97">
        <v>78.2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/>
      <c r="G12" s="82">
        <v>0.6</v>
      </c>
      <c r="H12" s="97">
        <v>0.5</v>
      </c>
      <c r="I12" s="97">
        <v>0</v>
      </c>
      <c r="J12" s="82">
        <v>0</v>
      </c>
      <c r="K12" s="82">
        <v>0</v>
      </c>
      <c r="L12" s="97"/>
      <c r="M12" s="97">
        <v>0.1</v>
      </c>
      <c r="N12" s="82"/>
      <c r="O12" s="82"/>
      <c r="P12" s="97">
        <v>0</v>
      </c>
      <c r="Q12" s="97">
        <v>0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/>
      <c r="G13" s="82">
        <v>68.2</v>
      </c>
      <c r="H13" s="97">
        <v>75.400000000000006</v>
      </c>
      <c r="I13" s="97">
        <v>71.3</v>
      </c>
      <c r="J13" s="82">
        <v>72.5</v>
      </c>
      <c r="K13" s="82">
        <v>69</v>
      </c>
      <c r="L13" s="97"/>
      <c r="M13" s="97">
        <v>69.7</v>
      </c>
      <c r="N13" s="82"/>
      <c r="O13" s="82"/>
      <c r="P13" s="97">
        <v>72.2</v>
      </c>
      <c r="Q13" s="97">
        <v>73.5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/>
      <c r="G14" s="82">
        <v>67.900000000000006</v>
      </c>
      <c r="H14" s="97">
        <v>69.7</v>
      </c>
      <c r="I14" s="97">
        <v>71.400000000000006</v>
      </c>
      <c r="J14" s="82">
        <v>64.2</v>
      </c>
      <c r="K14" s="82">
        <v>69.599999999999994</v>
      </c>
      <c r="L14" s="97"/>
      <c r="M14" s="97">
        <v>68.099999999999994</v>
      </c>
      <c r="N14" s="82"/>
      <c r="O14" s="82"/>
      <c r="P14" s="97">
        <v>74.599999999999994</v>
      </c>
      <c r="Q14" s="97">
        <v>74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/>
      <c r="G15" s="82">
        <v>56.9</v>
      </c>
      <c r="H15" s="97">
        <v>56.9</v>
      </c>
      <c r="I15" s="97">
        <v>56.2</v>
      </c>
      <c r="J15" s="82">
        <v>41.3</v>
      </c>
      <c r="K15" s="82">
        <v>39.299999999999997</v>
      </c>
      <c r="L15" s="97"/>
      <c r="M15" s="97">
        <v>37.5</v>
      </c>
      <c r="N15" s="82"/>
      <c r="O15" s="82"/>
      <c r="P15" s="97">
        <v>46.3</v>
      </c>
      <c r="Q15" s="97">
        <v>45.2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>
        <v>6.6</v>
      </c>
      <c r="G16" s="82">
        <v>6.6</v>
      </c>
      <c r="H16" s="82">
        <v>6.6</v>
      </c>
      <c r="I16" s="82">
        <v>6.6</v>
      </c>
      <c r="J16" s="82">
        <v>6.6</v>
      </c>
      <c r="K16" s="82">
        <v>6.6</v>
      </c>
      <c r="L16" s="82">
        <v>6.6</v>
      </c>
      <c r="M16" s="82">
        <v>6.6</v>
      </c>
      <c r="N16" s="82">
        <v>6.6</v>
      </c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/>
      <c r="G17" s="82">
        <v>118.2</v>
      </c>
      <c r="H17" s="97">
        <v>116.9</v>
      </c>
      <c r="I17" s="97">
        <v>117.2</v>
      </c>
      <c r="J17" s="82">
        <v>116.4</v>
      </c>
      <c r="K17" s="82">
        <v>117.8</v>
      </c>
      <c r="L17" s="97"/>
      <c r="M17" s="97">
        <v>118.8</v>
      </c>
      <c r="N17" s="82"/>
      <c r="O17" s="82"/>
      <c r="P17" s="97">
        <v>118.5</v>
      </c>
      <c r="Q17" s="97">
        <v>118.1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/>
      <c r="G18" s="82">
        <v>1159</v>
      </c>
      <c r="H18" s="97">
        <v>1208</v>
      </c>
      <c r="I18" s="97">
        <v>1186</v>
      </c>
      <c r="J18" s="82">
        <v>1207</v>
      </c>
      <c r="K18" s="82">
        <v>1191</v>
      </c>
      <c r="L18" s="97"/>
      <c r="M18" s="97">
        <v>1204</v>
      </c>
      <c r="N18" s="82"/>
      <c r="O18" s="82"/>
      <c r="P18" s="97">
        <v>1207</v>
      </c>
      <c r="Q18" s="97">
        <v>1192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/>
      <c r="G19" s="82">
        <v>45982.9</v>
      </c>
      <c r="H19" s="97">
        <v>46765.4</v>
      </c>
      <c r="I19" s="97">
        <v>46756.3</v>
      </c>
      <c r="J19" s="82">
        <v>44516.7</v>
      </c>
      <c r="K19" s="82">
        <v>44507.7</v>
      </c>
      <c r="L19" s="97"/>
      <c r="M19" s="97">
        <v>46773.7</v>
      </c>
      <c r="N19" s="82"/>
      <c r="O19" s="82"/>
      <c r="P19" s="97">
        <v>47879.7</v>
      </c>
      <c r="Q19" s="97">
        <v>47870.7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/>
      <c r="G22" s="82">
        <v>58</v>
      </c>
      <c r="H22" s="97">
        <v>59.3</v>
      </c>
      <c r="I22" s="97">
        <v>59</v>
      </c>
      <c r="J22" s="82">
        <v>57.3</v>
      </c>
      <c r="K22" s="82">
        <v>58</v>
      </c>
      <c r="L22" s="97"/>
      <c r="M22" s="97">
        <v>57.7</v>
      </c>
      <c r="N22" s="82"/>
      <c r="O22" s="82"/>
      <c r="P22" s="97">
        <v>59.3</v>
      </c>
      <c r="Q22" s="97">
        <v>59.1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/>
      <c r="G23" s="82">
        <v>0.52</v>
      </c>
      <c r="H23" s="97">
        <v>0.49</v>
      </c>
      <c r="I23" s="97">
        <v>0.5</v>
      </c>
      <c r="J23" s="82">
        <v>0.59</v>
      </c>
      <c r="K23" s="82">
        <v>0.59</v>
      </c>
      <c r="L23" s="97"/>
      <c r="M23" s="97">
        <v>0.53</v>
      </c>
      <c r="N23" s="82"/>
      <c r="O23" s="82"/>
      <c r="P23" s="97">
        <v>0.48</v>
      </c>
      <c r="Q23" s="97">
        <v>0.47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82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/>
      <c r="G25" s="82">
        <v>44.9</v>
      </c>
      <c r="H25" s="97">
        <v>45</v>
      </c>
      <c r="I25" s="97">
        <v>45</v>
      </c>
      <c r="J25" s="82">
        <v>44.8</v>
      </c>
      <c r="K25" s="82">
        <v>44.9</v>
      </c>
      <c r="L25" s="97"/>
      <c r="M25" s="97">
        <v>45</v>
      </c>
      <c r="N25" s="82"/>
      <c r="O25" s="82"/>
      <c r="P25" s="97">
        <v>44.9</v>
      </c>
      <c r="Q25" s="97">
        <v>45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/>
      <c r="G26" s="82">
        <v>0.26</v>
      </c>
      <c r="H26" s="97">
        <v>0.22</v>
      </c>
      <c r="I26" s="97">
        <v>0.22</v>
      </c>
      <c r="J26" s="82">
        <v>0.22</v>
      </c>
      <c r="K26" s="82">
        <v>0.26</v>
      </c>
      <c r="L26" s="97"/>
      <c r="M26" s="97">
        <v>0.22</v>
      </c>
      <c r="N26" s="82"/>
      <c r="O26" s="82"/>
      <c r="P26" s="97">
        <v>0.23</v>
      </c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/>
      <c r="G27" s="82">
        <v>3.9</v>
      </c>
      <c r="H27" s="97">
        <v>4.0999999999999996</v>
      </c>
      <c r="I27" s="97">
        <v>4.3</v>
      </c>
      <c r="J27" s="82">
        <v>4.3</v>
      </c>
      <c r="K27" s="82">
        <v>4</v>
      </c>
      <c r="L27" s="97"/>
      <c r="M27" s="97">
        <v>4.3</v>
      </c>
      <c r="N27" s="82"/>
      <c r="O27" s="82"/>
      <c r="P27" s="97">
        <v>4.8</v>
      </c>
      <c r="Q27" s="97">
        <v>3.8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/>
      <c r="G28" s="82">
        <v>3.3</v>
      </c>
      <c r="H28" s="97">
        <v>3.1</v>
      </c>
      <c r="I28" s="97">
        <v>3.2</v>
      </c>
      <c r="J28" s="82">
        <v>3.4</v>
      </c>
      <c r="K28" s="82">
        <v>3.2</v>
      </c>
      <c r="L28" s="97"/>
      <c r="M28" s="97">
        <v>3.2</v>
      </c>
      <c r="N28" s="82"/>
      <c r="O28" s="82"/>
      <c r="P28" s="97">
        <v>3.2</v>
      </c>
      <c r="Q28" s="97">
        <v>3.2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/>
      <c r="G29" s="98">
        <f t="shared" ref="G29:Q29" si="0">G32-G27</f>
        <v>0.30000000000000027</v>
      </c>
      <c r="H29" s="98">
        <f t="shared" si="0"/>
        <v>501.9</v>
      </c>
      <c r="I29" s="98">
        <f t="shared" si="0"/>
        <v>1.1000000000000005</v>
      </c>
      <c r="J29" s="98">
        <f t="shared" si="0"/>
        <v>-0.20000000000000018</v>
      </c>
      <c r="K29" s="98">
        <f t="shared" si="0"/>
        <v>0.20000000000000018</v>
      </c>
      <c r="L29" s="98">
        <f t="shared" si="0"/>
        <v>0</v>
      </c>
      <c r="M29" s="98">
        <f t="shared" si="0"/>
        <v>0.20000000000000018</v>
      </c>
      <c r="N29" s="98">
        <f t="shared" si="0"/>
        <v>0</v>
      </c>
      <c r="O29" s="98">
        <f t="shared" si="0"/>
        <v>0</v>
      </c>
      <c r="P29" s="98">
        <f t="shared" si="0"/>
        <v>0.90000000000000036</v>
      </c>
      <c r="Q29" s="98">
        <f t="shared" si="0"/>
        <v>0.70000000000000018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/>
      <c r="G30" s="82">
        <v>632.9</v>
      </c>
      <c r="H30" s="97">
        <v>725.9</v>
      </c>
      <c r="I30" s="97">
        <v>649.6</v>
      </c>
      <c r="J30" s="82">
        <v>647.29999999999995</v>
      </c>
      <c r="K30" s="82">
        <v>649.1</v>
      </c>
      <c r="L30" s="97"/>
      <c r="M30" s="97">
        <v>650.79999999999995</v>
      </c>
      <c r="N30" s="82"/>
      <c r="O30" s="82"/>
      <c r="P30" s="97">
        <v>721.5</v>
      </c>
      <c r="Q30" s="97">
        <v>636.29999999999995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/>
      <c r="G31" s="82">
        <v>13.7</v>
      </c>
      <c r="H31" s="97">
        <v>13.9</v>
      </c>
      <c r="I31" s="97">
        <v>13.9</v>
      </c>
      <c r="J31" s="82">
        <v>13.3</v>
      </c>
      <c r="K31" s="82">
        <v>13.1</v>
      </c>
      <c r="L31" s="97"/>
      <c r="M31" s="97">
        <v>13.6</v>
      </c>
      <c r="N31" s="82"/>
      <c r="O31" s="82"/>
      <c r="P31" s="97">
        <v>13.8</v>
      </c>
      <c r="Q31" s="97">
        <v>13.6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/>
      <c r="G32" s="82">
        <v>4.2</v>
      </c>
      <c r="H32" s="97">
        <v>506</v>
      </c>
      <c r="I32" s="97">
        <v>5.4</v>
      </c>
      <c r="J32" s="82">
        <v>4.0999999999999996</v>
      </c>
      <c r="K32" s="82">
        <v>4.2</v>
      </c>
      <c r="L32" s="97"/>
      <c r="M32" s="97">
        <v>4.5</v>
      </c>
      <c r="N32" s="82"/>
      <c r="O32" s="82"/>
      <c r="P32" s="97">
        <v>5.7</v>
      </c>
      <c r="Q32" s="97">
        <v>4.5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/>
      <c r="G33" s="98">
        <f>G31-G32</f>
        <v>9.5</v>
      </c>
      <c r="H33" s="98">
        <f t="shared" ref="H33:Q33" si="1">H31-H32</f>
        <v>-492.1</v>
      </c>
      <c r="I33" s="98">
        <f t="shared" si="1"/>
        <v>8.5</v>
      </c>
      <c r="J33" s="98">
        <f t="shared" si="1"/>
        <v>9.2000000000000011</v>
      </c>
      <c r="K33" s="98">
        <f t="shared" si="1"/>
        <v>8.8999999999999986</v>
      </c>
      <c r="L33" s="98"/>
      <c r="M33" s="98">
        <f t="shared" si="1"/>
        <v>9.1</v>
      </c>
      <c r="N33" s="98">
        <f t="shared" si="1"/>
        <v>0</v>
      </c>
      <c r="O33" s="98">
        <f t="shared" si="1"/>
        <v>0</v>
      </c>
      <c r="P33" s="98">
        <f>P31-P32</f>
        <v>8.1000000000000014</v>
      </c>
      <c r="Q33" s="98">
        <f t="shared" si="1"/>
        <v>9.1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0</v>
      </c>
      <c r="G34" s="99">
        <f>(G33*G30)/0.866</f>
        <v>6942.8983833718248</v>
      </c>
      <c r="H34" s="99">
        <f t="shared" ref="H34:Q34" si="2">(H33*H30)/0.866</f>
        <v>-412488.9030023095</v>
      </c>
      <c r="I34" s="99">
        <f t="shared" si="2"/>
        <v>6375.9815242494233</v>
      </c>
      <c r="J34" s="99">
        <f t="shared" si="2"/>
        <v>6876.6281755196305</v>
      </c>
      <c r="K34" s="99">
        <f t="shared" si="2"/>
        <v>6670.8891454965342</v>
      </c>
      <c r="L34" s="99">
        <f t="shared" si="2"/>
        <v>0</v>
      </c>
      <c r="M34" s="99">
        <f t="shared" si="2"/>
        <v>6838.6605080831405</v>
      </c>
      <c r="N34" s="99">
        <f t="shared" si="2"/>
        <v>0</v>
      </c>
      <c r="O34" s="99">
        <f t="shared" si="2"/>
        <v>0</v>
      </c>
      <c r="P34" s="99">
        <f t="shared" si="2"/>
        <v>6748.4411085450365</v>
      </c>
      <c r="Q34" s="99">
        <f t="shared" si="2"/>
        <v>6686.2933025404145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/>
      <c r="G35" s="82">
        <v>0.82</v>
      </c>
      <c r="H35" s="97">
        <v>0.84</v>
      </c>
      <c r="I35" s="97">
        <v>0.85</v>
      </c>
      <c r="J35" s="82">
        <v>0.82</v>
      </c>
      <c r="K35" s="82">
        <v>0.83</v>
      </c>
      <c r="L35" s="97"/>
      <c r="M35" s="97">
        <v>0.82</v>
      </c>
      <c r="N35" s="82"/>
      <c r="O35" s="82"/>
      <c r="P35" s="97">
        <v>0.81</v>
      </c>
      <c r="Q35" s="97">
        <v>0.82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/>
      <c r="G36" s="82">
        <v>35.200000000000003</v>
      </c>
      <c r="H36" s="97">
        <v>36.6</v>
      </c>
      <c r="I36" s="97">
        <v>36.200000000000003</v>
      </c>
      <c r="J36" s="82">
        <v>35.700000000000003</v>
      </c>
      <c r="K36" s="82">
        <v>35.4</v>
      </c>
      <c r="L36" s="97"/>
      <c r="M36" s="97">
        <v>36.700000000000003</v>
      </c>
      <c r="N36" s="82"/>
      <c r="O36" s="82"/>
      <c r="P36" s="97">
        <v>35.9</v>
      </c>
      <c r="Q36" s="97">
        <v>35.299999999999997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/>
      <c r="G37" s="82">
        <v>35.5</v>
      </c>
      <c r="H37" s="97">
        <v>37.5</v>
      </c>
      <c r="I37" s="97">
        <v>37</v>
      </c>
      <c r="J37" s="82">
        <v>36.5</v>
      </c>
      <c r="K37" s="82">
        <v>36.1</v>
      </c>
      <c r="L37" s="97"/>
      <c r="M37" s="97">
        <v>36.6</v>
      </c>
      <c r="N37" s="82"/>
      <c r="O37" s="82"/>
      <c r="P37" s="97">
        <v>36.1</v>
      </c>
      <c r="Q37" s="97">
        <v>35.5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/>
      <c r="G38" s="98">
        <f>G37-G41</f>
        <v>2.1000000000000014</v>
      </c>
      <c r="H38" s="98">
        <f t="shared" ref="H38:Q38" si="3">H37-H41</f>
        <v>4.5</v>
      </c>
      <c r="I38" s="98">
        <f t="shared" si="3"/>
        <v>4.2999999999999972</v>
      </c>
      <c r="J38" s="98">
        <f t="shared" si="3"/>
        <v>2.7999999999999972</v>
      </c>
      <c r="K38" s="98">
        <f t="shared" si="3"/>
        <v>2.8000000000000043</v>
      </c>
      <c r="L38" s="98">
        <f t="shared" si="3"/>
        <v>0</v>
      </c>
      <c r="M38" s="98">
        <f t="shared" si="3"/>
        <v>3.5</v>
      </c>
      <c r="N38" s="98">
        <f t="shared" si="3"/>
        <v>0</v>
      </c>
      <c r="O38" s="98">
        <f t="shared" si="3"/>
        <v>0</v>
      </c>
      <c r="P38" s="98">
        <f t="shared" si="3"/>
        <v>2.3999999999999986</v>
      </c>
      <c r="Q38" s="98">
        <f t="shared" si="3"/>
        <v>2.3999999999999986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/>
      <c r="G40" s="82">
        <v>27.7</v>
      </c>
      <c r="H40" s="97">
        <v>27.6</v>
      </c>
      <c r="I40" s="97">
        <v>27.4</v>
      </c>
      <c r="J40" s="82">
        <v>28</v>
      </c>
      <c r="K40" s="82">
        <v>27.7</v>
      </c>
      <c r="L40" s="97"/>
      <c r="M40" s="97">
        <v>27.6</v>
      </c>
      <c r="N40" s="82"/>
      <c r="O40" s="82"/>
      <c r="P40" s="97">
        <v>27.7</v>
      </c>
      <c r="Q40" s="97">
        <v>27.5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/>
      <c r="G41" s="82">
        <v>33.4</v>
      </c>
      <c r="H41" s="97">
        <v>33</v>
      </c>
      <c r="I41" s="97">
        <v>32.700000000000003</v>
      </c>
      <c r="J41" s="82">
        <v>33.700000000000003</v>
      </c>
      <c r="K41" s="82">
        <v>33.299999999999997</v>
      </c>
      <c r="L41" s="97"/>
      <c r="M41" s="97">
        <v>33.1</v>
      </c>
      <c r="N41" s="82"/>
      <c r="O41" s="82"/>
      <c r="P41" s="97">
        <v>33.700000000000003</v>
      </c>
      <c r="Q41" s="97">
        <v>33.1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/>
      <c r="G42" s="98">
        <f>G41-G40</f>
        <v>5.6999999999999993</v>
      </c>
      <c r="H42" s="98">
        <f t="shared" ref="H42:Q42" si="4">H41-H40</f>
        <v>5.3999999999999986</v>
      </c>
      <c r="I42" s="98">
        <f t="shared" si="4"/>
        <v>5.3000000000000043</v>
      </c>
      <c r="J42" s="98">
        <f t="shared" si="4"/>
        <v>5.7000000000000028</v>
      </c>
      <c r="K42" s="98">
        <f t="shared" si="4"/>
        <v>5.5999999999999979</v>
      </c>
      <c r="L42" s="98"/>
      <c r="M42" s="98">
        <f t="shared" si="4"/>
        <v>5.5</v>
      </c>
      <c r="N42" s="98">
        <f t="shared" si="4"/>
        <v>0</v>
      </c>
      <c r="O42" s="98">
        <f t="shared" si="4"/>
        <v>0</v>
      </c>
      <c r="P42" s="98"/>
      <c r="Q42" s="98">
        <f t="shared" si="4"/>
        <v>5.6000000000000014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/>
      <c r="G43" s="82">
        <v>1262.9000000000001</v>
      </c>
      <c r="H43" s="97">
        <v>1259.3</v>
      </c>
      <c r="I43" s="97">
        <v>1301.7</v>
      </c>
      <c r="J43" s="82">
        <v>1288.4000000000001</v>
      </c>
      <c r="K43" s="82">
        <v>1294.3</v>
      </c>
      <c r="L43" s="97"/>
      <c r="M43" s="97">
        <v>1240.5999999999999</v>
      </c>
      <c r="N43" s="82"/>
      <c r="O43" s="82"/>
      <c r="P43" s="97">
        <v>1213.8</v>
      </c>
      <c r="Q43" s="97">
        <v>1265.0999999999999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0</v>
      </c>
      <c r="G44" s="99">
        <f>G42*G43/0.866</f>
        <v>8312.3903002309471</v>
      </c>
      <c r="H44" s="99">
        <f t="shared" ref="H44:Q44" si="5">H42*H43/0.866</f>
        <v>7852.4480369514986</v>
      </c>
      <c r="I44" s="99">
        <f t="shared" si="5"/>
        <v>7966.5242494226395</v>
      </c>
      <c r="J44" s="99">
        <f t="shared" si="5"/>
        <v>8480.2309468822223</v>
      </c>
      <c r="K44" s="99">
        <f t="shared" si="5"/>
        <v>8369.6073903002271</v>
      </c>
      <c r="L44" s="99">
        <f t="shared" si="5"/>
        <v>0</v>
      </c>
      <c r="M44" s="99">
        <f t="shared" si="5"/>
        <v>7879.099307159353</v>
      </c>
      <c r="N44" s="99">
        <f t="shared" si="5"/>
        <v>0</v>
      </c>
      <c r="O44" s="99">
        <f t="shared" si="5"/>
        <v>0</v>
      </c>
      <c r="P44" s="99">
        <f t="shared" si="5"/>
        <v>0</v>
      </c>
      <c r="Q44" s="99">
        <f t="shared" si="5"/>
        <v>8180.7852193995395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/>
      <c r="G45" s="82">
        <v>0.46</v>
      </c>
      <c r="H45" s="97">
        <v>0.46</v>
      </c>
      <c r="I45" s="97">
        <v>0.47</v>
      </c>
      <c r="J45" s="82">
        <v>0.45</v>
      </c>
      <c r="K45" s="82">
        <v>0.46</v>
      </c>
      <c r="L45" s="97"/>
      <c r="M45" s="97">
        <v>0.47</v>
      </c>
      <c r="N45" s="82"/>
      <c r="O45" s="82"/>
      <c r="P45" s="97">
        <v>0.47</v>
      </c>
      <c r="Q45" s="97">
        <v>0.45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/>
      <c r="G46" s="82">
        <v>19.7</v>
      </c>
      <c r="H46" s="97">
        <v>19.5</v>
      </c>
      <c r="I46" s="97">
        <v>20.100000000000001</v>
      </c>
      <c r="J46" s="82">
        <v>19</v>
      </c>
      <c r="K46" s="82">
        <v>19.5</v>
      </c>
      <c r="L46" s="97"/>
      <c r="M46" s="97">
        <v>19.8</v>
      </c>
      <c r="N46" s="82"/>
      <c r="O46" s="82"/>
      <c r="P46" s="97">
        <v>20.100000000000001</v>
      </c>
      <c r="Q46" s="97">
        <v>19.2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/>
      <c r="G47" s="82">
        <v>197.1</v>
      </c>
      <c r="H47" s="97">
        <v>133.4</v>
      </c>
      <c r="I47" s="97">
        <v>133</v>
      </c>
      <c r="J47" s="82">
        <v>209.6</v>
      </c>
      <c r="K47" s="82">
        <v>211.5</v>
      </c>
      <c r="L47" s="97"/>
      <c r="M47" s="97">
        <v>206.8</v>
      </c>
      <c r="N47" s="82"/>
      <c r="O47" s="82"/>
      <c r="P47" s="97">
        <v>201.2</v>
      </c>
      <c r="Q47" s="97">
        <v>193.2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21">
        <v>5.89</v>
      </c>
      <c r="F49" s="82"/>
      <c r="G49" s="82">
        <v>5.86</v>
      </c>
      <c r="H49" s="97">
        <v>4.83</v>
      </c>
      <c r="I49" s="97">
        <v>5.41</v>
      </c>
      <c r="J49" s="82">
        <v>5.61</v>
      </c>
      <c r="K49" s="82">
        <v>5.55</v>
      </c>
      <c r="L49" s="97"/>
      <c r="M49" s="97">
        <v>5.49</v>
      </c>
      <c r="N49" s="82"/>
      <c r="O49" s="82"/>
      <c r="P49" s="97">
        <v>5.03</v>
      </c>
      <c r="Q49" s="97">
        <v>5.5</v>
      </c>
    </row>
    <row r="50" spans="2:17" ht="20.100000000000001" customHeight="1" x14ac:dyDescent="0.25">
      <c r="B50" s="156" t="s">
        <v>51</v>
      </c>
      <c r="C50" s="156"/>
      <c r="D50" s="156"/>
      <c r="E50" s="121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20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0E020-8BD2-4798-9C58-E5870451767F}">
  <dimension ref="B1:Q59"/>
  <sheetViews>
    <sheetView view="pageBreakPreview" zoomScale="80" zoomScaleNormal="60" zoomScaleSheetLayoutView="80" workbookViewId="0">
      <selection activeCell="G22" sqref="G22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23" t="s">
        <v>78</v>
      </c>
      <c r="E10" s="83"/>
      <c r="F10" s="93"/>
      <c r="G10" s="94" t="s">
        <v>100</v>
      </c>
      <c r="H10" s="95"/>
      <c r="I10" s="96" t="s">
        <v>100</v>
      </c>
      <c r="J10" s="93" t="s">
        <v>100</v>
      </c>
      <c r="K10" s="94" t="s">
        <v>100</v>
      </c>
      <c r="L10" s="95" t="s">
        <v>100</v>
      </c>
      <c r="M10" s="96" t="s">
        <v>100</v>
      </c>
      <c r="N10" s="93"/>
      <c r="O10" s="94"/>
      <c r="P10" s="95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/>
      <c r="G11" s="82">
        <v>70.099999999999994</v>
      </c>
      <c r="H11" s="97"/>
      <c r="I11" s="97">
        <v>76.8</v>
      </c>
      <c r="J11" s="82">
        <v>72.599999999999994</v>
      </c>
      <c r="K11" s="82">
        <v>62.8</v>
      </c>
      <c r="L11" s="97">
        <v>74.599999999999994</v>
      </c>
      <c r="M11" s="97">
        <v>73.900000000000006</v>
      </c>
      <c r="N11" s="82"/>
      <c r="O11" s="82"/>
      <c r="P11" s="97">
        <v>77.400000000000006</v>
      </c>
      <c r="Q11" s="97">
        <v>77.7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/>
      <c r="G12" s="82">
        <v>0.6</v>
      </c>
      <c r="H12" s="97"/>
      <c r="I12" s="97">
        <v>0</v>
      </c>
      <c r="J12" s="82">
        <v>0</v>
      </c>
      <c r="K12" s="82">
        <v>0</v>
      </c>
      <c r="L12" s="97">
        <v>0.1</v>
      </c>
      <c r="M12" s="97">
        <v>0.1</v>
      </c>
      <c r="N12" s="82"/>
      <c r="O12" s="82"/>
      <c r="P12" s="97">
        <v>0</v>
      </c>
      <c r="Q12" s="97">
        <v>0.2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/>
      <c r="G13" s="82">
        <v>67.099999999999994</v>
      </c>
      <c r="H13" s="97"/>
      <c r="I13" s="97">
        <v>72.099999999999994</v>
      </c>
      <c r="J13" s="82">
        <v>69.099999999999994</v>
      </c>
      <c r="K13" s="82">
        <v>57.9</v>
      </c>
      <c r="L13" s="97">
        <v>69.7</v>
      </c>
      <c r="M13" s="97">
        <v>69.099999999999994</v>
      </c>
      <c r="N13" s="82"/>
      <c r="O13" s="82"/>
      <c r="P13" s="97">
        <v>72.400000000000006</v>
      </c>
      <c r="Q13" s="97">
        <v>72.5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/>
      <c r="G14" s="82">
        <v>64.099999999999994</v>
      </c>
      <c r="H14" s="97"/>
      <c r="I14" s="97">
        <v>66.3</v>
      </c>
      <c r="J14" s="82">
        <v>62</v>
      </c>
      <c r="K14" s="82">
        <v>61.4</v>
      </c>
      <c r="L14" s="97">
        <v>64.400000000000006</v>
      </c>
      <c r="M14" s="97">
        <v>65.3</v>
      </c>
      <c r="N14" s="82"/>
      <c r="O14" s="82"/>
      <c r="P14" s="97">
        <v>71</v>
      </c>
      <c r="Q14" s="97">
        <v>71.5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/>
      <c r="G15" s="82">
        <v>55.3</v>
      </c>
      <c r="H15" s="97"/>
      <c r="I15" s="97">
        <v>72.099999999999994</v>
      </c>
      <c r="J15" s="82">
        <v>40.1</v>
      </c>
      <c r="K15" s="82">
        <v>40.6</v>
      </c>
      <c r="L15" s="97">
        <v>36</v>
      </c>
      <c r="M15" s="97">
        <v>35.9</v>
      </c>
      <c r="N15" s="82"/>
      <c r="O15" s="82"/>
      <c r="P15" s="97">
        <v>42.6</v>
      </c>
      <c r="Q15" s="97">
        <v>40.700000000000003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/>
      <c r="G16" s="82">
        <v>6.6</v>
      </c>
      <c r="H16" s="82"/>
      <c r="I16" s="82">
        <v>6.6</v>
      </c>
      <c r="J16" s="82">
        <v>6.6</v>
      </c>
      <c r="K16" s="82">
        <v>6.6</v>
      </c>
      <c r="L16" s="82">
        <v>6.6</v>
      </c>
      <c r="M16" s="82">
        <v>6.6</v>
      </c>
      <c r="N16" s="82"/>
      <c r="O16" s="82"/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/>
      <c r="G17" s="82">
        <v>114.9</v>
      </c>
      <c r="H17" s="97"/>
      <c r="I17" s="97">
        <v>115.5</v>
      </c>
      <c r="J17" s="82">
        <v>119.1</v>
      </c>
      <c r="K17" s="82">
        <v>105.1</v>
      </c>
      <c r="L17" s="97">
        <v>120</v>
      </c>
      <c r="M17" s="97">
        <v>115.6</v>
      </c>
      <c r="N17" s="82"/>
      <c r="O17" s="82"/>
      <c r="P17" s="97">
        <v>119.2</v>
      </c>
      <c r="Q17" s="97">
        <v>115.7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/>
      <c r="G18" s="82">
        <v>1124</v>
      </c>
      <c r="H18" s="97"/>
      <c r="I18" s="97">
        <v>1169</v>
      </c>
      <c r="J18" s="82">
        <v>1212</v>
      </c>
      <c r="K18" s="82">
        <v>1068</v>
      </c>
      <c r="L18" s="97">
        <v>1232</v>
      </c>
      <c r="M18" s="97">
        <v>1183</v>
      </c>
      <c r="N18" s="82"/>
      <c r="O18" s="82"/>
      <c r="P18" s="97">
        <v>1224</v>
      </c>
      <c r="Q18" s="97">
        <v>1180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/>
      <c r="G19" s="82">
        <v>45992.3</v>
      </c>
      <c r="H19" s="97"/>
      <c r="I19" s="97">
        <v>46773.1</v>
      </c>
      <c r="J19" s="82">
        <v>44543.1</v>
      </c>
      <c r="K19" s="82">
        <v>44524.1</v>
      </c>
      <c r="L19" s="97">
        <v>46795</v>
      </c>
      <c r="M19" s="97">
        <v>46785.2</v>
      </c>
      <c r="N19" s="82"/>
      <c r="O19" s="82"/>
      <c r="P19" s="97">
        <v>47906.2</v>
      </c>
      <c r="Q19" s="97">
        <v>47889.3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/>
      <c r="G22" s="82">
        <v>57.8</v>
      </c>
      <c r="H22" s="97"/>
      <c r="I22" s="97">
        <v>58.7</v>
      </c>
      <c r="J22" s="82">
        <v>57.7</v>
      </c>
      <c r="K22" s="82">
        <v>57.9</v>
      </c>
      <c r="L22" s="97">
        <v>57.4</v>
      </c>
      <c r="M22" s="97">
        <v>57.3</v>
      </c>
      <c r="N22" s="82"/>
      <c r="O22" s="82"/>
      <c r="P22" s="97">
        <v>59.5</v>
      </c>
      <c r="Q22" s="97">
        <v>59.3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/>
      <c r="G23" s="82">
        <v>0.51</v>
      </c>
      <c r="H23" s="97"/>
      <c r="I23" s="97">
        <v>0.49</v>
      </c>
      <c r="J23" s="82">
        <v>0.59</v>
      </c>
      <c r="K23" s="82">
        <v>0.57999999999999996</v>
      </c>
      <c r="L23" s="97">
        <v>0.54</v>
      </c>
      <c r="M23" s="97">
        <v>0.59</v>
      </c>
      <c r="N23" s="82"/>
      <c r="O23" s="82"/>
      <c r="P23" s="97">
        <v>0.49</v>
      </c>
      <c r="Q23" s="97">
        <v>0.47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/>
      <c r="G25" s="82">
        <v>45.2</v>
      </c>
      <c r="H25" s="97"/>
      <c r="I25" s="97">
        <v>45.1</v>
      </c>
      <c r="J25" s="82">
        <v>45</v>
      </c>
      <c r="K25" s="82">
        <v>46.1</v>
      </c>
      <c r="L25" s="97">
        <v>44</v>
      </c>
      <c r="M25" s="97">
        <v>45.1</v>
      </c>
      <c r="N25" s="82"/>
      <c r="O25" s="82"/>
      <c r="P25" s="97">
        <v>44.8</v>
      </c>
      <c r="Q25" s="97">
        <v>45.1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/>
      <c r="G26" s="82">
        <v>0.22</v>
      </c>
      <c r="H26" s="97"/>
      <c r="I26" s="97">
        <v>0.21</v>
      </c>
      <c r="J26" s="82">
        <v>0.23</v>
      </c>
      <c r="K26" s="82">
        <v>0.28000000000000003</v>
      </c>
      <c r="L26" s="97">
        <v>0.23</v>
      </c>
      <c r="M26" s="97">
        <v>0.22</v>
      </c>
      <c r="N26" s="82"/>
      <c r="O26" s="82"/>
      <c r="P26" s="97">
        <v>0.23</v>
      </c>
      <c r="Q26" s="97">
        <v>0.22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/>
      <c r="G27" s="82">
        <v>3.4</v>
      </c>
      <c r="H27" s="97"/>
      <c r="I27" s="97">
        <v>3.2</v>
      </c>
      <c r="J27" s="82">
        <v>4.7</v>
      </c>
      <c r="K27" s="82">
        <v>3.7</v>
      </c>
      <c r="L27" s="97">
        <v>4.9000000000000004</v>
      </c>
      <c r="M27" s="97">
        <v>3.9</v>
      </c>
      <c r="N27" s="82"/>
      <c r="O27" s="82"/>
      <c r="P27" s="97">
        <v>4.8</v>
      </c>
      <c r="Q27" s="97">
        <v>3.6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/>
      <c r="G28" s="82">
        <v>3</v>
      </c>
      <c r="H28" s="97"/>
      <c r="I28" s="97">
        <v>2.4</v>
      </c>
      <c r="J28" s="82">
        <v>4</v>
      </c>
      <c r="K28" s="82">
        <v>2.9</v>
      </c>
      <c r="L28" s="97">
        <v>3.9</v>
      </c>
      <c r="M28" s="97">
        <v>2.8</v>
      </c>
      <c r="N28" s="82"/>
      <c r="O28" s="82"/>
      <c r="P28" s="97">
        <v>3.8</v>
      </c>
      <c r="Q28" s="97">
        <v>2.8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>
        <f>F32-F27</f>
        <v>0</v>
      </c>
      <c r="G29" s="98">
        <f t="shared" ref="G29:Q29" si="0">G32-G27</f>
        <v>0.60000000000000009</v>
      </c>
      <c r="H29" s="98">
        <f t="shared" si="0"/>
        <v>0</v>
      </c>
      <c r="I29" s="98">
        <f t="shared" si="0"/>
        <v>0.89999999999999947</v>
      </c>
      <c r="J29" s="98">
        <f t="shared" si="0"/>
        <v>9.9999999999999645E-2</v>
      </c>
      <c r="K29" s="98">
        <f t="shared" si="0"/>
        <v>0.29999999999999982</v>
      </c>
      <c r="L29" s="98">
        <f t="shared" si="0"/>
        <v>0.39999999999999947</v>
      </c>
      <c r="M29" s="98">
        <f t="shared" si="0"/>
        <v>0</v>
      </c>
      <c r="N29" s="98">
        <f t="shared" si="0"/>
        <v>0</v>
      </c>
      <c r="O29" s="98">
        <f t="shared" si="0"/>
        <v>0</v>
      </c>
      <c r="P29" s="98">
        <f t="shared" si="0"/>
        <v>0.79999999999999982</v>
      </c>
      <c r="Q29" s="98">
        <f t="shared" si="0"/>
        <v>0.69999999999999973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/>
      <c r="G30" s="82">
        <v>660.56</v>
      </c>
      <c r="H30" s="97"/>
      <c r="I30" s="97">
        <v>649.12</v>
      </c>
      <c r="J30" s="82">
        <v>705.9</v>
      </c>
      <c r="K30" s="82">
        <v>651.67999999999995</v>
      </c>
      <c r="L30" s="97">
        <v>746.1</v>
      </c>
      <c r="M30" s="97">
        <v>669.68</v>
      </c>
      <c r="N30" s="82"/>
      <c r="O30" s="82"/>
      <c r="P30" s="97">
        <v>735.5</v>
      </c>
      <c r="Q30" s="97">
        <v>655.36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/>
      <c r="G31" s="82">
        <v>12.4</v>
      </c>
      <c r="H31" s="97"/>
      <c r="I31" s="97">
        <v>12.4</v>
      </c>
      <c r="J31" s="82">
        <v>13.4</v>
      </c>
      <c r="K31" s="82">
        <v>11.6</v>
      </c>
      <c r="L31" s="97">
        <v>13.1</v>
      </c>
      <c r="M31" s="97">
        <v>12.7</v>
      </c>
      <c r="N31" s="82"/>
      <c r="O31" s="82"/>
      <c r="P31" s="97">
        <v>13.2</v>
      </c>
      <c r="Q31" s="97">
        <v>12.6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/>
      <c r="G32" s="82">
        <v>4</v>
      </c>
      <c r="H32" s="97"/>
      <c r="I32" s="97">
        <v>4.0999999999999996</v>
      </c>
      <c r="J32" s="82">
        <v>4.8</v>
      </c>
      <c r="K32" s="82">
        <v>4</v>
      </c>
      <c r="L32" s="97">
        <v>5.3</v>
      </c>
      <c r="M32" s="97">
        <v>3.9</v>
      </c>
      <c r="N32" s="82"/>
      <c r="O32" s="82"/>
      <c r="P32" s="97">
        <v>5.6</v>
      </c>
      <c r="Q32" s="97">
        <v>4.3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0</v>
      </c>
      <c r="G33" s="98">
        <f>G31-G32</f>
        <v>8.4</v>
      </c>
      <c r="H33" s="98">
        <f t="shared" ref="H33:Q33" si="1">H31-H32</f>
        <v>0</v>
      </c>
      <c r="I33" s="98">
        <f t="shared" si="1"/>
        <v>8.3000000000000007</v>
      </c>
      <c r="J33" s="98">
        <f t="shared" si="1"/>
        <v>8.6000000000000014</v>
      </c>
      <c r="K33" s="98">
        <f t="shared" si="1"/>
        <v>7.6</v>
      </c>
      <c r="L33" s="98">
        <f t="shared" si="1"/>
        <v>7.8</v>
      </c>
      <c r="M33" s="98">
        <f t="shared" si="1"/>
        <v>8.7999999999999989</v>
      </c>
      <c r="N33" s="98">
        <f t="shared" si="1"/>
        <v>0</v>
      </c>
      <c r="O33" s="98">
        <f t="shared" si="1"/>
        <v>0</v>
      </c>
      <c r="P33" s="98">
        <f t="shared" si="1"/>
        <v>7.6</v>
      </c>
      <c r="Q33" s="98">
        <f t="shared" si="1"/>
        <v>8.3000000000000007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0</v>
      </c>
      <c r="G34" s="99">
        <f>(G33*G30)/0.866</f>
        <v>6407.2794457274822</v>
      </c>
      <c r="H34" s="99">
        <f t="shared" ref="H34:Q34" si="2">(H33*H30)/0.866</f>
        <v>0</v>
      </c>
      <c r="I34" s="99">
        <f t="shared" si="2"/>
        <v>6221.3579676674372</v>
      </c>
      <c r="J34" s="99">
        <f t="shared" si="2"/>
        <v>7010.0923787528873</v>
      </c>
      <c r="K34" s="99">
        <f t="shared" si="2"/>
        <v>5719.1316397228629</v>
      </c>
      <c r="L34" s="99">
        <f t="shared" si="2"/>
        <v>6720.0692840646652</v>
      </c>
      <c r="M34" s="99">
        <f t="shared" si="2"/>
        <v>6805.0623556581977</v>
      </c>
      <c r="N34" s="99">
        <f t="shared" si="2"/>
        <v>0</v>
      </c>
      <c r="O34" s="99">
        <f t="shared" si="2"/>
        <v>0</v>
      </c>
      <c r="P34" s="99">
        <f t="shared" si="2"/>
        <v>6454.734411085451</v>
      </c>
      <c r="Q34" s="99">
        <f t="shared" si="2"/>
        <v>6281.1639722863747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/>
      <c r="G35" s="82">
        <v>0.79</v>
      </c>
      <c r="H35" s="97"/>
      <c r="I35" s="97">
        <v>0.83</v>
      </c>
      <c r="J35" s="82">
        <v>0.85</v>
      </c>
      <c r="K35" s="82">
        <v>0.79</v>
      </c>
      <c r="L35" s="97">
        <v>0.83</v>
      </c>
      <c r="M35" s="97">
        <v>0.82</v>
      </c>
      <c r="N35" s="82"/>
      <c r="O35" s="82"/>
      <c r="P35" s="97">
        <v>0.85</v>
      </c>
      <c r="Q35" s="97">
        <v>0.85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/>
      <c r="G36" s="82">
        <v>35.1</v>
      </c>
      <c r="H36" s="97"/>
      <c r="I36" s="97">
        <v>35.9</v>
      </c>
      <c r="J36" s="82">
        <v>37.200000000000003</v>
      </c>
      <c r="K36" s="82">
        <v>35</v>
      </c>
      <c r="L36" s="97">
        <v>38.6</v>
      </c>
      <c r="M36" s="97">
        <v>36.6</v>
      </c>
      <c r="N36" s="82"/>
      <c r="O36" s="82"/>
      <c r="P36" s="97">
        <v>37.5</v>
      </c>
      <c r="Q36" s="97">
        <v>35.5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/>
      <c r="G37" s="82">
        <v>35.5</v>
      </c>
      <c r="H37" s="97"/>
      <c r="I37" s="97">
        <v>36.9</v>
      </c>
      <c r="J37" s="82">
        <v>37.9</v>
      </c>
      <c r="K37" s="82">
        <v>35.4</v>
      </c>
      <c r="L37" s="97">
        <v>38.6</v>
      </c>
      <c r="M37" s="97">
        <v>36.700000000000003</v>
      </c>
      <c r="N37" s="82"/>
      <c r="O37" s="82"/>
      <c r="P37" s="97">
        <v>37.5</v>
      </c>
      <c r="Q37" s="97">
        <v>35.6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F37-F41</f>
        <v>0</v>
      </c>
      <c r="G38" s="98">
        <f>G37-G41</f>
        <v>1.8999999999999986</v>
      </c>
      <c r="H38" s="98">
        <f>H37-H41</f>
        <v>0</v>
      </c>
      <c r="I38" s="98">
        <f>I37-I41</f>
        <v>4.2999999999999972</v>
      </c>
      <c r="J38" s="98">
        <f t="shared" ref="J38:Q38" si="3">J37-J41</f>
        <v>2.6999999999999957</v>
      </c>
      <c r="K38" s="98">
        <f t="shared" si="3"/>
        <v>0</v>
      </c>
      <c r="L38" s="98">
        <f t="shared" si="3"/>
        <v>3.3999999999999986</v>
      </c>
      <c r="M38" s="98">
        <f t="shared" si="3"/>
        <v>3.4000000000000057</v>
      </c>
      <c r="N38" s="98">
        <f t="shared" si="3"/>
        <v>0</v>
      </c>
      <c r="O38" s="98">
        <f t="shared" si="3"/>
        <v>0</v>
      </c>
      <c r="P38" s="98">
        <f t="shared" si="3"/>
        <v>2.2000000000000028</v>
      </c>
      <c r="Q38" s="98">
        <f t="shared" si="3"/>
        <v>2.1000000000000014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/>
      <c r="G40" s="82">
        <v>27.7</v>
      </c>
      <c r="H40" s="97"/>
      <c r="I40" s="97">
        <v>27.6</v>
      </c>
      <c r="J40" s="82">
        <v>29.5</v>
      </c>
      <c r="K40" s="82">
        <v>27.7</v>
      </c>
      <c r="L40" s="97">
        <v>29.5</v>
      </c>
      <c r="M40" s="97">
        <v>27.7</v>
      </c>
      <c r="N40" s="82"/>
      <c r="O40" s="82"/>
      <c r="P40" s="97">
        <v>29.3</v>
      </c>
      <c r="Q40" s="97">
        <v>27.5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/>
      <c r="G41" s="82">
        <v>33.6</v>
      </c>
      <c r="H41" s="97"/>
      <c r="I41" s="97">
        <v>32.6</v>
      </c>
      <c r="J41" s="82">
        <v>35.200000000000003</v>
      </c>
      <c r="K41" s="82">
        <v>35.4</v>
      </c>
      <c r="L41" s="97">
        <v>35.200000000000003</v>
      </c>
      <c r="M41" s="97">
        <v>33.299999999999997</v>
      </c>
      <c r="N41" s="82"/>
      <c r="O41" s="82"/>
      <c r="P41" s="97">
        <v>35.299999999999997</v>
      </c>
      <c r="Q41" s="97">
        <v>33.5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0</v>
      </c>
      <c r="G42" s="98">
        <f>G41-G40</f>
        <v>5.9000000000000021</v>
      </c>
      <c r="H42" s="98">
        <f t="shared" ref="H42:Q42" si="4">H41-H40</f>
        <v>0</v>
      </c>
      <c r="I42" s="98">
        <f t="shared" si="4"/>
        <v>5</v>
      </c>
      <c r="J42" s="98">
        <f t="shared" si="4"/>
        <v>5.7000000000000028</v>
      </c>
      <c r="K42" s="98">
        <f t="shared" si="4"/>
        <v>7.6999999999999993</v>
      </c>
      <c r="L42" s="98">
        <f t="shared" si="4"/>
        <v>5.7000000000000028</v>
      </c>
      <c r="M42" s="98">
        <f t="shared" si="4"/>
        <v>5.5999999999999979</v>
      </c>
      <c r="N42" s="98">
        <f t="shared" si="4"/>
        <v>0</v>
      </c>
      <c r="O42" s="98">
        <f t="shared" si="4"/>
        <v>0</v>
      </c>
      <c r="P42" s="98">
        <f t="shared" si="4"/>
        <v>5.9999999999999964</v>
      </c>
      <c r="Q42" s="98">
        <f t="shared" si="4"/>
        <v>6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/>
      <c r="G43" s="82">
        <v>1220.0999999999999</v>
      </c>
      <c r="H43" s="97"/>
      <c r="I43" s="97">
        <v>1259.58</v>
      </c>
      <c r="J43" s="82">
        <v>1303</v>
      </c>
      <c r="K43" s="82">
        <v>1288.98</v>
      </c>
      <c r="L43" s="97">
        <v>1221.5</v>
      </c>
      <c r="M43" s="97">
        <v>1196.8599999999999</v>
      </c>
      <c r="N43" s="82"/>
      <c r="O43" s="82"/>
      <c r="P43" s="97">
        <v>1228.3</v>
      </c>
      <c r="Q43" s="97">
        <v>1210.72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0</v>
      </c>
      <c r="G44" s="99">
        <f>G42*G43/0.866</f>
        <v>8312.4595842956151</v>
      </c>
      <c r="H44" s="99">
        <f t="shared" ref="H44:Q44" si="5">H42*H43/0.866</f>
        <v>0</v>
      </c>
      <c r="I44" s="99">
        <f t="shared" si="5"/>
        <v>7272.4018475750572</v>
      </c>
      <c r="J44" s="99">
        <f t="shared" si="5"/>
        <v>8576.327944572753</v>
      </c>
      <c r="K44" s="99">
        <f t="shared" si="5"/>
        <v>11460.907621247112</v>
      </c>
      <c r="L44" s="99">
        <f t="shared" si="5"/>
        <v>8039.8960739030072</v>
      </c>
      <c r="M44" s="99">
        <f t="shared" si="5"/>
        <v>7739.5103926096963</v>
      </c>
      <c r="N44" s="99">
        <f t="shared" si="5"/>
        <v>0</v>
      </c>
      <c r="O44" s="99">
        <f t="shared" si="5"/>
        <v>0</v>
      </c>
      <c r="P44" s="99">
        <f t="shared" si="5"/>
        <v>8510.161662817547</v>
      </c>
      <c r="Q44" s="99">
        <f t="shared" si="5"/>
        <v>8388.3602771362584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/>
      <c r="G45" s="82">
        <v>0.45</v>
      </c>
      <c r="H45" s="97"/>
      <c r="I45" s="97">
        <v>0.45</v>
      </c>
      <c r="J45" s="82">
        <v>0.47</v>
      </c>
      <c r="K45" s="82">
        <v>0.45</v>
      </c>
      <c r="L45" s="97">
        <v>0.49</v>
      </c>
      <c r="M45" s="97">
        <v>0.46</v>
      </c>
      <c r="N45" s="82"/>
      <c r="O45" s="82"/>
      <c r="P45" s="97">
        <v>0.48</v>
      </c>
      <c r="Q45" s="97">
        <v>0.45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/>
      <c r="G46" s="82">
        <v>18.899999999999999</v>
      </c>
      <c r="H46" s="97"/>
      <c r="I46" s="97">
        <v>19</v>
      </c>
      <c r="J46" s="82">
        <v>20.2</v>
      </c>
      <c r="K46" s="82">
        <v>18.899999999999999</v>
      </c>
      <c r="L46" s="97">
        <v>21.2</v>
      </c>
      <c r="M46" s="97">
        <v>19.7</v>
      </c>
      <c r="N46" s="82"/>
      <c r="O46" s="82"/>
      <c r="P46" s="97">
        <v>20.8</v>
      </c>
      <c r="Q46" s="97">
        <v>19.2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/>
      <c r="G47" s="82">
        <v>198.4</v>
      </c>
      <c r="H47" s="97"/>
      <c r="I47" s="97">
        <v>122.8</v>
      </c>
      <c r="J47" s="82">
        <v>204.8</v>
      </c>
      <c r="K47" s="82">
        <v>194.9</v>
      </c>
      <c r="L47" s="97">
        <v>205.3</v>
      </c>
      <c r="M47" s="97">
        <v>203.6</v>
      </c>
      <c r="N47" s="82"/>
      <c r="O47" s="82"/>
      <c r="P47" s="97">
        <v>200.8</v>
      </c>
      <c r="Q47" s="97">
        <v>195.3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23">
        <v>5.89</v>
      </c>
      <c r="F49" s="82"/>
      <c r="G49" s="82">
        <v>5.86</v>
      </c>
      <c r="H49" s="97"/>
      <c r="I49" s="97">
        <v>5.47</v>
      </c>
      <c r="J49" s="82">
        <v>5.0599999999999996</v>
      </c>
      <c r="K49" s="82">
        <v>5.72</v>
      </c>
      <c r="L49" s="97">
        <v>4.7</v>
      </c>
      <c r="M49" s="97">
        <v>5.41</v>
      </c>
      <c r="N49" s="82"/>
      <c r="O49" s="82"/>
      <c r="P49" s="97">
        <v>4.67</v>
      </c>
      <c r="Q49" s="97">
        <v>5.26</v>
      </c>
    </row>
    <row r="50" spans="2:17" ht="20.100000000000001" customHeight="1" x14ac:dyDescent="0.25">
      <c r="B50" s="156" t="s">
        <v>51</v>
      </c>
      <c r="C50" s="156"/>
      <c r="D50" s="156"/>
      <c r="E50" s="123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22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AF80-C01A-4A9D-B648-CF6B99CDF6E9}">
  <dimension ref="B1:Q59"/>
  <sheetViews>
    <sheetView view="pageBreakPreview" topLeftCell="B4" zoomScale="85" zoomScaleNormal="60" zoomScaleSheetLayoutView="85" workbookViewId="0">
      <selection activeCell="F19" sqref="F19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25" t="s">
        <v>78</v>
      </c>
      <c r="E10" s="83"/>
      <c r="F10" s="94" t="s">
        <v>100</v>
      </c>
      <c r="G10" s="94" t="s">
        <v>100</v>
      </c>
      <c r="H10" s="96" t="s">
        <v>100</v>
      </c>
      <c r="I10" s="96" t="s">
        <v>100</v>
      </c>
      <c r="J10" s="93"/>
      <c r="K10" s="94" t="s">
        <v>100</v>
      </c>
      <c r="L10" s="95"/>
      <c r="M10" s="96" t="s">
        <v>100</v>
      </c>
      <c r="N10" s="93"/>
      <c r="O10" s="94"/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>
        <v>70.099999999999994</v>
      </c>
      <c r="G11" s="82">
        <v>70.099999999999994</v>
      </c>
      <c r="H11" s="97">
        <v>77</v>
      </c>
      <c r="I11" s="97">
        <v>77</v>
      </c>
      <c r="J11" s="82"/>
      <c r="K11" s="82">
        <v>72.599999999999994</v>
      </c>
      <c r="L11" s="97"/>
      <c r="M11" s="97">
        <v>74.099999999999994</v>
      </c>
      <c r="N11" s="82"/>
      <c r="O11" s="82"/>
      <c r="P11" s="97">
        <v>76</v>
      </c>
      <c r="Q11" s="97">
        <v>76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>
        <v>0</v>
      </c>
      <c r="G12" s="82">
        <v>0</v>
      </c>
      <c r="H12" s="97">
        <v>0.2</v>
      </c>
      <c r="I12" s="97">
        <v>0.7</v>
      </c>
      <c r="J12" s="82"/>
      <c r="K12" s="82">
        <v>0</v>
      </c>
      <c r="L12" s="97"/>
      <c r="M12" s="97">
        <v>0.1</v>
      </c>
      <c r="N12" s="82"/>
      <c r="O12" s="82"/>
      <c r="P12" s="97">
        <v>0.3</v>
      </c>
      <c r="Q12" s="97">
        <v>0.3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>
        <v>64</v>
      </c>
      <c r="G13" s="82">
        <v>64</v>
      </c>
      <c r="H13" s="97">
        <v>72.099999999999994</v>
      </c>
      <c r="I13" s="97">
        <v>72.3</v>
      </c>
      <c r="J13" s="82"/>
      <c r="K13" s="82">
        <v>69.099999999999994</v>
      </c>
      <c r="L13" s="97"/>
      <c r="M13" s="97">
        <v>68.5</v>
      </c>
      <c r="N13" s="82"/>
      <c r="O13" s="82"/>
      <c r="P13" s="97">
        <v>70.7</v>
      </c>
      <c r="Q13" s="97">
        <v>70.7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>
        <v>69.2</v>
      </c>
      <c r="G14" s="82">
        <v>66.7</v>
      </c>
      <c r="H14" s="97">
        <v>70.599999999999994</v>
      </c>
      <c r="I14" s="97">
        <v>68</v>
      </c>
      <c r="J14" s="82"/>
      <c r="K14" s="82">
        <v>62.9</v>
      </c>
      <c r="L14" s="97"/>
      <c r="M14" s="97">
        <v>66.5</v>
      </c>
      <c r="N14" s="82"/>
      <c r="O14" s="82"/>
      <c r="P14" s="97">
        <v>74.7</v>
      </c>
      <c r="Q14" s="97">
        <v>74.7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>
        <v>58.8</v>
      </c>
      <c r="G15" s="82">
        <v>56.4</v>
      </c>
      <c r="H15" s="97">
        <v>48.6</v>
      </c>
      <c r="I15" s="97">
        <v>49</v>
      </c>
      <c r="J15" s="82"/>
      <c r="K15" s="82">
        <v>36.6</v>
      </c>
      <c r="L15" s="97"/>
      <c r="M15" s="97">
        <v>35.9</v>
      </c>
      <c r="N15" s="82"/>
      <c r="O15" s="82"/>
      <c r="P15" s="97">
        <v>42.1</v>
      </c>
      <c r="Q15" s="97">
        <v>43.1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>
        <v>6.6</v>
      </c>
      <c r="G16" s="82">
        <v>6.6</v>
      </c>
      <c r="H16" s="82">
        <v>6.6</v>
      </c>
      <c r="I16" s="82">
        <v>6.6</v>
      </c>
      <c r="J16" s="82"/>
      <c r="K16" s="82">
        <v>6.6</v>
      </c>
      <c r="L16" s="82"/>
      <c r="M16" s="82">
        <v>6.6</v>
      </c>
      <c r="N16" s="82"/>
      <c r="O16" s="82"/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>
        <v>117.4</v>
      </c>
      <c r="G17" s="82">
        <v>117.2</v>
      </c>
      <c r="H17" s="97">
        <v>117.4</v>
      </c>
      <c r="I17" s="97">
        <v>118.6</v>
      </c>
      <c r="J17" s="82"/>
      <c r="K17" s="82">
        <v>116.5</v>
      </c>
      <c r="L17" s="97"/>
      <c r="M17" s="97">
        <v>119.8</v>
      </c>
      <c r="N17" s="82"/>
      <c r="O17" s="82"/>
      <c r="P17" s="97">
        <v>116.6</v>
      </c>
      <c r="Q17" s="97">
        <v>119.3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>
        <v>1161</v>
      </c>
      <c r="G18" s="82">
        <v>1153</v>
      </c>
      <c r="H18" s="97">
        <v>1197</v>
      </c>
      <c r="I18" s="97">
        <v>1205</v>
      </c>
      <c r="J18" s="82"/>
      <c r="K18" s="82">
        <v>1183</v>
      </c>
      <c r="L18" s="97"/>
      <c r="M18" s="97">
        <v>1223</v>
      </c>
      <c r="N18" s="82"/>
      <c r="O18" s="82"/>
      <c r="P18" s="97">
        <v>1190</v>
      </c>
      <c r="Q18" s="97">
        <v>1218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>
        <v>46011.199999999997</v>
      </c>
      <c r="G19" s="82">
        <v>46002</v>
      </c>
      <c r="H19" s="97">
        <v>46797.3</v>
      </c>
      <c r="I19" s="97">
        <v>46788.1</v>
      </c>
      <c r="J19" s="82"/>
      <c r="K19" s="82">
        <v>44555.6</v>
      </c>
      <c r="L19" s="97"/>
      <c r="M19" s="97">
        <v>46806</v>
      </c>
      <c r="N19" s="82"/>
      <c r="O19" s="82"/>
      <c r="P19" s="97">
        <v>47925.9</v>
      </c>
      <c r="Q19" s="97">
        <v>47916.7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97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97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>
        <v>58.4</v>
      </c>
      <c r="G22" s="82">
        <v>60.2</v>
      </c>
      <c r="H22" s="97">
        <v>59.3</v>
      </c>
      <c r="I22" s="97">
        <v>58.9</v>
      </c>
      <c r="J22" s="82"/>
      <c r="K22" s="82">
        <v>58</v>
      </c>
      <c r="L22" s="97"/>
      <c r="M22" s="97">
        <v>57.3</v>
      </c>
      <c r="N22" s="82"/>
      <c r="O22" s="82"/>
      <c r="P22" s="97">
        <v>59.3</v>
      </c>
      <c r="Q22" s="97">
        <v>59.4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>
        <v>0.53</v>
      </c>
      <c r="G23" s="82">
        <v>0.52</v>
      </c>
      <c r="H23" s="97">
        <v>0.5</v>
      </c>
      <c r="I23" s="97">
        <v>0.5</v>
      </c>
      <c r="J23" s="82"/>
      <c r="K23" s="82">
        <v>0.59</v>
      </c>
      <c r="L23" s="97"/>
      <c r="M23" s="97">
        <v>0.54</v>
      </c>
      <c r="N23" s="82"/>
      <c r="O23" s="82"/>
      <c r="P23" s="97">
        <v>0.48</v>
      </c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>
        <v>45.1</v>
      </c>
      <c r="G25" s="82">
        <v>46.4</v>
      </c>
      <c r="H25" s="97">
        <v>44.7</v>
      </c>
      <c r="I25" s="97">
        <v>45</v>
      </c>
      <c r="J25" s="82"/>
      <c r="K25" s="82">
        <v>44.9</v>
      </c>
      <c r="L25" s="97"/>
      <c r="M25" s="97">
        <v>45</v>
      </c>
      <c r="N25" s="82"/>
      <c r="O25" s="82"/>
      <c r="P25" s="97">
        <v>45</v>
      </c>
      <c r="Q25" s="97">
        <v>45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>
        <v>0.24</v>
      </c>
      <c r="G26" s="82">
        <v>0.23</v>
      </c>
      <c r="H26" s="97">
        <v>0.22</v>
      </c>
      <c r="I26" s="97">
        <v>0.23</v>
      </c>
      <c r="J26" s="82"/>
      <c r="K26" s="82">
        <v>0.23</v>
      </c>
      <c r="L26" s="97"/>
      <c r="M26" s="97">
        <v>0.23</v>
      </c>
      <c r="N26" s="82"/>
      <c r="O26" s="82"/>
      <c r="P26" s="97">
        <v>0.23</v>
      </c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>
        <v>4.8</v>
      </c>
      <c r="G27" s="82">
        <v>4.7</v>
      </c>
      <c r="H27" s="97">
        <v>4.0999999999999996</v>
      </c>
      <c r="I27" s="97">
        <v>4.2</v>
      </c>
      <c r="J27" s="82"/>
      <c r="K27" s="82">
        <v>4.2</v>
      </c>
      <c r="L27" s="97"/>
      <c r="M27" s="97">
        <v>5</v>
      </c>
      <c r="N27" s="82"/>
      <c r="O27" s="82"/>
      <c r="P27" s="97">
        <v>4.3</v>
      </c>
      <c r="Q27" s="97">
        <v>5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>
        <v>4.4000000000000004</v>
      </c>
      <c r="G28" s="82">
        <v>4.4000000000000004</v>
      </c>
      <c r="H28" s="97">
        <v>3.1</v>
      </c>
      <c r="I28" s="97">
        <v>3.4</v>
      </c>
      <c r="J28" s="82"/>
      <c r="K28" s="82">
        <v>3.6</v>
      </c>
      <c r="L28" s="97"/>
      <c r="M28" s="97">
        <v>4</v>
      </c>
      <c r="N28" s="82"/>
      <c r="O28" s="82"/>
      <c r="P28" s="97">
        <v>3.5</v>
      </c>
      <c r="Q28" s="97">
        <v>4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>
        <f>F32-F27</f>
        <v>0.70000000000000018</v>
      </c>
      <c r="G29" s="98">
        <f t="shared" ref="G29:Q29" si="0">G32-G27</f>
        <v>0.70000000000000018</v>
      </c>
      <c r="H29" s="98">
        <f t="shared" si="0"/>
        <v>2.2000000000000002</v>
      </c>
      <c r="I29" s="98">
        <f t="shared" si="0"/>
        <v>1.3999999999999995</v>
      </c>
      <c r="J29" s="98">
        <f t="shared" si="0"/>
        <v>0</v>
      </c>
      <c r="K29" s="98">
        <f t="shared" si="0"/>
        <v>9.9999999999999645E-2</v>
      </c>
      <c r="L29" s="98">
        <f t="shared" si="0"/>
        <v>0</v>
      </c>
      <c r="M29" s="98">
        <f t="shared" si="0"/>
        <v>0.29999999999999982</v>
      </c>
      <c r="N29" s="98">
        <f t="shared" si="0"/>
        <v>0</v>
      </c>
      <c r="O29" s="98">
        <f t="shared" si="0"/>
        <v>0</v>
      </c>
      <c r="P29" s="98">
        <f t="shared" si="0"/>
        <v>0.79999999999999982</v>
      </c>
      <c r="Q29" s="98">
        <f t="shared" si="0"/>
        <v>0.70000000000000018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>
        <v>722.9</v>
      </c>
      <c r="G30" s="82">
        <v>730</v>
      </c>
      <c r="H30" s="97">
        <v>668.2</v>
      </c>
      <c r="I30" s="97">
        <v>699</v>
      </c>
      <c r="J30" s="82"/>
      <c r="K30" s="82">
        <v>660</v>
      </c>
      <c r="L30" s="97"/>
      <c r="M30" s="97">
        <v>703</v>
      </c>
      <c r="N30" s="82"/>
      <c r="O30" s="82"/>
      <c r="P30" s="97">
        <v>645.70000000000005</v>
      </c>
      <c r="Q30" s="97">
        <v>642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>
        <v>13.5</v>
      </c>
      <c r="G31" s="82">
        <v>13.3</v>
      </c>
      <c r="H31" s="97">
        <v>13.6</v>
      </c>
      <c r="I31" s="97">
        <v>13.4</v>
      </c>
      <c r="J31" s="82"/>
      <c r="K31" s="82">
        <v>13</v>
      </c>
      <c r="L31" s="97"/>
      <c r="M31" s="97">
        <v>13.6</v>
      </c>
      <c r="N31" s="82"/>
      <c r="O31" s="82"/>
      <c r="P31" s="97">
        <v>13.8</v>
      </c>
      <c r="Q31" s="97">
        <v>13.7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>
        <v>5.5</v>
      </c>
      <c r="G32" s="82">
        <v>5.4</v>
      </c>
      <c r="H32" s="97">
        <v>6.3</v>
      </c>
      <c r="I32" s="97">
        <v>5.6</v>
      </c>
      <c r="J32" s="82"/>
      <c r="K32" s="82">
        <v>4.3</v>
      </c>
      <c r="L32" s="97"/>
      <c r="M32" s="97">
        <v>5.3</v>
      </c>
      <c r="N32" s="82"/>
      <c r="O32" s="82"/>
      <c r="P32" s="97">
        <v>5.0999999999999996</v>
      </c>
      <c r="Q32" s="97">
        <v>5.7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8</v>
      </c>
      <c r="G33" s="98">
        <f t="shared" ref="G33:Q33" si="1">G31-G32</f>
        <v>7.9</v>
      </c>
      <c r="H33" s="98">
        <f t="shared" si="1"/>
        <v>7.3</v>
      </c>
      <c r="I33" s="98">
        <f t="shared" si="1"/>
        <v>7.8000000000000007</v>
      </c>
      <c r="J33" s="98">
        <f t="shared" si="1"/>
        <v>0</v>
      </c>
      <c r="K33" s="98">
        <f t="shared" si="1"/>
        <v>8.6999999999999993</v>
      </c>
      <c r="L33" s="98">
        <f t="shared" si="1"/>
        <v>0</v>
      </c>
      <c r="M33" s="98">
        <f t="shared" si="1"/>
        <v>8.3000000000000007</v>
      </c>
      <c r="N33" s="98">
        <f t="shared" si="1"/>
        <v>0</v>
      </c>
      <c r="O33" s="98">
        <f t="shared" si="1"/>
        <v>0</v>
      </c>
      <c r="P33" s="98">
        <f t="shared" si="1"/>
        <v>8.7000000000000011</v>
      </c>
      <c r="Q33" s="98">
        <f t="shared" si="1"/>
        <v>7.9999999999999991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6678.0600461893764</v>
      </c>
      <c r="G34" s="99">
        <f t="shared" ref="G34:Q34" si="2">(G33*G30)/0.866</f>
        <v>6659.3533487297918</v>
      </c>
      <c r="H34" s="99">
        <f t="shared" si="2"/>
        <v>5632.6327944572758</v>
      </c>
      <c r="I34" s="99">
        <f t="shared" si="2"/>
        <v>6295.8429561200937</v>
      </c>
      <c r="J34" s="99">
        <f t="shared" si="2"/>
        <v>0</v>
      </c>
      <c r="K34" s="99">
        <f t="shared" si="2"/>
        <v>6630.4849884526548</v>
      </c>
      <c r="L34" s="99">
        <f t="shared" si="2"/>
        <v>0</v>
      </c>
      <c r="M34" s="99">
        <f t="shared" si="2"/>
        <v>6737.7598152424953</v>
      </c>
      <c r="N34" s="99">
        <f t="shared" si="2"/>
        <v>0</v>
      </c>
      <c r="O34" s="99">
        <f t="shared" si="2"/>
        <v>0</v>
      </c>
      <c r="P34" s="99">
        <f t="shared" si="2"/>
        <v>6486.8244803695161</v>
      </c>
      <c r="Q34" s="99">
        <f t="shared" si="2"/>
        <v>5930.7159353348716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>
        <v>0.83</v>
      </c>
      <c r="G35" s="82">
        <v>0.83</v>
      </c>
      <c r="H35" s="97">
        <v>0.86</v>
      </c>
      <c r="I35" s="97">
        <v>0.86</v>
      </c>
      <c r="J35" s="82"/>
      <c r="K35" s="82">
        <v>0.84</v>
      </c>
      <c r="L35" s="97"/>
      <c r="M35" s="97">
        <v>0.83</v>
      </c>
      <c r="N35" s="82"/>
      <c r="O35" s="82"/>
      <c r="P35" s="97">
        <v>0.82</v>
      </c>
      <c r="Q35" s="97">
        <v>0.83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>
        <v>36.6</v>
      </c>
      <c r="G36" s="82">
        <v>36.700000000000003</v>
      </c>
      <c r="H36" s="97">
        <v>37.4</v>
      </c>
      <c r="I36" s="97">
        <v>37.6</v>
      </c>
      <c r="J36" s="82"/>
      <c r="K36" s="82">
        <v>36.9</v>
      </c>
      <c r="L36" s="97"/>
      <c r="M36" s="97">
        <v>38.5</v>
      </c>
      <c r="N36" s="82"/>
      <c r="O36" s="82"/>
      <c r="P36" s="97">
        <v>36.700000000000003</v>
      </c>
      <c r="Q36" s="97">
        <v>37.4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>
        <v>37</v>
      </c>
      <c r="G37" s="82">
        <v>37.200000000000003</v>
      </c>
      <c r="H37" s="97">
        <v>38.200000000000003</v>
      </c>
      <c r="I37" s="97">
        <v>38.6</v>
      </c>
      <c r="J37" s="82"/>
      <c r="K37" s="82">
        <v>37.6</v>
      </c>
      <c r="L37" s="97"/>
      <c r="M37" s="97">
        <v>38.5</v>
      </c>
      <c r="N37" s="82"/>
      <c r="O37" s="82"/>
      <c r="P37" s="97">
        <v>36.9</v>
      </c>
      <c r="Q37" s="97">
        <v>37.5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F37-F41</f>
        <v>2.1000000000000014</v>
      </c>
      <c r="G38" s="98">
        <f t="shared" ref="G38:Q38" si="3">G37-G41</f>
        <v>2.1000000000000014</v>
      </c>
      <c r="H38" s="98">
        <f t="shared" si="3"/>
        <v>4.2000000000000028</v>
      </c>
      <c r="I38" s="98">
        <f t="shared" si="3"/>
        <v>4.2000000000000028</v>
      </c>
      <c r="J38" s="98">
        <f t="shared" si="3"/>
        <v>0</v>
      </c>
      <c r="K38" s="98">
        <f t="shared" si="3"/>
        <v>2.7000000000000028</v>
      </c>
      <c r="L38" s="98">
        <f t="shared" si="3"/>
        <v>0</v>
      </c>
      <c r="M38" s="98">
        <f t="shared" si="3"/>
        <v>3.5</v>
      </c>
      <c r="N38" s="98">
        <f t="shared" si="3"/>
        <v>0</v>
      </c>
      <c r="O38" s="98">
        <f t="shared" si="3"/>
        <v>0</v>
      </c>
      <c r="P38" s="98">
        <f t="shared" si="3"/>
        <v>2.3999999999999986</v>
      </c>
      <c r="Q38" s="98">
        <f t="shared" si="3"/>
        <v>2.2999999999999972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>
        <v>28.9</v>
      </c>
      <c r="G40" s="82">
        <v>29.2</v>
      </c>
      <c r="H40" s="97">
        <v>28.7</v>
      </c>
      <c r="I40" s="97">
        <v>29.1</v>
      </c>
      <c r="J40" s="82"/>
      <c r="K40" s="82">
        <v>29.3</v>
      </c>
      <c r="L40" s="97"/>
      <c r="M40" s="97">
        <v>29.3</v>
      </c>
      <c r="N40" s="82"/>
      <c r="O40" s="82"/>
      <c r="P40" s="97">
        <v>28.6</v>
      </c>
      <c r="Q40" s="97">
        <v>29.2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>
        <v>34.9</v>
      </c>
      <c r="G41" s="82">
        <v>35.1</v>
      </c>
      <c r="H41" s="97">
        <v>34</v>
      </c>
      <c r="I41" s="97">
        <v>34.4</v>
      </c>
      <c r="J41" s="82"/>
      <c r="K41" s="82">
        <v>34.9</v>
      </c>
      <c r="L41" s="97"/>
      <c r="M41" s="97">
        <v>35</v>
      </c>
      <c r="N41" s="82"/>
      <c r="O41" s="82"/>
      <c r="P41" s="97">
        <v>34.5</v>
      </c>
      <c r="Q41" s="97">
        <v>35.200000000000003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6</v>
      </c>
      <c r="G42" s="98">
        <f t="shared" ref="G42:Q42" si="4">G41-G40</f>
        <v>5.9000000000000021</v>
      </c>
      <c r="H42" s="98">
        <f t="shared" si="4"/>
        <v>5.3000000000000007</v>
      </c>
      <c r="I42" s="98">
        <f t="shared" si="4"/>
        <v>5.2999999999999972</v>
      </c>
      <c r="J42" s="98">
        <f t="shared" si="4"/>
        <v>0</v>
      </c>
      <c r="K42" s="98">
        <f t="shared" si="4"/>
        <v>5.5999999999999979</v>
      </c>
      <c r="L42" s="98">
        <f t="shared" si="4"/>
        <v>0</v>
      </c>
      <c r="M42" s="98">
        <f t="shared" si="4"/>
        <v>5.6999999999999993</v>
      </c>
      <c r="N42" s="98">
        <f t="shared" si="4"/>
        <v>0</v>
      </c>
      <c r="O42" s="98">
        <f t="shared" si="4"/>
        <v>0</v>
      </c>
      <c r="P42" s="98">
        <f t="shared" si="4"/>
        <v>5.8999999999999986</v>
      </c>
      <c r="Q42" s="98">
        <f t="shared" si="4"/>
        <v>6.0000000000000036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>
        <v>1206.7</v>
      </c>
      <c r="G43" s="82">
        <v>1218</v>
      </c>
      <c r="H43" s="97">
        <v>1242</v>
      </c>
      <c r="I43" s="97">
        <v>1256</v>
      </c>
      <c r="J43" s="82"/>
      <c r="K43" s="82">
        <v>1283</v>
      </c>
      <c r="L43" s="97"/>
      <c r="M43" s="97">
        <v>1190</v>
      </c>
      <c r="N43" s="82"/>
      <c r="O43" s="82"/>
      <c r="P43" s="97">
        <v>1191.5</v>
      </c>
      <c r="Q43" s="97">
        <v>1211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8360.5080831408777</v>
      </c>
      <c r="G44" s="99">
        <f t="shared" ref="G44:Q44" si="5">G42*G43/0.866</f>
        <v>8298.1524249422655</v>
      </c>
      <c r="H44" s="99">
        <f t="shared" si="5"/>
        <v>7601.1547344110868</v>
      </c>
      <c r="I44" s="99">
        <f t="shared" si="5"/>
        <v>7686.8360277136217</v>
      </c>
      <c r="J44" s="99">
        <f t="shared" si="5"/>
        <v>0</v>
      </c>
      <c r="K44" s="99">
        <f t="shared" si="5"/>
        <v>8296.5357967667405</v>
      </c>
      <c r="L44" s="99">
        <f t="shared" si="5"/>
        <v>0</v>
      </c>
      <c r="M44" s="99">
        <f t="shared" si="5"/>
        <v>7832.5635103926088</v>
      </c>
      <c r="N44" s="99">
        <f t="shared" si="5"/>
        <v>0</v>
      </c>
      <c r="O44" s="99">
        <f t="shared" si="5"/>
        <v>0</v>
      </c>
      <c r="P44" s="99">
        <f t="shared" si="5"/>
        <v>8117.6096997690511</v>
      </c>
      <c r="Q44" s="99">
        <f t="shared" si="5"/>
        <v>8390.3002309468884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>
        <v>0.48</v>
      </c>
      <c r="G45" s="82">
        <v>0.48</v>
      </c>
      <c r="H45" s="97">
        <v>0.47</v>
      </c>
      <c r="I45" s="97">
        <v>0.48</v>
      </c>
      <c r="J45" s="82"/>
      <c r="K45" s="82">
        <v>0.46</v>
      </c>
      <c r="L45" s="97"/>
      <c r="M45" s="97">
        <v>0.48</v>
      </c>
      <c r="N45" s="82"/>
      <c r="O45" s="82"/>
      <c r="P45" s="97">
        <v>0.47</v>
      </c>
      <c r="Q45" s="97">
        <v>0.47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>
        <v>20.5</v>
      </c>
      <c r="G46" s="82">
        <v>20.5</v>
      </c>
      <c r="H46" s="97">
        <v>20.3</v>
      </c>
      <c r="I46" s="97">
        <v>20.5</v>
      </c>
      <c r="J46" s="82"/>
      <c r="K46" s="82">
        <v>19.5</v>
      </c>
      <c r="L46" s="97"/>
      <c r="M46" s="97">
        <v>20</v>
      </c>
      <c r="N46" s="82"/>
      <c r="O46" s="82"/>
      <c r="P46" s="97">
        <v>20.399999999999999</v>
      </c>
      <c r="Q46" s="97">
        <v>20.3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>
        <v>206.7</v>
      </c>
      <c r="G47" s="82">
        <v>209.8</v>
      </c>
      <c r="H47" s="97">
        <v>124.8</v>
      </c>
      <c r="I47" s="97">
        <v>120.3</v>
      </c>
      <c r="J47" s="82"/>
      <c r="K47" s="82">
        <v>211.3</v>
      </c>
      <c r="L47" s="97"/>
      <c r="M47" s="97">
        <v>212.7</v>
      </c>
      <c r="N47" s="82"/>
      <c r="O47" s="82"/>
      <c r="P47" s="97">
        <v>200.9</v>
      </c>
      <c r="Q47" s="97">
        <v>198.1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25">
        <v>5.89</v>
      </c>
      <c r="F49" s="82">
        <v>5.14</v>
      </c>
      <c r="G49" s="82">
        <v>5.14</v>
      </c>
      <c r="H49" s="97">
        <v>5.13</v>
      </c>
      <c r="I49" s="97">
        <v>4.8</v>
      </c>
      <c r="J49" s="82"/>
      <c r="K49" s="82">
        <v>5.47</v>
      </c>
      <c r="L49" s="97"/>
      <c r="M49" s="97">
        <v>4.99</v>
      </c>
      <c r="N49" s="82"/>
      <c r="O49" s="82"/>
      <c r="P49" s="97">
        <v>5.41</v>
      </c>
      <c r="Q49" s="97">
        <v>4.8899999999999997</v>
      </c>
    </row>
    <row r="50" spans="2:17" ht="20.100000000000001" customHeight="1" x14ac:dyDescent="0.25">
      <c r="B50" s="156" t="s">
        <v>51</v>
      </c>
      <c r="C50" s="156"/>
      <c r="D50" s="156"/>
      <c r="E50" s="125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24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5D5F-2883-461E-AF93-1C6DBB96D12A}">
  <dimension ref="B1:Q59"/>
  <sheetViews>
    <sheetView view="pageBreakPreview" zoomScale="85" zoomScaleNormal="60" zoomScaleSheetLayoutView="85" workbookViewId="0">
      <selection activeCell="P37" sqref="P37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26" t="s">
        <v>78</v>
      </c>
      <c r="E10" s="83"/>
      <c r="F10" s="94" t="s">
        <v>100</v>
      </c>
      <c r="G10" s="94" t="s">
        <v>100</v>
      </c>
      <c r="H10" s="96" t="s">
        <v>100</v>
      </c>
      <c r="I10" s="96" t="s">
        <v>100</v>
      </c>
      <c r="J10" s="93"/>
      <c r="K10" s="94" t="s">
        <v>100</v>
      </c>
      <c r="L10" s="95"/>
      <c r="M10" s="96" t="s">
        <v>100</v>
      </c>
      <c r="N10" s="93"/>
      <c r="O10" s="94"/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/>
      <c r="G11" s="82">
        <v>70.2</v>
      </c>
      <c r="H11" s="97"/>
      <c r="I11" s="97">
        <v>77</v>
      </c>
      <c r="J11" s="82"/>
      <c r="K11" s="82"/>
      <c r="L11" s="97"/>
      <c r="M11" s="82">
        <v>74.099999999999994</v>
      </c>
      <c r="N11" s="82"/>
      <c r="O11" s="82">
        <v>74.8</v>
      </c>
      <c r="P11" s="97"/>
      <c r="Q11" s="97">
        <v>76.2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/>
      <c r="G12" s="82">
        <v>0</v>
      </c>
      <c r="H12" s="97"/>
      <c r="I12" s="97">
        <v>0.1</v>
      </c>
      <c r="J12" s="82"/>
      <c r="K12" s="82"/>
      <c r="L12" s="97"/>
      <c r="M12" s="82">
        <v>0.1</v>
      </c>
      <c r="N12" s="82"/>
      <c r="O12" s="82">
        <v>0</v>
      </c>
      <c r="P12" s="97"/>
      <c r="Q12" s="97">
        <v>0.3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/>
      <c r="G13" s="82">
        <v>64</v>
      </c>
      <c r="H13" s="97"/>
      <c r="I13" s="97">
        <v>72.3</v>
      </c>
      <c r="J13" s="82"/>
      <c r="K13" s="82"/>
      <c r="L13" s="97"/>
      <c r="M13" s="82">
        <v>36.9</v>
      </c>
      <c r="N13" s="82"/>
      <c r="O13" s="82">
        <v>69.099999999999994</v>
      </c>
      <c r="P13" s="97"/>
      <c r="Q13" s="97">
        <v>70.8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/>
      <c r="G14" s="82">
        <v>67.099999999999994</v>
      </c>
      <c r="H14" s="97"/>
      <c r="I14" s="97">
        <v>69.400000000000006</v>
      </c>
      <c r="J14" s="82"/>
      <c r="K14" s="82"/>
      <c r="L14" s="97"/>
      <c r="M14" s="82">
        <v>68.599999999999994</v>
      </c>
      <c r="N14" s="82"/>
      <c r="O14" s="82">
        <v>73.3</v>
      </c>
      <c r="P14" s="97"/>
      <c r="Q14" s="97">
        <v>74.900000000000006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/>
      <c r="G15" s="82">
        <v>51.4</v>
      </c>
      <c r="H15" s="97"/>
      <c r="I15" s="97">
        <v>54.1</v>
      </c>
      <c r="J15" s="82"/>
      <c r="K15" s="82"/>
      <c r="L15" s="97"/>
      <c r="M15" s="82">
        <v>36.9</v>
      </c>
      <c r="N15" s="82"/>
      <c r="O15" s="82">
        <v>69.8</v>
      </c>
      <c r="P15" s="97"/>
      <c r="Q15" s="97">
        <v>42.6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/>
      <c r="G16" s="82">
        <v>6.6</v>
      </c>
      <c r="H16" s="82"/>
      <c r="I16" s="82">
        <v>6.6</v>
      </c>
      <c r="J16" s="82"/>
      <c r="K16" s="82"/>
      <c r="L16" s="82"/>
      <c r="M16" s="82">
        <v>6.6</v>
      </c>
      <c r="N16" s="82"/>
      <c r="O16" s="82">
        <v>6.6</v>
      </c>
      <c r="P16" s="82"/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/>
      <c r="G17" s="82">
        <v>114.9</v>
      </c>
      <c r="H17" s="97"/>
      <c r="I17" s="97">
        <v>115.8</v>
      </c>
      <c r="J17" s="82"/>
      <c r="K17" s="82"/>
      <c r="L17" s="97"/>
      <c r="M17" s="82">
        <v>118.2</v>
      </c>
      <c r="N17" s="82"/>
      <c r="O17" s="82">
        <v>118.8</v>
      </c>
      <c r="P17" s="97"/>
      <c r="Q17" s="97">
        <v>116.9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/>
      <c r="G18" s="82">
        <v>1138.4000000000001</v>
      </c>
      <c r="H18" s="97"/>
      <c r="I18" s="97">
        <v>1175.8</v>
      </c>
      <c r="J18" s="82"/>
      <c r="K18" s="82"/>
      <c r="L18" s="97"/>
      <c r="M18" s="82">
        <v>1202.9000000000001</v>
      </c>
      <c r="N18" s="82"/>
      <c r="O18" s="82">
        <v>1204.3</v>
      </c>
      <c r="P18" s="97"/>
      <c r="Q18" s="97">
        <v>1183.0999999999999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/>
      <c r="G19" s="82">
        <v>46026</v>
      </c>
      <c r="H19" s="97"/>
      <c r="I19" s="97">
        <v>46812</v>
      </c>
      <c r="J19" s="82"/>
      <c r="K19" s="82"/>
      <c r="L19" s="97"/>
      <c r="M19" s="82">
        <v>46815</v>
      </c>
      <c r="N19" s="82"/>
      <c r="O19" s="82">
        <v>46099</v>
      </c>
      <c r="P19" s="97"/>
      <c r="Q19" s="97">
        <v>47940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82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82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/>
      <c r="G22" s="82">
        <v>58.2</v>
      </c>
      <c r="H22" s="97"/>
      <c r="I22" s="97">
        <v>59.2</v>
      </c>
      <c r="J22" s="82"/>
      <c r="K22" s="82"/>
      <c r="L22" s="97"/>
      <c r="M22" s="82">
        <v>57.3</v>
      </c>
      <c r="N22" s="82"/>
      <c r="O22" s="82">
        <v>58.9</v>
      </c>
      <c r="P22" s="97"/>
      <c r="Q22" s="97">
        <v>59.2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/>
      <c r="G23" s="82">
        <v>0.52</v>
      </c>
      <c r="H23" s="97"/>
      <c r="I23" s="97">
        <v>0.49</v>
      </c>
      <c r="J23" s="82"/>
      <c r="K23" s="82"/>
      <c r="L23" s="97"/>
      <c r="M23" s="82">
        <v>0.53</v>
      </c>
      <c r="N23" s="82"/>
      <c r="O23" s="82">
        <v>0.53</v>
      </c>
      <c r="P23" s="97"/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/>
      <c r="G25" s="82">
        <v>45.1</v>
      </c>
      <c r="H25" s="97"/>
      <c r="I25" s="97">
        <v>44.8</v>
      </c>
      <c r="J25" s="82"/>
      <c r="K25" s="82"/>
      <c r="L25" s="97"/>
      <c r="M25" s="82">
        <v>44.9</v>
      </c>
      <c r="N25" s="82"/>
      <c r="O25" s="82">
        <v>44.6</v>
      </c>
      <c r="P25" s="97"/>
      <c r="Q25" s="97">
        <v>45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/>
      <c r="G26" s="82">
        <v>0.23</v>
      </c>
      <c r="H26" s="97"/>
      <c r="I26" s="97">
        <v>0.22</v>
      </c>
      <c r="J26" s="82"/>
      <c r="K26" s="82"/>
      <c r="L26" s="97"/>
      <c r="M26" s="82">
        <v>0.23</v>
      </c>
      <c r="N26" s="82"/>
      <c r="O26" s="82">
        <v>0.23</v>
      </c>
      <c r="P26" s="97"/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/>
      <c r="G27" s="82">
        <v>4.5999999999999996</v>
      </c>
      <c r="H27" s="97"/>
      <c r="I27" s="97">
        <v>3.9</v>
      </c>
      <c r="J27" s="82"/>
      <c r="K27" s="82"/>
      <c r="L27" s="97"/>
      <c r="M27" s="82">
        <v>4.8</v>
      </c>
      <c r="N27" s="82"/>
      <c r="O27" s="82">
        <v>4.9000000000000004</v>
      </c>
      <c r="P27" s="97"/>
      <c r="Q27" s="97">
        <v>4.4000000000000004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/>
      <c r="G28" s="82">
        <v>3.9</v>
      </c>
      <c r="H28" s="97"/>
      <c r="I28" s="97">
        <v>2.8</v>
      </c>
      <c r="J28" s="82"/>
      <c r="K28" s="82"/>
      <c r="L28" s="97"/>
      <c r="M28" s="82">
        <v>3.6</v>
      </c>
      <c r="N28" s="82"/>
      <c r="O28" s="82">
        <v>3.7</v>
      </c>
      <c r="P28" s="97"/>
      <c r="Q28" s="97">
        <v>3.5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/>
      <c r="G29" s="98"/>
      <c r="H29" s="98">
        <f t="shared" ref="H29:Q29" si="0">H32-H27</f>
        <v>0</v>
      </c>
      <c r="I29" s="98">
        <f t="shared" si="0"/>
        <v>1.1000000000000001</v>
      </c>
      <c r="J29" s="98">
        <f t="shared" si="0"/>
        <v>0</v>
      </c>
      <c r="K29" s="98">
        <f>K32-K27</f>
        <v>0</v>
      </c>
      <c r="L29" s="98">
        <f t="shared" si="0"/>
        <v>0</v>
      </c>
      <c r="M29" s="98">
        <f>M32-M27</f>
        <v>-9.9999999999999645E-2</v>
      </c>
      <c r="N29" s="98">
        <f t="shared" si="0"/>
        <v>0</v>
      </c>
      <c r="O29" s="98">
        <f t="shared" si="0"/>
        <v>-0.10000000000000053</v>
      </c>
      <c r="P29" s="98">
        <f t="shared" si="0"/>
        <v>0</v>
      </c>
      <c r="Q29" s="98">
        <f t="shared" si="0"/>
        <v>0.79999999999999982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/>
      <c r="G30" s="82">
        <v>718.24</v>
      </c>
      <c r="H30" s="97"/>
      <c r="I30" s="97">
        <v>699.04</v>
      </c>
      <c r="J30" s="82"/>
      <c r="K30" s="82"/>
      <c r="L30" s="97"/>
      <c r="M30" s="82">
        <v>720.8</v>
      </c>
      <c r="N30" s="82"/>
      <c r="O30" s="82">
        <v>731.6</v>
      </c>
      <c r="P30" s="97"/>
      <c r="Q30" s="97">
        <v>708.96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/>
      <c r="G31" s="82">
        <v>12.9</v>
      </c>
      <c r="H31" s="97"/>
      <c r="I31" s="97">
        <v>12.9</v>
      </c>
      <c r="J31" s="82"/>
      <c r="K31" s="82"/>
      <c r="L31" s="97"/>
      <c r="M31" s="82">
        <v>13.2</v>
      </c>
      <c r="N31" s="82"/>
      <c r="O31" s="82">
        <v>12.9</v>
      </c>
      <c r="P31" s="97"/>
      <c r="Q31" s="97">
        <v>13.1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/>
      <c r="G32" s="82">
        <v>4.8</v>
      </c>
      <c r="H32" s="97"/>
      <c r="I32" s="97">
        <v>5</v>
      </c>
      <c r="J32" s="82"/>
      <c r="K32" s="82"/>
      <c r="L32" s="97"/>
      <c r="M32" s="82">
        <v>4.7</v>
      </c>
      <c r="N32" s="82"/>
      <c r="O32" s="82">
        <v>4.8</v>
      </c>
      <c r="P32" s="97"/>
      <c r="Q32" s="97">
        <v>5.2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0</v>
      </c>
      <c r="G33" s="98">
        <f t="shared" ref="G33:Q33" si="1">G31-G32</f>
        <v>8.1000000000000014</v>
      </c>
      <c r="H33" s="98">
        <f t="shared" si="1"/>
        <v>0</v>
      </c>
      <c r="I33" s="98">
        <f t="shared" si="1"/>
        <v>7.9</v>
      </c>
      <c r="J33" s="98">
        <f t="shared" si="1"/>
        <v>0</v>
      </c>
      <c r="K33" s="98">
        <f t="shared" si="1"/>
        <v>0</v>
      </c>
      <c r="L33" s="98">
        <f t="shared" si="1"/>
        <v>0</v>
      </c>
      <c r="M33" s="98">
        <f t="shared" si="1"/>
        <v>8.5</v>
      </c>
      <c r="N33" s="98">
        <f t="shared" si="1"/>
        <v>0</v>
      </c>
      <c r="O33" s="98">
        <f t="shared" si="1"/>
        <v>8.1000000000000014</v>
      </c>
      <c r="P33" s="98">
        <f t="shared" si="1"/>
        <v>0</v>
      </c>
      <c r="Q33" s="98">
        <f t="shared" si="1"/>
        <v>7.8999999999999995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0</v>
      </c>
      <c r="G34" s="99">
        <f t="shared" ref="G34:Q34" si="2">(G33*G30)/0.866</f>
        <v>6717.9491916859142</v>
      </c>
      <c r="H34" s="99">
        <f t="shared" si="2"/>
        <v>0</v>
      </c>
      <c r="I34" s="99">
        <f t="shared" si="2"/>
        <v>6376.9237875288682</v>
      </c>
      <c r="J34" s="99">
        <f t="shared" si="2"/>
        <v>0</v>
      </c>
      <c r="K34" s="99">
        <f t="shared" si="2"/>
        <v>0</v>
      </c>
      <c r="L34" s="99">
        <f t="shared" si="2"/>
        <v>0</v>
      </c>
      <c r="M34" s="99">
        <f t="shared" si="2"/>
        <v>7074.8267898383365</v>
      </c>
      <c r="N34" s="99">
        <f t="shared" si="2"/>
        <v>0</v>
      </c>
      <c r="O34" s="99">
        <f t="shared" si="2"/>
        <v>6842.9099307159368</v>
      </c>
      <c r="P34" s="99">
        <f t="shared" si="2"/>
        <v>0</v>
      </c>
      <c r="Q34" s="99">
        <f t="shared" si="2"/>
        <v>6467.4180138568126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/>
      <c r="G35" s="82">
        <v>0.79</v>
      </c>
      <c r="H35" s="97"/>
      <c r="I35" s="97">
        <v>0.83</v>
      </c>
      <c r="J35" s="82"/>
      <c r="K35" s="82"/>
      <c r="L35" s="97"/>
      <c r="M35" s="82">
        <v>0.82</v>
      </c>
      <c r="N35" s="82"/>
      <c r="O35" s="82">
        <v>0.81</v>
      </c>
      <c r="P35" s="97"/>
      <c r="Q35" s="97">
        <v>0.8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/>
      <c r="G36" s="82">
        <v>35.299999999999997</v>
      </c>
      <c r="H36" s="97"/>
      <c r="I36" s="97">
        <v>36.200000000000003</v>
      </c>
      <c r="J36" s="82"/>
      <c r="K36" s="82"/>
      <c r="L36" s="97"/>
      <c r="M36" s="82">
        <v>36.9</v>
      </c>
      <c r="N36" s="82"/>
      <c r="O36" s="82">
        <v>35.9</v>
      </c>
      <c r="P36" s="97"/>
      <c r="Q36" s="97">
        <v>35.6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/>
      <c r="G37" s="82">
        <v>35.4</v>
      </c>
      <c r="H37" s="97"/>
      <c r="I37" s="97">
        <v>36.9</v>
      </c>
      <c r="J37" s="82"/>
      <c r="K37" s="82"/>
      <c r="L37" s="97"/>
      <c r="M37" s="82">
        <v>36.6</v>
      </c>
      <c r="N37" s="82"/>
      <c r="O37" s="82">
        <v>36.200000000000003</v>
      </c>
      <c r="P37" s="97"/>
      <c r="Q37" s="97">
        <v>35.5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F37-F41</f>
        <v>0</v>
      </c>
      <c r="G38" s="98">
        <f t="shared" ref="G38:Q38" si="3">G37-G41</f>
        <v>2.7999999999999972</v>
      </c>
      <c r="H38" s="98">
        <f t="shared" si="3"/>
        <v>0</v>
      </c>
      <c r="I38" s="98">
        <f t="shared" si="3"/>
        <v>4.7999999999999972</v>
      </c>
      <c r="J38" s="98">
        <f t="shared" si="3"/>
        <v>0</v>
      </c>
      <c r="K38" s="98">
        <f t="shared" si="3"/>
        <v>0</v>
      </c>
      <c r="L38" s="98">
        <f t="shared" si="3"/>
        <v>0</v>
      </c>
      <c r="M38" s="98">
        <f t="shared" si="3"/>
        <v>4.3000000000000043</v>
      </c>
      <c r="N38" s="98">
        <f t="shared" si="3"/>
        <v>0</v>
      </c>
      <c r="O38" s="98">
        <f t="shared" si="3"/>
        <v>3.3000000000000043</v>
      </c>
      <c r="P38" s="98">
        <f t="shared" si="3"/>
        <v>0</v>
      </c>
      <c r="Q38" s="98">
        <f t="shared" si="3"/>
        <v>2.8999999999999986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/>
      <c r="G40" s="82">
        <v>27.1</v>
      </c>
      <c r="H40" s="97"/>
      <c r="I40" s="97">
        <v>27</v>
      </c>
      <c r="J40" s="82"/>
      <c r="K40" s="82"/>
      <c r="L40" s="97"/>
      <c r="M40" s="82">
        <v>26.7</v>
      </c>
      <c r="N40" s="82"/>
      <c r="O40" s="82">
        <v>26.8</v>
      </c>
      <c r="P40" s="97"/>
      <c r="Q40" s="97">
        <v>27.1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/>
      <c r="G41" s="82">
        <v>32.6</v>
      </c>
      <c r="H41" s="97"/>
      <c r="I41" s="97">
        <v>32.1</v>
      </c>
      <c r="J41" s="82"/>
      <c r="K41" s="82"/>
      <c r="L41" s="97"/>
      <c r="M41" s="82">
        <v>32.299999999999997</v>
      </c>
      <c r="N41" s="82"/>
      <c r="O41" s="82">
        <v>32.9</v>
      </c>
      <c r="P41" s="97"/>
      <c r="Q41" s="97">
        <v>32.6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0</v>
      </c>
      <c r="G42" s="98">
        <f t="shared" ref="G42:Q42" si="4">G41-G40</f>
        <v>5.5</v>
      </c>
      <c r="H42" s="98">
        <f t="shared" si="4"/>
        <v>0</v>
      </c>
      <c r="I42" s="98">
        <f t="shared" si="4"/>
        <v>5.1000000000000014</v>
      </c>
      <c r="J42" s="98">
        <f t="shared" si="4"/>
        <v>0</v>
      </c>
      <c r="K42" s="98">
        <f t="shared" si="4"/>
        <v>0</v>
      </c>
      <c r="L42" s="98">
        <f t="shared" si="4"/>
        <v>0</v>
      </c>
      <c r="M42" s="98">
        <f t="shared" si="4"/>
        <v>5.5999999999999979</v>
      </c>
      <c r="N42" s="98">
        <f t="shared" si="4"/>
        <v>0</v>
      </c>
      <c r="O42" s="98">
        <f t="shared" si="4"/>
        <v>6.0999999999999979</v>
      </c>
      <c r="P42" s="98">
        <f t="shared" si="4"/>
        <v>0</v>
      </c>
      <c r="Q42" s="98">
        <f t="shared" si="4"/>
        <v>5.5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/>
      <c r="G43" s="82">
        <v>1263.08</v>
      </c>
      <c r="H43" s="97"/>
      <c r="I43" s="97">
        <v>1298.78</v>
      </c>
      <c r="J43" s="82"/>
      <c r="K43" s="82"/>
      <c r="L43" s="97"/>
      <c r="M43" s="82">
        <v>1234.52</v>
      </c>
      <c r="N43" s="82"/>
      <c r="O43" s="82">
        <v>1078.42</v>
      </c>
      <c r="P43" s="97"/>
      <c r="Q43" s="97">
        <v>1249.3599999999999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0</v>
      </c>
      <c r="G44" s="99">
        <f t="shared" ref="G44:Q44" si="5">G42*G43/0.866</f>
        <v>8021.8706697459584</v>
      </c>
      <c r="H44" s="99">
        <f t="shared" si="5"/>
        <v>0</v>
      </c>
      <c r="I44" s="99">
        <f t="shared" si="5"/>
        <v>7648.7043879907642</v>
      </c>
      <c r="J44" s="99">
        <f t="shared" si="5"/>
        <v>0</v>
      </c>
      <c r="K44" s="99">
        <f t="shared" si="5"/>
        <v>0</v>
      </c>
      <c r="L44" s="99">
        <f t="shared" si="5"/>
        <v>0</v>
      </c>
      <c r="M44" s="99">
        <f t="shared" si="5"/>
        <v>7983.0392609699738</v>
      </c>
      <c r="N44" s="99">
        <f t="shared" si="5"/>
        <v>0</v>
      </c>
      <c r="O44" s="99">
        <f t="shared" si="5"/>
        <v>7596.2609699769037</v>
      </c>
      <c r="P44" s="99">
        <f t="shared" si="5"/>
        <v>0</v>
      </c>
      <c r="Q44" s="99">
        <f t="shared" si="5"/>
        <v>7934.7344110854501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/>
      <c r="G45" s="82">
        <v>0.46</v>
      </c>
      <c r="H45" s="97"/>
      <c r="I45" s="97">
        <v>0.46</v>
      </c>
      <c r="J45" s="82"/>
      <c r="K45" s="82"/>
      <c r="L45" s="97"/>
      <c r="M45" s="82">
        <v>0.47</v>
      </c>
      <c r="N45" s="82"/>
      <c r="O45" s="82">
        <v>0.46</v>
      </c>
      <c r="P45" s="97"/>
      <c r="Q45" s="97">
        <v>0.46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/>
      <c r="G46" s="82">
        <v>19.5</v>
      </c>
      <c r="H46" s="97"/>
      <c r="I46" s="97">
        <v>19.399999999999999</v>
      </c>
      <c r="J46" s="82"/>
      <c r="K46" s="82"/>
      <c r="L46" s="97"/>
      <c r="M46" s="82">
        <v>21.2</v>
      </c>
      <c r="N46" s="82"/>
      <c r="O46" s="82">
        <v>19.7</v>
      </c>
      <c r="P46" s="97"/>
      <c r="Q46" s="97">
        <v>19.8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/>
      <c r="G47" s="82">
        <v>185.5</v>
      </c>
      <c r="H47" s="97"/>
      <c r="I47" s="97">
        <v>131</v>
      </c>
      <c r="J47" s="82"/>
      <c r="K47" s="82"/>
      <c r="L47" s="97"/>
      <c r="M47" s="82">
        <v>192.6</v>
      </c>
      <c r="N47" s="82"/>
      <c r="O47" s="82">
        <v>158.1</v>
      </c>
      <c r="P47" s="97"/>
      <c r="Q47" s="97">
        <v>198.6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26">
        <v>5.89</v>
      </c>
      <c r="F49" s="82"/>
      <c r="G49" s="82">
        <v>5.47</v>
      </c>
      <c r="H49" s="97"/>
      <c r="I49" s="97">
        <v>4.97</v>
      </c>
      <c r="J49" s="82"/>
      <c r="K49" s="82"/>
      <c r="L49" s="97"/>
      <c r="M49" s="82">
        <v>5.09</v>
      </c>
      <c r="N49" s="82"/>
      <c r="O49" s="82">
        <v>4.9000000000000004</v>
      </c>
      <c r="P49" s="97"/>
      <c r="Q49" s="97">
        <v>5.05</v>
      </c>
    </row>
    <row r="50" spans="2:17" ht="20.100000000000001" customHeight="1" x14ac:dyDescent="0.25">
      <c r="B50" s="156" t="s">
        <v>51</v>
      </c>
      <c r="C50" s="156"/>
      <c r="D50" s="156"/>
      <c r="E50" s="126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27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B593-BA7A-4F97-8765-0D6408D87FE1}">
  <dimension ref="B1:Q59"/>
  <sheetViews>
    <sheetView view="pageBreakPreview" zoomScale="85" zoomScaleNormal="60" zoomScaleSheetLayoutView="85" workbookViewId="0">
      <selection activeCell="G11" sqref="G11:G19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29" t="s">
        <v>78</v>
      </c>
      <c r="E10" s="83"/>
      <c r="F10" s="94" t="s">
        <v>100</v>
      </c>
      <c r="G10" s="94" t="s">
        <v>100</v>
      </c>
      <c r="H10" s="96"/>
      <c r="I10" s="96" t="s">
        <v>100</v>
      </c>
      <c r="J10" s="93"/>
      <c r="K10" s="94"/>
      <c r="L10" s="95" t="s">
        <v>100</v>
      </c>
      <c r="M10" s="96" t="s">
        <v>100</v>
      </c>
      <c r="N10" s="93"/>
      <c r="O10" s="96" t="s">
        <v>100</v>
      </c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>
        <v>71.2</v>
      </c>
      <c r="G11" s="82">
        <v>71.3</v>
      </c>
      <c r="H11" s="97"/>
      <c r="I11" s="97">
        <v>74</v>
      </c>
      <c r="J11" s="82"/>
      <c r="K11" s="82"/>
      <c r="L11" s="97">
        <v>74.099999999999994</v>
      </c>
      <c r="M11" s="82">
        <v>74.099999999999994</v>
      </c>
      <c r="N11" s="82"/>
      <c r="O11" s="82">
        <v>74</v>
      </c>
      <c r="P11" s="97">
        <v>78.2</v>
      </c>
      <c r="Q11" s="97">
        <v>78.2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>
        <v>0.7</v>
      </c>
      <c r="G12" s="82">
        <v>0.6</v>
      </c>
      <c r="H12" s="97"/>
      <c r="I12" s="97">
        <v>0.5</v>
      </c>
      <c r="J12" s="82"/>
      <c r="K12" s="82"/>
      <c r="L12" s="97">
        <v>0.1</v>
      </c>
      <c r="M12" s="82">
        <v>0.1</v>
      </c>
      <c r="N12" s="82"/>
      <c r="O12" s="82">
        <v>0</v>
      </c>
      <c r="P12" s="97">
        <v>0.3</v>
      </c>
      <c r="Q12" s="97">
        <v>0.3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>
        <v>66</v>
      </c>
      <c r="G13" s="82">
        <v>65.8</v>
      </c>
      <c r="H13" s="97"/>
      <c r="I13" s="97">
        <v>68.599999999999994</v>
      </c>
      <c r="J13" s="82"/>
      <c r="K13" s="82"/>
      <c r="L13" s="97">
        <v>69.099999999999994</v>
      </c>
      <c r="M13" s="82">
        <v>69.099999999999994</v>
      </c>
      <c r="N13" s="82"/>
      <c r="O13" s="82">
        <v>68.400000000000006</v>
      </c>
      <c r="P13" s="97">
        <v>72.900000000000006</v>
      </c>
      <c r="Q13" s="97">
        <v>72.900000000000006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>
        <v>63.5</v>
      </c>
      <c r="G14" s="82">
        <v>65.8</v>
      </c>
      <c r="H14" s="97"/>
      <c r="I14" s="97">
        <v>68.3</v>
      </c>
      <c r="J14" s="82"/>
      <c r="K14" s="82"/>
      <c r="L14" s="97">
        <v>63.9</v>
      </c>
      <c r="M14" s="82">
        <v>66.7</v>
      </c>
      <c r="N14" s="82"/>
      <c r="O14" s="82">
        <v>72.2</v>
      </c>
      <c r="P14" s="97">
        <v>70.400000000000006</v>
      </c>
      <c r="Q14" s="97">
        <v>73.400000000000006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>
        <v>56.9</v>
      </c>
      <c r="G15" s="82">
        <v>51.4</v>
      </c>
      <c r="H15" s="97"/>
      <c r="I15" s="97">
        <v>51.4</v>
      </c>
      <c r="J15" s="82"/>
      <c r="K15" s="82"/>
      <c r="L15" s="97">
        <v>35.9</v>
      </c>
      <c r="M15" s="82">
        <v>33.799999999999997</v>
      </c>
      <c r="N15" s="82"/>
      <c r="O15" s="82">
        <v>52.8</v>
      </c>
      <c r="P15" s="97">
        <v>40.200000000000003</v>
      </c>
      <c r="Q15" s="97">
        <v>44.5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>
        <v>6.6</v>
      </c>
      <c r="G16" s="82">
        <v>6.6</v>
      </c>
      <c r="H16" s="82"/>
      <c r="I16" s="82">
        <v>6.6</v>
      </c>
      <c r="J16" s="82"/>
      <c r="K16" s="82"/>
      <c r="L16" s="82">
        <v>6.6</v>
      </c>
      <c r="M16" s="82">
        <v>6.6</v>
      </c>
      <c r="N16" s="82"/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>
        <v>116.2</v>
      </c>
      <c r="G17" s="82">
        <v>119</v>
      </c>
      <c r="H17" s="97"/>
      <c r="I17" s="97">
        <v>116.9</v>
      </c>
      <c r="J17" s="82"/>
      <c r="K17" s="82"/>
      <c r="L17" s="97">
        <v>118</v>
      </c>
      <c r="M17" s="82">
        <v>118.3</v>
      </c>
      <c r="N17" s="82"/>
      <c r="O17" s="82">
        <v>118.9</v>
      </c>
      <c r="P17" s="97">
        <v>118.2</v>
      </c>
      <c r="Q17" s="97">
        <v>119.1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>
        <v>1158</v>
      </c>
      <c r="G18" s="82">
        <v>1172</v>
      </c>
      <c r="H18" s="97"/>
      <c r="I18" s="97">
        <v>1185</v>
      </c>
      <c r="J18" s="82"/>
      <c r="K18" s="82"/>
      <c r="L18" s="97">
        <v>1210</v>
      </c>
      <c r="M18" s="82">
        <v>1215</v>
      </c>
      <c r="N18" s="82"/>
      <c r="O18" s="82">
        <v>1216</v>
      </c>
      <c r="P18" s="97">
        <v>1205</v>
      </c>
      <c r="Q18" s="97">
        <v>1219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>
        <v>46045.599999999999</v>
      </c>
      <c r="G19" s="82">
        <v>46035.8</v>
      </c>
      <c r="H19" s="97"/>
      <c r="I19" s="97">
        <v>46834.2</v>
      </c>
      <c r="J19" s="82"/>
      <c r="K19" s="82"/>
      <c r="L19" s="97">
        <v>46849.599999999999</v>
      </c>
      <c r="M19" s="82">
        <v>46839.7</v>
      </c>
      <c r="N19" s="82"/>
      <c r="O19" s="82">
        <v>46118.1</v>
      </c>
      <c r="P19" s="97">
        <v>47960.3</v>
      </c>
      <c r="Q19" s="97">
        <v>47950.5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82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82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>
        <v>58.4</v>
      </c>
      <c r="G22" s="82">
        <v>58.4</v>
      </c>
      <c r="H22" s="97"/>
      <c r="I22" s="97">
        <v>59.1</v>
      </c>
      <c r="J22" s="82"/>
      <c r="K22" s="82"/>
      <c r="L22" s="97">
        <v>57.2</v>
      </c>
      <c r="M22" s="82">
        <v>57.2</v>
      </c>
      <c r="N22" s="82"/>
      <c r="O22" s="82">
        <v>58.7</v>
      </c>
      <c r="P22" s="97">
        <v>59.2</v>
      </c>
      <c r="Q22" s="97">
        <v>59.3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>
        <v>0.52</v>
      </c>
      <c r="G23" s="82">
        <v>0.53</v>
      </c>
      <c r="H23" s="97"/>
      <c r="I23" s="97">
        <v>0.5</v>
      </c>
      <c r="J23" s="82"/>
      <c r="K23" s="82"/>
      <c r="L23" s="97">
        <v>0.53</v>
      </c>
      <c r="M23" s="82">
        <v>0.54</v>
      </c>
      <c r="N23" s="82"/>
      <c r="O23" s="82">
        <v>0.53</v>
      </c>
      <c r="P23" s="97">
        <v>0.48</v>
      </c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>
        <v>44.9</v>
      </c>
      <c r="G25" s="82">
        <v>44.8</v>
      </c>
      <c r="H25" s="97"/>
      <c r="I25" s="97">
        <v>45</v>
      </c>
      <c r="J25" s="82"/>
      <c r="K25" s="82"/>
      <c r="L25" s="97">
        <v>45</v>
      </c>
      <c r="M25" s="82">
        <v>45.8</v>
      </c>
      <c r="N25" s="82"/>
      <c r="O25" s="82">
        <v>45.2</v>
      </c>
      <c r="P25" s="97">
        <v>45.1</v>
      </c>
      <c r="Q25" s="97">
        <v>45.1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>
        <v>0.23</v>
      </c>
      <c r="G26" s="82">
        <v>0.28000000000000003</v>
      </c>
      <c r="H26" s="97"/>
      <c r="I26" s="97">
        <v>0.23</v>
      </c>
      <c r="J26" s="82"/>
      <c r="K26" s="82"/>
      <c r="L26" s="97">
        <v>0.23</v>
      </c>
      <c r="M26" s="82">
        <v>0.28000000000000003</v>
      </c>
      <c r="N26" s="82"/>
      <c r="O26" s="82">
        <v>0.2</v>
      </c>
      <c r="P26" s="97">
        <v>0.23</v>
      </c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>
        <v>4.4000000000000004</v>
      </c>
      <c r="G27" s="82">
        <v>4.8</v>
      </c>
      <c r="H27" s="97"/>
      <c r="I27" s="97">
        <v>4.3</v>
      </c>
      <c r="J27" s="82"/>
      <c r="K27" s="82"/>
      <c r="L27" s="97">
        <v>4.5999999999999996</v>
      </c>
      <c r="M27" s="82">
        <v>4.5999999999999996</v>
      </c>
      <c r="N27" s="82"/>
      <c r="O27" s="82">
        <v>4.9000000000000004</v>
      </c>
      <c r="P27" s="97">
        <v>4.2</v>
      </c>
      <c r="Q27" s="97">
        <v>4.5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>
        <v>3.8</v>
      </c>
      <c r="G28" s="82">
        <v>4.2</v>
      </c>
      <c r="H28" s="97"/>
      <c r="I28" s="97">
        <v>3.4</v>
      </c>
      <c r="J28" s="82"/>
      <c r="K28" s="82"/>
      <c r="L28" s="97">
        <v>3.5</v>
      </c>
      <c r="M28" s="82">
        <v>3.6</v>
      </c>
      <c r="N28" s="82"/>
      <c r="O28" s="82">
        <v>3.8</v>
      </c>
      <c r="P28" s="97">
        <v>3.7</v>
      </c>
      <c r="Q28" s="97">
        <v>3.5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>
        <f>F32-F28</f>
        <v>1</v>
      </c>
      <c r="G29" s="98">
        <f>G32-G28</f>
        <v>0.59999999999999964</v>
      </c>
      <c r="H29" s="98">
        <f t="shared" ref="H29:N29" si="0">H32-H27</f>
        <v>0</v>
      </c>
      <c r="I29" s="98">
        <f>I32-I28</f>
        <v>1.6999999999999997</v>
      </c>
      <c r="J29" s="98">
        <f t="shared" si="0"/>
        <v>0</v>
      </c>
      <c r="K29" s="98">
        <f>K32-K27</f>
        <v>0</v>
      </c>
      <c r="L29" s="98">
        <f>L32-L28</f>
        <v>1.2999999999999998</v>
      </c>
      <c r="M29" s="98">
        <f>M32-M28</f>
        <v>1.1000000000000001</v>
      </c>
      <c r="N29" s="98">
        <f t="shared" si="0"/>
        <v>0</v>
      </c>
      <c r="O29" s="98">
        <f>O32-O28</f>
        <v>1</v>
      </c>
      <c r="P29" s="98">
        <f>P32-P28</f>
        <v>1.3999999999999995</v>
      </c>
      <c r="Q29" s="98">
        <f>Q32-Q28</f>
        <v>1.5999999999999996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>
        <v>747</v>
      </c>
      <c r="G30" s="82">
        <v>726.88</v>
      </c>
      <c r="H30" s="97"/>
      <c r="I30" s="97">
        <v>706.56</v>
      </c>
      <c r="J30" s="82"/>
      <c r="K30" s="82"/>
      <c r="L30" s="97">
        <v>742.4</v>
      </c>
      <c r="M30" s="82">
        <v>720.4</v>
      </c>
      <c r="N30" s="82"/>
      <c r="O30" s="82">
        <v>735.68</v>
      </c>
      <c r="P30" s="97">
        <v>731.6</v>
      </c>
      <c r="Q30" s="97">
        <v>708.72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>
        <v>12.6</v>
      </c>
      <c r="G31" s="82">
        <v>12.8</v>
      </c>
      <c r="H31" s="97"/>
      <c r="I31" s="97">
        <v>12.8</v>
      </c>
      <c r="J31" s="82"/>
      <c r="K31" s="82"/>
      <c r="L31" s="97">
        <v>12.7</v>
      </c>
      <c r="M31" s="82">
        <v>13.1</v>
      </c>
      <c r="N31" s="82"/>
      <c r="O31" s="82">
        <v>12.8</v>
      </c>
      <c r="P31" s="97">
        <v>12.9</v>
      </c>
      <c r="Q31" s="97">
        <v>12.9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>
        <v>4.8</v>
      </c>
      <c r="G32" s="82">
        <v>4.8</v>
      </c>
      <c r="H32" s="97"/>
      <c r="I32" s="97">
        <v>5.0999999999999996</v>
      </c>
      <c r="J32" s="82"/>
      <c r="K32" s="82"/>
      <c r="L32" s="97">
        <v>4.8</v>
      </c>
      <c r="M32" s="82">
        <v>4.7</v>
      </c>
      <c r="N32" s="82"/>
      <c r="O32" s="82">
        <v>4.8</v>
      </c>
      <c r="P32" s="97">
        <v>5.0999999999999996</v>
      </c>
      <c r="Q32" s="97">
        <v>5.0999999999999996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7.8</v>
      </c>
      <c r="G33" s="98">
        <f t="shared" ref="G33:Q33" si="1">G31-G32</f>
        <v>8</v>
      </c>
      <c r="H33" s="98">
        <f t="shared" si="1"/>
        <v>0</v>
      </c>
      <c r="I33" s="98">
        <f t="shared" si="1"/>
        <v>7.7000000000000011</v>
      </c>
      <c r="J33" s="98">
        <f t="shared" si="1"/>
        <v>0</v>
      </c>
      <c r="K33" s="98">
        <f t="shared" si="1"/>
        <v>0</v>
      </c>
      <c r="L33" s="98">
        <f t="shared" si="1"/>
        <v>7.8999999999999995</v>
      </c>
      <c r="M33" s="98">
        <f t="shared" si="1"/>
        <v>8.3999999999999986</v>
      </c>
      <c r="N33" s="98">
        <f t="shared" si="1"/>
        <v>0</v>
      </c>
      <c r="O33" s="98">
        <f t="shared" si="1"/>
        <v>8</v>
      </c>
      <c r="P33" s="98">
        <f t="shared" si="1"/>
        <v>7.8000000000000007</v>
      </c>
      <c r="Q33" s="98">
        <f t="shared" si="1"/>
        <v>7.8000000000000007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6728.1755196304848</v>
      </c>
      <c r="G34" s="99">
        <f t="shared" ref="G34:Q34" si="2">(G33*G30)/0.866</f>
        <v>6714.8267898383374</v>
      </c>
      <c r="H34" s="99">
        <f t="shared" si="2"/>
        <v>0</v>
      </c>
      <c r="I34" s="99">
        <f t="shared" si="2"/>
        <v>6282.3464203233261</v>
      </c>
      <c r="J34" s="99">
        <f t="shared" si="2"/>
        <v>0</v>
      </c>
      <c r="K34" s="99">
        <f t="shared" si="2"/>
        <v>0</v>
      </c>
      <c r="L34" s="99">
        <f t="shared" si="2"/>
        <v>6772.4711316397215</v>
      </c>
      <c r="M34" s="99">
        <f t="shared" si="2"/>
        <v>6987.7136258660494</v>
      </c>
      <c r="N34" s="99">
        <f t="shared" si="2"/>
        <v>0</v>
      </c>
      <c r="O34" s="99">
        <f t="shared" si="2"/>
        <v>6796.1200923787528</v>
      </c>
      <c r="P34" s="99">
        <f t="shared" si="2"/>
        <v>6589.4688221709011</v>
      </c>
      <c r="Q34" s="99">
        <f t="shared" si="2"/>
        <v>6383.3903002309471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>
        <v>0.82</v>
      </c>
      <c r="G35" s="82">
        <v>0.82</v>
      </c>
      <c r="H35" s="97"/>
      <c r="I35" s="97">
        <v>0.85</v>
      </c>
      <c r="J35" s="82"/>
      <c r="K35" s="82"/>
      <c r="L35" s="97">
        <v>0.85</v>
      </c>
      <c r="M35" s="82">
        <v>0.85</v>
      </c>
      <c r="N35" s="82"/>
      <c r="O35" s="82">
        <v>0.84</v>
      </c>
      <c r="P35" s="97">
        <v>0.83</v>
      </c>
      <c r="Q35" s="97">
        <v>0.82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>
        <v>36.4</v>
      </c>
      <c r="G36" s="82">
        <v>36.4</v>
      </c>
      <c r="H36" s="97"/>
      <c r="I36" s="97">
        <v>37.1</v>
      </c>
      <c r="J36" s="82"/>
      <c r="K36" s="82"/>
      <c r="L36" s="97">
        <v>37.9</v>
      </c>
      <c r="M36" s="82">
        <v>37.5</v>
      </c>
      <c r="N36" s="82"/>
      <c r="O36" s="82">
        <v>36.700000000000003</v>
      </c>
      <c r="P36" s="97">
        <v>36.700000000000003</v>
      </c>
      <c r="Q36" s="97">
        <v>36.5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>
        <v>36.700000000000003</v>
      </c>
      <c r="G37" s="82">
        <v>36.6</v>
      </c>
      <c r="H37" s="97"/>
      <c r="I37" s="97">
        <v>37.799999999999997</v>
      </c>
      <c r="J37" s="82"/>
      <c r="K37" s="82"/>
      <c r="L37" s="97">
        <v>37.799999999999997</v>
      </c>
      <c r="M37" s="82">
        <v>37.5</v>
      </c>
      <c r="N37" s="82"/>
      <c r="O37" s="82">
        <v>37.1</v>
      </c>
      <c r="P37" s="97">
        <v>36.799999999999997</v>
      </c>
      <c r="Q37" s="97">
        <v>36.5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F37-F41</f>
        <v>2</v>
      </c>
      <c r="G38" s="98">
        <f t="shared" ref="G38:Q38" si="3">G37-G41</f>
        <v>3</v>
      </c>
      <c r="H38" s="98">
        <f t="shared" si="3"/>
        <v>0</v>
      </c>
      <c r="I38" s="98">
        <f t="shared" si="3"/>
        <v>4.7999999999999972</v>
      </c>
      <c r="J38" s="98">
        <f t="shared" si="3"/>
        <v>0</v>
      </c>
      <c r="K38" s="98">
        <f t="shared" si="3"/>
        <v>0</v>
      </c>
      <c r="L38" s="98">
        <f t="shared" si="3"/>
        <v>3.2999999999999972</v>
      </c>
      <c r="M38" s="98">
        <f t="shared" si="3"/>
        <v>4.2000000000000028</v>
      </c>
      <c r="N38" s="98">
        <f t="shared" si="3"/>
        <v>0</v>
      </c>
      <c r="O38" s="98">
        <f t="shared" si="3"/>
        <v>3.2000000000000028</v>
      </c>
      <c r="P38" s="98">
        <f t="shared" si="3"/>
        <v>2.2999999999999972</v>
      </c>
      <c r="Q38" s="98">
        <f t="shared" si="3"/>
        <v>2.8999999999999986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>
        <v>28.8</v>
      </c>
      <c r="G40" s="82">
        <v>28.3</v>
      </c>
      <c r="H40" s="97"/>
      <c r="I40" s="97">
        <v>28.1</v>
      </c>
      <c r="J40" s="82"/>
      <c r="K40" s="82"/>
      <c r="L40" s="97">
        <v>28.8</v>
      </c>
      <c r="M40" s="82">
        <v>27.8</v>
      </c>
      <c r="N40" s="82"/>
      <c r="O40" s="82">
        <v>27.9</v>
      </c>
      <c r="P40" s="97">
        <v>28.6</v>
      </c>
      <c r="Q40" s="97">
        <v>28.1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>
        <v>34.700000000000003</v>
      </c>
      <c r="G41" s="82">
        <v>33.6</v>
      </c>
      <c r="H41" s="97"/>
      <c r="I41" s="97">
        <v>33</v>
      </c>
      <c r="J41" s="82"/>
      <c r="K41" s="82"/>
      <c r="L41" s="97">
        <v>34.5</v>
      </c>
      <c r="M41" s="82">
        <v>33.299999999999997</v>
      </c>
      <c r="N41" s="82"/>
      <c r="O41" s="82">
        <v>33.9</v>
      </c>
      <c r="P41" s="97">
        <v>34.5</v>
      </c>
      <c r="Q41" s="97">
        <v>33.6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5.9000000000000021</v>
      </c>
      <c r="G42" s="98">
        <f t="shared" ref="G42:Q42" si="4">G41-G40</f>
        <v>5.3000000000000007</v>
      </c>
      <c r="H42" s="98">
        <f t="shared" si="4"/>
        <v>0</v>
      </c>
      <c r="I42" s="98">
        <f t="shared" si="4"/>
        <v>4.8999999999999986</v>
      </c>
      <c r="J42" s="98">
        <f t="shared" si="4"/>
        <v>0</v>
      </c>
      <c r="K42" s="98">
        <f t="shared" si="4"/>
        <v>0</v>
      </c>
      <c r="L42" s="98">
        <f t="shared" si="4"/>
        <v>5.6999999999999993</v>
      </c>
      <c r="M42" s="98">
        <f t="shared" si="4"/>
        <v>5.4999999999999964</v>
      </c>
      <c r="N42" s="98">
        <f t="shared" si="4"/>
        <v>0</v>
      </c>
      <c r="O42" s="98">
        <f t="shared" si="4"/>
        <v>6</v>
      </c>
      <c r="P42" s="98">
        <f t="shared" si="4"/>
        <v>5.8999999999999986</v>
      </c>
      <c r="Q42" s="98">
        <f t="shared" si="4"/>
        <v>5.5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>
        <v>1200.5999999999999</v>
      </c>
      <c r="G43" s="82">
        <v>1264.2</v>
      </c>
      <c r="H43" s="97"/>
      <c r="I43" s="97">
        <v>1302.8399999999999</v>
      </c>
      <c r="J43" s="82"/>
      <c r="K43" s="82"/>
      <c r="L43" s="97">
        <v>1202.3</v>
      </c>
      <c r="M43" s="82">
        <v>1247.96</v>
      </c>
      <c r="N43" s="82"/>
      <c r="O43" s="82">
        <v>1094.94</v>
      </c>
      <c r="P43" s="97">
        <v>1219.9000000000001</v>
      </c>
      <c r="Q43" s="97">
        <v>1261.68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8179.6073903002334</v>
      </c>
      <c r="G44" s="99">
        <f t="shared" ref="G44:Q44" si="5">G42*G43/0.866</f>
        <v>7737.0207852194008</v>
      </c>
      <c r="H44" s="99">
        <f t="shared" si="5"/>
        <v>0</v>
      </c>
      <c r="I44" s="99">
        <f t="shared" si="5"/>
        <v>7371.7274826789808</v>
      </c>
      <c r="J44" s="99">
        <f t="shared" si="5"/>
        <v>0</v>
      </c>
      <c r="K44" s="99">
        <f t="shared" si="5"/>
        <v>0</v>
      </c>
      <c r="L44" s="99">
        <f t="shared" si="5"/>
        <v>7913.5219399538091</v>
      </c>
      <c r="M44" s="99">
        <f t="shared" si="5"/>
        <v>7925.8429561200883</v>
      </c>
      <c r="N44" s="99">
        <f t="shared" si="5"/>
        <v>0</v>
      </c>
      <c r="O44" s="99">
        <f t="shared" si="5"/>
        <v>7586.189376443418</v>
      </c>
      <c r="P44" s="99">
        <f t="shared" si="5"/>
        <v>8311.0969976905308</v>
      </c>
      <c r="Q44" s="99">
        <f t="shared" si="5"/>
        <v>8012.9792147806011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>
        <v>0.47</v>
      </c>
      <c r="G45" s="82">
        <v>0.47</v>
      </c>
      <c r="H45" s="97"/>
      <c r="I45" s="97">
        <v>0.47</v>
      </c>
      <c r="J45" s="82"/>
      <c r="K45" s="82"/>
      <c r="L45" s="97">
        <v>0.48</v>
      </c>
      <c r="M45" s="82">
        <v>0.48</v>
      </c>
      <c r="N45" s="82"/>
      <c r="O45" s="82">
        <v>0.47</v>
      </c>
      <c r="P45" s="97">
        <v>0.47</v>
      </c>
      <c r="Q45" s="97">
        <v>0.47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>
        <v>20</v>
      </c>
      <c r="G46" s="82">
        <v>20</v>
      </c>
      <c r="H46" s="97"/>
      <c r="I46" s="97">
        <v>20.2</v>
      </c>
      <c r="J46" s="82"/>
      <c r="K46" s="82"/>
      <c r="L46" s="97">
        <v>20.3</v>
      </c>
      <c r="M46" s="82">
        <v>20.6</v>
      </c>
      <c r="N46" s="82"/>
      <c r="O46" s="82">
        <v>20.3</v>
      </c>
      <c r="P46" s="97">
        <v>20.100000000000001</v>
      </c>
      <c r="Q46" s="97">
        <v>20.3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>
        <v>184.9</v>
      </c>
      <c r="G47" s="82">
        <v>171.7</v>
      </c>
      <c r="H47" s="97"/>
      <c r="I47" s="97">
        <v>119.3</v>
      </c>
      <c r="J47" s="82"/>
      <c r="K47" s="82"/>
      <c r="L47" s="97">
        <v>209.5</v>
      </c>
      <c r="M47" s="82">
        <v>207</v>
      </c>
      <c r="N47" s="82"/>
      <c r="O47" s="82">
        <v>170.8</v>
      </c>
      <c r="P47" s="97">
        <v>205.9</v>
      </c>
      <c r="Q47" s="97">
        <v>204.7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29">
        <v>5.89</v>
      </c>
      <c r="F49" s="82">
        <v>4.92</v>
      </c>
      <c r="G49" s="82">
        <v>5</v>
      </c>
      <c r="H49" s="97"/>
      <c r="I49" s="97">
        <v>4.78</v>
      </c>
      <c r="J49" s="82"/>
      <c r="K49" s="82"/>
      <c r="L49" s="97">
        <v>4.8499999999999996</v>
      </c>
      <c r="M49" s="82">
        <v>4.99</v>
      </c>
      <c r="N49" s="82"/>
      <c r="O49" s="82">
        <v>4.8600000000000003</v>
      </c>
      <c r="P49" s="97">
        <v>4.78</v>
      </c>
      <c r="Q49" s="97">
        <v>4.78</v>
      </c>
    </row>
    <row r="50" spans="2:17" ht="20.100000000000001" customHeight="1" x14ac:dyDescent="0.25">
      <c r="B50" s="156" t="s">
        <v>51</v>
      </c>
      <c r="C50" s="156"/>
      <c r="D50" s="156"/>
      <c r="E50" s="129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28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C2D9-4591-4869-878B-E568932322D7}">
  <dimension ref="B1:Q59"/>
  <sheetViews>
    <sheetView view="pageBreakPreview" topLeftCell="B22" zoomScale="85" zoomScaleNormal="60" zoomScaleSheetLayoutView="85" workbookViewId="0">
      <selection activeCell="L41" sqref="L41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30" t="s">
        <v>78</v>
      </c>
      <c r="E10" s="83"/>
      <c r="F10" s="94" t="s">
        <v>100</v>
      </c>
      <c r="G10" s="94" t="s">
        <v>100</v>
      </c>
      <c r="H10" s="96"/>
      <c r="I10" s="96" t="s">
        <v>100</v>
      </c>
      <c r="J10" s="93"/>
      <c r="K10" s="94"/>
      <c r="L10" s="95" t="s">
        <v>100</v>
      </c>
      <c r="M10" s="96" t="s">
        <v>100</v>
      </c>
      <c r="N10" s="93"/>
      <c r="O10" s="96" t="s">
        <v>100</v>
      </c>
      <c r="P10" s="96" t="s">
        <v>100</v>
      </c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/>
      <c r="G11" s="82">
        <v>70.099999999999994</v>
      </c>
      <c r="H11" s="97">
        <v>80.3</v>
      </c>
      <c r="I11" s="97">
        <v>74.8</v>
      </c>
      <c r="J11" s="82"/>
      <c r="K11" s="82"/>
      <c r="L11" s="97"/>
      <c r="M11" s="82">
        <v>72.2</v>
      </c>
      <c r="N11" s="82">
        <v>73.400000000000006</v>
      </c>
      <c r="O11" s="82">
        <v>73.5</v>
      </c>
      <c r="P11" s="97">
        <v>75.599999999999994</v>
      </c>
      <c r="Q11" s="97">
        <v>75.599999999999994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/>
      <c r="G12" s="82">
        <v>0.6</v>
      </c>
      <c r="H12" s="97">
        <v>0</v>
      </c>
      <c r="I12" s="97">
        <v>0</v>
      </c>
      <c r="J12" s="82"/>
      <c r="K12" s="82"/>
      <c r="L12" s="97"/>
      <c r="M12" s="82">
        <v>0.1</v>
      </c>
      <c r="N12" s="82">
        <v>0</v>
      </c>
      <c r="O12" s="82">
        <v>0</v>
      </c>
      <c r="P12" s="97">
        <v>0.3</v>
      </c>
      <c r="Q12" s="97">
        <v>0.3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/>
      <c r="G13" s="82">
        <v>67.099999999999994</v>
      </c>
      <c r="H13" s="97">
        <v>76.3</v>
      </c>
      <c r="I13" s="97">
        <v>69.599999999999994</v>
      </c>
      <c r="J13" s="82"/>
      <c r="K13" s="82"/>
      <c r="L13" s="97"/>
      <c r="M13" s="82">
        <v>67.5</v>
      </c>
      <c r="N13" s="82">
        <v>67.900000000000006</v>
      </c>
      <c r="O13" s="82">
        <v>67.8</v>
      </c>
      <c r="P13" s="97">
        <v>71.099999999999994</v>
      </c>
      <c r="Q13" s="97">
        <v>71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/>
      <c r="G14" s="82">
        <v>64.099999999999994</v>
      </c>
      <c r="H14" s="97">
        <v>69.7</v>
      </c>
      <c r="I14" s="97">
        <v>67.7</v>
      </c>
      <c r="J14" s="82"/>
      <c r="K14" s="82"/>
      <c r="L14" s="97"/>
      <c r="M14" s="82">
        <v>65.599999999999994</v>
      </c>
      <c r="N14" s="82">
        <v>75.599999999999994</v>
      </c>
      <c r="O14" s="82">
        <v>71.7</v>
      </c>
      <c r="P14" s="97">
        <v>76.8</v>
      </c>
      <c r="Q14" s="97">
        <v>73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/>
      <c r="G15" s="82">
        <v>55.3</v>
      </c>
      <c r="H15" s="97">
        <v>55.8</v>
      </c>
      <c r="I15" s="97">
        <v>50.1</v>
      </c>
      <c r="J15" s="82"/>
      <c r="K15" s="82"/>
      <c r="L15" s="97"/>
      <c r="M15" s="82">
        <v>35.299999999999997</v>
      </c>
      <c r="N15" s="82">
        <v>60.1</v>
      </c>
      <c r="O15" s="82">
        <v>67.8</v>
      </c>
      <c r="P15" s="97">
        <v>43.6</v>
      </c>
      <c r="Q15" s="97">
        <v>40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/>
      <c r="G16" s="82">
        <v>6.6</v>
      </c>
      <c r="H16" s="82">
        <v>6.6</v>
      </c>
      <c r="I16" s="82">
        <v>6.6</v>
      </c>
      <c r="J16" s="82"/>
      <c r="K16" s="82"/>
      <c r="L16" s="82"/>
      <c r="M16" s="82">
        <v>6.6</v>
      </c>
      <c r="N16" s="82">
        <v>6.6</v>
      </c>
      <c r="O16" s="82">
        <v>6.6</v>
      </c>
      <c r="P16" s="82">
        <v>6.6</v>
      </c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/>
      <c r="G17" s="82">
        <v>114.9</v>
      </c>
      <c r="H17" s="97">
        <v>118.9</v>
      </c>
      <c r="I17" s="97">
        <v>115.8</v>
      </c>
      <c r="J17" s="82"/>
      <c r="K17" s="82"/>
      <c r="L17" s="97"/>
      <c r="M17" s="82">
        <v>118.2</v>
      </c>
      <c r="N17" s="82">
        <v>118.5</v>
      </c>
      <c r="O17" s="82">
        <v>159.80000000000001</v>
      </c>
      <c r="P17" s="97">
        <v>116.6</v>
      </c>
      <c r="Q17" s="97">
        <v>118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/>
      <c r="G18" s="82">
        <v>1150</v>
      </c>
      <c r="H18" s="97">
        <v>1213</v>
      </c>
      <c r="I18" s="97">
        <v>1179</v>
      </c>
      <c r="J18" s="82"/>
      <c r="K18" s="82"/>
      <c r="L18" s="97"/>
      <c r="M18" s="82">
        <v>1200</v>
      </c>
      <c r="N18" s="82">
        <v>1220</v>
      </c>
      <c r="O18" s="82">
        <v>1208</v>
      </c>
      <c r="P18" s="97">
        <v>1188</v>
      </c>
      <c r="Q18" s="97">
        <v>1199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/>
      <c r="G19" s="82">
        <v>46060</v>
      </c>
      <c r="H19" s="97">
        <v>46852</v>
      </c>
      <c r="I19" s="97">
        <v>46844</v>
      </c>
      <c r="J19" s="82"/>
      <c r="K19" s="82"/>
      <c r="L19" s="97"/>
      <c r="M19" s="82">
        <v>46861</v>
      </c>
      <c r="N19" s="82">
        <v>46136</v>
      </c>
      <c r="O19" s="82">
        <v>46128</v>
      </c>
      <c r="P19" s="97">
        <v>47980</v>
      </c>
      <c r="Q19" s="97">
        <v>47972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82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82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/>
      <c r="G22" s="82">
        <v>57.8</v>
      </c>
      <c r="H22" s="97">
        <v>59.4</v>
      </c>
      <c r="I22" s="97">
        <v>58.8</v>
      </c>
      <c r="J22" s="82"/>
      <c r="K22" s="82"/>
      <c r="L22" s="97"/>
      <c r="M22" s="82">
        <v>57.2</v>
      </c>
      <c r="N22" s="82">
        <v>58.7</v>
      </c>
      <c r="O22" s="82">
        <v>58.9</v>
      </c>
      <c r="P22" s="97">
        <v>59.3</v>
      </c>
      <c r="Q22" s="97">
        <v>59.4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/>
      <c r="G23" s="82">
        <v>0.52</v>
      </c>
      <c r="H23" s="97">
        <v>0.49</v>
      </c>
      <c r="I23" s="97">
        <v>0.5</v>
      </c>
      <c r="J23" s="82"/>
      <c r="K23" s="82"/>
      <c r="L23" s="97"/>
      <c r="M23" s="82">
        <v>0.54</v>
      </c>
      <c r="N23" s="82">
        <v>0.46</v>
      </c>
      <c r="O23" s="82">
        <v>0.48</v>
      </c>
      <c r="P23" s="97">
        <v>0.48</v>
      </c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/>
      <c r="G25" s="82">
        <v>45.1</v>
      </c>
      <c r="H25" s="97">
        <v>45.1</v>
      </c>
      <c r="I25" s="97">
        <v>45</v>
      </c>
      <c r="J25" s="82"/>
      <c r="K25" s="82"/>
      <c r="L25" s="97"/>
      <c r="M25" s="82">
        <v>45</v>
      </c>
      <c r="N25" s="82">
        <v>44.8</v>
      </c>
      <c r="O25" s="82">
        <v>44.9</v>
      </c>
      <c r="P25" s="97">
        <v>45.1</v>
      </c>
      <c r="Q25" s="97">
        <v>44.8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/>
      <c r="G26" s="82">
        <v>0.23</v>
      </c>
      <c r="H26" s="97">
        <v>0.23</v>
      </c>
      <c r="I26" s="97">
        <v>0.22</v>
      </c>
      <c r="J26" s="82"/>
      <c r="K26" s="82"/>
      <c r="L26" s="97"/>
      <c r="M26" s="82">
        <v>0.23</v>
      </c>
      <c r="N26" s="82">
        <v>0.24</v>
      </c>
      <c r="O26" s="82">
        <v>0.23</v>
      </c>
      <c r="P26" s="97">
        <v>0.24</v>
      </c>
      <c r="Q26" s="97">
        <v>0.23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/>
      <c r="G27" s="82">
        <v>4.5999999999999996</v>
      </c>
      <c r="H27" s="97">
        <v>3.9</v>
      </c>
      <c r="I27" s="97">
        <v>4</v>
      </c>
      <c r="J27" s="82"/>
      <c r="K27" s="82"/>
      <c r="L27" s="97"/>
      <c r="M27" s="82">
        <v>4.5999999999999996</v>
      </c>
      <c r="N27" s="82">
        <v>5.5</v>
      </c>
      <c r="O27" s="82">
        <v>4.9000000000000004</v>
      </c>
      <c r="P27" s="97">
        <v>4.8</v>
      </c>
      <c r="Q27" s="97">
        <v>4.4000000000000004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/>
      <c r="G28" s="82">
        <v>4</v>
      </c>
      <c r="H28" s="97">
        <v>36.5</v>
      </c>
      <c r="I28" s="97">
        <v>3.2</v>
      </c>
      <c r="J28" s="82"/>
      <c r="K28" s="82"/>
      <c r="L28" s="97"/>
      <c r="M28" s="82">
        <v>3.7</v>
      </c>
      <c r="N28" s="82">
        <v>4.5</v>
      </c>
      <c r="O28" s="82">
        <v>3.5</v>
      </c>
      <c r="P28" s="97">
        <v>3.9</v>
      </c>
      <c r="Q28" s="97">
        <v>3.8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/>
      <c r="G29" s="98">
        <f>G32-G28</f>
        <v>1</v>
      </c>
      <c r="H29" s="98">
        <f t="shared" ref="H29:N29" si="0">H32-H27</f>
        <v>1.6999999999999997</v>
      </c>
      <c r="I29" s="98">
        <f>I32-I28</f>
        <v>3.2</v>
      </c>
      <c r="J29" s="98">
        <f t="shared" si="0"/>
        <v>0</v>
      </c>
      <c r="K29" s="98">
        <f>K32-K27</f>
        <v>0</v>
      </c>
      <c r="L29" s="98">
        <f>L32-L28</f>
        <v>0</v>
      </c>
      <c r="M29" s="98">
        <f>M32-M28</f>
        <v>1.2999999999999998</v>
      </c>
      <c r="N29" s="98">
        <f t="shared" si="0"/>
        <v>0.20000000000000018</v>
      </c>
      <c r="O29" s="98">
        <f>O32-O28</f>
        <v>1.5</v>
      </c>
      <c r="P29" s="98">
        <f>P32-P28</f>
        <v>1.6999999999999997</v>
      </c>
      <c r="Q29" s="98">
        <f>Q32-Q28</f>
        <v>1.6000000000000005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/>
      <c r="G30" s="82">
        <v>723.44</v>
      </c>
      <c r="H30" s="97">
        <v>722.96</v>
      </c>
      <c r="I30" s="97">
        <v>704.24</v>
      </c>
      <c r="J30" s="82"/>
      <c r="K30" s="82"/>
      <c r="L30" s="97"/>
      <c r="M30" s="82">
        <v>721.68</v>
      </c>
      <c r="N30" s="82">
        <v>758.88</v>
      </c>
      <c r="O30" s="82">
        <v>728</v>
      </c>
      <c r="P30" s="97">
        <v>684.72</v>
      </c>
      <c r="Q30" s="97">
        <v>705.6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/>
      <c r="G31" s="82">
        <v>13</v>
      </c>
      <c r="H31" s="97">
        <v>13.6</v>
      </c>
      <c r="I31" s="97">
        <v>13.1</v>
      </c>
      <c r="J31" s="82"/>
      <c r="K31" s="82"/>
      <c r="L31" s="97"/>
      <c r="M31" s="82">
        <v>13.5</v>
      </c>
      <c r="N31" s="82">
        <v>13.5</v>
      </c>
      <c r="O31" s="82">
        <v>13.2</v>
      </c>
      <c r="P31" s="97">
        <v>13.7</v>
      </c>
      <c r="Q31" s="97">
        <v>13.3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/>
      <c r="G32" s="82">
        <v>5</v>
      </c>
      <c r="H32" s="97">
        <v>5.6</v>
      </c>
      <c r="I32" s="97">
        <v>6.4</v>
      </c>
      <c r="J32" s="82"/>
      <c r="K32" s="82"/>
      <c r="L32" s="97"/>
      <c r="M32" s="82">
        <v>5</v>
      </c>
      <c r="N32" s="82">
        <v>5.7</v>
      </c>
      <c r="O32" s="82">
        <v>5</v>
      </c>
      <c r="P32" s="97">
        <v>5.6</v>
      </c>
      <c r="Q32" s="97">
        <v>5.4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0</v>
      </c>
      <c r="G33" s="98">
        <f t="shared" ref="G33:Q33" si="1">G31-G32</f>
        <v>8</v>
      </c>
      <c r="H33" s="98">
        <f t="shared" si="1"/>
        <v>8</v>
      </c>
      <c r="I33" s="98">
        <f t="shared" si="1"/>
        <v>6.6999999999999993</v>
      </c>
      <c r="J33" s="98">
        <f t="shared" si="1"/>
        <v>0</v>
      </c>
      <c r="K33" s="98">
        <f t="shared" si="1"/>
        <v>0</v>
      </c>
      <c r="L33" s="98">
        <f t="shared" si="1"/>
        <v>0</v>
      </c>
      <c r="M33" s="98">
        <f t="shared" si="1"/>
        <v>8.5</v>
      </c>
      <c r="N33" s="98">
        <f t="shared" si="1"/>
        <v>7.8</v>
      </c>
      <c r="O33" s="98">
        <f t="shared" si="1"/>
        <v>8.1999999999999993</v>
      </c>
      <c r="P33" s="98">
        <f t="shared" si="1"/>
        <v>8.1</v>
      </c>
      <c r="Q33" s="98">
        <f t="shared" si="1"/>
        <v>7.9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0</v>
      </c>
      <c r="G34" s="99">
        <f t="shared" ref="G34:Q34" si="2">(G33*G30)/0.866</f>
        <v>6683.0484988452663</v>
      </c>
      <c r="H34" s="99">
        <f t="shared" si="2"/>
        <v>6678.6143187066982</v>
      </c>
      <c r="I34" s="99">
        <f t="shared" si="2"/>
        <v>5448.5080831408768</v>
      </c>
      <c r="J34" s="99">
        <f t="shared" si="2"/>
        <v>0</v>
      </c>
      <c r="K34" s="99">
        <f t="shared" si="2"/>
        <v>0</v>
      </c>
      <c r="L34" s="99">
        <f t="shared" si="2"/>
        <v>0</v>
      </c>
      <c r="M34" s="99">
        <f t="shared" si="2"/>
        <v>7083.4642032332558</v>
      </c>
      <c r="N34" s="99">
        <f t="shared" si="2"/>
        <v>6835.177829099307</v>
      </c>
      <c r="O34" s="99">
        <f t="shared" si="2"/>
        <v>6893.3025404157042</v>
      </c>
      <c r="P34" s="99">
        <f t="shared" si="2"/>
        <v>6404.4249422632793</v>
      </c>
      <c r="Q34" s="99">
        <f t="shared" si="2"/>
        <v>6436.7667436489619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/>
      <c r="G35" s="82">
        <v>0.82</v>
      </c>
      <c r="H35" s="97">
        <v>0.86</v>
      </c>
      <c r="I35" s="97">
        <v>0.86</v>
      </c>
      <c r="J35" s="82"/>
      <c r="K35" s="82"/>
      <c r="L35" s="97"/>
      <c r="M35" s="82">
        <v>0.85</v>
      </c>
      <c r="N35" s="82">
        <v>0.83</v>
      </c>
      <c r="O35" s="82">
        <v>0.81</v>
      </c>
      <c r="P35" s="97">
        <v>0.81</v>
      </c>
      <c r="Q35" s="97">
        <v>0.82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/>
      <c r="G36" s="82">
        <v>36.1</v>
      </c>
      <c r="H36" s="97"/>
      <c r="I36" s="97">
        <v>37.1</v>
      </c>
      <c r="J36" s="82"/>
      <c r="K36" s="82"/>
      <c r="L36" s="97"/>
      <c r="M36" s="82">
        <v>37.5</v>
      </c>
      <c r="N36" s="82">
        <v>35.9</v>
      </c>
      <c r="O36" s="82">
        <v>36.9</v>
      </c>
      <c r="P36" s="97">
        <v>35.6</v>
      </c>
      <c r="Q36" s="97">
        <v>36.5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/>
      <c r="G37" s="82">
        <v>36.4</v>
      </c>
      <c r="H37" s="97">
        <v>37.9</v>
      </c>
      <c r="I37" s="97">
        <v>38</v>
      </c>
      <c r="J37" s="82"/>
      <c r="K37" s="82"/>
      <c r="L37" s="97"/>
      <c r="M37" s="82">
        <v>37.6</v>
      </c>
      <c r="N37" s="82">
        <v>36.799999999999997</v>
      </c>
      <c r="O37" s="82">
        <v>37.299999999999997</v>
      </c>
      <c r="P37" s="97">
        <v>36.1</v>
      </c>
      <c r="Q37" s="97">
        <v>36.6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F37-F41</f>
        <v>0</v>
      </c>
      <c r="G38" s="98">
        <f t="shared" ref="G38:Q38" si="3">G37-G41</f>
        <v>2.1999999999999957</v>
      </c>
      <c r="H38" s="98">
        <f t="shared" si="3"/>
        <v>5</v>
      </c>
      <c r="I38" s="98">
        <f t="shared" si="3"/>
        <v>4.2999999999999972</v>
      </c>
      <c r="J38" s="98">
        <f t="shared" si="3"/>
        <v>0</v>
      </c>
      <c r="K38" s="98">
        <f t="shared" si="3"/>
        <v>0</v>
      </c>
      <c r="L38" s="98">
        <f t="shared" si="3"/>
        <v>0</v>
      </c>
      <c r="M38" s="98">
        <f t="shared" si="3"/>
        <v>3.3999999999999986</v>
      </c>
      <c r="N38" s="98">
        <f t="shared" si="3"/>
        <v>3.2999999999999972</v>
      </c>
      <c r="O38" s="98">
        <f t="shared" si="3"/>
        <v>2.3999999999999986</v>
      </c>
      <c r="P38" s="98">
        <f t="shared" si="3"/>
        <v>3</v>
      </c>
      <c r="Q38" s="98">
        <f t="shared" si="3"/>
        <v>0.10000000000000142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/>
      <c r="G40" s="82">
        <v>28.7</v>
      </c>
      <c r="H40" s="97">
        <v>27.8</v>
      </c>
      <c r="I40" s="97">
        <v>29</v>
      </c>
      <c r="J40" s="82"/>
      <c r="K40" s="82"/>
      <c r="L40" s="97"/>
      <c r="M40" s="82">
        <v>28.7</v>
      </c>
      <c r="N40" s="82">
        <v>27.5</v>
      </c>
      <c r="O40" s="82">
        <v>28.7</v>
      </c>
      <c r="P40" s="97">
        <v>27.8</v>
      </c>
      <c r="Q40" s="97">
        <v>28.6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/>
      <c r="G41" s="82">
        <v>34.200000000000003</v>
      </c>
      <c r="H41" s="97">
        <v>32.9</v>
      </c>
      <c r="I41" s="97">
        <v>33.700000000000003</v>
      </c>
      <c r="J41" s="82"/>
      <c r="K41" s="82"/>
      <c r="L41" s="97"/>
      <c r="M41" s="82">
        <v>34.200000000000003</v>
      </c>
      <c r="N41" s="82">
        <v>33.5</v>
      </c>
      <c r="O41" s="82">
        <v>34.9</v>
      </c>
      <c r="P41" s="97">
        <v>33.1</v>
      </c>
      <c r="Q41" s="97">
        <v>36.5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0</v>
      </c>
      <c r="G42" s="98">
        <f t="shared" ref="G42:Q42" si="4">G41-G40</f>
        <v>5.5000000000000036</v>
      </c>
      <c r="H42" s="98">
        <f t="shared" si="4"/>
        <v>5.0999999999999979</v>
      </c>
      <c r="I42" s="98">
        <f t="shared" si="4"/>
        <v>4.7000000000000028</v>
      </c>
      <c r="J42" s="98">
        <f t="shared" si="4"/>
        <v>0</v>
      </c>
      <c r="K42" s="98">
        <f t="shared" si="4"/>
        <v>0</v>
      </c>
      <c r="L42" s="98">
        <f t="shared" si="4"/>
        <v>0</v>
      </c>
      <c r="M42" s="98">
        <f t="shared" si="4"/>
        <v>5.5000000000000036</v>
      </c>
      <c r="N42" s="98">
        <f t="shared" si="4"/>
        <v>6</v>
      </c>
      <c r="O42" s="98">
        <f t="shared" si="4"/>
        <v>6.1999999999999993</v>
      </c>
      <c r="P42" s="98">
        <f t="shared" si="4"/>
        <v>5.3000000000000007</v>
      </c>
      <c r="Q42" s="98">
        <f t="shared" si="4"/>
        <v>7.8999999999999986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/>
      <c r="G43" s="82">
        <v>1265</v>
      </c>
      <c r="H43" s="97">
        <v>1287.8599999999999</v>
      </c>
      <c r="I43" s="97">
        <v>1300.5999999999999</v>
      </c>
      <c r="J43" s="82"/>
      <c r="K43" s="82"/>
      <c r="L43" s="97"/>
      <c r="M43" s="82">
        <v>1243.06</v>
      </c>
      <c r="N43" s="82">
        <v>1122.0999999999999</v>
      </c>
      <c r="O43" s="82">
        <v>1087.24</v>
      </c>
      <c r="P43" s="97">
        <v>1290.8</v>
      </c>
      <c r="Q43" s="97">
        <v>1263.6400000000001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0</v>
      </c>
      <c r="G44" s="99">
        <f t="shared" ref="G44:Q44" si="5">G42*G43/0.866</f>
        <v>8034.0646651270263</v>
      </c>
      <c r="H44" s="99">
        <f t="shared" si="5"/>
        <v>7584.394919168587</v>
      </c>
      <c r="I44" s="99">
        <f t="shared" si="5"/>
        <v>7058.6836027713662</v>
      </c>
      <c r="J44" s="99">
        <f t="shared" si="5"/>
        <v>0</v>
      </c>
      <c r="K44" s="99">
        <f t="shared" si="5"/>
        <v>0</v>
      </c>
      <c r="L44" s="99">
        <f t="shared" si="5"/>
        <v>0</v>
      </c>
      <c r="M44" s="99">
        <f t="shared" si="5"/>
        <v>7894.7228637413446</v>
      </c>
      <c r="N44" s="99">
        <f t="shared" si="5"/>
        <v>7774.3648960739029</v>
      </c>
      <c r="O44" s="99">
        <f t="shared" si="5"/>
        <v>7783.9353348729783</v>
      </c>
      <c r="P44" s="99">
        <f t="shared" si="5"/>
        <v>7899.8152424942273</v>
      </c>
      <c r="Q44" s="99">
        <f t="shared" si="5"/>
        <v>11527.431870669745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/>
      <c r="G45" s="82">
        <v>0.46</v>
      </c>
      <c r="H45" s="97">
        <v>0.46</v>
      </c>
      <c r="I45" s="97">
        <v>0.47</v>
      </c>
      <c r="J45" s="82"/>
      <c r="K45" s="82"/>
      <c r="L45" s="97"/>
      <c r="M45" s="82">
        <v>0.48</v>
      </c>
      <c r="N45" s="82">
        <v>0.47</v>
      </c>
      <c r="O45" s="82">
        <v>0.47</v>
      </c>
      <c r="P45" s="97">
        <v>0.47</v>
      </c>
      <c r="Q45" s="97">
        <v>0.47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/>
      <c r="G46" s="82">
        <v>19.8</v>
      </c>
      <c r="H46" s="97">
        <v>19.600000000000001</v>
      </c>
      <c r="I46" s="97">
        <v>20.2</v>
      </c>
      <c r="J46" s="82"/>
      <c r="K46" s="82"/>
      <c r="L46" s="97"/>
      <c r="M46" s="82">
        <v>20</v>
      </c>
      <c r="N46" s="82">
        <v>20.100000000000001</v>
      </c>
      <c r="O46" s="82">
        <v>20.399999999999999</v>
      </c>
      <c r="P46" s="97">
        <v>20</v>
      </c>
      <c r="Q46" s="97">
        <v>20.2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/>
      <c r="G47" s="82">
        <v>187.8</v>
      </c>
      <c r="H47" s="97">
        <v>127</v>
      </c>
      <c r="I47" s="97">
        <v>128.80000000000001</v>
      </c>
      <c r="J47" s="82"/>
      <c r="K47" s="82"/>
      <c r="L47" s="97"/>
      <c r="M47" s="82">
        <v>201</v>
      </c>
      <c r="N47" s="82">
        <v>159.5</v>
      </c>
      <c r="O47" s="82">
        <v>159.80000000000001</v>
      </c>
      <c r="P47" s="97">
        <v>198.8</v>
      </c>
      <c r="Q47" s="97">
        <v>198.7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30">
        <v>5.89</v>
      </c>
      <c r="F49" s="82"/>
      <c r="G49" s="82">
        <v>5.52</v>
      </c>
      <c r="H49" s="97">
        <v>6.1</v>
      </c>
      <c r="I49" s="97">
        <v>5.12</v>
      </c>
      <c r="J49" s="82"/>
      <c r="K49" s="82"/>
      <c r="L49" s="97"/>
      <c r="M49" s="82">
        <v>5</v>
      </c>
      <c r="N49" s="82">
        <v>4.8600000000000003</v>
      </c>
      <c r="O49" s="82">
        <v>4.9800000000000004</v>
      </c>
      <c r="P49" s="97">
        <v>5.09</v>
      </c>
      <c r="Q49" s="97">
        <v>4.82</v>
      </c>
    </row>
    <row r="50" spans="2:17" ht="20.100000000000001" customHeight="1" x14ac:dyDescent="0.25">
      <c r="B50" s="156" t="s">
        <v>51</v>
      </c>
      <c r="C50" s="156"/>
      <c r="D50" s="156"/>
      <c r="E50" s="130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31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2298-86FC-425F-AB22-B93F98B4E905}">
  <dimension ref="B1:Q59"/>
  <sheetViews>
    <sheetView tabSelected="1" view="pageBreakPreview" topLeftCell="A4" zoomScale="85" zoomScaleNormal="60" zoomScaleSheetLayoutView="85" workbookViewId="0">
      <selection activeCell="P48" sqref="P48"/>
    </sheetView>
  </sheetViews>
  <sheetFormatPr defaultRowHeight="15" x14ac:dyDescent="0.25"/>
  <cols>
    <col min="1" max="1" width="3.85546875" style="56" customWidth="1"/>
    <col min="2" max="2" width="25.85546875" style="56" bestFit="1" customWidth="1"/>
    <col min="3" max="3" width="60.5703125" style="56" bestFit="1" customWidth="1"/>
    <col min="4" max="4" width="20.5703125" style="56" bestFit="1" customWidth="1"/>
    <col min="5" max="5" width="22.7109375" style="56" customWidth="1"/>
    <col min="6" max="17" width="14.7109375" style="56" customWidth="1"/>
    <col min="18" max="16384" width="9.140625" style="56"/>
  </cols>
  <sheetData>
    <row r="1" spans="2:17" ht="15.75" thickBot="1" x14ac:dyDescent="0.3"/>
    <row r="2" spans="2:17" ht="15.75" thickBot="1" x14ac:dyDescent="0.3">
      <c r="B2" s="153"/>
      <c r="C2" s="144" t="s">
        <v>65</v>
      </c>
      <c r="D2" s="145"/>
      <c r="E2" s="145"/>
      <c r="F2" s="145"/>
      <c r="G2" s="145"/>
      <c r="H2" s="145"/>
      <c r="I2" s="145"/>
      <c r="J2" s="145"/>
      <c r="K2" s="145"/>
      <c r="L2" s="145"/>
      <c r="M2" s="146"/>
      <c r="N2" s="63" t="s">
        <v>64</v>
      </c>
      <c r="O2" s="64"/>
      <c r="P2" s="64"/>
      <c r="Q2" s="65"/>
    </row>
    <row r="3" spans="2:17" ht="15.75" thickBot="1" x14ac:dyDescent="0.3">
      <c r="B3" s="154"/>
      <c r="C3" s="147"/>
      <c r="D3" s="148"/>
      <c r="E3" s="148"/>
      <c r="F3" s="148"/>
      <c r="G3" s="148"/>
      <c r="H3" s="148"/>
      <c r="I3" s="148"/>
      <c r="J3" s="148"/>
      <c r="K3" s="148"/>
      <c r="L3" s="148"/>
      <c r="M3" s="149"/>
      <c r="N3" s="69" t="s">
        <v>63</v>
      </c>
      <c r="O3" s="70" t="s">
        <v>96</v>
      </c>
      <c r="P3" s="70"/>
      <c r="Q3" s="71"/>
    </row>
    <row r="4" spans="2:17" ht="15.75" thickBot="1" x14ac:dyDescent="0.3">
      <c r="B4" s="154"/>
      <c r="C4" s="147"/>
      <c r="D4" s="148"/>
      <c r="E4" s="148"/>
      <c r="F4" s="148"/>
      <c r="G4" s="148"/>
      <c r="H4" s="148"/>
      <c r="I4" s="148"/>
      <c r="J4" s="148"/>
      <c r="K4" s="148"/>
      <c r="L4" s="148"/>
      <c r="M4" s="149"/>
      <c r="N4" s="69" t="s">
        <v>62</v>
      </c>
      <c r="O4" s="70"/>
      <c r="P4" s="70"/>
      <c r="Q4" s="71"/>
    </row>
    <row r="5" spans="2:17" ht="15.75" thickBot="1" x14ac:dyDescent="0.3">
      <c r="B5" s="155"/>
      <c r="C5" s="150"/>
      <c r="D5" s="151"/>
      <c r="E5" s="151"/>
      <c r="F5" s="151"/>
      <c r="G5" s="151"/>
      <c r="H5" s="151"/>
      <c r="I5" s="151"/>
      <c r="J5" s="151"/>
      <c r="K5" s="151"/>
      <c r="L5" s="151"/>
      <c r="M5" s="152"/>
      <c r="N5" s="66" t="s">
        <v>61</v>
      </c>
      <c r="O5" s="67"/>
      <c r="P5" s="67"/>
      <c r="Q5" s="68"/>
    </row>
    <row r="7" spans="2:17" x14ac:dyDescent="0.25">
      <c r="B7" s="140" t="s">
        <v>0</v>
      </c>
      <c r="C7" s="142"/>
      <c r="D7" s="1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9"/>
    </row>
    <row r="8" spans="2:17" x14ac:dyDescent="0.25">
      <c r="B8" s="156" t="s">
        <v>53</v>
      </c>
      <c r="C8" s="156"/>
      <c r="D8" s="156"/>
      <c r="E8" s="157" t="s">
        <v>72</v>
      </c>
      <c r="F8" s="143" t="s">
        <v>54</v>
      </c>
      <c r="G8" s="143"/>
      <c r="H8" s="136" t="s">
        <v>55</v>
      </c>
      <c r="I8" s="136"/>
      <c r="J8" s="143" t="s">
        <v>56</v>
      </c>
      <c r="K8" s="143"/>
      <c r="L8" s="136" t="s">
        <v>57</v>
      </c>
      <c r="M8" s="136"/>
      <c r="N8" s="143" t="s">
        <v>58</v>
      </c>
      <c r="O8" s="143"/>
      <c r="P8" s="136" t="s">
        <v>59</v>
      </c>
      <c r="Q8" s="136"/>
    </row>
    <row r="9" spans="2:17" x14ac:dyDescent="0.25">
      <c r="B9" s="140" t="s">
        <v>1</v>
      </c>
      <c r="C9" s="141"/>
      <c r="D9" s="142"/>
      <c r="E9" s="158"/>
      <c r="F9" s="59">
        <v>0.375</v>
      </c>
      <c r="G9" s="60" t="s">
        <v>60</v>
      </c>
      <c r="H9" s="61">
        <v>0.375</v>
      </c>
      <c r="I9" s="62" t="s">
        <v>60</v>
      </c>
      <c r="J9" s="59">
        <v>0.375</v>
      </c>
      <c r="K9" s="60" t="s">
        <v>60</v>
      </c>
      <c r="L9" s="61">
        <v>0.375</v>
      </c>
      <c r="M9" s="62" t="s">
        <v>60</v>
      </c>
      <c r="N9" s="59">
        <v>0.375</v>
      </c>
      <c r="O9" s="60" t="s">
        <v>60</v>
      </c>
      <c r="P9" s="61">
        <v>0.375</v>
      </c>
      <c r="Q9" s="62" t="s">
        <v>60</v>
      </c>
    </row>
    <row r="10" spans="2:17" ht="26.25" customHeight="1" x14ac:dyDescent="0.25">
      <c r="B10" s="134" t="s">
        <v>66</v>
      </c>
      <c r="C10" s="135"/>
      <c r="D10" s="132" t="s">
        <v>78</v>
      </c>
      <c r="E10" s="83"/>
      <c r="F10" s="94" t="s">
        <v>100</v>
      </c>
      <c r="G10" s="94" t="s">
        <v>100</v>
      </c>
      <c r="H10" s="96"/>
      <c r="I10" s="96" t="s">
        <v>100</v>
      </c>
      <c r="J10" s="93"/>
      <c r="K10" s="94"/>
      <c r="L10" s="95" t="s">
        <v>100</v>
      </c>
      <c r="M10" s="96" t="s">
        <v>100</v>
      </c>
      <c r="N10" s="94" t="s">
        <v>100</v>
      </c>
      <c r="O10" s="94" t="s">
        <v>100</v>
      </c>
      <c r="P10" s="96"/>
      <c r="Q10" s="96" t="s">
        <v>100</v>
      </c>
    </row>
    <row r="11" spans="2:17" ht="20.100000000000001" customHeight="1" x14ac:dyDescent="0.25">
      <c r="B11" s="156" t="s">
        <v>2</v>
      </c>
      <c r="C11" s="156"/>
      <c r="D11" s="57" t="s">
        <v>4</v>
      </c>
      <c r="E11" s="57" t="s">
        <v>80</v>
      </c>
      <c r="F11" s="82">
        <v>72</v>
      </c>
      <c r="G11" s="82">
        <v>72</v>
      </c>
      <c r="H11" s="97"/>
      <c r="I11" s="97">
        <v>75.099999999999994</v>
      </c>
      <c r="J11" s="82"/>
      <c r="K11" s="82"/>
      <c r="L11" s="97">
        <v>74.099999999999994</v>
      </c>
      <c r="M11" s="82">
        <v>74.099999999999994</v>
      </c>
      <c r="N11" s="82">
        <v>72.599999999999994</v>
      </c>
      <c r="O11" s="82">
        <v>72.400000000000006</v>
      </c>
      <c r="P11" s="97"/>
      <c r="Q11" s="97">
        <v>75</v>
      </c>
    </row>
    <row r="12" spans="2:17" ht="20.100000000000001" customHeight="1" x14ac:dyDescent="0.25">
      <c r="B12" s="156" t="s">
        <v>3</v>
      </c>
      <c r="C12" s="156"/>
      <c r="D12" s="57" t="s">
        <v>4</v>
      </c>
      <c r="E12" s="57" t="s">
        <v>80</v>
      </c>
      <c r="F12" s="82">
        <v>0.6</v>
      </c>
      <c r="G12" s="82">
        <v>0.6</v>
      </c>
      <c r="H12" s="97"/>
      <c r="I12" s="97">
        <v>0</v>
      </c>
      <c r="J12" s="82"/>
      <c r="K12" s="82"/>
      <c r="L12" s="97">
        <v>0.1</v>
      </c>
      <c r="M12" s="82">
        <v>0.1</v>
      </c>
      <c r="N12" s="82">
        <v>0</v>
      </c>
      <c r="O12" s="82">
        <v>0</v>
      </c>
      <c r="P12" s="97"/>
      <c r="Q12" s="97">
        <v>0.3</v>
      </c>
    </row>
    <row r="13" spans="2:17" ht="20.100000000000001" customHeight="1" x14ac:dyDescent="0.25">
      <c r="B13" s="156" t="s">
        <v>5</v>
      </c>
      <c r="C13" s="156"/>
      <c r="D13" s="57" t="s">
        <v>4</v>
      </c>
      <c r="E13" s="57" t="s">
        <v>80</v>
      </c>
      <c r="F13" s="82">
        <v>67.099999999999994</v>
      </c>
      <c r="G13" s="82">
        <v>66.900000000000006</v>
      </c>
      <c r="H13" s="97"/>
      <c r="I13" s="97">
        <v>70.099999999999994</v>
      </c>
      <c r="J13" s="82"/>
      <c r="K13" s="82"/>
      <c r="L13" s="97">
        <v>69.099999999999994</v>
      </c>
      <c r="M13" s="82">
        <v>69.099999999999994</v>
      </c>
      <c r="N13" s="82">
        <v>67.3</v>
      </c>
      <c r="O13" s="82">
        <v>67.2</v>
      </c>
      <c r="P13" s="97"/>
      <c r="Q13" s="97">
        <v>69.400000000000006</v>
      </c>
    </row>
    <row r="14" spans="2:17" ht="20.100000000000001" customHeight="1" x14ac:dyDescent="0.25">
      <c r="B14" s="156" t="s">
        <v>6</v>
      </c>
      <c r="C14" s="156"/>
      <c r="D14" s="57" t="s">
        <v>4</v>
      </c>
      <c r="E14" s="57" t="s">
        <v>80</v>
      </c>
      <c r="F14" s="82">
        <v>63.1</v>
      </c>
      <c r="G14" s="82">
        <v>64.2</v>
      </c>
      <c r="H14" s="97"/>
      <c r="I14" s="97">
        <v>66.099999999999994</v>
      </c>
      <c r="J14" s="82"/>
      <c r="K14" s="82"/>
      <c r="L14" s="97">
        <v>64.5</v>
      </c>
      <c r="M14" s="82">
        <v>63.8</v>
      </c>
      <c r="N14" s="82">
        <v>68.8</v>
      </c>
      <c r="O14" s="82">
        <v>69.099999999999994</v>
      </c>
      <c r="P14" s="97"/>
      <c r="Q14" s="97">
        <v>71.400000000000006</v>
      </c>
    </row>
    <row r="15" spans="2:17" ht="20.100000000000001" customHeight="1" x14ac:dyDescent="0.25">
      <c r="B15" s="156" t="s">
        <v>7</v>
      </c>
      <c r="C15" s="156"/>
      <c r="D15" s="57" t="s">
        <v>4</v>
      </c>
      <c r="E15" s="57" t="s">
        <v>80</v>
      </c>
      <c r="F15" s="82">
        <v>53.4</v>
      </c>
      <c r="G15" s="82">
        <v>48.1</v>
      </c>
      <c r="H15" s="97"/>
      <c r="I15" s="97">
        <v>53.8</v>
      </c>
      <c r="J15" s="82"/>
      <c r="K15" s="82"/>
      <c r="L15" s="97">
        <v>36.6</v>
      </c>
      <c r="M15" s="82">
        <v>33.700000000000003</v>
      </c>
      <c r="N15" s="82">
        <v>55.5</v>
      </c>
      <c r="O15" s="82">
        <v>55.8</v>
      </c>
      <c r="P15" s="97"/>
      <c r="Q15" s="97">
        <v>38.799999999999997</v>
      </c>
    </row>
    <row r="16" spans="2:17" ht="20.100000000000001" customHeight="1" x14ac:dyDescent="0.25">
      <c r="B16" s="143" t="s">
        <v>8</v>
      </c>
      <c r="C16" s="58" t="s">
        <v>9</v>
      </c>
      <c r="D16" s="57" t="s">
        <v>12</v>
      </c>
      <c r="E16" s="57" t="s">
        <v>81</v>
      </c>
      <c r="F16" s="82">
        <v>6.6</v>
      </c>
      <c r="G16" s="82">
        <v>6.6</v>
      </c>
      <c r="H16" s="82"/>
      <c r="I16" s="82">
        <v>6.6</v>
      </c>
      <c r="J16" s="82"/>
      <c r="K16" s="82"/>
      <c r="L16" s="82">
        <v>6.6</v>
      </c>
      <c r="M16" s="82">
        <v>6.6</v>
      </c>
      <c r="N16" s="82">
        <v>6.6</v>
      </c>
      <c r="O16" s="82">
        <v>6.6</v>
      </c>
      <c r="P16" s="82"/>
      <c r="Q16" s="82">
        <v>6.6</v>
      </c>
    </row>
    <row r="17" spans="2:17" ht="20.100000000000001" customHeight="1" x14ac:dyDescent="0.25">
      <c r="B17" s="143"/>
      <c r="C17" s="58" t="s">
        <v>10</v>
      </c>
      <c r="D17" s="57" t="s">
        <v>13</v>
      </c>
      <c r="E17" s="57" t="s">
        <v>82</v>
      </c>
      <c r="F17" s="82">
        <v>115.9</v>
      </c>
      <c r="G17" s="82">
        <v>118.3</v>
      </c>
      <c r="H17" s="97"/>
      <c r="I17" s="97">
        <v>116.4</v>
      </c>
      <c r="J17" s="82"/>
      <c r="K17" s="82"/>
      <c r="L17" s="97">
        <v>117.5</v>
      </c>
      <c r="M17" s="82">
        <v>117.2</v>
      </c>
      <c r="N17" s="82">
        <v>116.2</v>
      </c>
      <c r="O17" s="82">
        <v>116.4</v>
      </c>
      <c r="P17" s="97"/>
      <c r="Q17" s="97">
        <v>115.3</v>
      </c>
    </row>
    <row r="18" spans="2:17" ht="20.100000000000001" customHeight="1" x14ac:dyDescent="0.25">
      <c r="B18" s="143"/>
      <c r="C18" s="58" t="s">
        <v>11</v>
      </c>
      <c r="D18" s="57" t="s">
        <v>14</v>
      </c>
      <c r="E18" s="57" t="s">
        <v>83</v>
      </c>
      <c r="F18" s="82">
        <v>1141</v>
      </c>
      <c r="G18" s="82">
        <v>1156</v>
      </c>
      <c r="H18" s="97"/>
      <c r="I18" s="97">
        <v>1176</v>
      </c>
      <c r="J18" s="82"/>
      <c r="K18" s="82"/>
      <c r="L18" s="97">
        <v>1196</v>
      </c>
      <c r="M18" s="82">
        <v>1201</v>
      </c>
      <c r="N18" s="82">
        <v>1185</v>
      </c>
      <c r="O18" s="82">
        <v>1192</v>
      </c>
      <c r="P18" s="97"/>
      <c r="Q18" s="97">
        <v>1176</v>
      </c>
    </row>
    <row r="19" spans="2:17" ht="20.100000000000001" customHeight="1" x14ac:dyDescent="0.25">
      <c r="B19" s="143" t="s">
        <v>24</v>
      </c>
      <c r="C19" s="58" t="s">
        <v>15</v>
      </c>
      <c r="D19" s="57" t="s">
        <v>16</v>
      </c>
      <c r="E19" s="90" t="s">
        <v>84</v>
      </c>
      <c r="F19" s="82">
        <v>46078.9</v>
      </c>
      <c r="G19" s="82">
        <v>46070</v>
      </c>
      <c r="H19" s="97"/>
      <c r="I19" s="97">
        <v>46866.400000000001</v>
      </c>
      <c r="J19" s="82"/>
      <c r="K19" s="82"/>
      <c r="L19" s="97">
        <v>46879.3</v>
      </c>
      <c r="M19" s="82">
        <v>46870.3</v>
      </c>
      <c r="N19" s="82">
        <v>46159.5</v>
      </c>
      <c r="O19" s="82">
        <v>46150.6</v>
      </c>
      <c r="P19" s="97"/>
      <c r="Q19" s="97">
        <v>47993.9</v>
      </c>
    </row>
    <row r="20" spans="2:17" ht="20.100000000000001" customHeight="1" x14ac:dyDescent="0.25">
      <c r="B20" s="143"/>
      <c r="C20" s="58" t="s">
        <v>17</v>
      </c>
      <c r="D20" s="57" t="s">
        <v>77</v>
      </c>
      <c r="E20" s="57" t="s">
        <v>85</v>
      </c>
      <c r="F20" s="82"/>
      <c r="G20" s="82"/>
      <c r="H20" s="97"/>
      <c r="I20" s="97"/>
      <c r="J20" s="82"/>
      <c r="K20" s="82"/>
      <c r="L20" s="97"/>
      <c r="M20" s="82"/>
      <c r="N20" s="82"/>
      <c r="O20" s="82"/>
      <c r="P20" s="97"/>
      <c r="Q20" s="97"/>
    </row>
    <row r="21" spans="2:17" ht="20.100000000000001" customHeight="1" x14ac:dyDescent="0.25">
      <c r="B21" s="143"/>
      <c r="C21" s="58" t="s">
        <v>18</v>
      </c>
      <c r="D21" s="57" t="s">
        <v>77</v>
      </c>
      <c r="E21" s="57" t="s">
        <v>75</v>
      </c>
      <c r="F21" s="82"/>
      <c r="G21" s="82"/>
      <c r="H21" s="97"/>
      <c r="I21" s="97"/>
      <c r="J21" s="82"/>
      <c r="K21" s="82"/>
      <c r="L21" s="97"/>
      <c r="M21" s="82"/>
      <c r="N21" s="82"/>
      <c r="O21" s="82"/>
      <c r="P21" s="97"/>
      <c r="Q21" s="97"/>
    </row>
    <row r="22" spans="2:17" ht="20.100000000000001" customHeight="1" x14ac:dyDescent="0.25">
      <c r="B22" s="143"/>
      <c r="C22" s="58" t="s">
        <v>19</v>
      </c>
      <c r="D22" s="57" t="s">
        <v>77</v>
      </c>
      <c r="E22" s="57" t="s">
        <v>73</v>
      </c>
      <c r="F22" s="82">
        <v>58.1</v>
      </c>
      <c r="G22" s="82">
        <v>58</v>
      </c>
      <c r="H22" s="97"/>
      <c r="I22" s="97">
        <v>58.8</v>
      </c>
      <c r="J22" s="82"/>
      <c r="K22" s="82"/>
      <c r="L22" s="97">
        <v>57.2</v>
      </c>
      <c r="M22" s="82">
        <v>57.3</v>
      </c>
      <c r="N22" s="82">
        <v>58.5</v>
      </c>
      <c r="O22" s="82">
        <v>58.6</v>
      </c>
      <c r="P22" s="97"/>
      <c r="Q22" s="97">
        <v>59.3</v>
      </c>
    </row>
    <row r="23" spans="2:17" ht="60" x14ac:dyDescent="0.25">
      <c r="B23" s="143"/>
      <c r="C23" s="86" t="s">
        <v>20</v>
      </c>
      <c r="D23" s="82" t="s">
        <v>22</v>
      </c>
      <c r="E23" s="85" t="s">
        <v>76</v>
      </c>
      <c r="F23" s="82">
        <v>0.52</v>
      </c>
      <c r="G23" s="82">
        <v>0.52</v>
      </c>
      <c r="H23" s="97"/>
      <c r="I23" s="97">
        <v>0.49</v>
      </c>
      <c r="J23" s="82"/>
      <c r="K23" s="82"/>
      <c r="L23" s="97">
        <v>0.53</v>
      </c>
      <c r="M23" s="82">
        <v>0.53</v>
      </c>
      <c r="N23" s="82">
        <v>0.48</v>
      </c>
      <c r="O23" s="82">
        <v>0.48</v>
      </c>
      <c r="P23" s="97"/>
      <c r="Q23" s="97">
        <v>0.48</v>
      </c>
    </row>
    <row r="24" spans="2:17" ht="39.75" customHeight="1" x14ac:dyDescent="0.25">
      <c r="B24" s="143"/>
      <c r="C24" s="86" t="s">
        <v>21</v>
      </c>
      <c r="D24" s="57"/>
      <c r="E24" s="57"/>
      <c r="F24" s="82"/>
      <c r="G24" s="82"/>
      <c r="H24" s="97"/>
      <c r="I24" s="97"/>
      <c r="J24" s="82"/>
      <c r="K24" s="82"/>
      <c r="L24" s="97"/>
      <c r="M24" s="97"/>
      <c r="N24" s="82"/>
      <c r="O24" s="82"/>
      <c r="P24" s="97"/>
      <c r="Q24" s="97"/>
    </row>
    <row r="25" spans="2:17" ht="20.100000000000001" customHeight="1" x14ac:dyDescent="0.25">
      <c r="B25" s="143"/>
      <c r="C25" s="58" t="s">
        <v>23</v>
      </c>
      <c r="D25" s="57" t="s">
        <v>77</v>
      </c>
      <c r="E25" s="57" t="s">
        <v>74</v>
      </c>
      <c r="F25" s="82">
        <v>44.9</v>
      </c>
      <c r="G25" s="82">
        <v>45.1</v>
      </c>
      <c r="H25" s="97"/>
      <c r="I25" s="97">
        <v>45</v>
      </c>
      <c r="J25" s="82"/>
      <c r="K25" s="82"/>
      <c r="L25" s="97">
        <v>45</v>
      </c>
      <c r="M25" s="82">
        <v>44.9</v>
      </c>
      <c r="N25" s="82">
        <v>45</v>
      </c>
      <c r="O25" s="82">
        <v>45</v>
      </c>
      <c r="P25" s="97"/>
      <c r="Q25" s="97">
        <v>45</v>
      </c>
    </row>
    <row r="26" spans="2:17" ht="20.100000000000001" customHeight="1" x14ac:dyDescent="0.25">
      <c r="B26" s="143" t="s">
        <v>25</v>
      </c>
      <c r="C26" s="58" t="s">
        <v>26</v>
      </c>
      <c r="D26" s="57" t="s">
        <v>22</v>
      </c>
      <c r="E26" s="91" t="s">
        <v>86</v>
      </c>
      <c r="F26" s="82">
        <v>0.28000000000000003</v>
      </c>
      <c r="G26" s="82">
        <v>0.23</v>
      </c>
      <c r="H26" s="97"/>
      <c r="I26" s="97">
        <v>0.22</v>
      </c>
      <c r="J26" s="82"/>
      <c r="K26" s="82"/>
      <c r="L26" s="97">
        <v>0.22</v>
      </c>
      <c r="M26" s="82">
        <v>0.22</v>
      </c>
      <c r="N26" s="82">
        <v>0.28000000000000003</v>
      </c>
      <c r="O26" s="82">
        <v>0.23</v>
      </c>
      <c r="P26" s="97"/>
      <c r="Q26" s="97">
        <v>0.22</v>
      </c>
    </row>
    <row r="27" spans="2:17" ht="20.100000000000001" customHeight="1" x14ac:dyDescent="0.25">
      <c r="B27" s="143"/>
      <c r="C27" s="58" t="s">
        <v>27</v>
      </c>
      <c r="D27" s="57" t="s">
        <v>77</v>
      </c>
      <c r="E27" s="57" t="s">
        <v>85</v>
      </c>
      <c r="F27" s="82">
        <v>3.9</v>
      </c>
      <c r="G27" s="82">
        <v>4.3</v>
      </c>
      <c r="H27" s="97"/>
      <c r="I27" s="97">
        <v>3.8</v>
      </c>
      <c r="J27" s="82"/>
      <c r="K27" s="82"/>
      <c r="L27" s="97">
        <v>4.3</v>
      </c>
      <c r="M27" s="82">
        <v>4.4000000000000004</v>
      </c>
      <c r="N27" s="82">
        <v>4.5999999999999996</v>
      </c>
      <c r="O27" s="82">
        <v>4.5999999999999996</v>
      </c>
      <c r="P27" s="97"/>
      <c r="Q27" s="97">
        <v>4.2</v>
      </c>
    </row>
    <row r="28" spans="2:17" ht="20.100000000000001" customHeight="1" x14ac:dyDescent="0.25">
      <c r="B28" s="143"/>
      <c r="C28" s="58" t="s">
        <v>28</v>
      </c>
      <c r="D28" s="57" t="s">
        <v>77</v>
      </c>
      <c r="E28" s="57" t="s">
        <v>85</v>
      </c>
      <c r="F28" s="82">
        <v>3.5</v>
      </c>
      <c r="G28" s="82">
        <v>3.9</v>
      </c>
      <c r="H28" s="97"/>
      <c r="I28" s="97">
        <v>2.9</v>
      </c>
      <c r="J28" s="82"/>
      <c r="K28" s="82"/>
      <c r="L28" s="97">
        <v>3.4</v>
      </c>
      <c r="M28" s="82">
        <v>3.8</v>
      </c>
      <c r="N28" s="82">
        <v>3.9</v>
      </c>
      <c r="O28" s="82">
        <v>3.6</v>
      </c>
      <c r="P28" s="97"/>
      <c r="Q28" s="97">
        <v>3.8</v>
      </c>
    </row>
    <row r="29" spans="2:17" ht="20.100000000000001" customHeight="1" x14ac:dyDescent="0.25">
      <c r="B29" s="143"/>
      <c r="C29" s="58" t="s">
        <v>98</v>
      </c>
      <c r="D29" s="57" t="s">
        <v>77</v>
      </c>
      <c r="E29" s="57" t="s">
        <v>85</v>
      </c>
      <c r="F29" s="98">
        <f>F32-F28</f>
        <v>0.79999999999999982</v>
      </c>
      <c r="G29" s="98">
        <f t="shared" ref="G29:Q29" si="0">G32-G28</f>
        <v>1.1000000000000001</v>
      </c>
      <c r="H29" s="98">
        <f t="shared" si="0"/>
        <v>0</v>
      </c>
      <c r="I29" s="98">
        <f t="shared" si="0"/>
        <v>2.0000000000000004</v>
      </c>
      <c r="J29" s="98">
        <f t="shared" si="0"/>
        <v>0</v>
      </c>
      <c r="K29" s="98">
        <f t="shared" si="0"/>
        <v>0</v>
      </c>
      <c r="L29" s="98">
        <f t="shared" si="0"/>
        <v>1.1000000000000001</v>
      </c>
      <c r="M29" s="98">
        <f t="shared" si="0"/>
        <v>0.90000000000000036</v>
      </c>
      <c r="N29" s="98">
        <f t="shared" si="0"/>
        <v>0.69999999999999973</v>
      </c>
      <c r="O29" s="98">
        <f t="shared" si="0"/>
        <v>1.1999999999999997</v>
      </c>
      <c r="P29" s="98">
        <f t="shared" si="0"/>
        <v>0</v>
      </c>
      <c r="Q29" s="98">
        <f t="shared" si="0"/>
        <v>1.2000000000000002</v>
      </c>
    </row>
    <row r="30" spans="2:17" ht="20.100000000000001" customHeight="1" x14ac:dyDescent="0.25">
      <c r="B30" s="143"/>
      <c r="C30" s="58" t="s">
        <v>29</v>
      </c>
      <c r="D30" s="57" t="s">
        <v>35</v>
      </c>
      <c r="E30" s="57" t="s">
        <v>87</v>
      </c>
      <c r="F30" s="82">
        <v>749.28</v>
      </c>
      <c r="G30" s="82">
        <v>728.4</v>
      </c>
      <c r="H30" s="97"/>
      <c r="I30" s="97">
        <v>700.6</v>
      </c>
      <c r="J30" s="82"/>
      <c r="K30" s="82"/>
      <c r="L30" s="97">
        <v>744.32</v>
      </c>
      <c r="M30" s="82">
        <v>721.2</v>
      </c>
      <c r="N30" s="82">
        <v>756.96</v>
      </c>
      <c r="O30" s="82">
        <v>731.4</v>
      </c>
      <c r="P30" s="97"/>
      <c r="Q30" s="97">
        <v>708.8</v>
      </c>
    </row>
    <row r="31" spans="2:17" ht="20.100000000000001" customHeight="1" x14ac:dyDescent="0.25">
      <c r="B31" s="143"/>
      <c r="C31" s="58" t="s">
        <v>30</v>
      </c>
      <c r="D31" s="57" t="s">
        <v>77</v>
      </c>
      <c r="E31" s="57">
        <v>13.5</v>
      </c>
      <c r="F31" s="82">
        <v>12</v>
      </c>
      <c r="G31" s="82">
        <v>13</v>
      </c>
      <c r="H31" s="97"/>
      <c r="I31" s="97">
        <v>12.7</v>
      </c>
      <c r="J31" s="82"/>
      <c r="K31" s="82"/>
      <c r="L31" s="97">
        <v>12.5</v>
      </c>
      <c r="M31" s="82">
        <v>12.7</v>
      </c>
      <c r="N31" s="82">
        <v>12.2</v>
      </c>
      <c r="O31" s="82">
        <v>12.7</v>
      </c>
      <c r="P31" s="97"/>
      <c r="Q31" s="97">
        <v>12.9</v>
      </c>
    </row>
    <row r="32" spans="2:17" ht="20.100000000000001" customHeight="1" x14ac:dyDescent="0.25">
      <c r="B32" s="143"/>
      <c r="C32" s="58" t="s">
        <v>31</v>
      </c>
      <c r="D32" s="57" t="s">
        <v>77</v>
      </c>
      <c r="E32" s="57">
        <v>4</v>
      </c>
      <c r="F32" s="82">
        <v>4.3</v>
      </c>
      <c r="G32" s="82">
        <v>5</v>
      </c>
      <c r="H32" s="97"/>
      <c r="I32" s="97">
        <v>4.9000000000000004</v>
      </c>
      <c r="J32" s="82"/>
      <c r="K32" s="82"/>
      <c r="L32" s="97">
        <v>4.5</v>
      </c>
      <c r="M32" s="82">
        <v>4.7</v>
      </c>
      <c r="N32" s="82">
        <v>4.5999999999999996</v>
      </c>
      <c r="O32" s="82">
        <v>4.8</v>
      </c>
      <c r="P32" s="97"/>
      <c r="Q32" s="97">
        <v>5</v>
      </c>
    </row>
    <row r="33" spans="2:17" ht="20.100000000000001" customHeight="1" x14ac:dyDescent="0.25">
      <c r="B33" s="143"/>
      <c r="C33" s="58" t="s">
        <v>32</v>
      </c>
      <c r="D33" s="57" t="s">
        <v>77</v>
      </c>
      <c r="E33" s="57">
        <v>9.5</v>
      </c>
      <c r="F33" s="98">
        <f>F31-F32</f>
        <v>7.7</v>
      </c>
      <c r="G33" s="98">
        <f t="shared" ref="G33:Q33" si="1">G31-G32</f>
        <v>8</v>
      </c>
      <c r="H33" s="98">
        <f t="shared" si="1"/>
        <v>0</v>
      </c>
      <c r="I33" s="98">
        <f t="shared" si="1"/>
        <v>7.7999999999999989</v>
      </c>
      <c r="J33" s="98">
        <f t="shared" si="1"/>
        <v>0</v>
      </c>
      <c r="K33" s="98">
        <f t="shared" si="1"/>
        <v>0</v>
      </c>
      <c r="L33" s="98">
        <f t="shared" si="1"/>
        <v>8</v>
      </c>
      <c r="M33" s="98">
        <f t="shared" si="1"/>
        <v>7.9999999999999991</v>
      </c>
      <c r="N33" s="98">
        <f t="shared" si="1"/>
        <v>7.6</v>
      </c>
      <c r="O33" s="98">
        <f t="shared" si="1"/>
        <v>7.8999999999999995</v>
      </c>
      <c r="P33" s="98">
        <f t="shared" si="1"/>
        <v>0</v>
      </c>
      <c r="Q33" s="98">
        <f t="shared" si="1"/>
        <v>7.9</v>
      </c>
    </row>
    <row r="34" spans="2:17" ht="20.100000000000001" customHeight="1" x14ac:dyDescent="0.25">
      <c r="B34" s="143"/>
      <c r="C34" s="58" t="s">
        <v>33</v>
      </c>
      <c r="D34" s="57" t="s">
        <v>34</v>
      </c>
      <c r="E34" s="57" t="s">
        <v>88</v>
      </c>
      <c r="F34" s="99">
        <f>(F33*F30)/0.866</f>
        <v>6662.189376443418</v>
      </c>
      <c r="G34" s="99">
        <f t="shared" ref="G34:Q34" si="2">(G33*G30)/0.866</f>
        <v>6728.8683602771362</v>
      </c>
      <c r="H34" s="99">
        <f t="shared" si="2"/>
        <v>0</v>
      </c>
      <c r="I34" s="99">
        <f t="shared" si="2"/>
        <v>6310.2540415704379</v>
      </c>
      <c r="J34" s="99">
        <f t="shared" si="2"/>
        <v>0</v>
      </c>
      <c r="K34" s="99">
        <f t="shared" si="2"/>
        <v>0</v>
      </c>
      <c r="L34" s="99">
        <f t="shared" si="2"/>
        <v>6875.9353348729801</v>
      </c>
      <c r="M34" s="99">
        <f t="shared" si="2"/>
        <v>6662.355658198614</v>
      </c>
      <c r="N34" s="99">
        <f t="shared" si="2"/>
        <v>6643.066974595843</v>
      </c>
      <c r="O34" s="99">
        <f t="shared" si="2"/>
        <v>6672.1247113163963</v>
      </c>
      <c r="P34" s="99">
        <f t="shared" si="2"/>
        <v>0</v>
      </c>
      <c r="Q34" s="99">
        <f t="shared" si="2"/>
        <v>6465.9584295612003</v>
      </c>
    </row>
    <row r="35" spans="2:17" ht="20.100000000000001" customHeight="1" x14ac:dyDescent="0.25">
      <c r="B35" s="143" t="s">
        <v>36</v>
      </c>
      <c r="C35" s="58" t="s">
        <v>37</v>
      </c>
      <c r="D35" s="57" t="s">
        <v>22</v>
      </c>
      <c r="E35" s="57" t="s">
        <v>89</v>
      </c>
      <c r="F35" s="82">
        <v>0.8</v>
      </c>
      <c r="G35" s="82">
        <v>0.82</v>
      </c>
      <c r="H35" s="97"/>
      <c r="I35" s="97">
        <v>0.85</v>
      </c>
      <c r="J35" s="82"/>
      <c r="K35" s="82"/>
      <c r="L35" s="97">
        <v>0.83</v>
      </c>
      <c r="M35" s="82">
        <v>0.81</v>
      </c>
      <c r="N35" s="82">
        <v>0.82</v>
      </c>
      <c r="O35" s="82">
        <v>0.81</v>
      </c>
      <c r="P35" s="97"/>
      <c r="Q35" s="97">
        <v>0.81</v>
      </c>
    </row>
    <row r="36" spans="2:17" ht="20.100000000000001" customHeight="1" x14ac:dyDescent="0.25">
      <c r="B36" s="143"/>
      <c r="C36" s="58" t="s">
        <v>38</v>
      </c>
      <c r="D36" s="57" t="s">
        <v>77</v>
      </c>
      <c r="E36" s="57" t="s">
        <v>85</v>
      </c>
      <c r="F36" s="82">
        <v>35.1</v>
      </c>
      <c r="G36" s="82">
        <v>36</v>
      </c>
      <c r="H36" s="97"/>
      <c r="I36" s="97">
        <v>36.799999999999997</v>
      </c>
      <c r="J36" s="82"/>
      <c r="K36" s="82"/>
      <c r="L36" s="97">
        <v>36.6</v>
      </c>
      <c r="M36" s="82">
        <v>37.5</v>
      </c>
      <c r="N36" s="82">
        <v>35.799999999999997</v>
      </c>
      <c r="O36" s="82">
        <v>36.5</v>
      </c>
      <c r="P36" s="97"/>
      <c r="Q36" s="97">
        <v>36.200000000000003</v>
      </c>
    </row>
    <row r="37" spans="2:17" ht="20.100000000000001" customHeight="1" x14ac:dyDescent="0.25">
      <c r="B37" s="143"/>
      <c r="C37" s="58" t="s">
        <v>39</v>
      </c>
      <c r="D37" s="57" t="s">
        <v>77</v>
      </c>
      <c r="E37" s="57" t="s">
        <v>85</v>
      </c>
      <c r="F37" s="82">
        <v>35.6</v>
      </c>
      <c r="G37" s="82">
        <v>36.4</v>
      </c>
      <c r="H37" s="97"/>
      <c r="I37" s="97">
        <v>37.700000000000003</v>
      </c>
      <c r="J37" s="82"/>
      <c r="K37" s="82"/>
      <c r="L37" s="97">
        <v>36.799999999999997</v>
      </c>
      <c r="M37" s="82">
        <v>37.4</v>
      </c>
      <c r="N37" s="82">
        <v>36.200000000000003</v>
      </c>
      <c r="O37" s="82">
        <v>36.9</v>
      </c>
      <c r="P37" s="97"/>
      <c r="Q37" s="97">
        <v>36.299999999999997</v>
      </c>
    </row>
    <row r="38" spans="2:17" ht="20.100000000000001" customHeight="1" x14ac:dyDescent="0.25">
      <c r="B38" s="143"/>
      <c r="C38" s="86" t="s">
        <v>97</v>
      </c>
      <c r="D38" s="57" t="s">
        <v>77</v>
      </c>
      <c r="E38" s="57"/>
      <c r="F38" s="98">
        <f>F37-F41</f>
        <v>2.8999999999999986</v>
      </c>
      <c r="G38" s="98">
        <f t="shared" ref="G38:Q38" si="3">G37-G41</f>
        <v>2.1000000000000014</v>
      </c>
      <c r="H38" s="98">
        <f t="shared" si="3"/>
        <v>0</v>
      </c>
      <c r="I38" s="98">
        <f t="shared" si="3"/>
        <v>4.2000000000000028</v>
      </c>
      <c r="J38" s="98">
        <f t="shared" si="3"/>
        <v>0</v>
      </c>
      <c r="K38" s="98">
        <f t="shared" si="3"/>
        <v>0</v>
      </c>
      <c r="L38" s="98">
        <f t="shared" si="3"/>
        <v>4.2999999999999972</v>
      </c>
      <c r="M38" s="98">
        <f t="shared" si="3"/>
        <v>3.3999999999999986</v>
      </c>
      <c r="N38" s="98">
        <f t="shared" si="3"/>
        <v>3.2000000000000028</v>
      </c>
      <c r="O38" s="98">
        <f t="shared" si="3"/>
        <v>2.3999999999999986</v>
      </c>
      <c r="P38" s="98">
        <f t="shared" si="3"/>
        <v>0</v>
      </c>
      <c r="Q38" s="98">
        <f t="shared" si="3"/>
        <v>2.2999999999999972</v>
      </c>
    </row>
    <row r="39" spans="2:17" ht="20.100000000000001" customHeight="1" x14ac:dyDescent="0.25">
      <c r="B39" s="143"/>
      <c r="C39" s="58" t="s">
        <v>90</v>
      </c>
      <c r="D39" s="57" t="s">
        <v>45</v>
      </c>
      <c r="E39" s="57"/>
      <c r="F39" s="82"/>
      <c r="G39" s="82"/>
      <c r="H39" s="97"/>
      <c r="I39" s="97"/>
      <c r="J39" s="82"/>
      <c r="K39" s="82"/>
      <c r="L39" s="97"/>
      <c r="M39" s="97"/>
      <c r="N39" s="82"/>
      <c r="O39" s="82"/>
      <c r="P39" s="97"/>
      <c r="Q39" s="97"/>
    </row>
    <row r="40" spans="2:17" ht="20.100000000000001" customHeight="1" x14ac:dyDescent="0.25">
      <c r="B40" s="143"/>
      <c r="C40" s="58" t="s">
        <v>41</v>
      </c>
      <c r="D40" s="57" t="s">
        <v>77</v>
      </c>
      <c r="E40" s="57">
        <v>30.8</v>
      </c>
      <c r="F40" s="82">
        <v>27.5</v>
      </c>
      <c r="G40" s="82">
        <v>38.700000000000003</v>
      </c>
      <c r="H40" s="97"/>
      <c r="I40" s="97">
        <v>28.5</v>
      </c>
      <c r="J40" s="82"/>
      <c r="K40" s="82"/>
      <c r="L40" s="97">
        <v>27.3</v>
      </c>
      <c r="M40" s="82">
        <v>28.5</v>
      </c>
      <c r="N40" s="82">
        <v>27.3</v>
      </c>
      <c r="O40" s="82">
        <v>28.4</v>
      </c>
      <c r="P40" s="97"/>
      <c r="Q40" s="97">
        <v>28.4</v>
      </c>
    </row>
    <row r="41" spans="2:17" ht="20.100000000000001" customHeight="1" x14ac:dyDescent="0.25">
      <c r="B41" s="143"/>
      <c r="C41" s="58" t="s">
        <v>42</v>
      </c>
      <c r="D41" s="57" t="s">
        <v>77</v>
      </c>
      <c r="E41" s="57">
        <v>36.4</v>
      </c>
      <c r="F41" s="82">
        <v>32.700000000000003</v>
      </c>
      <c r="G41" s="82">
        <v>34.299999999999997</v>
      </c>
      <c r="H41" s="97"/>
      <c r="I41" s="97">
        <v>33.5</v>
      </c>
      <c r="J41" s="82"/>
      <c r="K41" s="82"/>
      <c r="L41" s="97">
        <v>32.5</v>
      </c>
      <c r="M41" s="82">
        <v>34</v>
      </c>
      <c r="N41" s="82">
        <v>33</v>
      </c>
      <c r="O41" s="82">
        <v>34.5</v>
      </c>
      <c r="P41" s="97"/>
      <c r="Q41" s="97">
        <v>34</v>
      </c>
    </row>
    <row r="42" spans="2:17" ht="20.100000000000001" customHeight="1" x14ac:dyDescent="0.25">
      <c r="B42" s="143"/>
      <c r="C42" s="58" t="s">
        <v>91</v>
      </c>
      <c r="D42" s="57" t="s">
        <v>77</v>
      </c>
      <c r="E42" s="57">
        <v>5.6</v>
      </c>
      <c r="F42" s="98">
        <f>F41-F40</f>
        <v>5.2000000000000028</v>
      </c>
      <c r="G42" s="98">
        <f t="shared" ref="G42:Q42" si="4">G41-G40</f>
        <v>-4.4000000000000057</v>
      </c>
      <c r="H42" s="98">
        <f t="shared" si="4"/>
        <v>0</v>
      </c>
      <c r="I42" s="98">
        <f t="shared" si="4"/>
        <v>5</v>
      </c>
      <c r="J42" s="98">
        <f t="shared" si="4"/>
        <v>0</v>
      </c>
      <c r="K42" s="98">
        <f t="shared" si="4"/>
        <v>0</v>
      </c>
      <c r="L42" s="98">
        <f t="shared" si="4"/>
        <v>5.1999999999999993</v>
      </c>
      <c r="M42" s="98">
        <f t="shared" si="4"/>
        <v>5.5</v>
      </c>
      <c r="N42" s="98">
        <f t="shared" si="4"/>
        <v>5.6999999999999993</v>
      </c>
      <c r="O42" s="98">
        <f t="shared" si="4"/>
        <v>6.1000000000000014</v>
      </c>
      <c r="P42" s="98">
        <f t="shared" si="4"/>
        <v>0</v>
      </c>
      <c r="Q42" s="98">
        <f t="shared" si="4"/>
        <v>5.6000000000000014</v>
      </c>
    </row>
    <row r="43" spans="2:17" ht="20.100000000000001" customHeight="1" x14ac:dyDescent="0.25">
      <c r="B43" s="143"/>
      <c r="C43" s="58" t="s">
        <v>43</v>
      </c>
      <c r="D43" s="57" t="s">
        <v>35</v>
      </c>
      <c r="E43" s="57">
        <v>1273.0999999999999</v>
      </c>
      <c r="F43" s="82">
        <v>1295.42</v>
      </c>
      <c r="G43" s="82">
        <v>1259.4000000000001</v>
      </c>
      <c r="H43" s="97"/>
      <c r="I43" s="97">
        <v>1305.5</v>
      </c>
      <c r="J43" s="82"/>
      <c r="K43" s="82"/>
      <c r="L43" s="97">
        <v>1294.8599999999999</v>
      </c>
      <c r="M43" s="82">
        <v>1245.9000000000001</v>
      </c>
      <c r="N43" s="82">
        <v>1135.68</v>
      </c>
      <c r="O43" s="82">
        <v>1089.2</v>
      </c>
      <c r="P43" s="97"/>
      <c r="Q43" s="97">
        <v>1269.0999999999999</v>
      </c>
    </row>
    <row r="44" spans="2:17" ht="20.100000000000001" customHeight="1" x14ac:dyDescent="0.25">
      <c r="B44" s="143"/>
      <c r="C44" s="58" t="s">
        <v>44</v>
      </c>
      <c r="D44" s="57" t="s">
        <v>34</v>
      </c>
      <c r="E44" s="57">
        <v>8226.9</v>
      </c>
      <c r="F44" s="99">
        <f>F42*F43/0.866</f>
        <v>7778.5034642032379</v>
      </c>
      <c r="G44" s="99">
        <f t="shared" ref="G44:Q44" si="5">G42*G43/0.866</f>
        <v>-6398.79907621248</v>
      </c>
      <c r="H44" s="99">
        <f t="shared" si="5"/>
        <v>0</v>
      </c>
      <c r="I44" s="99">
        <f t="shared" si="5"/>
        <v>7537.5288683602776</v>
      </c>
      <c r="J44" s="99">
        <f t="shared" si="5"/>
        <v>0</v>
      </c>
      <c r="K44" s="99">
        <f t="shared" si="5"/>
        <v>0</v>
      </c>
      <c r="L44" s="99">
        <f t="shared" si="5"/>
        <v>7775.1408775981499</v>
      </c>
      <c r="M44" s="99">
        <f t="shared" si="5"/>
        <v>7912.7598152424953</v>
      </c>
      <c r="N44" s="99">
        <f t="shared" si="5"/>
        <v>7475.0300230946877</v>
      </c>
      <c r="O44" s="99">
        <f t="shared" si="5"/>
        <v>7672.1939953810643</v>
      </c>
      <c r="P44" s="99">
        <f t="shared" si="5"/>
        <v>0</v>
      </c>
      <c r="Q44" s="99">
        <f t="shared" si="5"/>
        <v>8206.6512702078526</v>
      </c>
    </row>
    <row r="45" spans="2:17" ht="20.100000000000001" customHeight="1" x14ac:dyDescent="0.25">
      <c r="B45" s="143" t="s">
        <v>46</v>
      </c>
      <c r="C45" s="58" t="s">
        <v>47</v>
      </c>
      <c r="D45" s="57" t="s">
        <v>22</v>
      </c>
      <c r="E45" s="57" t="s">
        <v>92</v>
      </c>
      <c r="F45" s="82">
        <v>0.45</v>
      </c>
      <c r="G45" s="82">
        <v>0.46</v>
      </c>
      <c r="H45" s="97"/>
      <c r="I45" s="97">
        <v>0.46</v>
      </c>
      <c r="J45" s="82"/>
      <c r="K45" s="82"/>
      <c r="L45" s="97">
        <v>0.47</v>
      </c>
      <c r="M45" s="82">
        <v>0.47</v>
      </c>
      <c r="N45" s="82">
        <v>0.46</v>
      </c>
      <c r="O45" s="82">
        <v>0.47</v>
      </c>
      <c r="P45" s="97"/>
      <c r="Q45" s="97">
        <v>0.47</v>
      </c>
    </row>
    <row r="46" spans="2:17" ht="20.100000000000001" customHeight="1" x14ac:dyDescent="0.25">
      <c r="B46" s="143"/>
      <c r="C46" s="58" t="s">
        <v>48</v>
      </c>
      <c r="D46" s="57" t="s">
        <v>77</v>
      </c>
      <c r="E46" s="57" t="s">
        <v>85</v>
      </c>
      <c r="F46" s="82">
        <v>19.2</v>
      </c>
      <c r="G46" s="82">
        <v>19.600000000000001</v>
      </c>
      <c r="H46" s="97"/>
      <c r="I46" s="97">
        <v>19.899999999999999</v>
      </c>
      <c r="J46" s="82"/>
      <c r="K46" s="82"/>
      <c r="L46" s="97">
        <v>19.8</v>
      </c>
      <c r="M46" s="82">
        <v>20</v>
      </c>
      <c r="N46" s="82">
        <v>19.5</v>
      </c>
      <c r="O46" s="82">
        <v>19.899999999999999</v>
      </c>
      <c r="P46" s="97"/>
      <c r="Q46" s="97">
        <v>20.2</v>
      </c>
    </row>
    <row r="47" spans="2:17" ht="20.100000000000001" customHeight="1" x14ac:dyDescent="0.25">
      <c r="B47" s="143"/>
      <c r="C47" s="58" t="s">
        <v>40</v>
      </c>
      <c r="D47" s="57" t="s">
        <v>45</v>
      </c>
      <c r="E47" s="57" t="s">
        <v>45</v>
      </c>
      <c r="F47" s="82">
        <v>202.7</v>
      </c>
      <c r="G47" s="82">
        <v>168.5</v>
      </c>
      <c r="H47" s="97"/>
      <c r="I47" s="97">
        <v>121.2</v>
      </c>
      <c r="J47" s="82"/>
      <c r="K47" s="82"/>
      <c r="L47" s="97">
        <v>211.8</v>
      </c>
      <c r="M47" s="82">
        <v>211.6</v>
      </c>
      <c r="N47" s="82">
        <v>165.4</v>
      </c>
      <c r="O47" s="82">
        <v>158</v>
      </c>
      <c r="P47" s="97"/>
      <c r="Q47" s="97">
        <v>199.6</v>
      </c>
    </row>
    <row r="48" spans="2:17" ht="20.100000000000001" customHeight="1" x14ac:dyDescent="0.25">
      <c r="B48" s="156" t="s">
        <v>49</v>
      </c>
      <c r="C48" s="156"/>
      <c r="D48" s="156"/>
      <c r="E48" s="92" t="s">
        <v>93</v>
      </c>
      <c r="F48" s="82"/>
      <c r="G48" s="82"/>
      <c r="H48" s="97"/>
      <c r="I48" s="97"/>
      <c r="J48" s="82"/>
      <c r="K48" s="82"/>
      <c r="L48" s="97"/>
      <c r="M48" s="97"/>
      <c r="N48" s="82"/>
      <c r="O48" s="82"/>
      <c r="P48" s="97"/>
      <c r="Q48" s="97"/>
    </row>
    <row r="49" spans="2:17" ht="20.100000000000001" customHeight="1" x14ac:dyDescent="0.25">
      <c r="B49" s="156" t="s">
        <v>50</v>
      </c>
      <c r="C49" s="156"/>
      <c r="D49" s="156"/>
      <c r="E49" s="132">
        <v>5.89</v>
      </c>
      <c r="F49" s="82">
        <v>5.12</v>
      </c>
      <c r="G49" s="82">
        <v>5.22</v>
      </c>
      <c r="H49" s="97"/>
      <c r="I49" s="97">
        <v>4.8899999999999997</v>
      </c>
      <c r="J49" s="82"/>
      <c r="K49" s="82"/>
      <c r="L49" s="97">
        <v>4.88</v>
      </c>
      <c r="M49" s="82">
        <v>4.9400000000000004</v>
      </c>
      <c r="N49" s="82">
        <v>4.8</v>
      </c>
      <c r="O49" s="82">
        <v>5</v>
      </c>
      <c r="P49" s="97"/>
      <c r="Q49" s="97">
        <v>5</v>
      </c>
    </row>
    <row r="50" spans="2:17" ht="20.100000000000001" customHeight="1" x14ac:dyDescent="0.25">
      <c r="B50" s="156" t="s">
        <v>51</v>
      </c>
      <c r="C50" s="156"/>
      <c r="D50" s="156"/>
      <c r="E50" s="132"/>
      <c r="F50" s="82"/>
      <c r="G50" s="82"/>
      <c r="H50" s="97"/>
      <c r="I50" s="97"/>
      <c r="J50" s="82"/>
      <c r="K50" s="82"/>
      <c r="L50" s="97"/>
      <c r="M50" s="97"/>
      <c r="N50" s="82"/>
      <c r="O50" s="82"/>
      <c r="P50" s="97"/>
      <c r="Q50" s="97"/>
    </row>
    <row r="51" spans="2:17" ht="20.100000000000001" customHeight="1" thickBot="1" x14ac:dyDescent="0.3">
      <c r="B51" s="156" t="s">
        <v>52</v>
      </c>
      <c r="C51" s="156"/>
      <c r="D51" s="156"/>
      <c r="E51" s="133"/>
      <c r="F51" s="82"/>
      <c r="G51" s="82"/>
      <c r="H51" s="97"/>
      <c r="I51" s="97"/>
      <c r="J51" s="82"/>
      <c r="K51" s="82"/>
      <c r="L51" s="97"/>
      <c r="M51" s="97"/>
      <c r="N51" s="82"/>
      <c r="O51" s="82"/>
      <c r="P51" s="97"/>
      <c r="Q51" s="97"/>
    </row>
    <row r="52" spans="2:17" x14ac:dyDescent="0.25">
      <c r="B52" s="56" t="s">
        <v>67</v>
      </c>
      <c r="C52" s="73" t="s">
        <v>68</v>
      </c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5"/>
    </row>
    <row r="53" spans="2:17" x14ac:dyDescent="0.25">
      <c r="C53" s="76" t="s">
        <v>94</v>
      </c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8"/>
    </row>
    <row r="54" spans="2:17" x14ac:dyDescent="0.25">
      <c r="C54" s="76" t="s">
        <v>95</v>
      </c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8"/>
    </row>
    <row r="55" spans="2:17" x14ac:dyDescent="0.25"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8"/>
    </row>
    <row r="56" spans="2:17" x14ac:dyDescent="0.25"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8"/>
    </row>
    <row r="57" spans="2:17" x14ac:dyDescent="0.25">
      <c r="C57" s="76" t="s">
        <v>69</v>
      </c>
      <c r="D57" s="77"/>
      <c r="E57" s="77"/>
      <c r="F57" s="87" t="b">
        <v>0</v>
      </c>
      <c r="G57" s="89" t="s">
        <v>79</v>
      </c>
      <c r="H57" s="77"/>
      <c r="I57" s="77"/>
      <c r="J57" s="77"/>
      <c r="K57" s="77"/>
      <c r="L57" s="77"/>
      <c r="M57" s="77"/>
      <c r="N57" s="77"/>
      <c r="O57" s="77"/>
      <c r="P57" s="77"/>
      <c r="Q57" s="78"/>
    </row>
    <row r="58" spans="2:17" x14ac:dyDescent="0.25">
      <c r="C58" s="76" t="s">
        <v>69</v>
      </c>
      <c r="D58" s="77"/>
      <c r="E58" s="77"/>
      <c r="F58" s="82" t="s">
        <v>70</v>
      </c>
      <c r="G58" s="88" t="s">
        <v>71</v>
      </c>
      <c r="H58" s="77"/>
      <c r="I58" s="77"/>
      <c r="J58" s="77"/>
      <c r="K58" s="77"/>
      <c r="L58" s="77"/>
      <c r="M58" s="77"/>
      <c r="N58" s="77"/>
      <c r="O58" s="77"/>
      <c r="P58" s="77"/>
      <c r="Q58" s="78"/>
    </row>
    <row r="59" spans="2:17" ht="15.75" thickBot="1" x14ac:dyDescent="0.3">
      <c r="C59" s="79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1"/>
    </row>
  </sheetData>
  <mergeCells count="28">
    <mergeCell ref="B12:C12"/>
    <mergeCell ref="B2:B5"/>
    <mergeCell ref="C2:M5"/>
    <mergeCell ref="B7:C7"/>
    <mergeCell ref="D7:Q7"/>
    <mergeCell ref="B8:D8"/>
    <mergeCell ref="E8:E9"/>
    <mergeCell ref="F8:G8"/>
    <mergeCell ref="H8:I8"/>
    <mergeCell ref="J8:K8"/>
    <mergeCell ref="L8:M8"/>
    <mergeCell ref="N8:O8"/>
    <mergeCell ref="P8:Q8"/>
    <mergeCell ref="B9:D9"/>
    <mergeCell ref="B10:C10"/>
    <mergeCell ref="B11:C11"/>
    <mergeCell ref="B51:D51"/>
    <mergeCell ref="B13:C13"/>
    <mergeCell ref="B14:C14"/>
    <mergeCell ref="B15:C15"/>
    <mergeCell ref="B16:B18"/>
    <mergeCell ref="B19:B25"/>
    <mergeCell ref="B26:B34"/>
    <mergeCell ref="B35:B44"/>
    <mergeCell ref="B45:B47"/>
    <mergeCell ref="B48:D48"/>
    <mergeCell ref="B49:D49"/>
    <mergeCell ref="B50:D5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8460p</dc:creator>
  <cp:lastModifiedBy>Haidir Mustafa</cp:lastModifiedBy>
  <cp:lastPrinted>2018-10-11T15:33:02Z</cp:lastPrinted>
  <dcterms:created xsi:type="dcterms:W3CDTF">2016-11-15T04:12:21Z</dcterms:created>
  <dcterms:modified xsi:type="dcterms:W3CDTF">2024-06-30T00:55:10Z</dcterms:modified>
</cp:coreProperties>
</file>