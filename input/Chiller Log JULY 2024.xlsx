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DCP OFFICIAL\Load profile\CHILLER LOG\7\"/>
    </mc:Choice>
  </mc:AlternateContent>
  <xr:revisionPtr revIDLastSave="0" documentId="13_ncr:1_{EE90D070-CA6E-4C5D-ABFE-73DD942E5A43}" xr6:coauthVersionLast="47" xr6:coauthVersionMax="47" xr10:uidLastSave="{00000000-0000-0000-0000-000000000000}"/>
  <bookViews>
    <workbookView xWindow="15210" yWindow="765" windowWidth="13380" windowHeight="15015" firstSheet="5" activeTab="30" xr2:uid="{00000000-000D-0000-FFFF-FFFF00000000}"/>
  </bookViews>
  <sheets>
    <sheet name="1" sheetId="31" r:id="rId1"/>
    <sheet name="2" sheetId="32" r:id="rId2"/>
    <sheet name="3" sheetId="33" r:id="rId3"/>
    <sheet name="4" sheetId="34" r:id="rId4"/>
    <sheet name="5" sheetId="35" r:id="rId5"/>
    <sheet name="6" sheetId="36" r:id="rId6"/>
    <sheet name="7" sheetId="37" r:id="rId7"/>
    <sheet name="8" sheetId="38" r:id="rId8"/>
    <sheet name="9" sheetId="39" r:id="rId9"/>
    <sheet name="10" sheetId="40" r:id="rId10"/>
    <sheet name="11" sheetId="41" r:id="rId11"/>
    <sheet name="12" sheetId="42" r:id="rId12"/>
    <sheet name="13" sheetId="43" r:id="rId13"/>
    <sheet name="14" sheetId="44" r:id="rId14"/>
    <sheet name="15" sheetId="45" r:id="rId15"/>
    <sheet name="16" sheetId="46" r:id="rId16"/>
    <sheet name="17" sheetId="47" r:id="rId17"/>
    <sheet name="18" sheetId="48" r:id="rId18"/>
    <sheet name="19" sheetId="49" r:id="rId19"/>
    <sheet name="20" sheetId="50" r:id="rId20"/>
    <sheet name="21" sheetId="51" r:id="rId21"/>
    <sheet name="22" sheetId="52" r:id="rId22"/>
    <sheet name="23" sheetId="53" r:id="rId23"/>
    <sheet name="24" sheetId="54" r:id="rId24"/>
    <sheet name="25" sheetId="55" r:id="rId25"/>
    <sheet name="26" sheetId="56" r:id="rId26"/>
    <sheet name="27" sheetId="57" r:id="rId27"/>
    <sheet name="28" sheetId="58" r:id="rId28"/>
    <sheet name="29" sheetId="59" r:id="rId29"/>
    <sheet name="30" sheetId="60" r:id="rId30"/>
    <sheet name="31" sheetId="6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61" l="1"/>
  <c r="N29" i="61"/>
  <c r="Q42" i="61"/>
  <c r="Q44" i="61" s="1"/>
  <c r="P42" i="61"/>
  <c r="P44" i="61" s="1"/>
  <c r="O42" i="61"/>
  <c r="O44" i="61" s="1"/>
  <c r="N42" i="61"/>
  <c r="N44" i="61" s="1"/>
  <c r="M42" i="61"/>
  <c r="M44" i="61" s="1"/>
  <c r="L42" i="61"/>
  <c r="L44" i="61" s="1"/>
  <c r="K42" i="61"/>
  <c r="K44" i="61" s="1"/>
  <c r="J42" i="61"/>
  <c r="J44" i="61" s="1"/>
  <c r="I42" i="61"/>
  <c r="I44" i="61" s="1"/>
  <c r="H42" i="61"/>
  <c r="H44" i="61" s="1"/>
  <c r="G42" i="61"/>
  <c r="G44" i="61" s="1"/>
  <c r="F42" i="61"/>
  <c r="F44" i="61" s="1"/>
  <c r="Q38" i="61"/>
  <c r="P38" i="61"/>
  <c r="O38" i="61"/>
  <c r="N38" i="61"/>
  <c r="M38" i="61"/>
  <c r="L38" i="61"/>
  <c r="K38" i="61"/>
  <c r="J38" i="61"/>
  <c r="I38" i="61"/>
  <c r="H38" i="61"/>
  <c r="G38" i="61"/>
  <c r="F38" i="61"/>
  <c r="Q33" i="61"/>
  <c r="Q34" i="61" s="1"/>
  <c r="P33" i="61"/>
  <c r="P34" i="61" s="1"/>
  <c r="O33" i="61"/>
  <c r="O34" i="61" s="1"/>
  <c r="N33" i="61"/>
  <c r="N34" i="61" s="1"/>
  <c r="M33" i="61"/>
  <c r="M34" i="61" s="1"/>
  <c r="L33" i="61"/>
  <c r="L34" i="61" s="1"/>
  <c r="K33" i="61"/>
  <c r="K34" i="61" s="1"/>
  <c r="J33" i="61"/>
  <c r="J34" i="61" s="1"/>
  <c r="I33" i="61"/>
  <c r="I34" i="61" s="1"/>
  <c r="H33" i="61"/>
  <c r="H34" i="61" s="1"/>
  <c r="G33" i="61"/>
  <c r="G34" i="61" s="1"/>
  <c r="F33" i="61"/>
  <c r="F34" i="61" s="1"/>
  <c r="Q29" i="61"/>
  <c r="O29" i="61"/>
  <c r="M29" i="61"/>
  <c r="L29" i="61"/>
  <c r="K29" i="61"/>
  <c r="J29" i="61"/>
  <c r="I29" i="61"/>
  <c r="H29" i="61"/>
  <c r="G29" i="61"/>
  <c r="F29" i="61"/>
  <c r="K44" i="60"/>
  <c r="H44" i="60"/>
  <c r="Q42" i="60"/>
  <c r="Q44" i="60" s="1"/>
  <c r="P42" i="60"/>
  <c r="P44" i="60" s="1"/>
  <c r="O42" i="60"/>
  <c r="O44" i="60" s="1"/>
  <c r="N42" i="60"/>
  <c r="N44" i="60" s="1"/>
  <c r="M42" i="60"/>
  <c r="M44" i="60" s="1"/>
  <c r="L42" i="60"/>
  <c r="L44" i="60" s="1"/>
  <c r="K42" i="60"/>
  <c r="J42" i="60"/>
  <c r="J44" i="60" s="1"/>
  <c r="I42" i="60"/>
  <c r="I44" i="60" s="1"/>
  <c r="H42" i="60"/>
  <c r="G42" i="60"/>
  <c r="G44" i="60" s="1"/>
  <c r="F42" i="60"/>
  <c r="F44" i="60" s="1"/>
  <c r="Q38" i="60"/>
  <c r="P38" i="60"/>
  <c r="O38" i="60"/>
  <c r="N38" i="60"/>
  <c r="M38" i="60"/>
  <c r="L38" i="60"/>
  <c r="K38" i="60"/>
  <c r="J38" i="60"/>
  <c r="I38" i="60"/>
  <c r="H38" i="60"/>
  <c r="G38" i="60"/>
  <c r="F38" i="60"/>
  <c r="Q33" i="60"/>
  <c r="Q34" i="60" s="1"/>
  <c r="P33" i="60"/>
  <c r="P34" i="60" s="1"/>
  <c r="O33" i="60"/>
  <c r="O34" i="60" s="1"/>
  <c r="N33" i="60"/>
  <c r="N34" i="60" s="1"/>
  <c r="M33" i="60"/>
  <c r="M34" i="60" s="1"/>
  <c r="L33" i="60"/>
  <c r="L34" i="60" s="1"/>
  <c r="K33" i="60"/>
  <c r="K34" i="60" s="1"/>
  <c r="J33" i="60"/>
  <c r="J34" i="60" s="1"/>
  <c r="I33" i="60"/>
  <c r="I34" i="60" s="1"/>
  <c r="H33" i="60"/>
  <c r="H34" i="60" s="1"/>
  <c r="G33" i="60"/>
  <c r="G34" i="60" s="1"/>
  <c r="F33" i="60"/>
  <c r="F34" i="60" s="1"/>
  <c r="Q29" i="60"/>
  <c r="P29" i="60"/>
  <c r="O29" i="60"/>
  <c r="M29" i="60"/>
  <c r="L29" i="60"/>
  <c r="K29" i="60"/>
  <c r="J29" i="60"/>
  <c r="I29" i="60"/>
  <c r="H29" i="60"/>
  <c r="G29" i="60"/>
  <c r="F29" i="60"/>
  <c r="P29" i="59"/>
  <c r="Q42" i="59"/>
  <c r="Q44" i="59" s="1"/>
  <c r="P42" i="59"/>
  <c r="P44" i="59" s="1"/>
  <c r="O42" i="59"/>
  <c r="O44" i="59" s="1"/>
  <c r="N42" i="59"/>
  <c r="N44" i="59" s="1"/>
  <c r="M42" i="59"/>
  <c r="M44" i="59" s="1"/>
  <c r="L42" i="59"/>
  <c r="L44" i="59" s="1"/>
  <c r="K42" i="59"/>
  <c r="K44" i="59" s="1"/>
  <c r="J42" i="59"/>
  <c r="J44" i="59" s="1"/>
  <c r="I42" i="59"/>
  <c r="I44" i="59" s="1"/>
  <c r="H42" i="59"/>
  <c r="H44" i="59" s="1"/>
  <c r="G42" i="59"/>
  <c r="G44" i="59" s="1"/>
  <c r="F42" i="59"/>
  <c r="F44" i="59" s="1"/>
  <c r="Q38" i="59"/>
  <c r="P38" i="59"/>
  <c r="O38" i="59"/>
  <c r="N38" i="59"/>
  <c r="M38" i="59"/>
  <c r="L38" i="59"/>
  <c r="K38" i="59"/>
  <c r="J38" i="59"/>
  <c r="I38" i="59"/>
  <c r="H38" i="59"/>
  <c r="G38" i="59"/>
  <c r="F38" i="59"/>
  <c r="Q33" i="59"/>
  <c r="Q34" i="59" s="1"/>
  <c r="P33" i="59"/>
  <c r="P34" i="59" s="1"/>
  <c r="O33" i="59"/>
  <c r="O34" i="59" s="1"/>
  <c r="N33" i="59"/>
  <c r="N34" i="59" s="1"/>
  <c r="M33" i="59"/>
  <c r="M34" i="59" s="1"/>
  <c r="L33" i="59"/>
  <c r="L34" i="59" s="1"/>
  <c r="K33" i="59"/>
  <c r="K34" i="59" s="1"/>
  <c r="J33" i="59"/>
  <c r="J34" i="59" s="1"/>
  <c r="I33" i="59"/>
  <c r="I34" i="59" s="1"/>
  <c r="H33" i="59"/>
  <c r="H34" i="59" s="1"/>
  <c r="G33" i="59"/>
  <c r="G34" i="59" s="1"/>
  <c r="F33" i="59"/>
  <c r="F34" i="59" s="1"/>
  <c r="Q29" i="59"/>
  <c r="O29" i="59"/>
  <c r="M29" i="59"/>
  <c r="L29" i="59"/>
  <c r="K29" i="59"/>
  <c r="J29" i="59"/>
  <c r="I29" i="59"/>
  <c r="H29" i="59"/>
  <c r="G29" i="59"/>
  <c r="F29" i="59"/>
  <c r="Q42" i="58"/>
  <c r="Q44" i="58" s="1"/>
  <c r="P42" i="58"/>
  <c r="P44" i="58" s="1"/>
  <c r="O42" i="58"/>
  <c r="O44" i="58" s="1"/>
  <c r="N42" i="58"/>
  <c r="N44" i="58" s="1"/>
  <c r="M42" i="58"/>
  <c r="M44" i="58" s="1"/>
  <c r="L42" i="58"/>
  <c r="L44" i="58" s="1"/>
  <c r="K42" i="58"/>
  <c r="K44" i="58" s="1"/>
  <c r="J42" i="58"/>
  <c r="J44" i="58" s="1"/>
  <c r="I42" i="58"/>
  <c r="I44" i="58" s="1"/>
  <c r="H42" i="58"/>
  <c r="H44" i="58" s="1"/>
  <c r="G42" i="58"/>
  <c r="G44" i="58" s="1"/>
  <c r="F42" i="58"/>
  <c r="F44" i="58" s="1"/>
  <c r="Q38" i="58"/>
  <c r="P38" i="58"/>
  <c r="O38" i="58"/>
  <c r="N38" i="58"/>
  <c r="M38" i="58"/>
  <c r="L38" i="58"/>
  <c r="K38" i="58"/>
  <c r="J38" i="58"/>
  <c r="I38" i="58"/>
  <c r="H38" i="58"/>
  <c r="G38" i="58"/>
  <c r="F38" i="58"/>
  <c r="Q33" i="58"/>
  <c r="Q34" i="58" s="1"/>
  <c r="P33" i="58"/>
  <c r="P34" i="58" s="1"/>
  <c r="O33" i="58"/>
  <c r="O34" i="58" s="1"/>
  <c r="N33" i="58"/>
  <c r="N34" i="58" s="1"/>
  <c r="M33" i="58"/>
  <c r="M34" i="58" s="1"/>
  <c r="L33" i="58"/>
  <c r="L34" i="58" s="1"/>
  <c r="K33" i="58"/>
  <c r="K34" i="58" s="1"/>
  <c r="J33" i="58"/>
  <c r="J34" i="58" s="1"/>
  <c r="I33" i="58"/>
  <c r="I34" i="58" s="1"/>
  <c r="H33" i="58"/>
  <c r="H34" i="58" s="1"/>
  <c r="G33" i="58"/>
  <c r="G34" i="58" s="1"/>
  <c r="F33" i="58"/>
  <c r="F34" i="58" s="1"/>
  <c r="Q29" i="58"/>
  <c r="P29" i="58"/>
  <c r="O29" i="58"/>
  <c r="M29" i="58"/>
  <c r="L29" i="58"/>
  <c r="K29" i="58"/>
  <c r="J29" i="58"/>
  <c r="I29" i="58"/>
  <c r="H29" i="58"/>
  <c r="G29" i="58"/>
  <c r="F29" i="58"/>
  <c r="Q42" i="57"/>
  <c r="Q44" i="57" s="1"/>
  <c r="P42" i="57"/>
  <c r="P44" i="57" s="1"/>
  <c r="O42" i="57"/>
  <c r="O44" i="57" s="1"/>
  <c r="N42" i="57"/>
  <c r="N44" i="57" s="1"/>
  <c r="M42" i="57"/>
  <c r="M44" i="57" s="1"/>
  <c r="L42" i="57"/>
  <c r="L44" i="57" s="1"/>
  <c r="K42" i="57"/>
  <c r="K44" i="57" s="1"/>
  <c r="J42" i="57"/>
  <c r="J44" i="57" s="1"/>
  <c r="I42" i="57"/>
  <c r="I44" i="57" s="1"/>
  <c r="H42" i="57"/>
  <c r="H44" i="57" s="1"/>
  <c r="G42" i="57"/>
  <c r="G44" i="57" s="1"/>
  <c r="F42" i="57"/>
  <c r="F44" i="57" s="1"/>
  <c r="Q38" i="57"/>
  <c r="P38" i="57"/>
  <c r="O38" i="57"/>
  <c r="N38" i="57"/>
  <c r="M38" i="57"/>
  <c r="L38" i="57"/>
  <c r="K38" i="57"/>
  <c r="J38" i="57"/>
  <c r="I38" i="57"/>
  <c r="H38" i="57"/>
  <c r="G38" i="57"/>
  <c r="F38" i="57"/>
  <c r="Q33" i="57"/>
  <c r="Q34" i="57" s="1"/>
  <c r="P33" i="57"/>
  <c r="P34" i="57" s="1"/>
  <c r="O33" i="57"/>
  <c r="O34" i="57" s="1"/>
  <c r="N33" i="57"/>
  <c r="N34" i="57" s="1"/>
  <c r="M33" i="57"/>
  <c r="M34" i="57" s="1"/>
  <c r="L33" i="57"/>
  <c r="L34" i="57" s="1"/>
  <c r="K33" i="57"/>
  <c r="K34" i="57" s="1"/>
  <c r="J33" i="57"/>
  <c r="J34" i="57" s="1"/>
  <c r="I33" i="57"/>
  <c r="I34" i="57" s="1"/>
  <c r="H33" i="57"/>
  <c r="H34" i="57" s="1"/>
  <c r="G33" i="57"/>
  <c r="G34" i="57" s="1"/>
  <c r="F33" i="57"/>
  <c r="F34" i="57" s="1"/>
  <c r="Q29" i="57"/>
  <c r="P29" i="57"/>
  <c r="O29" i="57"/>
  <c r="N29" i="57"/>
  <c r="M29" i="57"/>
  <c r="L29" i="57"/>
  <c r="K29" i="57"/>
  <c r="J29" i="57"/>
  <c r="I29" i="57"/>
  <c r="H29" i="57"/>
  <c r="G29" i="57"/>
  <c r="F29" i="57"/>
  <c r="F44" i="56"/>
  <c r="Q42" i="56"/>
  <c r="Q44" i="56" s="1"/>
  <c r="P42" i="56"/>
  <c r="P44" i="56" s="1"/>
  <c r="O42" i="56"/>
  <c r="O44" i="56" s="1"/>
  <c r="N42" i="56"/>
  <c r="N44" i="56" s="1"/>
  <c r="M42" i="56"/>
  <c r="M44" i="56" s="1"/>
  <c r="L42" i="56"/>
  <c r="L44" i="56" s="1"/>
  <c r="K42" i="56"/>
  <c r="K44" i="56" s="1"/>
  <c r="J42" i="56"/>
  <c r="J44" i="56" s="1"/>
  <c r="I42" i="56"/>
  <c r="I44" i="56" s="1"/>
  <c r="H42" i="56"/>
  <c r="H44" i="56" s="1"/>
  <c r="G42" i="56"/>
  <c r="G44" i="56" s="1"/>
  <c r="F42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Q33" i="56"/>
  <c r="Q34" i="56" s="1"/>
  <c r="P33" i="56"/>
  <c r="P34" i="56" s="1"/>
  <c r="O33" i="56"/>
  <c r="O34" i="56" s="1"/>
  <c r="N33" i="56"/>
  <c r="N34" i="56" s="1"/>
  <c r="M33" i="56"/>
  <c r="M34" i="56" s="1"/>
  <c r="L33" i="56"/>
  <c r="L34" i="56" s="1"/>
  <c r="K33" i="56"/>
  <c r="K34" i="56" s="1"/>
  <c r="J33" i="56"/>
  <c r="J34" i="56" s="1"/>
  <c r="I33" i="56"/>
  <c r="I34" i="56" s="1"/>
  <c r="H33" i="56"/>
  <c r="H34" i="56" s="1"/>
  <c r="G33" i="56"/>
  <c r="G34" i="56" s="1"/>
  <c r="F33" i="56"/>
  <c r="F34" i="56" s="1"/>
  <c r="Q29" i="56"/>
  <c r="P29" i="56"/>
  <c r="O29" i="56"/>
  <c r="N29" i="56"/>
  <c r="M29" i="56"/>
  <c r="L29" i="56"/>
  <c r="K29" i="56"/>
  <c r="J29" i="56"/>
  <c r="I29" i="56"/>
  <c r="H29" i="56"/>
  <c r="G29" i="56"/>
  <c r="F29" i="56"/>
  <c r="N38" i="55"/>
  <c r="M38" i="55"/>
  <c r="L44" i="55"/>
  <c r="H44" i="55"/>
  <c r="Q42" i="55"/>
  <c r="Q44" i="55" s="1"/>
  <c r="P42" i="55"/>
  <c r="P44" i="55" s="1"/>
  <c r="O42" i="55"/>
  <c r="O44" i="55" s="1"/>
  <c r="N42" i="55"/>
  <c r="N44" i="55" s="1"/>
  <c r="M42" i="55"/>
  <c r="M44" i="55" s="1"/>
  <c r="L42" i="55"/>
  <c r="K42" i="55"/>
  <c r="K44" i="55" s="1"/>
  <c r="J42" i="55"/>
  <c r="J44" i="55" s="1"/>
  <c r="I42" i="55"/>
  <c r="I44" i="55" s="1"/>
  <c r="H42" i="55"/>
  <c r="G42" i="55"/>
  <c r="G44" i="55" s="1"/>
  <c r="F42" i="55"/>
  <c r="F44" i="55" s="1"/>
  <c r="Q38" i="55"/>
  <c r="P38" i="55"/>
  <c r="O38" i="55"/>
  <c r="L38" i="55"/>
  <c r="K38" i="55"/>
  <c r="J38" i="55"/>
  <c r="I38" i="55"/>
  <c r="H38" i="55"/>
  <c r="G38" i="55"/>
  <c r="F38" i="55"/>
  <c r="J34" i="55"/>
  <c r="Q33" i="55"/>
  <c r="Q34" i="55" s="1"/>
  <c r="P33" i="55"/>
  <c r="P34" i="55" s="1"/>
  <c r="O33" i="55"/>
  <c r="O34" i="55" s="1"/>
  <c r="N33" i="55"/>
  <c r="N34" i="55" s="1"/>
  <c r="M33" i="55"/>
  <c r="M34" i="55" s="1"/>
  <c r="L33" i="55"/>
  <c r="L34" i="55" s="1"/>
  <c r="K33" i="55"/>
  <c r="K34" i="55" s="1"/>
  <c r="J33" i="55"/>
  <c r="I33" i="55"/>
  <c r="I34" i="55" s="1"/>
  <c r="H33" i="55"/>
  <c r="H34" i="55" s="1"/>
  <c r="G33" i="55"/>
  <c r="G34" i="55" s="1"/>
  <c r="F33" i="55"/>
  <c r="F34" i="55" s="1"/>
  <c r="Q29" i="55"/>
  <c r="P29" i="55"/>
  <c r="O29" i="55"/>
  <c r="N29" i="55"/>
  <c r="M29" i="55"/>
  <c r="L29" i="55"/>
  <c r="K29" i="55"/>
  <c r="J29" i="55"/>
  <c r="I29" i="55"/>
  <c r="H29" i="55"/>
  <c r="G29" i="55"/>
  <c r="F29" i="55"/>
  <c r="G44" i="54"/>
  <c r="H44" i="54"/>
  <c r="I44" i="54"/>
  <c r="K44" i="54"/>
  <c r="L44" i="54"/>
  <c r="M44" i="54"/>
  <c r="N44" i="54"/>
  <c r="O44" i="54"/>
  <c r="P44" i="54"/>
  <c r="Q44" i="54"/>
  <c r="G42" i="54"/>
  <c r="H42" i="54"/>
  <c r="I42" i="54"/>
  <c r="J42" i="54"/>
  <c r="J44" i="54" s="1"/>
  <c r="K42" i="54"/>
  <c r="L42" i="54"/>
  <c r="M42" i="54"/>
  <c r="N42" i="54"/>
  <c r="O42" i="54"/>
  <c r="P42" i="54"/>
  <c r="Q42" i="54"/>
  <c r="G38" i="54"/>
  <c r="H38" i="54"/>
  <c r="I38" i="54"/>
  <c r="J38" i="54"/>
  <c r="K38" i="54"/>
  <c r="L38" i="54"/>
  <c r="M38" i="54"/>
  <c r="N38" i="54"/>
  <c r="O38" i="54"/>
  <c r="P38" i="54"/>
  <c r="Q38" i="54"/>
  <c r="G33" i="54"/>
  <c r="H33" i="54"/>
  <c r="H34" i="54" s="1"/>
  <c r="I33" i="54"/>
  <c r="J33" i="54"/>
  <c r="K33" i="54"/>
  <c r="L33" i="54"/>
  <c r="L34" i="54" s="1"/>
  <c r="M33" i="54"/>
  <c r="M34" i="54" s="1"/>
  <c r="N33" i="54"/>
  <c r="N34" i="54" s="1"/>
  <c r="O33" i="54"/>
  <c r="P33" i="54"/>
  <c r="Q33" i="54"/>
  <c r="G34" i="54"/>
  <c r="I34" i="54"/>
  <c r="J34" i="54"/>
  <c r="K34" i="54"/>
  <c r="O34" i="54"/>
  <c r="P34" i="54"/>
  <c r="Q34" i="54"/>
  <c r="G29" i="54"/>
  <c r="H29" i="54"/>
  <c r="I29" i="54"/>
  <c r="J29" i="54"/>
  <c r="K29" i="54"/>
  <c r="L29" i="54"/>
  <c r="M29" i="54"/>
  <c r="N29" i="54"/>
  <c r="O29" i="54"/>
  <c r="P29" i="54"/>
  <c r="Q29" i="54"/>
  <c r="F42" i="54"/>
  <c r="F44" i="54" s="1"/>
  <c r="F38" i="54"/>
  <c r="F33" i="54"/>
  <c r="F34" i="54" s="1"/>
  <c r="F29" i="54"/>
  <c r="H29" i="53"/>
  <c r="G33" i="53"/>
  <c r="G34" i="53" s="1"/>
  <c r="F44" i="53"/>
  <c r="Q42" i="53"/>
  <c r="Q44" i="53" s="1"/>
  <c r="P42" i="53"/>
  <c r="P44" i="53" s="1"/>
  <c r="O42" i="53"/>
  <c r="O44" i="53" s="1"/>
  <c r="N42" i="53"/>
  <c r="N44" i="53" s="1"/>
  <c r="M42" i="53"/>
  <c r="M44" i="53" s="1"/>
  <c r="L42" i="53"/>
  <c r="L44" i="53" s="1"/>
  <c r="K42" i="53"/>
  <c r="K44" i="53" s="1"/>
  <c r="J42" i="53"/>
  <c r="J44" i="53" s="1"/>
  <c r="I42" i="53"/>
  <c r="I44" i="53" s="1"/>
  <c r="H42" i="53"/>
  <c r="H44" i="53" s="1"/>
  <c r="G42" i="53"/>
  <c r="G44" i="53" s="1"/>
  <c r="F42" i="53"/>
  <c r="Q38" i="53"/>
  <c r="P38" i="53"/>
  <c r="O38" i="53"/>
  <c r="N38" i="53"/>
  <c r="M38" i="53"/>
  <c r="L38" i="53"/>
  <c r="K38" i="53"/>
  <c r="J38" i="53"/>
  <c r="I38" i="53"/>
  <c r="H38" i="53"/>
  <c r="G38" i="53"/>
  <c r="F38" i="53"/>
  <c r="Q33" i="53"/>
  <c r="Q34" i="53" s="1"/>
  <c r="P33" i="53"/>
  <c r="P34" i="53" s="1"/>
  <c r="O33" i="53"/>
  <c r="O34" i="53" s="1"/>
  <c r="N33" i="53"/>
  <c r="N34" i="53" s="1"/>
  <c r="M33" i="53"/>
  <c r="M34" i="53" s="1"/>
  <c r="L33" i="53"/>
  <c r="L34" i="53" s="1"/>
  <c r="K33" i="53"/>
  <c r="K34" i="53" s="1"/>
  <c r="J33" i="53"/>
  <c r="J34" i="53" s="1"/>
  <c r="I33" i="53"/>
  <c r="I34" i="53" s="1"/>
  <c r="H33" i="53"/>
  <c r="H34" i="53" s="1"/>
  <c r="F33" i="53"/>
  <c r="F34" i="53" s="1"/>
  <c r="Q29" i="53"/>
  <c r="P29" i="53"/>
  <c r="O29" i="53"/>
  <c r="N29" i="53"/>
  <c r="M29" i="53"/>
  <c r="L29" i="53"/>
  <c r="K29" i="53"/>
  <c r="J29" i="53"/>
  <c r="I29" i="53"/>
  <c r="F29" i="53"/>
  <c r="N29" i="52"/>
  <c r="H42" i="52"/>
  <c r="I42" i="52"/>
  <c r="J42" i="52"/>
  <c r="J44" i="52" s="1"/>
  <c r="K42" i="52"/>
  <c r="K44" i="52" s="1"/>
  <c r="L42" i="52"/>
  <c r="M42" i="52"/>
  <c r="N42" i="52"/>
  <c r="N44" i="52" s="1"/>
  <c r="O42" i="52"/>
  <c r="O44" i="52" s="1"/>
  <c r="P42" i="52"/>
  <c r="P44" i="52" s="1"/>
  <c r="Q42" i="52"/>
  <c r="Q44" i="52" s="1"/>
  <c r="H44" i="52"/>
  <c r="I44" i="52"/>
  <c r="L44" i="52"/>
  <c r="M44" i="52"/>
  <c r="F44" i="52"/>
  <c r="G42" i="52"/>
  <c r="G44" i="52" s="1"/>
  <c r="F42" i="52"/>
  <c r="Q38" i="52"/>
  <c r="P38" i="52"/>
  <c r="O38" i="52"/>
  <c r="N38" i="52"/>
  <c r="M38" i="52"/>
  <c r="L38" i="52"/>
  <c r="K38" i="52"/>
  <c r="J38" i="52"/>
  <c r="I38" i="52"/>
  <c r="H38" i="52"/>
  <c r="G38" i="52"/>
  <c r="F38" i="52"/>
  <c r="Q33" i="52"/>
  <c r="Q34" i="52" s="1"/>
  <c r="P33" i="52"/>
  <c r="P34" i="52" s="1"/>
  <c r="O33" i="52"/>
  <c r="O34" i="52" s="1"/>
  <c r="N33" i="52"/>
  <c r="N34" i="52" s="1"/>
  <c r="M33" i="52"/>
  <c r="M34" i="52" s="1"/>
  <c r="L33" i="52"/>
  <c r="L34" i="52" s="1"/>
  <c r="K33" i="52"/>
  <c r="K34" i="52" s="1"/>
  <c r="J33" i="52"/>
  <c r="J34" i="52" s="1"/>
  <c r="I33" i="52"/>
  <c r="I34" i="52" s="1"/>
  <c r="H33" i="52"/>
  <c r="H34" i="52" s="1"/>
  <c r="G33" i="52"/>
  <c r="G34" i="52" s="1"/>
  <c r="F33" i="52"/>
  <c r="F34" i="52" s="1"/>
  <c r="Q29" i="52"/>
  <c r="P29" i="52"/>
  <c r="O29" i="52"/>
  <c r="M29" i="52"/>
  <c r="L29" i="52"/>
  <c r="K29" i="52"/>
  <c r="J29" i="52"/>
  <c r="I29" i="52"/>
  <c r="H29" i="52"/>
  <c r="G29" i="52"/>
  <c r="F29" i="52"/>
  <c r="Q42" i="51"/>
  <c r="Q44" i="51" s="1"/>
  <c r="P42" i="51"/>
  <c r="P44" i="51" s="1"/>
  <c r="O42" i="51"/>
  <c r="O44" i="51" s="1"/>
  <c r="N42" i="51"/>
  <c r="N44" i="51" s="1"/>
  <c r="M42" i="51"/>
  <c r="M44" i="51" s="1"/>
  <c r="L42" i="51"/>
  <c r="L44" i="51" s="1"/>
  <c r="K42" i="51"/>
  <c r="K44" i="51" s="1"/>
  <c r="J42" i="51"/>
  <c r="J44" i="51" s="1"/>
  <c r="I42" i="51"/>
  <c r="I44" i="51" s="1"/>
  <c r="H42" i="51"/>
  <c r="H44" i="51" s="1"/>
  <c r="G42" i="51"/>
  <c r="G44" i="51" s="1"/>
  <c r="F42" i="51"/>
  <c r="F44" i="51" s="1"/>
  <c r="Q38" i="51"/>
  <c r="P38" i="51"/>
  <c r="O38" i="51"/>
  <c r="N38" i="51"/>
  <c r="M38" i="51"/>
  <c r="L38" i="51"/>
  <c r="K38" i="51"/>
  <c r="J38" i="51"/>
  <c r="I38" i="51"/>
  <c r="H38" i="51"/>
  <c r="G38" i="51"/>
  <c r="F38" i="51"/>
  <c r="Q33" i="51"/>
  <c r="Q34" i="51" s="1"/>
  <c r="P33" i="51"/>
  <c r="P34" i="51" s="1"/>
  <c r="O33" i="51"/>
  <c r="O34" i="51" s="1"/>
  <c r="N33" i="51"/>
  <c r="N34" i="51" s="1"/>
  <c r="M33" i="51"/>
  <c r="M34" i="51" s="1"/>
  <c r="L33" i="51"/>
  <c r="L34" i="51" s="1"/>
  <c r="K33" i="51"/>
  <c r="K34" i="51" s="1"/>
  <c r="J33" i="51"/>
  <c r="J34" i="51" s="1"/>
  <c r="I33" i="51"/>
  <c r="I34" i="51" s="1"/>
  <c r="H33" i="51"/>
  <c r="H34" i="51" s="1"/>
  <c r="G33" i="51"/>
  <c r="G34" i="51" s="1"/>
  <c r="F33" i="51"/>
  <c r="F34" i="51" s="1"/>
  <c r="Q29" i="51"/>
  <c r="P29" i="51"/>
  <c r="O29" i="51"/>
  <c r="M29" i="51"/>
  <c r="L29" i="51"/>
  <c r="K29" i="51"/>
  <c r="J29" i="51"/>
  <c r="I29" i="51"/>
  <c r="H29" i="51"/>
  <c r="G29" i="51"/>
  <c r="F29" i="51"/>
  <c r="F42" i="50"/>
  <c r="F44" i="50" s="1"/>
  <c r="H33" i="50"/>
  <c r="I33" i="50"/>
  <c r="J33" i="50"/>
  <c r="J34" i="50" s="1"/>
  <c r="K33" i="50"/>
  <c r="K34" i="50" s="1"/>
  <c r="L33" i="50"/>
  <c r="M33" i="50"/>
  <c r="N33" i="50"/>
  <c r="O33" i="50"/>
  <c r="O34" i="50" s="1"/>
  <c r="P33" i="50"/>
  <c r="P34" i="50" s="1"/>
  <c r="Q33" i="50"/>
  <c r="H44" i="50"/>
  <c r="J44" i="50"/>
  <c r="L44" i="50"/>
  <c r="N44" i="50"/>
  <c r="P44" i="50"/>
  <c r="H42" i="50"/>
  <c r="I42" i="50"/>
  <c r="I44" i="50" s="1"/>
  <c r="J42" i="50"/>
  <c r="K42" i="50"/>
  <c r="K44" i="50" s="1"/>
  <c r="L42" i="50"/>
  <c r="M42" i="50"/>
  <c r="M44" i="50" s="1"/>
  <c r="N42" i="50"/>
  <c r="O42" i="50"/>
  <c r="O44" i="50" s="1"/>
  <c r="P42" i="50"/>
  <c r="Q42" i="50"/>
  <c r="Q44" i="50" s="1"/>
  <c r="H38" i="50"/>
  <c r="I38" i="50"/>
  <c r="J38" i="50"/>
  <c r="K38" i="50"/>
  <c r="L38" i="50"/>
  <c r="M38" i="50"/>
  <c r="N38" i="50"/>
  <c r="O38" i="50"/>
  <c r="P38" i="50"/>
  <c r="Q38" i="50"/>
  <c r="H34" i="50"/>
  <c r="L34" i="50"/>
  <c r="N34" i="50"/>
  <c r="H29" i="50"/>
  <c r="G42" i="50"/>
  <c r="G44" i="50" s="1"/>
  <c r="G38" i="50"/>
  <c r="F38" i="50"/>
  <c r="Q34" i="50"/>
  <c r="M34" i="50"/>
  <c r="I34" i="50"/>
  <c r="G33" i="50"/>
  <c r="G34" i="50" s="1"/>
  <c r="F33" i="50"/>
  <c r="F34" i="50" s="1"/>
  <c r="Q29" i="50"/>
  <c r="P29" i="50"/>
  <c r="O29" i="50"/>
  <c r="M29" i="50"/>
  <c r="L29" i="50"/>
  <c r="K29" i="50"/>
  <c r="J29" i="50"/>
  <c r="I29" i="50"/>
  <c r="G29" i="50"/>
  <c r="F29" i="50"/>
  <c r="Q42" i="49"/>
  <c r="Q44" i="49" s="1"/>
  <c r="P42" i="49"/>
  <c r="P44" i="49" s="1"/>
  <c r="O42" i="49"/>
  <c r="O44" i="49" s="1"/>
  <c r="N42" i="49"/>
  <c r="N44" i="49" s="1"/>
  <c r="M42" i="49"/>
  <c r="M44" i="49" s="1"/>
  <c r="L42" i="49"/>
  <c r="L44" i="49" s="1"/>
  <c r="K42" i="49"/>
  <c r="K44" i="49" s="1"/>
  <c r="J42" i="49"/>
  <c r="J44" i="49" s="1"/>
  <c r="I42" i="49"/>
  <c r="I44" i="49" s="1"/>
  <c r="H42" i="49"/>
  <c r="H44" i="49" s="1"/>
  <c r="G42" i="49"/>
  <c r="G44" i="49" s="1"/>
  <c r="F42" i="49"/>
  <c r="F44" i="49" s="1"/>
  <c r="Q38" i="49"/>
  <c r="P38" i="49"/>
  <c r="O38" i="49"/>
  <c r="N38" i="49"/>
  <c r="M38" i="49"/>
  <c r="L38" i="49"/>
  <c r="K38" i="49"/>
  <c r="J38" i="49"/>
  <c r="I38" i="49"/>
  <c r="H38" i="49"/>
  <c r="G38" i="49"/>
  <c r="F38" i="49"/>
  <c r="Q33" i="49"/>
  <c r="Q34" i="49" s="1"/>
  <c r="P33" i="49"/>
  <c r="P34" i="49" s="1"/>
  <c r="O33" i="49"/>
  <c r="O34" i="49" s="1"/>
  <c r="N33" i="49"/>
  <c r="N34" i="49" s="1"/>
  <c r="M33" i="49"/>
  <c r="M34" i="49" s="1"/>
  <c r="L33" i="49"/>
  <c r="L34" i="49" s="1"/>
  <c r="K33" i="49"/>
  <c r="K34" i="49" s="1"/>
  <c r="J33" i="49"/>
  <c r="J34" i="49" s="1"/>
  <c r="I33" i="49"/>
  <c r="I34" i="49" s="1"/>
  <c r="H33" i="49"/>
  <c r="H34" i="49" s="1"/>
  <c r="G33" i="49"/>
  <c r="G34" i="49" s="1"/>
  <c r="F33" i="49"/>
  <c r="F34" i="49" s="1"/>
  <c r="Q29" i="49"/>
  <c r="P29" i="49"/>
  <c r="O29" i="49"/>
  <c r="N29" i="49"/>
  <c r="M29" i="49"/>
  <c r="L29" i="49"/>
  <c r="K29" i="49"/>
  <c r="J29" i="49"/>
  <c r="I29" i="49"/>
  <c r="H29" i="49"/>
  <c r="G29" i="49"/>
  <c r="F29" i="49"/>
  <c r="F34" i="48"/>
  <c r="P44" i="48"/>
  <c r="O44" i="48"/>
  <c r="I44" i="48"/>
  <c r="Q42" i="48"/>
  <c r="Q44" i="48" s="1"/>
  <c r="P42" i="48"/>
  <c r="O42" i="48"/>
  <c r="N42" i="48"/>
  <c r="N44" i="48" s="1"/>
  <c r="M42" i="48"/>
  <c r="M44" i="48" s="1"/>
  <c r="L42" i="48"/>
  <c r="L44" i="48" s="1"/>
  <c r="K42" i="48"/>
  <c r="K44" i="48" s="1"/>
  <c r="J42" i="48"/>
  <c r="J44" i="48" s="1"/>
  <c r="I42" i="48"/>
  <c r="H42" i="48"/>
  <c r="H44" i="48" s="1"/>
  <c r="G42" i="48"/>
  <c r="G44" i="48" s="1"/>
  <c r="F42" i="48"/>
  <c r="F44" i="48" s="1"/>
  <c r="Q38" i="48"/>
  <c r="P38" i="48"/>
  <c r="O38" i="48"/>
  <c r="N38" i="48"/>
  <c r="M38" i="48"/>
  <c r="L38" i="48"/>
  <c r="K38" i="48"/>
  <c r="J38" i="48"/>
  <c r="I38" i="48"/>
  <c r="H38" i="48"/>
  <c r="G38" i="48"/>
  <c r="F38" i="48"/>
  <c r="Q33" i="48"/>
  <c r="Q34" i="48" s="1"/>
  <c r="P33" i="48"/>
  <c r="P34" i="48" s="1"/>
  <c r="O33" i="48"/>
  <c r="O34" i="48" s="1"/>
  <c r="N33" i="48"/>
  <c r="N34" i="48" s="1"/>
  <c r="M33" i="48"/>
  <c r="M34" i="48" s="1"/>
  <c r="L33" i="48"/>
  <c r="L34" i="48" s="1"/>
  <c r="K33" i="48"/>
  <c r="K34" i="48" s="1"/>
  <c r="J33" i="48"/>
  <c r="J34" i="48" s="1"/>
  <c r="I33" i="48"/>
  <c r="I34" i="48" s="1"/>
  <c r="H33" i="48"/>
  <c r="H34" i="48" s="1"/>
  <c r="G33" i="48"/>
  <c r="G34" i="48" s="1"/>
  <c r="F33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F42" i="47"/>
  <c r="F44" i="47" s="1"/>
  <c r="F38" i="47"/>
  <c r="H38" i="47"/>
  <c r="F34" i="47"/>
  <c r="F33" i="47"/>
  <c r="H33" i="47"/>
  <c r="H34" i="47" s="1"/>
  <c r="F29" i="47"/>
  <c r="H29" i="47"/>
  <c r="Q38" i="47"/>
  <c r="Q42" i="47"/>
  <c r="Q44" i="47" s="1"/>
  <c r="P42" i="47"/>
  <c r="P44" i="47" s="1"/>
  <c r="O42" i="47"/>
  <c r="O44" i="47" s="1"/>
  <c r="N42" i="47"/>
  <c r="N44" i="47" s="1"/>
  <c r="M42" i="47"/>
  <c r="M44" i="47" s="1"/>
  <c r="L42" i="47"/>
  <c r="L44" i="47" s="1"/>
  <c r="K42" i="47"/>
  <c r="K44" i="47" s="1"/>
  <c r="J42" i="47"/>
  <c r="J44" i="47" s="1"/>
  <c r="I42" i="47"/>
  <c r="I44" i="47" s="1"/>
  <c r="H42" i="47"/>
  <c r="H44" i="47" s="1"/>
  <c r="G42" i="47"/>
  <c r="G44" i="47" s="1"/>
  <c r="P38" i="47"/>
  <c r="O38" i="47"/>
  <c r="N38" i="47"/>
  <c r="M38" i="47"/>
  <c r="L38" i="47"/>
  <c r="K38" i="47"/>
  <c r="J38" i="47"/>
  <c r="I38" i="47"/>
  <c r="G38" i="47"/>
  <c r="L34" i="47"/>
  <c r="Q33" i="47"/>
  <c r="Q34" i="47" s="1"/>
  <c r="P33" i="47"/>
  <c r="P34" i="47" s="1"/>
  <c r="O33" i="47"/>
  <c r="O34" i="47" s="1"/>
  <c r="N33" i="47"/>
  <c r="N34" i="47" s="1"/>
  <c r="M33" i="47"/>
  <c r="M34" i="47" s="1"/>
  <c r="L33" i="47"/>
  <c r="K33" i="47"/>
  <c r="K34" i="47" s="1"/>
  <c r="J33" i="47"/>
  <c r="J34" i="47" s="1"/>
  <c r="I33" i="47"/>
  <c r="I34" i="47" s="1"/>
  <c r="G33" i="47"/>
  <c r="G34" i="47" s="1"/>
  <c r="Q29" i="47"/>
  <c r="P29" i="47"/>
  <c r="O29" i="47"/>
  <c r="N29" i="47"/>
  <c r="M29" i="47"/>
  <c r="L29" i="47"/>
  <c r="K29" i="47"/>
  <c r="J29" i="47"/>
  <c r="I29" i="47"/>
  <c r="G29" i="47"/>
  <c r="H44" i="46"/>
  <c r="I44" i="46"/>
  <c r="J44" i="46"/>
  <c r="K44" i="46"/>
  <c r="L44" i="46"/>
  <c r="M44" i="46"/>
  <c r="N44" i="46"/>
  <c r="O44" i="46"/>
  <c r="P44" i="46"/>
  <c r="Q44" i="46"/>
  <c r="H42" i="46"/>
  <c r="I42" i="46"/>
  <c r="J42" i="46"/>
  <c r="K42" i="46"/>
  <c r="L42" i="46"/>
  <c r="M42" i="46"/>
  <c r="N42" i="46"/>
  <c r="O42" i="46"/>
  <c r="P42" i="46"/>
  <c r="Q42" i="46"/>
  <c r="H38" i="46"/>
  <c r="I38" i="46"/>
  <c r="J38" i="46"/>
  <c r="K38" i="46"/>
  <c r="L38" i="46"/>
  <c r="M38" i="46"/>
  <c r="N38" i="46"/>
  <c r="O38" i="46"/>
  <c r="P38" i="46"/>
  <c r="Q38" i="46"/>
  <c r="H34" i="46"/>
  <c r="I34" i="46"/>
  <c r="J34" i="46"/>
  <c r="K34" i="46"/>
  <c r="L34" i="46"/>
  <c r="M34" i="46"/>
  <c r="N34" i="46"/>
  <c r="O34" i="46"/>
  <c r="Q34" i="46"/>
  <c r="H33" i="46"/>
  <c r="I33" i="46"/>
  <c r="J33" i="46"/>
  <c r="K33" i="46"/>
  <c r="L33" i="46"/>
  <c r="M33" i="46"/>
  <c r="N33" i="46"/>
  <c r="O33" i="46"/>
  <c r="P33" i="46"/>
  <c r="P34" i="46" s="1"/>
  <c r="Q33" i="46"/>
  <c r="H29" i="46"/>
  <c r="I29" i="46"/>
  <c r="J29" i="46"/>
  <c r="K29" i="46"/>
  <c r="L29" i="46"/>
  <c r="M29" i="46"/>
  <c r="N29" i="46"/>
  <c r="O29" i="46"/>
  <c r="P29" i="46"/>
  <c r="Q29" i="46"/>
  <c r="G42" i="46"/>
  <c r="G44" i="46" s="1"/>
  <c r="G38" i="46"/>
  <c r="G34" i="46"/>
  <c r="G33" i="46"/>
  <c r="G29" i="46"/>
  <c r="M44" i="45"/>
  <c r="Q42" i="45"/>
  <c r="Q44" i="45" s="1"/>
  <c r="P42" i="45"/>
  <c r="P44" i="45" s="1"/>
  <c r="O42" i="45"/>
  <c r="O44" i="45" s="1"/>
  <c r="N42" i="45"/>
  <c r="N44" i="45" s="1"/>
  <c r="M42" i="45"/>
  <c r="L42" i="45"/>
  <c r="L44" i="45" s="1"/>
  <c r="K42" i="45"/>
  <c r="K44" i="45" s="1"/>
  <c r="J42" i="45"/>
  <c r="J44" i="45" s="1"/>
  <c r="I42" i="45"/>
  <c r="I44" i="45" s="1"/>
  <c r="H42" i="45"/>
  <c r="H44" i="45" s="1"/>
  <c r="G42" i="45"/>
  <c r="G44" i="45" s="1"/>
  <c r="F42" i="45"/>
  <c r="F44" i="45" s="1"/>
  <c r="Q38" i="45"/>
  <c r="P38" i="45"/>
  <c r="O38" i="45"/>
  <c r="N38" i="45"/>
  <c r="M38" i="45"/>
  <c r="L38" i="45"/>
  <c r="K38" i="45"/>
  <c r="J38" i="45"/>
  <c r="I38" i="45"/>
  <c r="H38" i="45"/>
  <c r="G38" i="45"/>
  <c r="F38" i="45"/>
  <c r="M34" i="45"/>
  <c r="Q33" i="45"/>
  <c r="Q34" i="45" s="1"/>
  <c r="P33" i="45"/>
  <c r="P34" i="45" s="1"/>
  <c r="O33" i="45"/>
  <c r="O34" i="45" s="1"/>
  <c r="N33" i="45"/>
  <c r="N34" i="45" s="1"/>
  <c r="L33" i="45"/>
  <c r="L34" i="45" s="1"/>
  <c r="K33" i="45"/>
  <c r="K34" i="45" s="1"/>
  <c r="J33" i="45"/>
  <c r="J34" i="45" s="1"/>
  <c r="I33" i="45"/>
  <c r="I34" i="45" s="1"/>
  <c r="H33" i="45"/>
  <c r="H34" i="45" s="1"/>
  <c r="G33" i="45"/>
  <c r="G34" i="45" s="1"/>
  <c r="F33" i="45"/>
  <c r="F34" i="45" s="1"/>
  <c r="Q29" i="45"/>
  <c r="P29" i="45"/>
  <c r="O29" i="45"/>
  <c r="N29" i="45"/>
  <c r="M29" i="45"/>
  <c r="L29" i="45"/>
  <c r="K29" i="45"/>
  <c r="J29" i="45"/>
  <c r="I29" i="45"/>
  <c r="H29" i="45"/>
  <c r="G29" i="45"/>
  <c r="F29" i="45"/>
  <c r="H44" i="44"/>
  <c r="P42" i="44"/>
  <c r="P44" i="44" s="1"/>
  <c r="Q42" i="44"/>
  <c r="Q44" i="44" s="1"/>
  <c r="P38" i="44"/>
  <c r="Q38" i="44"/>
  <c r="F44" i="44"/>
  <c r="O42" i="44"/>
  <c r="O44" i="44" s="1"/>
  <c r="N42" i="44"/>
  <c r="N44" i="44" s="1"/>
  <c r="M42" i="44"/>
  <c r="M44" i="44" s="1"/>
  <c r="L42" i="44"/>
  <c r="L44" i="44" s="1"/>
  <c r="K42" i="44"/>
  <c r="K44" i="44" s="1"/>
  <c r="J42" i="44"/>
  <c r="J44" i="44" s="1"/>
  <c r="I42" i="44"/>
  <c r="I44" i="44" s="1"/>
  <c r="H42" i="44"/>
  <c r="G42" i="44"/>
  <c r="G44" i="44" s="1"/>
  <c r="F42" i="44"/>
  <c r="O38" i="44"/>
  <c r="N38" i="44"/>
  <c r="M38" i="44"/>
  <c r="L38" i="44"/>
  <c r="K38" i="44"/>
  <c r="J38" i="44"/>
  <c r="I38" i="44"/>
  <c r="H38" i="44"/>
  <c r="G38" i="44"/>
  <c r="F38" i="44"/>
  <c r="M34" i="44"/>
  <c r="J34" i="44"/>
  <c r="I34" i="44"/>
  <c r="F34" i="44"/>
  <c r="Q33" i="44"/>
  <c r="Q34" i="44" s="1"/>
  <c r="P33" i="44"/>
  <c r="P34" i="44" s="1"/>
  <c r="O33" i="44"/>
  <c r="O34" i="44" s="1"/>
  <c r="N33" i="44"/>
  <c r="N34" i="44" s="1"/>
  <c r="L33" i="44"/>
  <c r="L34" i="44" s="1"/>
  <c r="K33" i="44"/>
  <c r="K34" i="44" s="1"/>
  <c r="J33" i="44"/>
  <c r="I33" i="44"/>
  <c r="H33" i="44"/>
  <c r="H34" i="44" s="1"/>
  <c r="G33" i="44"/>
  <c r="G34" i="44" s="1"/>
  <c r="F33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Q42" i="43"/>
  <c r="Q44" i="43" s="1"/>
  <c r="P42" i="43"/>
  <c r="P44" i="43" s="1"/>
  <c r="O42" i="43"/>
  <c r="O44" i="43" s="1"/>
  <c r="N42" i="43"/>
  <c r="N44" i="43" s="1"/>
  <c r="M42" i="43"/>
  <c r="M44" i="43" s="1"/>
  <c r="L42" i="43"/>
  <c r="L44" i="43" s="1"/>
  <c r="K42" i="43"/>
  <c r="K44" i="43" s="1"/>
  <c r="J42" i="43"/>
  <c r="J44" i="43" s="1"/>
  <c r="I42" i="43"/>
  <c r="I44" i="43" s="1"/>
  <c r="H42" i="43"/>
  <c r="H44" i="43" s="1"/>
  <c r="G42" i="43"/>
  <c r="G44" i="43" s="1"/>
  <c r="F42" i="43"/>
  <c r="F44" i="43" s="1"/>
  <c r="Q38" i="43"/>
  <c r="P38" i="43"/>
  <c r="O38" i="43"/>
  <c r="N38" i="43"/>
  <c r="M38" i="43"/>
  <c r="L38" i="43"/>
  <c r="K38" i="43"/>
  <c r="J38" i="43"/>
  <c r="I38" i="43"/>
  <c r="H38" i="43"/>
  <c r="G38" i="43"/>
  <c r="F38" i="43"/>
  <c r="M34" i="43"/>
  <c r="F34" i="43"/>
  <c r="Q33" i="43"/>
  <c r="Q34" i="43" s="1"/>
  <c r="P33" i="43"/>
  <c r="P34" i="43" s="1"/>
  <c r="O33" i="43"/>
  <c r="O34" i="43" s="1"/>
  <c r="N33" i="43"/>
  <c r="N34" i="43" s="1"/>
  <c r="L33" i="43"/>
  <c r="L34" i="43" s="1"/>
  <c r="K33" i="43"/>
  <c r="K34" i="43" s="1"/>
  <c r="J33" i="43"/>
  <c r="J34" i="43" s="1"/>
  <c r="I33" i="43"/>
  <c r="I34" i="43" s="1"/>
  <c r="H33" i="43"/>
  <c r="H34" i="43" s="1"/>
  <c r="G33" i="43"/>
  <c r="G34" i="43" s="1"/>
  <c r="F33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Q42" i="42"/>
  <c r="Q44" i="42" s="1"/>
  <c r="P42" i="42"/>
  <c r="P44" i="42" s="1"/>
  <c r="O42" i="42"/>
  <c r="O44" i="42" s="1"/>
  <c r="N42" i="42"/>
  <c r="N44" i="42" s="1"/>
  <c r="M42" i="42"/>
  <c r="M44" i="42" s="1"/>
  <c r="L42" i="42"/>
  <c r="L44" i="42" s="1"/>
  <c r="K42" i="42"/>
  <c r="K44" i="42" s="1"/>
  <c r="J42" i="42"/>
  <c r="J44" i="42" s="1"/>
  <c r="I42" i="42"/>
  <c r="I44" i="42" s="1"/>
  <c r="H42" i="42"/>
  <c r="H44" i="42" s="1"/>
  <c r="G42" i="42"/>
  <c r="G44" i="42" s="1"/>
  <c r="F42" i="42"/>
  <c r="F44" i="42" s="1"/>
  <c r="Q38" i="42"/>
  <c r="P38" i="42"/>
  <c r="O38" i="42"/>
  <c r="N38" i="42"/>
  <c r="M38" i="42"/>
  <c r="L38" i="42"/>
  <c r="K38" i="42"/>
  <c r="J38" i="42"/>
  <c r="I38" i="42"/>
  <c r="H38" i="42"/>
  <c r="G38" i="42"/>
  <c r="F38" i="42"/>
  <c r="P34" i="42"/>
  <c r="M34" i="42"/>
  <c r="Q33" i="42"/>
  <c r="Q34" i="42" s="1"/>
  <c r="P33" i="42"/>
  <c r="O33" i="42"/>
  <c r="O34" i="42" s="1"/>
  <c r="N33" i="42"/>
  <c r="N34" i="42" s="1"/>
  <c r="L33" i="42"/>
  <c r="L34" i="42" s="1"/>
  <c r="K33" i="42"/>
  <c r="K34" i="42" s="1"/>
  <c r="J33" i="42"/>
  <c r="J34" i="42" s="1"/>
  <c r="I33" i="42"/>
  <c r="I34" i="42" s="1"/>
  <c r="H33" i="42"/>
  <c r="H34" i="42" s="1"/>
  <c r="G33" i="42"/>
  <c r="G34" i="42" s="1"/>
  <c r="F33" i="42"/>
  <c r="F34" i="42" s="1"/>
  <c r="Q29" i="42"/>
  <c r="P29" i="42"/>
  <c r="O29" i="42"/>
  <c r="N29" i="42"/>
  <c r="M29" i="42"/>
  <c r="L29" i="42"/>
  <c r="K29" i="42"/>
  <c r="J29" i="42"/>
  <c r="I29" i="42"/>
  <c r="H29" i="42"/>
  <c r="G29" i="42"/>
  <c r="F29" i="42"/>
  <c r="M44" i="41"/>
  <c r="K44" i="41"/>
  <c r="Q42" i="41"/>
  <c r="Q44" i="41" s="1"/>
  <c r="P42" i="41"/>
  <c r="P44" i="41" s="1"/>
  <c r="O42" i="41"/>
  <c r="O44" i="41" s="1"/>
  <c r="N42" i="41"/>
  <c r="N44" i="41" s="1"/>
  <c r="M42" i="41"/>
  <c r="L42" i="41"/>
  <c r="L44" i="41" s="1"/>
  <c r="K42" i="41"/>
  <c r="J42" i="41"/>
  <c r="J44" i="41" s="1"/>
  <c r="I42" i="41"/>
  <c r="I44" i="41" s="1"/>
  <c r="H42" i="41"/>
  <c r="H44" i="41" s="1"/>
  <c r="G42" i="41"/>
  <c r="G44" i="41" s="1"/>
  <c r="F42" i="41"/>
  <c r="F44" i="41" s="1"/>
  <c r="Q38" i="41"/>
  <c r="P38" i="41"/>
  <c r="O38" i="41"/>
  <c r="N38" i="41"/>
  <c r="M38" i="41"/>
  <c r="L38" i="41"/>
  <c r="K38" i="41"/>
  <c r="J38" i="41"/>
  <c r="I38" i="41"/>
  <c r="H38" i="41"/>
  <c r="G38" i="41"/>
  <c r="F38" i="41"/>
  <c r="M34" i="41"/>
  <c r="K34" i="41"/>
  <c r="Q33" i="41"/>
  <c r="Q34" i="41" s="1"/>
  <c r="P33" i="41"/>
  <c r="P34" i="41" s="1"/>
  <c r="O33" i="41"/>
  <c r="O34" i="41" s="1"/>
  <c r="N33" i="41"/>
  <c r="N34" i="41" s="1"/>
  <c r="L33" i="41"/>
  <c r="L34" i="41" s="1"/>
  <c r="K33" i="41"/>
  <c r="J33" i="41"/>
  <c r="J34" i="41" s="1"/>
  <c r="I33" i="41"/>
  <c r="I34" i="41" s="1"/>
  <c r="H33" i="41"/>
  <c r="H34" i="41" s="1"/>
  <c r="G33" i="41"/>
  <c r="G34" i="41" s="1"/>
  <c r="F33" i="41"/>
  <c r="F34" i="41" s="1"/>
  <c r="Q29" i="41"/>
  <c r="P29" i="41"/>
  <c r="O29" i="41"/>
  <c r="N29" i="41"/>
  <c r="M29" i="41"/>
  <c r="L29" i="41"/>
  <c r="K29" i="41"/>
  <c r="J29" i="41"/>
  <c r="I29" i="41"/>
  <c r="H29" i="41"/>
  <c r="G29" i="41"/>
  <c r="F29" i="41"/>
  <c r="M44" i="40"/>
  <c r="Q42" i="40"/>
  <c r="Q44" i="40" s="1"/>
  <c r="P42" i="40"/>
  <c r="P44" i="40" s="1"/>
  <c r="O42" i="40"/>
  <c r="O44" i="40" s="1"/>
  <c r="N42" i="40"/>
  <c r="N44" i="40" s="1"/>
  <c r="M42" i="40"/>
  <c r="L42" i="40"/>
  <c r="L44" i="40" s="1"/>
  <c r="K42" i="40"/>
  <c r="K44" i="40" s="1"/>
  <c r="J42" i="40"/>
  <c r="J44" i="40" s="1"/>
  <c r="I42" i="40"/>
  <c r="I44" i="40" s="1"/>
  <c r="H42" i="40"/>
  <c r="H44" i="40" s="1"/>
  <c r="G42" i="40"/>
  <c r="G44" i="40" s="1"/>
  <c r="F42" i="40"/>
  <c r="F44" i="40" s="1"/>
  <c r="Q38" i="40"/>
  <c r="P38" i="40"/>
  <c r="O38" i="40"/>
  <c r="N38" i="40"/>
  <c r="M38" i="40"/>
  <c r="L38" i="40"/>
  <c r="K38" i="40"/>
  <c r="J38" i="40"/>
  <c r="I38" i="40"/>
  <c r="H38" i="40"/>
  <c r="G38" i="40"/>
  <c r="F38" i="40"/>
  <c r="L34" i="40"/>
  <c r="Q33" i="40"/>
  <c r="Q34" i="40" s="1"/>
  <c r="P33" i="40"/>
  <c r="P34" i="40" s="1"/>
  <c r="O33" i="40"/>
  <c r="O34" i="40" s="1"/>
  <c r="N33" i="40"/>
  <c r="N34" i="40" s="1"/>
  <c r="M34" i="40"/>
  <c r="L33" i="40"/>
  <c r="K33" i="40"/>
  <c r="K34" i="40" s="1"/>
  <c r="J33" i="40"/>
  <c r="J34" i="40" s="1"/>
  <c r="I33" i="40"/>
  <c r="I34" i="40" s="1"/>
  <c r="H33" i="40"/>
  <c r="H34" i="40" s="1"/>
  <c r="G33" i="40"/>
  <c r="G34" i="40" s="1"/>
  <c r="F33" i="40"/>
  <c r="F34" i="40" s="1"/>
  <c r="Q29" i="40"/>
  <c r="P29" i="40"/>
  <c r="O29" i="40"/>
  <c r="N29" i="40"/>
  <c r="M29" i="40"/>
  <c r="L29" i="40"/>
  <c r="K29" i="40"/>
  <c r="J29" i="40"/>
  <c r="I29" i="40"/>
  <c r="H29" i="40"/>
  <c r="G29" i="40"/>
  <c r="F29" i="40"/>
  <c r="Q42" i="39"/>
  <c r="Q44" i="39" s="1"/>
  <c r="P42" i="39"/>
  <c r="P44" i="39" s="1"/>
  <c r="O42" i="39"/>
  <c r="O44" i="39" s="1"/>
  <c r="N42" i="39"/>
  <c r="N44" i="39" s="1"/>
  <c r="M42" i="39"/>
  <c r="M44" i="39" s="1"/>
  <c r="L42" i="39"/>
  <c r="L44" i="39" s="1"/>
  <c r="K42" i="39"/>
  <c r="K44" i="39" s="1"/>
  <c r="J42" i="39"/>
  <c r="J44" i="39" s="1"/>
  <c r="I42" i="39"/>
  <c r="I44" i="39" s="1"/>
  <c r="H42" i="39"/>
  <c r="H44" i="39" s="1"/>
  <c r="G42" i="39"/>
  <c r="G44" i="39" s="1"/>
  <c r="F42" i="39"/>
  <c r="F44" i="39" s="1"/>
  <c r="Q38" i="39"/>
  <c r="P38" i="39"/>
  <c r="O38" i="39"/>
  <c r="N38" i="39"/>
  <c r="M38" i="39"/>
  <c r="L38" i="39"/>
  <c r="K38" i="39"/>
  <c r="J38" i="39"/>
  <c r="I38" i="39"/>
  <c r="H38" i="39"/>
  <c r="G38" i="39"/>
  <c r="F38" i="39"/>
  <c r="Q33" i="39"/>
  <c r="Q34" i="39" s="1"/>
  <c r="P33" i="39"/>
  <c r="P34" i="39" s="1"/>
  <c r="O33" i="39"/>
  <c r="O34" i="39" s="1"/>
  <c r="N33" i="39"/>
  <c r="N34" i="39" s="1"/>
  <c r="M33" i="39"/>
  <c r="M34" i="39" s="1"/>
  <c r="L33" i="39"/>
  <c r="L34" i="39" s="1"/>
  <c r="K33" i="39"/>
  <c r="K34" i="39" s="1"/>
  <c r="J33" i="39"/>
  <c r="J34" i="39" s="1"/>
  <c r="I33" i="39"/>
  <c r="I34" i="39" s="1"/>
  <c r="H33" i="39"/>
  <c r="H34" i="39" s="1"/>
  <c r="G33" i="39"/>
  <c r="G34" i="39" s="1"/>
  <c r="F33" i="39"/>
  <c r="F34" i="39" s="1"/>
  <c r="Q29" i="39"/>
  <c r="P29" i="39"/>
  <c r="O29" i="39"/>
  <c r="N29" i="39"/>
  <c r="M29" i="39"/>
  <c r="L29" i="39"/>
  <c r="K29" i="39"/>
  <c r="J29" i="39"/>
  <c r="I29" i="39"/>
  <c r="H29" i="39"/>
  <c r="G29" i="39"/>
  <c r="F29" i="39"/>
  <c r="G44" i="38"/>
  <c r="H44" i="38"/>
  <c r="I44" i="38"/>
  <c r="J44" i="38"/>
  <c r="K44" i="38"/>
  <c r="L44" i="38"/>
  <c r="M44" i="38"/>
  <c r="N44" i="38"/>
  <c r="O44" i="38"/>
  <c r="Q44" i="38"/>
  <c r="G42" i="38"/>
  <c r="H42" i="38"/>
  <c r="I42" i="38"/>
  <c r="J42" i="38"/>
  <c r="K42" i="38"/>
  <c r="L42" i="38"/>
  <c r="M42" i="38"/>
  <c r="N42" i="38"/>
  <c r="O42" i="38"/>
  <c r="P42" i="38"/>
  <c r="P44" i="38" s="1"/>
  <c r="Q42" i="38"/>
  <c r="G38" i="38"/>
  <c r="H38" i="38"/>
  <c r="I38" i="38"/>
  <c r="J38" i="38"/>
  <c r="K38" i="38"/>
  <c r="L38" i="38"/>
  <c r="M38" i="38"/>
  <c r="N38" i="38"/>
  <c r="O38" i="38"/>
  <c r="P38" i="38"/>
  <c r="Q38" i="38"/>
  <c r="G34" i="38"/>
  <c r="H34" i="38"/>
  <c r="I34" i="38"/>
  <c r="J34" i="38"/>
  <c r="K34" i="38"/>
  <c r="L34" i="38"/>
  <c r="M34" i="38"/>
  <c r="N34" i="38"/>
  <c r="O34" i="38"/>
  <c r="P34" i="38"/>
  <c r="Q34" i="38"/>
  <c r="G33" i="38"/>
  <c r="H33" i="38"/>
  <c r="I33" i="38"/>
  <c r="J33" i="38"/>
  <c r="K33" i="38"/>
  <c r="L33" i="38"/>
  <c r="M33" i="38"/>
  <c r="N33" i="38"/>
  <c r="O33" i="38"/>
  <c r="P33" i="38"/>
  <c r="Q33" i="38"/>
  <c r="G29" i="38"/>
  <c r="H29" i="38"/>
  <c r="I29" i="38"/>
  <c r="J29" i="38"/>
  <c r="K29" i="38"/>
  <c r="L29" i="38"/>
  <c r="M29" i="38"/>
  <c r="N29" i="38"/>
  <c r="O29" i="38"/>
  <c r="P29" i="38"/>
  <c r="Q29" i="38"/>
  <c r="F42" i="38"/>
  <c r="F44" i="38" s="1"/>
  <c r="F38" i="38"/>
  <c r="F33" i="38"/>
  <c r="F34" i="38" s="1"/>
  <c r="F29" i="38"/>
  <c r="Q42" i="37"/>
  <c r="Q44" i="37" s="1"/>
  <c r="P42" i="37"/>
  <c r="P44" i="37" s="1"/>
  <c r="O42" i="37"/>
  <c r="O44" i="37" s="1"/>
  <c r="N42" i="37"/>
  <c r="N44" i="37" s="1"/>
  <c r="M42" i="37"/>
  <c r="M44" i="37" s="1"/>
  <c r="L42" i="37"/>
  <c r="L44" i="37" s="1"/>
  <c r="K42" i="37"/>
  <c r="K44" i="37" s="1"/>
  <c r="J42" i="37"/>
  <c r="J44" i="37" s="1"/>
  <c r="I42" i="37"/>
  <c r="I44" i="37" s="1"/>
  <c r="H42" i="37"/>
  <c r="H44" i="37" s="1"/>
  <c r="G42" i="37"/>
  <c r="G44" i="37" s="1"/>
  <c r="F42" i="37"/>
  <c r="F44" i="37" s="1"/>
  <c r="Q38" i="37"/>
  <c r="P38" i="37"/>
  <c r="O38" i="37"/>
  <c r="N38" i="37"/>
  <c r="M38" i="37"/>
  <c r="L38" i="37"/>
  <c r="K38" i="37"/>
  <c r="J38" i="37"/>
  <c r="I38" i="37"/>
  <c r="H38" i="37"/>
  <c r="G38" i="37"/>
  <c r="F38" i="37"/>
  <c r="Q33" i="37"/>
  <c r="Q34" i="37" s="1"/>
  <c r="P33" i="37"/>
  <c r="P34" i="37" s="1"/>
  <c r="O33" i="37"/>
  <c r="O34" i="37" s="1"/>
  <c r="N33" i="37"/>
  <c r="N34" i="37" s="1"/>
  <c r="M33" i="37"/>
  <c r="M34" i="37" s="1"/>
  <c r="L33" i="37"/>
  <c r="L34" i="37" s="1"/>
  <c r="K33" i="37"/>
  <c r="K34" i="37" s="1"/>
  <c r="J33" i="37"/>
  <c r="J34" i="37" s="1"/>
  <c r="I33" i="37"/>
  <c r="I34" i="37" s="1"/>
  <c r="H33" i="37"/>
  <c r="H34" i="37" s="1"/>
  <c r="G33" i="37"/>
  <c r="G34" i="37" s="1"/>
  <c r="F33" i="37"/>
  <c r="F34" i="37" s="1"/>
  <c r="Q29" i="37"/>
  <c r="P29" i="37"/>
  <c r="O29" i="37"/>
  <c r="N29" i="37"/>
  <c r="M29" i="37"/>
  <c r="L29" i="37"/>
  <c r="K29" i="37"/>
  <c r="J29" i="37"/>
  <c r="I29" i="37"/>
  <c r="H29" i="37"/>
  <c r="G29" i="37"/>
  <c r="F29" i="37"/>
  <c r="H44" i="36"/>
  <c r="I44" i="36"/>
  <c r="J44" i="36"/>
  <c r="K44" i="36"/>
  <c r="L44" i="36"/>
  <c r="M44" i="36"/>
  <c r="N44" i="36"/>
  <c r="O44" i="36"/>
  <c r="P44" i="36"/>
  <c r="Q44" i="36"/>
  <c r="Q42" i="36"/>
  <c r="P42" i="36"/>
  <c r="O42" i="36"/>
  <c r="N42" i="36"/>
  <c r="M42" i="36"/>
  <c r="L42" i="36"/>
  <c r="K42" i="36"/>
  <c r="J42" i="36"/>
  <c r="I42" i="36"/>
  <c r="H42" i="36"/>
  <c r="G42" i="36"/>
  <c r="G44" i="36" s="1"/>
  <c r="F42" i="36"/>
  <c r="F44" i="36" s="1"/>
  <c r="Q38" i="36"/>
  <c r="P38" i="36"/>
  <c r="O38" i="36"/>
  <c r="N38" i="36"/>
  <c r="M38" i="36"/>
  <c r="L38" i="36"/>
  <c r="K38" i="36"/>
  <c r="J38" i="36"/>
  <c r="I38" i="36"/>
  <c r="H38" i="36"/>
  <c r="G38" i="36"/>
  <c r="F38" i="36"/>
  <c r="Q33" i="36"/>
  <c r="Q34" i="36" s="1"/>
  <c r="P33" i="36"/>
  <c r="P34" i="36" s="1"/>
  <c r="O33" i="36"/>
  <c r="O34" i="36" s="1"/>
  <c r="N33" i="36"/>
  <c r="N34" i="36" s="1"/>
  <c r="M33" i="36"/>
  <c r="M34" i="36" s="1"/>
  <c r="L33" i="36"/>
  <c r="L34" i="36" s="1"/>
  <c r="K33" i="36"/>
  <c r="K34" i="36" s="1"/>
  <c r="J33" i="36"/>
  <c r="J34" i="36" s="1"/>
  <c r="I33" i="36"/>
  <c r="I34" i="36" s="1"/>
  <c r="H33" i="36"/>
  <c r="H34" i="36" s="1"/>
  <c r="G33" i="36"/>
  <c r="G34" i="36" s="1"/>
  <c r="F33" i="36"/>
  <c r="F34" i="36" s="1"/>
  <c r="Q29" i="36"/>
  <c r="P29" i="36"/>
  <c r="O29" i="36"/>
  <c r="N29" i="36"/>
  <c r="M29" i="36"/>
  <c r="L29" i="36"/>
  <c r="K29" i="36"/>
  <c r="J29" i="36"/>
  <c r="I29" i="36"/>
  <c r="H29" i="36"/>
  <c r="G29" i="36"/>
  <c r="F29" i="36"/>
  <c r="Q42" i="35"/>
  <c r="Q44" i="35" s="1"/>
  <c r="P42" i="35"/>
  <c r="P44" i="35" s="1"/>
  <c r="O42" i="35"/>
  <c r="O44" i="35" s="1"/>
  <c r="N42" i="35"/>
  <c r="N44" i="35" s="1"/>
  <c r="M42" i="35"/>
  <c r="M44" i="35" s="1"/>
  <c r="L42" i="35"/>
  <c r="L44" i="35" s="1"/>
  <c r="K42" i="35"/>
  <c r="K44" i="35" s="1"/>
  <c r="J42" i="35"/>
  <c r="J44" i="35" s="1"/>
  <c r="I42" i="35"/>
  <c r="I44" i="35" s="1"/>
  <c r="H42" i="35"/>
  <c r="H44" i="35" s="1"/>
  <c r="G42" i="35"/>
  <c r="G44" i="35" s="1"/>
  <c r="F42" i="35"/>
  <c r="F44" i="35" s="1"/>
  <c r="Q38" i="35"/>
  <c r="P38" i="35"/>
  <c r="O38" i="35"/>
  <c r="N38" i="35"/>
  <c r="M38" i="35"/>
  <c r="L38" i="35"/>
  <c r="K38" i="35"/>
  <c r="J38" i="35"/>
  <c r="I38" i="35"/>
  <c r="H38" i="35"/>
  <c r="G38" i="35"/>
  <c r="F38" i="35"/>
  <c r="Q33" i="35"/>
  <c r="Q34" i="35" s="1"/>
  <c r="P33" i="35"/>
  <c r="P34" i="35" s="1"/>
  <c r="O33" i="35"/>
  <c r="O34" i="35" s="1"/>
  <c r="N33" i="35"/>
  <c r="N34" i="35" s="1"/>
  <c r="M33" i="35"/>
  <c r="M34" i="35" s="1"/>
  <c r="L33" i="35"/>
  <c r="L34" i="35" s="1"/>
  <c r="K33" i="35"/>
  <c r="K34" i="35" s="1"/>
  <c r="J33" i="35"/>
  <c r="J34" i="35" s="1"/>
  <c r="I33" i="35"/>
  <c r="I34" i="35" s="1"/>
  <c r="H33" i="35"/>
  <c r="H34" i="35" s="1"/>
  <c r="G33" i="35"/>
  <c r="G34" i="35" s="1"/>
  <c r="F33" i="35"/>
  <c r="F34" i="35" s="1"/>
  <c r="Q29" i="35"/>
  <c r="P29" i="35"/>
  <c r="O29" i="35"/>
  <c r="N29" i="35"/>
  <c r="M29" i="35"/>
  <c r="L29" i="35"/>
  <c r="K29" i="35"/>
  <c r="J29" i="35"/>
  <c r="I29" i="35"/>
  <c r="H29" i="35"/>
  <c r="G29" i="35"/>
  <c r="F29" i="35"/>
  <c r="Q42" i="34"/>
  <c r="Q44" i="34" s="1"/>
  <c r="P42" i="34"/>
  <c r="P44" i="34" s="1"/>
  <c r="O42" i="34"/>
  <c r="O44" i="34" s="1"/>
  <c r="N42" i="34"/>
  <c r="N44" i="34" s="1"/>
  <c r="M42" i="34"/>
  <c r="M44" i="34" s="1"/>
  <c r="L42" i="34"/>
  <c r="L44" i="34" s="1"/>
  <c r="K42" i="34"/>
  <c r="K44" i="34" s="1"/>
  <c r="J42" i="34"/>
  <c r="J44" i="34" s="1"/>
  <c r="I42" i="34"/>
  <c r="I44" i="34" s="1"/>
  <c r="H42" i="34"/>
  <c r="H44" i="34" s="1"/>
  <c r="G42" i="34"/>
  <c r="G44" i="34" s="1"/>
  <c r="F42" i="34"/>
  <c r="F44" i="34" s="1"/>
  <c r="Q38" i="34"/>
  <c r="P38" i="34"/>
  <c r="O38" i="34"/>
  <c r="N38" i="34"/>
  <c r="M38" i="34"/>
  <c r="L38" i="34"/>
  <c r="K38" i="34"/>
  <c r="J38" i="34"/>
  <c r="I38" i="34"/>
  <c r="H38" i="34"/>
  <c r="G38" i="34"/>
  <c r="F38" i="34"/>
  <c r="Q33" i="34"/>
  <c r="Q34" i="34" s="1"/>
  <c r="P33" i="34"/>
  <c r="P34" i="34" s="1"/>
  <c r="O33" i="34"/>
  <c r="O34" i="34" s="1"/>
  <c r="N33" i="34"/>
  <c r="N34" i="34" s="1"/>
  <c r="M33" i="34"/>
  <c r="M34" i="34" s="1"/>
  <c r="L33" i="34"/>
  <c r="L34" i="34" s="1"/>
  <c r="K33" i="34"/>
  <c r="K34" i="34" s="1"/>
  <c r="J33" i="34"/>
  <c r="J34" i="34" s="1"/>
  <c r="I33" i="34"/>
  <c r="I34" i="34" s="1"/>
  <c r="H33" i="34"/>
  <c r="H34" i="34" s="1"/>
  <c r="G33" i="34"/>
  <c r="G34" i="34" s="1"/>
  <c r="F33" i="34"/>
  <c r="F34" i="34" s="1"/>
  <c r="Q29" i="34"/>
  <c r="P29" i="34"/>
  <c r="O29" i="34"/>
  <c r="N29" i="34"/>
  <c r="M29" i="34"/>
  <c r="L29" i="34"/>
  <c r="K29" i="34"/>
  <c r="J29" i="34"/>
  <c r="I29" i="34"/>
  <c r="H29" i="34"/>
  <c r="G29" i="34"/>
  <c r="F29" i="34"/>
  <c r="F29" i="33"/>
  <c r="Q42" i="33"/>
  <c r="Q44" i="33" s="1"/>
  <c r="P42" i="33"/>
  <c r="P44" i="33" s="1"/>
  <c r="O42" i="33"/>
  <c r="O44" i="33" s="1"/>
  <c r="N42" i="33"/>
  <c r="N44" i="33" s="1"/>
  <c r="M42" i="33"/>
  <c r="M44" i="33" s="1"/>
  <c r="L42" i="33"/>
  <c r="L44" i="33" s="1"/>
  <c r="K42" i="33"/>
  <c r="K44" i="33" s="1"/>
  <c r="J42" i="33"/>
  <c r="J44" i="33" s="1"/>
  <c r="I42" i="33"/>
  <c r="I44" i="33" s="1"/>
  <c r="H42" i="33"/>
  <c r="H44" i="33" s="1"/>
  <c r="G42" i="33"/>
  <c r="G44" i="33" s="1"/>
  <c r="F42" i="33"/>
  <c r="F44" i="33" s="1"/>
  <c r="Q38" i="33"/>
  <c r="P38" i="33"/>
  <c r="O38" i="33"/>
  <c r="N38" i="33"/>
  <c r="M38" i="33"/>
  <c r="L38" i="33"/>
  <c r="K38" i="33"/>
  <c r="J38" i="33"/>
  <c r="I38" i="33"/>
  <c r="H38" i="33"/>
  <c r="G38" i="33"/>
  <c r="F38" i="33"/>
  <c r="Q33" i="33"/>
  <c r="Q34" i="33" s="1"/>
  <c r="P33" i="33"/>
  <c r="P34" i="33" s="1"/>
  <c r="O33" i="33"/>
  <c r="O34" i="33" s="1"/>
  <c r="N33" i="33"/>
  <c r="N34" i="33" s="1"/>
  <c r="M33" i="33"/>
  <c r="M34" i="33" s="1"/>
  <c r="L33" i="33"/>
  <c r="L34" i="33" s="1"/>
  <c r="K33" i="33"/>
  <c r="K34" i="33" s="1"/>
  <c r="J33" i="33"/>
  <c r="J34" i="33" s="1"/>
  <c r="I33" i="33"/>
  <c r="I34" i="33" s="1"/>
  <c r="H33" i="33"/>
  <c r="H34" i="33" s="1"/>
  <c r="G33" i="33"/>
  <c r="G34" i="33" s="1"/>
  <c r="F33" i="33"/>
  <c r="F34" i="33" s="1"/>
  <c r="Q29" i="33"/>
  <c r="P29" i="33"/>
  <c r="O29" i="33"/>
  <c r="N29" i="33"/>
  <c r="M29" i="33"/>
  <c r="L29" i="33"/>
  <c r="K29" i="33"/>
  <c r="J29" i="33"/>
  <c r="I29" i="33"/>
  <c r="H29" i="33"/>
  <c r="G29" i="33"/>
  <c r="F29" i="31"/>
  <c r="G29" i="31"/>
  <c r="I29" i="31"/>
  <c r="J29" i="31"/>
  <c r="K29" i="31"/>
  <c r="L29" i="31"/>
  <c r="M29" i="31"/>
  <c r="H29" i="31"/>
  <c r="G34" i="31"/>
  <c r="H34" i="31"/>
  <c r="I34" i="31"/>
  <c r="J34" i="31"/>
  <c r="K34" i="31"/>
  <c r="L34" i="31"/>
  <c r="M34" i="31"/>
  <c r="N34" i="31"/>
  <c r="G38" i="31"/>
  <c r="H38" i="31"/>
  <c r="I38" i="31"/>
  <c r="J38" i="31"/>
  <c r="K38" i="31"/>
  <c r="L38" i="31"/>
  <c r="M38" i="31"/>
  <c r="N38" i="31"/>
  <c r="O38" i="31"/>
  <c r="P38" i="31"/>
  <c r="Q38" i="31"/>
  <c r="K42" i="31"/>
  <c r="K44" i="31"/>
  <c r="L44" i="31"/>
  <c r="I29" i="32"/>
  <c r="J29" i="32"/>
  <c r="K29" i="32"/>
  <c r="L29" i="32"/>
  <c r="M29" i="32"/>
  <c r="N29" i="32"/>
  <c r="O29" i="32"/>
  <c r="P29" i="32"/>
  <c r="H33" i="32"/>
  <c r="H34" i="32" s="1"/>
  <c r="I33" i="32"/>
  <c r="I34" i="32" s="1"/>
  <c r="J33" i="32"/>
  <c r="J34" i="32" s="1"/>
  <c r="K33" i="32"/>
  <c r="K34" i="32" s="1"/>
  <c r="L33" i="32"/>
  <c r="L34" i="32" s="1"/>
  <c r="M33" i="32"/>
  <c r="M34" i="32" s="1"/>
  <c r="N33" i="32"/>
  <c r="N34" i="32" s="1"/>
  <c r="O33" i="32"/>
  <c r="O34" i="32" s="1"/>
  <c r="P33" i="32"/>
  <c r="P34" i="32" s="1"/>
  <c r="H38" i="32"/>
  <c r="I38" i="32"/>
  <c r="J38" i="32"/>
  <c r="K38" i="32"/>
  <c r="L38" i="32"/>
  <c r="M38" i="32"/>
  <c r="N38" i="32"/>
  <c r="O38" i="32"/>
  <c r="P38" i="32"/>
  <c r="H42" i="32"/>
  <c r="H44" i="32" s="1"/>
  <c r="I42" i="32"/>
  <c r="J42" i="32"/>
  <c r="K42" i="32"/>
  <c r="L42" i="32"/>
  <c r="M42" i="32"/>
  <c r="M44" i="32" s="1"/>
  <c r="N42" i="32"/>
  <c r="N44" i="32" s="1"/>
  <c r="O42" i="32"/>
  <c r="O44" i="32" s="1"/>
  <c r="P42" i="32"/>
  <c r="P44" i="32" s="1"/>
  <c r="I44" i="32"/>
  <c r="J44" i="32"/>
  <c r="K44" i="32"/>
  <c r="L44" i="32"/>
  <c r="Q42" i="32"/>
  <c r="Q44" i="32" s="1"/>
  <c r="F42" i="32"/>
  <c r="F44" i="32" s="1"/>
  <c r="Q38" i="32"/>
  <c r="F38" i="32"/>
  <c r="Q33" i="32"/>
  <c r="Q34" i="32" s="1"/>
  <c r="F33" i="32"/>
  <c r="F34" i="32" s="1"/>
  <c r="Q29" i="32"/>
  <c r="F44" i="31"/>
  <c r="H44" i="31"/>
  <c r="J44" i="31"/>
  <c r="M44" i="31"/>
  <c r="H42" i="31"/>
  <c r="J42" i="31"/>
  <c r="L42" i="31"/>
  <c r="M42" i="31"/>
  <c r="N42" i="31"/>
  <c r="N44" i="31" s="1"/>
  <c r="P42" i="31"/>
  <c r="P44" i="31" s="1"/>
  <c r="H33" i="31"/>
  <c r="J33" i="31"/>
  <c r="L33" i="31"/>
  <c r="M33" i="31"/>
  <c r="N33" i="31"/>
  <c r="P33" i="31"/>
  <c r="P34" i="31" s="1"/>
  <c r="N29" i="31"/>
  <c r="P29" i="31"/>
  <c r="F42" i="31"/>
  <c r="F38" i="31"/>
  <c r="F33" i="31"/>
  <c r="F34" i="31" s="1"/>
</calcChain>
</file>

<file path=xl/sharedStrings.xml><?xml version="1.0" encoding="utf-8"?>
<sst xmlns="http://schemas.openxmlformats.org/spreadsheetml/2006/main" count="4671" uniqueCount="101">
  <si>
    <t>OPERATION DATE</t>
  </si>
  <si>
    <t>TIME</t>
  </si>
  <si>
    <t>OPENING OF VANE</t>
  </si>
  <si>
    <t>OPENING HOT GAS BYPASS VALVE</t>
  </si>
  <si>
    <t>%</t>
  </si>
  <si>
    <t>OPENING OF 2nd VANE</t>
  </si>
  <si>
    <t>OPENING OF HIGH-STAGE EXPANSION VALVE</t>
  </si>
  <si>
    <t>OPENING OF LOW-STAGE EXPANSION VALVE</t>
  </si>
  <si>
    <t>MOTOR</t>
  </si>
  <si>
    <t>VOLTAGE</t>
  </si>
  <si>
    <t>CURRENT</t>
  </si>
  <si>
    <t>INPUT</t>
  </si>
  <si>
    <t>V</t>
  </si>
  <si>
    <t>A</t>
  </si>
  <si>
    <t>Kw</t>
  </si>
  <si>
    <t>RUNNING TIME</t>
  </si>
  <si>
    <t>Hr</t>
  </si>
  <si>
    <t>SUCTION TEMPERATURE</t>
  </si>
  <si>
    <t>DISCHARGE TEMPERATURE</t>
  </si>
  <si>
    <t>OIL TANK OIL TEMPERATURE</t>
  </si>
  <si>
    <t>OIL PRESSURE</t>
  </si>
  <si>
    <t>OIL LEVEL</t>
  </si>
  <si>
    <t>Mpa(G)</t>
  </si>
  <si>
    <t>OIL SUPPLY TEMPERATURE</t>
  </si>
  <si>
    <t>COMPRESSOR</t>
  </si>
  <si>
    <t>EVAPORATOR</t>
  </si>
  <si>
    <t>EVAPORATING PRESSURE</t>
  </si>
  <si>
    <t>EVAPORATING TEMPERATURE</t>
  </si>
  <si>
    <t>SATURATION TEMPERATURE</t>
  </si>
  <si>
    <t>CHILLED WATER FLOW RATE</t>
  </si>
  <si>
    <t>CHILLED WATER ENTERING TEMPERATURE</t>
  </si>
  <si>
    <t>CHILLED WATER LEAVING TEMPERATURE</t>
  </si>
  <si>
    <t>TEMPERATURE DIFFERENCE</t>
  </si>
  <si>
    <t>CHILLING CAPACITY</t>
  </si>
  <si>
    <t>kW</t>
  </si>
  <si>
    <t>m3/h</t>
  </si>
  <si>
    <t>CONDENSOR</t>
  </si>
  <si>
    <t>CONDENSING PRESSURE</t>
  </si>
  <si>
    <t>CONSENSED LIQUID TEMPERATURE</t>
  </si>
  <si>
    <t>SATURATED TEMEPRATURE</t>
  </si>
  <si>
    <t>LIQUID LEVEL</t>
  </si>
  <si>
    <t>COOLING WATER ENTERING TEMPERATURE</t>
  </si>
  <si>
    <t>COOLING WATER LEAVING TEMPERATURE</t>
  </si>
  <si>
    <t>COOLING WATER FLOW RATE</t>
  </si>
  <si>
    <t>HEAT CAPACITY</t>
  </si>
  <si>
    <t>mm</t>
  </si>
  <si>
    <t>ECONOMIZER</t>
  </si>
  <si>
    <t>ECONOMIZER PRESSURE</t>
  </si>
  <si>
    <t>SATURATED TEMPERATURE</t>
  </si>
  <si>
    <t>HEAT BALANCE</t>
  </si>
  <si>
    <t>COP</t>
  </si>
  <si>
    <t>% OF COOLING CAPACITY</t>
  </si>
  <si>
    <t>% OF MOTOR INPUT</t>
  </si>
  <si>
    <t>CHILLER</t>
  </si>
  <si>
    <t>EC0120A</t>
  </si>
  <si>
    <t>EC0120B</t>
  </si>
  <si>
    <t>EC0120C</t>
  </si>
  <si>
    <t>EC0120D</t>
  </si>
  <si>
    <t>EC0120E</t>
  </si>
  <si>
    <t>EC0120F</t>
  </si>
  <si>
    <t>00:00</t>
  </si>
  <si>
    <t>PAGE : 1 OF 1</t>
  </si>
  <si>
    <t>OPERATOR :</t>
  </si>
  <si>
    <t>DOC NO :</t>
  </si>
  <si>
    <t>REVISION : 1</t>
  </si>
  <si>
    <t xml:space="preserve">OPERATION CHILLER LOG SHEET
&amp;
REFRIGERANT LEAK </t>
  </si>
  <si>
    <t>REFRIGERANT LEAK STATUS</t>
  </si>
  <si>
    <t>REMARK :</t>
  </si>
  <si>
    <t>CHILLER :</t>
  </si>
  <si>
    <t xml:space="preserve">REFRIGERANT  ALARM </t>
  </si>
  <si>
    <t>YES</t>
  </si>
  <si>
    <t>NO</t>
  </si>
  <si>
    <t xml:space="preserve"> CONTROL 
LIMIT</t>
  </si>
  <si>
    <t>45-72 deg C</t>
  </si>
  <si>
    <t>35-45 degC</t>
  </si>
  <si>
    <t>35 -70 degC</t>
  </si>
  <si>
    <t>Diff pressure 
0.25-0.35 Mpa
OIL -EVAP =Diff pressure</t>
  </si>
  <si>
    <t>CELCIUS</t>
  </si>
  <si>
    <t xml:space="preserve"> OK / NOT OK</t>
  </si>
  <si>
    <t>CHILLER ALARM :</t>
  </si>
  <si>
    <t>0~100%</t>
  </si>
  <si>
    <t>6600V(±   5% )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</si>
  <si>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115A</t>
    </r>
  </si>
  <si>
    <t>1194kW</t>
  </si>
  <si>
    <t>NA</t>
  </si>
  <si>
    <t>C</t>
  </si>
  <si>
    <t>≥0.18Mpa</t>
  </si>
  <si>
    <t>634.8 m3h</t>
  </si>
  <si>
    <t>7032.6kW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</si>
  <si>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1.01Mpa(G)</t>
    </r>
  </si>
  <si>
    <t>LIQUID LEVEL(Side Glass Bottom)</t>
  </si>
  <si>
    <t>TEMPERATURE DIFFERENCE COOLING WATER</t>
  </si>
  <si>
    <t>Mpa</t>
  </si>
  <si>
    <t>0.95~1.05</t>
  </si>
  <si>
    <t>Differential pressure of Oil pressure - Evap pressure is in range 0.25 Mpa ~ 0.35 Mpa.</t>
  </si>
  <si>
    <t>* Movement of Expansion Valve motor operation depends on running condition.</t>
  </si>
  <si>
    <t xml:space="preserve">OPER-01-QR-01 </t>
  </si>
  <si>
    <r>
      <t xml:space="preserve">APPROACH TEMP </t>
    </r>
    <r>
      <rPr>
        <b/>
        <sz val="9"/>
        <color theme="1"/>
        <rFont val="Calibri"/>
        <family val="2"/>
        <scheme val="minor"/>
      </rPr>
      <t>(COND LQ TEMP - LEAVING TEMP)</t>
    </r>
  </si>
  <si>
    <t>APPROACH TEMP</t>
  </si>
  <si>
    <t>OK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</si>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</sst>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20" fontId="1" fillId="2" borderId="1" xfId="0" quotePrefix="1" applyNumberFormat="1" applyFont="1" applyFill="1" applyBorder="1" applyAlignment="1">
      <alignment horizont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 vertical="center"/>
    </xf>
    <xf numFmtId="20" fontId="1" fillId="0" borderId="1" xfId="0" quotePrefix="1" applyNumberFormat="1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20" fontId="1" fillId="2" borderId="1" xfId="0" quotePrefix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5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93304-A649-49DE-8A63-810069124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E539C59-FA74-4F5D-8906-F2ED3D4792F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33EBF27-F08D-4FFD-BD8B-75108D802CC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A63DBC4-115C-4D02-BF50-EC32B25E08EB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DF1084E-EB59-477E-B885-14E57E85751C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0E06DB2-0FEC-418D-8B85-05D01366127D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FECC9A6-5163-458B-8593-619F7A079040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2C0F7E7-180D-477E-B9F4-E3078BF9C793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666DE8C-0521-46DE-A206-7527C16F34A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2FB1986-BE01-4468-B085-FAC16E4B5F26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F65FEBD-E27F-4558-B7EF-44403E7C2A1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AB6DE3A-90EF-4AB9-A19D-63DD9342B30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58C7AA4-8048-4438-80DB-1EDE7FB8D59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11DC7DB-117D-4CF4-847C-11ED9E8296A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590413-2CA5-4C6E-9BFB-7CB4B370AC45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7A1D59B-972F-432E-8337-E1492ECA4399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72E92DC-3912-4F16-9F27-4D511AB6A7B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187B1AE-4990-43B7-92CE-5866EDE6B948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7FF360E3-DD08-41E4-BBB9-8E42E419FD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C346AB-1F8C-4170-82AC-BE235354EC1A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232D7CC-CDED-4042-8EDD-963B6D9B9C80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1D2BC02-FE41-490C-BB1B-7A20699C7A19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DCCE45B-340F-4936-A546-8151D1A0F74B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30BC0E3-5D01-47BA-A035-2C6479BA92F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EFA3BA8-21AF-4ED7-8234-81C79A53B920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929D248-F369-4B87-8DD4-35E2AA86F944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604E1C4-5BB4-4B10-9AA6-89ECAC59A55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8B689B9-8EF7-49B4-9F71-AFD4A56C001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CEC163C-5270-4FC2-ADC9-A13BEDD461C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4989DB4-0985-4114-82F3-FB98C2096FB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2857AC1-4E97-4588-A333-901A7C6EBEEB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727F333-FAC9-45AC-BB3E-79378CC1301E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E3748C4-2E7F-47D6-BC77-AEE5F96EB50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C29F843-ECB9-4552-9FC0-D08F213F7AC3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23BD6F2-CB2B-4480-A329-214FB6BF374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64CF37E-7620-4951-8935-C36D8E0C41BF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C492FF7-3EFF-4A4B-A3C6-88F936FF068C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901F9DC-B467-4043-96F7-6B49D9E189C5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576326A-8B8E-48DF-8961-FFF0F4D859F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4F7D4D2A-F295-4266-90F5-F617FBBD15D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0C8C690-2EC6-43B9-B01C-E6B1CC14EDE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92CA5D7D-51E3-4865-84B8-58EB7AE08D59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5EBC93F-8A93-4CC6-BC58-F2638036023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657B125-5E5F-48CE-8012-6F4BC3E300F6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66A8F65-4893-4B39-A3B4-80C133D6E0E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A4AD66F-CD48-4355-A62B-5BB8B4A29D15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2BE743D-29B4-4FE4-970E-D7FAF4E01B53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135CC3B-00C1-4F35-A0F9-1205A80CB2E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0BF5C0B-86DA-4D9C-9ADE-B3C302A6F3C1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4090FF8-4E76-4228-BA54-8DB169C4F0B8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639BA282-518C-4B17-B202-0953170EBB5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EFF0582-CD28-4E26-911F-D8073D88F15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0A89ED-7908-4468-B565-D421D5107C5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D5BB469-5767-4C56-B91A-CAE79C1B80D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19BB8F3-A0C3-4602-895A-41A09444FD4B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8EE7A58-2E17-4545-896A-BAB73A14516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334695F-FF1F-40F6-8CA4-8C6300311455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107156</xdr:colOff>
      <xdr:row>23</xdr:row>
      <xdr:rowOff>404813</xdr:rowOff>
    </xdr:from>
    <xdr:to>
      <xdr:col>15</xdr:col>
      <xdr:colOff>857250</xdr:colOff>
      <xdr:row>23</xdr:row>
      <xdr:rowOff>416719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9513D529-4135-4D71-96BF-741FA8D318A4}"/>
            </a:ext>
          </a:extLst>
        </xdr:cNvPr>
        <xdr:cNvCxnSpPr/>
      </xdr:nvCxnSpPr>
      <xdr:spPr>
        <a:xfrm>
          <a:off x="18823781" y="623411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231CDC4-ADFB-47B8-83C8-FC36EEFF9712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45B8B92-1F4C-413F-9D38-7D911F6C8EE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156883</xdr:colOff>
      <xdr:row>23</xdr:row>
      <xdr:rowOff>268941</xdr:rowOff>
    </xdr:from>
    <xdr:to>
      <xdr:col>11</xdr:col>
      <xdr:colOff>906977</xdr:colOff>
      <xdr:row>23</xdr:row>
      <xdr:rowOff>280847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D05B495-A475-4656-B60D-A994FA6FFEE9}"/>
            </a:ext>
          </a:extLst>
        </xdr:cNvPr>
        <xdr:cNvCxnSpPr/>
      </xdr:nvCxnSpPr>
      <xdr:spPr>
        <a:xfrm>
          <a:off x="14949208" y="609824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123265</xdr:colOff>
      <xdr:row>23</xdr:row>
      <xdr:rowOff>403412</xdr:rowOff>
    </xdr:from>
    <xdr:to>
      <xdr:col>11</xdr:col>
      <xdr:colOff>873359</xdr:colOff>
      <xdr:row>23</xdr:row>
      <xdr:rowOff>415318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4CF71788-3DE6-452D-8F03-160E6EC97591}"/>
            </a:ext>
          </a:extLst>
        </xdr:cNvPr>
        <xdr:cNvCxnSpPr/>
      </xdr:nvCxnSpPr>
      <xdr:spPr>
        <a:xfrm>
          <a:off x="14915590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140634</xdr:colOff>
      <xdr:row>23</xdr:row>
      <xdr:rowOff>245782</xdr:rowOff>
    </xdr:from>
    <xdr:to>
      <xdr:col>13</xdr:col>
      <xdr:colOff>890728</xdr:colOff>
      <xdr:row>23</xdr:row>
      <xdr:rowOff>257688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B6F746D-4F86-4B2A-B473-2B2D99D77233}"/>
            </a:ext>
          </a:extLst>
        </xdr:cNvPr>
        <xdr:cNvCxnSpPr/>
      </xdr:nvCxnSpPr>
      <xdr:spPr>
        <a:xfrm>
          <a:off x="16927046" y="607284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78441</xdr:colOff>
      <xdr:row>23</xdr:row>
      <xdr:rowOff>403411</xdr:rowOff>
    </xdr:from>
    <xdr:to>
      <xdr:col>13</xdr:col>
      <xdr:colOff>828535</xdr:colOff>
      <xdr:row>23</xdr:row>
      <xdr:rowOff>415317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A405BB98-6F4B-4422-AD7A-FC4C1FAC9C3D}"/>
            </a:ext>
          </a:extLst>
        </xdr:cNvPr>
        <xdr:cNvCxnSpPr/>
      </xdr:nvCxnSpPr>
      <xdr:spPr>
        <a:xfrm>
          <a:off x="16864853" y="62304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5F62B8-DB64-4876-A38C-09475188F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CAEB21-1D3D-468B-A0E8-255DFF003B4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D8FEA80-2E52-4210-9122-867577610E9B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BC643F-E9C7-4F69-8B90-11CC2CAB669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57AF1D1-3610-4761-86A6-B063981462B7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32BED73-894F-47F4-B2BF-E9F3D653CFA1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B904CE3-5DD5-4D8A-941D-415F64884FF4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87BEFCE-DA1A-4157-9FA5-CB971EEF557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DE865CD-F1A7-42A6-B82F-1357D282D05A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835A7C2-9B44-4DE4-94A8-46E696CA6EDA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979E6B0-62BE-4439-9043-F1394699FB2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238F304-DC35-4F7B-84EF-79749636427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89B4B2B-2AD0-4221-9A9B-0389B0C6AB2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0EE7E84-2716-4528-AEC4-E10A56BB2520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7C8EEAC-B8BB-475B-80B0-4A152020718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1340A63-BDBA-46A5-85D2-DF5990A80F0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FF67500-1B66-454B-9695-26D609CCA30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C429532-F984-4417-8F51-826418EAF72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828D214-B9D8-4CA7-90BB-4713133EEFD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E16B32A-D75A-42D0-B0B8-51A86A0E472F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310802A-7B1A-4D8A-80BD-3697790A245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D8A14C3-63A8-4A5C-9E66-EFECD805B34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BCBEBF7-73A9-483F-B0ED-CD65DD4E3B43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B6699B8-02BC-4CCA-8F66-46504A44325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7AA9B11-24F2-4E9B-A093-03D4E2637FFC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0B929AA-E6CC-4FBD-8F38-98AF3103392D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C42FBE3-4A49-4BF7-873B-3507BCA2FCDA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CB6B6E9-DFE2-472F-84AA-242334DD2E73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28D765F-8A46-4995-B8D1-DD04BBFA93F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06B4C93-54C6-4B43-B7A3-3B7847507E6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AFBB539-C406-4BBF-9726-6AF26D12298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F88BBBD2-4B7E-439C-B4D5-209A94697E92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B453227-1230-4824-BE19-E2FAFC40367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3EA1FBB-54ED-4355-BF81-89D51FF4B50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3CB133BA-1BB8-4E4F-9F6F-CA99B1A7F3B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901B4D6-DD21-4053-BEA1-53158170829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C9AA97F5-AFC1-4E76-9CA6-53C1234272A4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6CDDDF5-D22F-4B53-924B-FBD08FF4B536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3B4E6FE-293F-4AF5-94B2-49189373FF5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EDF8CAE6-3132-48BD-80AD-E51C5CCFC75E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F9DF66CD-288F-41FD-A1B5-5EFDE3FE77A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9ED93CE2-C6EB-432F-A6FD-C3F0895C26E7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EE3FB199-2772-4954-97CF-C7A99BA001A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730D745-A550-424C-B027-D55F9C65108C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D8616AC-DE68-468F-B28D-6B38E7A0658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2CCDE9B-1ECB-4A37-8CA4-7DA658AAFD9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4C28F74-829B-4EC7-9CAD-E49EFBB581C3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F671485-206C-42B5-9680-DBF3A32F82E9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CB0E5A3-B7BB-4D1D-9225-59375D65A44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2D90E30-D70E-4971-8AB2-6D9F345E249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FA00AE8-934C-4D17-8E89-008DB4211BA7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D678B55-1221-497C-A0F2-3D2476494F8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FC98C30-8F38-4FC5-BF84-5040C2E44180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0DC6506-3559-411D-B4C5-2E10174EBB8B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6ED7970-C437-418F-A670-32A89A16263C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0D9E6A4-8AD7-4903-8493-5EB530B3313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9D1C948-284B-4399-92D7-134B34497B5B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107156</xdr:colOff>
      <xdr:row>23</xdr:row>
      <xdr:rowOff>404813</xdr:rowOff>
    </xdr:from>
    <xdr:to>
      <xdr:col>15</xdr:col>
      <xdr:colOff>857250</xdr:colOff>
      <xdr:row>23</xdr:row>
      <xdr:rowOff>416719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00F994D-AE06-47CD-9C97-07AF3AC06F0B}"/>
            </a:ext>
          </a:extLst>
        </xdr:cNvPr>
        <xdr:cNvCxnSpPr/>
      </xdr:nvCxnSpPr>
      <xdr:spPr>
        <a:xfrm>
          <a:off x="18823781" y="623411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3D352A4-41AE-4C31-BB62-C6EFCA4D5C2A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4E2B1FC-F15E-4C9E-AC5D-A89F9EF5942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156883</xdr:colOff>
      <xdr:row>23</xdr:row>
      <xdr:rowOff>268941</xdr:rowOff>
    </xdr:from>
    <xdr:to>
      <xdr:col>11</xdr:col>
      <xdr:colOff>906977</xdr:colOff>
      <xdr:row>23</xdr:row>
      <xdr:rowOff>280847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26F090B-3E85-4CE0-B366-13062A89D5A1}"/>
            </a:ext>
          </a:extLst>
        </xdr:cNvPr>
        <xdr:cNvCxnSpPr/>
      </xdr:nvCxnSpPr>
      <xdr:spPr>
        <a:xfrm>
          <a:off x="14949208" y="609824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123265</xdr:colOff>
      <xdr:row>23</xdr:row>
      <xdr:rowOff>403412</xdr:rowOff>
    </xdr:from>
    <xdr:to>
      <xdr:col>11</xdr:col>
      <xdr:colOff>873359</xdr:colOff>
      <xdr:row>23</xdr:row>
      <xdr:rowOff>415318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4E8E778C-196B-4618-BDFC-FD341579A794}"/>
            </a:ext>
          </a:extLst>
        </xdr:cNvPr>
        <xdr:cNvCxnSpPr/>
      </xdr:nvCxnSpPr>
      <xdr:spPr>
        <a:xfrm>
          <a:off x="14915590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140634</xdr:colOff>
      <xdr:row>23</xdr:row>
      <xdr:rowOff>245782</xdr:rowOff>
    </xdr:from>
    <xdr:to>
      <xdr:col>13</xdr:col>
      <xdr:colOff>890728</xdr:colOff>
      <xdr:row>23</xdr:row>
      <xdr:rowOff>257688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CE1D7DBA-2D36-4F4C-9171-69C696CA92BD}"/>
            </a:ext>
          </a:extLst>
        </xdr:cNvPr>
        <xdr:cNvCxnSpPr/>
      </xdr:nvCxnSpPr>
      <xdr:spPr>
        <a:xfrm>
          <a:off x="16895109" y="607508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78441</xdr:colOff>
      <xdr:row>23</xdr:row>
      <xdr:rowOff>403411</xdr:rowOff>
    </xdr:from>
    <xdr:to>
      <xdr:col>13</xdr:col>
      <xdr:colOff>828535</xdr:colOff>
      <xdr:row>23</xdr:row>
      <xdr:rowOff>415317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2D536066-9B2D-4D4F-B0B9-D897AE37625B}"/>
            </a:ext>
          </a:extLst>
        </xdr:cNvPr>
        <xdr:cNvCxnSpPr/>
      </xdr:nvCxnSpPr>
      <xdr:spPr>
        <a:xfrm>
          <a:off x="1683291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256A5-469D-4E49-AD11-DF9048D3F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93AC314-A095-4C61-8816-9ADD4885E581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1E6CBA4-3BE2-436F-BA02-7F7D551F75E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109A85F-43F0-4A3F-92B7-1C5AFBDCE91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51FF4B6-1E18-4BB0-BFAE-2D8A301B6889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D0925E4-04EF-4159-A874-CE2156E7E49D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5D540A1-9F2D-40C8-86A3-7858F9620543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ACAAC1A-57BF-4DF0-86B2-266C5B19634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FF98114-FCF8-4A6F-AA42-3EB6EBF98C16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4F5D53B-6593-4B61-A4CC-12565033132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70E9F47-C95F-4956-B188-8E49B22FBCE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516ACB8-D606-4E68-A05C-2E5EF516D81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B001CB7-C8F0-438C-AA52-8C4696F53D3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A021B19-01EC-4B70-B1BE-B40C9903678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8A557D8-759A-40E2-9397-AA83EA80F93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F5198DF-A02F-4D6B-89A5-B4D5CF07988C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81782AE-5EBA-4CC0-AFB3-ADF2629E3E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1B42486-9D5B-42DE-B96B-B9FFBC8617D9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C694722-F934-4044-9C74-E0514B478E6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C71E41D-1F49-463E-9BC1-BFBA3A381DE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B0682DD-7BCE-4940-B7C9-19F77D94A631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2A14934-4CBA-42A0-AC69-79BA6CAF8FC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B34570E-A327-497C-B1C7-9D7032C97236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0326BCE-7573-41FF-8994-ED0DA4061D8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365AEC6-1A7B-41CE-9DC2-84F05C8896F1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1B57DAD-28C8-4AC0-BD49-A06D72892E82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B0AD59C-6475-49BE-8B86-30E06BF2CD01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6E134CE-D296-4C29-8D21-AC162D7D09A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D3D4504-4FBA-4901-B234-F79600371BE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2FAED35-E809-4768-AAAA-11352CA1890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97628B3-7DF1-4814-860A-D569776EAD8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33A4585-A448-4B29-A54A-3918781B88AF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F911FF5-7039-4776-BBCD-9F295876957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DE4B3A1-BA14-4836-8623-CBAAB1C84605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1688076-A820-484D-BBE1-9F1552A0295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04698ED-04BA-441C-8BF0-9D538AA22CA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5A644FF-36BE-471C-9908-D7CCA728556D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8C07DDC-3982-4AD7-B21B-5112EF8368C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1EC703A9-19E0-48CE-BEB5-3A983DC085E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817C03C-6C7D-4EB7-8DD7-B63D0809FD50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C5E8C08-177B-4288-A674-659636B827F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30CD7BAD-F01A-481D-B962-EB8D31D6EEC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1876618-CD6B-40F6-B497-2A53BE82F16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519C4C69-4712-4DF8-B5B6-3F95B03BB877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16CF11F-1DDD-4958-8C7D-6935DE665D2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3E830D7-B47A-40E2-9B35-BEB12C42474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A4A94C2-D970-49B9-B26D-9290378D6341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9503AB1-C8A6-483E-B65F-E396ED3AE61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155679D-C4FB-4419-980B-65C7E19C6E05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629D61D-14A9-4890-90A9-313B5FD72477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58FE2DB-C719-420F-885C-79289EC2CF93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71D1A57-8386-4A1F-9A60-011F9068AA4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318381B-9A80-4EC4-ACAF-012AD3BA27ED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80981B3-22FD-48A1-9BE5-E48928C5B37A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2EFD948-0F4A-4BDC-9658-5E5D85F005AC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05014A3-A773-4693-92B3-5529EB4D37EE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DD5ED9E-5AF2-47D2-9F07-35A7AD2DB496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107156</xdr:colOff>
      <xdr:row>23</xdr:row>
      <xdr:rowOff>404813</xdr:rowOff>
    </xdr:from>
    <xdr:to>
      <xdr:col>15</xdr:col>
      <xdr:colOff>857250</xdr:colOff>
      <xdr:row>23</xdr:row>
      <xdr:rowOff>416719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E8C3E51-C12B-41E7-B925-42C2B233CB8C}"/>
            </a:ext>
          </a:extLst>
        </xdr:cNvPr>
        <xdr:cNvCxnSpPr/>
      </xdr:nvCxnSpPr>
      <xdr:spPr>
        <a:xfrm>
          <a:off x="18823781" y="623411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8AC4C8B-2EE3-4707-AC60-B5C558E09452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CF0C265-95F6-467B-B353-72A12919025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156883</xdr:colOff>
      <xdr:row>23</xdr:row>
      <xdr:rowOff>268941</xdr:rowOff>
    </xdr:from>
    <xdr:to>
      <xdr:col>11</xdr:col>
      <xdr:colOff>906977</xdr:colOff>
      <xdr:row>23</xdr:row>
      <xdr:rowOff>280847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A13380DB-EB20-41EA-837C-F68535A6FC27}"/>
            </a:ext>
          </a:extLst>
        </xdr:cNvPr>
        <xdr:cNvCxnSpPr/>
      </xdr:nvCxnSpPr>
      <xdr:spPr>
        <a:xfrm>
          <a:off x="14949208" y="609824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123265</xdr:colOff>
      <xdr:row>23</xdr:row>
      <xdr:rowOff>403412</xdr:rowOff>
    </xdr:from>
    <xdr:to>
      <xdr:col>11</xdr:col>
      <xdr:colOff>873359</xdr:colOff>
      <xdr:row>23</xdr:row>
      <xdr:rowOff>415318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FD34E5A-0B06-4C62-83C2-0F9056508D46}"/>
            </a:ext>
          </a:extLst>
        </xdr:cNvPr>
        <xdr:cNvCxnSpPr/>
      </xdr:nvCxnSpPr>
      <xdr:spPr>
        <a:xfrm>
          <a:off x="14915590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67235</xdr:colOff>
      <xdr:row>23</xdr:row>
      <xdr:rowOff>212912</xdr:rowOff>
    </xdr:from>
    <xdr:to>
      <xdr:col>13</xdr:col>
      <xdr:colOff>817329</xdr:colOff>
      <xdr:row>23</xdr:row>
      <xdr:rowOff>224818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86BE41D-2D34-4AC9-A933-51F18E50D63B}"/>
            </a:ext>
          </a:extLst>
        </xdr:cNvPr>
        <xdr:cNvCxnSpPr/>
      </xdr:nvCxnSpPr>
      <xdr:spPr>
        <a:xfrm>
          <a:off x="16853647" y="603997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89647</xdr:colOff>
      <xdr:row>23</xdr:row>
      <xdr:rowOff>392206</xdr:rowOff>
    </xdr:from>
    <xdr:to>
      <xdr:col>13</xdr:col>
      <xdr:colOff>839741</xdr:colOff>
      <xdr:row>23</xdr:row>
      <xdr:rowOff>404112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F4856ABF-3E4F-496E-B454-D69E9C4F0E11}"/>
            </a:ext>
          </a:extLst>
        </xdr:cNvPr>
        <xdr:cNvCxnSpPr/>
      </xdr:nvCxnSpPr>
      <xdr:spPr>
        <a:xfrm>
          <a:off x="16876059" y="621926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44823</xdr:colOff>
      <xdr:row>23</xdr:row>
      <xdr:rowOff>235324</xdr:rowOff>
    </xdr:from>
    <xdr:to>
      <xdr:col>7</xdr:col>
      <xdr:colOff>794917</xdr:colOff>
      <xdr:row>23</xdr:row>
      <xdr:rowOff>247230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963AEF03-24A9-498C-8D26-D22F09BFD25F}"/>
            </a:ext>
          </a:extLst>
        </xdr:cNvPr>
        <xdr:cNvCxnSpPr/>
      </xdr:nvCxnSpPr>
      <xdr:spPr>
        <a:xfrm>
          <a:off x="10914529" y="606238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56029</xdr:colOff>
      <xdr:row>23</xdr:row>
      <xdr:rowOff>392206</xdr:rowOff>
    </xdr:from>
    <xdr:to>
      <xdr:col>7</xdr:col>
      <xdr:colOff>806123</xdr:colOff>
      <xdr:row>23</xdr:row>
      <xdr:rowOff>404112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626C7BF-5040-4A79-9F95-51E97923D09E}"/>
            </a:ext>
          </a:extLst>
        </xdr:cNvPr>
        <xdr:cNvCxnSpPr/>
      </xdr:nvCxnSpPr>
      <xdr:spPr>
        <a:xfrm>
          <a:off x="10925735" y="621926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9021C7-78FF-4533-B76B-22F138F6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2453F7D-3280-4B26-874F-49F0B7D0E37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A042056-4A87-407D-8FC9-34F81339C14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169E281-A557-4BEA-A5CE-716CC6A90AF7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F07D0FC-B335-495E-B76C-DDF39B765EE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B0B88EE-C55D-41C0-8F11-4C45B074D48A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3389663-9E60-4FF8-B378-72A017C3CC62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02E9D97-52BC-4D50-B511-6652A95A633D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5439EB7-CC3A-4C53-BA71-6D51F05B51F6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DEA87B9-C3B5-499C-82D6-3E8E7CE40AC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B077C17-2C1D-43AF-A793-CDA6170E416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704C9D7-F2F3-4112-ACD8-E0228089ACC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58434B6-33F3-4B60-88D8-9B651EBDC58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23ED175-23AB-4BF4-A60E-1F6893539680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E50FBA6-8BF3-496F-BD98-B7335E51276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ABB0238-C26D-420B-824E-265291B8D90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5401FC4-AE7F-4E93-A234-D2CCEE400B6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4C54AAB8-1C12-4918-87D7-7341011FA1C8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B00124D-D734-4244-8334-162BCE741AF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A9900CD3-DC23-4419-A635-6AEFAEC7824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CA68257-3BC1-49B5-9B2F-B869A7DC586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AAE8F824-BDAF-4F2A-90E4-050C426EC87E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853DCC8-6DDE-4CF0-833F-75B2355ABF94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BE5388E-8388-485F-A79F-8DDD2E3A32C1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D1ADAC2-3534-4B24-9A62-F75CE086CBF1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77A7493-D090-4B28-A2CF-615BAE90A2CC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BEC2D9A8-0E66-4616-AE0E-3AC2D3F11EE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78AA75B-A048-404E-AA59-78D2E32B5293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34C95E4-6C7E-476F-8216-8BB58DE8B96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37E5F60-F9FE-4214-A59D-B5F078F96AC3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3E982B5-B847-47B6-BC4E-606CC6F46F3E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9CE7917-5C02-4EED-BE21-74C5AE31FC2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B461B47-1900-42CC-BF47-7B138A2B0AE7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8EE7726-BE7C-4E5D-90BA-F9F75BC0323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9EBA3D2-9200-4239-8D46-2357BEBE5871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6D6F590-63A7-4C5C-9544-ACBEE28CF0BA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6A6F25D-E594-4AB0-AEE6-37B7B9F8FC5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C50B57F-5392-441E-ABC2-10FCC72F9EAC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EDE8C029-6E0B-47DA-9A96-8AF6E6D01EEF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173717F-1C6E-4D53-A54D-755661521FBC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804A7BDA-607B-4E3E-8B49-028D884E3E7C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B5F5F971-CE69-4FBE-AD37-67ABDB86AC5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64718D90-40B6-4B62-9ECD-05DDF7B1D59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1D151160-A40F-47FA-AE30-5FF50B49B333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98CADAA-F939-4417-975C-95D34A1717F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7AD7CFE-8143-48EB-84F4-423EC6CC3DD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A3CC21D7-BA30-4377-A000-5737A7263F13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84E7FE1-3654-4792-8C00-0FF3ABF60E26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CF10149-6E37-4DB9-B44D-D2EB68C39492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8ECE3BA-A0A9-4A28-AA1C-A060C2010366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C8AA2DBD-23A8-44E8-B2B5-351717CF3A2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ECF0DA4-52DB-4ACF-B9AC-395E3615E2CA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866A208-2F77-4A1A-82A2-2FFC61C9E481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86258061-291B-443C-A906-18411F633BCB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FA3AD713-87CE-4168-9106-52D177B4DA5B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B7056F6-873B-4CC8-B52F-8CFEFDC667A5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903E2CF-C93D-4B65-A408-F71800A52999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28715</xdr:colOff>
      <xdr:row>23</xdr:row>
      <xdr:rowOff>438430</xdr:rowOff>
    </xdr:from>
    <xdr:to>
      <xdr:col>15</xdr:col>
      <xdr:colOff>778809</xdr:colOff>
      <xdr:row>23</xdr:row>
      <xdr:rowOff>450336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E137605-A67E-4023-9C06-F3A8F6250A2A}"/>
            </a:ext>
          </a:extLst>
        </xdr:cNvPr>
        <xdr:cNvCxnSpPr/>
      </xdr:nvCxnSpPr>
      <xdr:spPr>
        <a:xfrm>
          <a:off x="18787362" y="62654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A468479-CFEA-4E68-A152-2689FB992970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3B7B2010-D49C-4CD5-A360-FCAEA425FDD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156883</xdr:colOff>
      <xdr:row>23</xdr:row>
      <xdr:rowOff>268941</xdr:rowOff>
    </xdr:from>
    <xdr:to>
      <xdr:col>11</xdr:col>
      <xdr:colOff>906977</xdr:colOff>
      <xdr:row>23</xdr:row>
      <xdr:rowOff>280847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C2A8B64-124F-44B0-82F7-1362B0B419ED}"/>
            </a:ext>
          </a:extLst>
        </xdr:cNvPr>
        <xdr:cNvCxnSpPr/>
      </xdr:nvCxnSpPr>
      <xdr:spPr>
        <a:xfrm>
          <a:off x="14949208" y="609824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123265</xdr:colOff>
      <xdr:row>23</xdr:row>
      <xdr:rowOff>403412</xdr:rowOff>
    </xdr:from>
    <xdr:to>
      <xdr:col>11</xdr:col>
      <xdr:colOff>873359</xdr:colOff>
      <xdr:row>23</xdr:row>
      <xdr:rowOff>415318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06375BD-BC25-4649-92CE-EB28819C80AC}"/>
            </a:ext>
          </a:extLst>
        </xdr:cNvPr>
        <xdr:cNvCxnSpPr/>
      </xdr:nvCxnSpPr>
      <xdr:spPr>
        <a:xfrm>
          <a:off x="14915590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2986B4A-906D-4F53-975F-6CDC78AFC0D7}"/>
            </a:ext>
          </a:extLst>
        </xdr:cNvPr>
        <xdr:cNvCxnSpPr/>
      </xdr:nvCxnSpPr>
      <xdr:spPr>
        <a:xfrm>
          <a:off x="16786412" y="606238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71A78C9-6FA7-4047-AFC0-818A5CE1BCD1}"/>
            </a:ext>
          </a:extLst>
        </xdr:cNvPr>
        <xdr:cNvCxnSpPr/>
      </xdr:nvCxnSpPr>
      <xdr:spPr>
        <a:xfrm>
          <a:off x="16775206" y="621926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9C9DE6-14AE-44D6-8525-9A406409A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6CE8410-ECCA-4BD7-9963-6E09535346F1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FF1A407-23F1-4938-A57A-8E30B1100545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E2BE07E-CFEA-4B36-AA2B-A2063DD44278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AD77169-BC68-4344-9036-BBF47FA3D849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8EC3EBE-165B-47A9-82BE-3E097B30DE6A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E9E83B3-0E78-46D6-9DE8-BD67CE402BBB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15BB566-BA7D-48E7-AD79-BA7BB568348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90D427F-08A5-4817-BCA5-97594923788B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EE0F919-0E73-47FE-89BC-74E100664DAD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48528BB-4192-4696-8963-EAFEC7749D9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8C057AF-94BB-4C40-A0DC-B117AB6AE98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B0C09CF-6FF1-4EC9-A1A8-485053B13A0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4339655-08DB-4235-9A4B-F4CEC3B938E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9FEE2B4-C93C-4D9A-9F70-76C5E3300C8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0319C9B-BEAD-4C74-9206-B1C453DAE04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4C50403-F6C0-4F50-ADEF-F9A202ABD4B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2B8DBB5-E251-4C2A-A2CE-21E0D2A7AEE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CB874E2-4E06-4AC1-B664-B995EA95B61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983EDF9-F66A-4DC9-952A-691B77BB23F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4612FC6-884A-437E-9BAC-F8EF37F0729F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F7E0F1E-B890-4701-A6AF-938BF4D05FA0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1473CFC-FFDE-4272-97DD-087004AE8527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9E5A2B6-5C4F-47E2-BF96-F558E9597B32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F21F5A1-1CF5-477D-8ABC-5EA09C9666F8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F5D8595-C292-41FA-99C9-0FAEFE19189F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CA27679-5A0D-41A9-AE07-1BD79011827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1458061-FC76-4711-A51F-0C598DAFEE2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C06AC89-6E48-4E69-935C-05DB1723842E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F353AEA-7A68-4878-88B5-448B11D56D5E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14FDF53-2CCA-446A-93CE-CE476776E25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DA99DC3-5A89-48C3-9659-BAC4A2E017BF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6093DD2-57CB-4E80-AB3F-FCF6A7ACFBA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3FDEAFD-A13A-400D-96C4-24D14AEE600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03748D9-DC1E-4185-888A-71D6BCA8E13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7FB41A7-AE87-4C01-A1F2-D874EB57EC6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19C41C3-08CC-40BD-8FEB-5F3B0718A7B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BF22E0F-7070-4B79-B906-1900D4DA0E2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C7963430-9010-4377-BB20-EBB57BD4C212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92522E07-65F0-494A-AA58-C6B492B9B4E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293B50F-38EE-40F6-9145-1702CF0A15E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514CA4B1-21F7-403E-B5D3-50E2FBD26314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662B76A3-3AC5-4453-AB9F-029FD7F6D01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8DD3882-063E-4403-85E1-F6FC37634C23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5EAE97C-9FF3-40C3-A71C-FA649C4A4F6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7861556-4421-4411-9D22-B9E365AAAC4D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B6DE996-85EE-4DC6-A4C5-19E3C4B19831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AD5F681-A36D-4818-BD5C-EAEA94CF86F3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3663507-26BC-4E17-92A8-7AFA6555AF50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18569C7-5188-4DFC-A077-D7798E7DA625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48CA12E-0884-4DB8-861A-BE63DFB36836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DB137DD-723C-4EB3-B822-96995C84C64A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6F93393-52BE-4160-B062-4081A148806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3000653-ADB7-408F-9CC6-D9C29E44C620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B3DCEC2-1171-4E60-A03A-122FC9D5BE69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76B4EAB-08F6-4978-AFF4-4BACD2FCF9D0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5E17456-7FA4-4491-A3A1-7C345AEA87B2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28715</xdr:colOff>
      <xdr:row>23</xdr:row>
      <xdr:rowOff>438430</xdr:rowOff>
    </xdr:from>
    <xdr:to>
      <xdr:col>15</xdr:col>
      <xdr:colOff>778809</xdr:colOff>
      <xdr:row>23</xdr:row>
      <xdr:rowOff>450336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83DEA6F-E56F-4ADA-8E37-10CE1A5899D5}"/>
            </a:ext>
          </a:extLst>
        </xdr:cNvPr>
        <xdr:cNvCxnSpPr/>
      </xdr:nvCxnSpPr>
      <xdr:spPr>
        <a:xfrm>
          <a:off x="18745340" y="626773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8025640-A7E9-4520-BC42-BB251340496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FC5C67C-9C16-4290-B9E4-BAAE5D23DB3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156883</xdr:colOff>
      <xdr:row>23</xdr:row>
      <xdr:rowOff>268941</xdr:rowOff>
    </xdr:from>
    <xdr:to>
      <xdr:col>11</xdr:col>
      <xdr:colOff>906977</xdr:colOff>
      <xdr:row>23</xdr:row>
      <xdr:rowOff>280847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EBEC5FE-96AB-455A-83FA-9364093A0E79}"/>
            </a:ext>
          </a:extLst>
        </xdr:cNvPr>
        <xdr:cNvCxnSpPr/>
      </xdr:nvCxnSpPr>
      <xdr:spPr>
        <a:xfrm>
          <a:off x="14949208" y="609824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123265</xdr:colOff>
      <xdr:row>23</xdr:row>
      <xdr:rowOff>403412</xdr:rowOff>
    </xdr:from>
    <xdr:to>
      <xdr:col>11</xdr:col>
      <xdr:colOff>873359</xdr:colOff>
      <xdr:row>23</xdr:row>
      <xdr:rowOff>415318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5322AC4F-D78A-453B-B234-2E70C63512AA}"/>
            </a:ext>
          </a:extLst>
        </xdr:cNvPr>
        <xdr:cNvCxnSpPr/>
      </xdr:nvCxnSpPr>
      <xdr:spPr>
        <a:xfrm>
          <a:off x="14915590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719CDFFF-37C9-4DF6-9BA8-31E950C0C335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C34CF7A8-E2AA-4BB3-875B-786CA35CE0BD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519AD-488B-4D6B-8FD1-8CB481FE2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39AB158-CE27-492F-8FF5-454C8437F35D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BC0DBBE-0268-4D0E-88AF-758CA19F1C0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C6EF7F6-81DF-4BCA-A175-FE2F147CA9A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1D2D8E0-3118-4EAF-B4F2-9C9ADEDAFC2F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F987991-35A8-4E03-8645-3379BEB14759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E11F6F1-4F62-4301-9F36-4DF8564CFD31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9690364-902E-4836-AFC7-AD6DA63ACC83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A3BD6D9-DE21-4F4F-86A3-159161FBC3B8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EB35601-9BAE-4C2A-B0C2-79C0077068B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5BD6B3D-E8E2-447A-8A81-EBBAE7EF382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360F9CC-9647-4908-9625-B3BA0F03846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3C8FCD5-52C3-4447-86EC-08242EF91E1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6EF6127-7D01-437F-8D5A-4DEF5ADDFAD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7887BA9-9FA9-4B7D-8EEB-CA3DB0FAFB1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BC0A0F4-D8B5-4CBC-8A77-37762F997C0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64284AC-5A57-4702-AE5D-344291C80FE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A1AC18E-B5E3-434E-8412-57259B25899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6E8BF6D-FAD6-4C21-82FB-229A14BD70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FB75D63-A2A9-43C8-963D-5F51028983B1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9B4F858-1CAB-40CC-864E-06A0A7F4E2D7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BDACEE2-8096-4A97-878E-6CB94C2A1792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E496D45-8118-45AF-AC82-377A54AFD759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7E3D843-D61D-420F-85C0-8C2AF78D361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FC98528-72E3-4763-A806-2662BA136C32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9288EB9-D85A-4C9E-83B6-DCCA4FD3EA1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2DF6672-64B5-474C-B0D9-83EC3B316648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364B6E3-FD74-4A2C-B53C-56ACFBDD57F3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F6A8636-515D-4BDF-8318-1077CA815EED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2492036-E442-45B8-8818-E97DB3579EDB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3848206-AE5A-4652-8627-5B4985E8963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A96FF7F-CE29-44DE-B6D0-7F30435545C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5F0A3EE-4C6F-446A-8C71-859A4E8B95C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348F356-1760-4416-81AC-737BA5E6A315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88E9810-61C7-40DE-B7EC-26A1C1223B4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7AA6B83-C7CA-4C1F-9B29-C766579722F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20B2E227-A5E1-405A-8D77-F29D60D89DC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F86B1B1-74E0-46FF-A475-81764BE0EE17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F46F6A5-6936-4C5C-9EF6-3E63AC90A2E6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F9C70E3-14F0-4D16-B779-23440E969B3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4834678C-B6A7-41FC-8816-62BE6F30A8B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1A12CFCF-2205-4D6D-AAE8-3C331D7F48F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185013A6-3CA5-47F6-A305-EB37E51390B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BB3A628E-79B2-4557-8048-5630FA581D1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A307A22-CC94-4D38-8504-F25360350B27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1E616D8-8946-4FC9-A18C-95129213329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996CBB1-1103-41D3-966D-D5B133BE727A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FBA496E-954F-4CC9-BF32-0CBAA9A6920B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38E94E1-C8B3-403B-ACE6-FFF009EEEC3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3F2763E-4285-46F7-9C9F-9868D22BB84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59AD525-FD6D-49B4-B704-38151E85CAD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2ACD6D9-8EBA-4B40-8776-2E01A6F6ABC8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2CD1256-C833-4C00-B176-B5AA06BD6A4D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419E7A2-254C-4E2C-A2C6-2023616B4BE4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2AB727F-5DE5-4DB9-9A1D-DFF42099E877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FFB08DB-F1F9-4067-A802-73428F8CBAF3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3230D9F-7378-4561-8D00-11BEB790674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81D365E-7CAD-4BE1-B624-B3E7C16CFE5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618D0553-D435-49BB-95BD-8FD11B462859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802FC5A4-AA8D-402C-BC17-966FE463824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56029</xdr:colOff>
      <xdr:row>23</xdr:row>
      <xdr:rowOff>235323</xdr:rowOff>
    </xdr:from>
    <xdr:to>
      <xdr:col>7</xdr:col>
      <xdr:colOff>806123</xdr:colOff>
      <xdr:row>23</xdr:row>
      <xdr:rowOff>247229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926A6967-7303-4D32-93FF-75A918F8C3AB}"/>
            </a:ext>
          </a:extLst>
        </xdr:cNvPr>
        <xdr:cNvCxnSpPr/>
      </xdr:nvCxnSpPr>
      <xdr:spPr>
        <a:xfrm>
          <a:off x="10925735" y="606238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56029</xdr:colOff>
      <xdr:row>23</xdr:row>
      <xdr:rowOff>381000</xdr:rowOff>
    </xdr:from>
    <xdr:to>
      <xdr:col>7</xdr:col>
      <xdr:colOff>806123</xdr:colOff>
      <xdr:row>23</xdr:row>
      <xdr:rowOff>392906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49BD6C0A-C33F-41CA-A9C0-81479038D767}"/>
            </a:ext>
          </a:extLst>
        </xdr:cNvPr>
        <xdr:cNvCxnSpPr/>
      </xdr:nvCxnSpPr>
      <xdr:spPr>
        <a:xfrm>
          <a:off x="10925735" y="620805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0EC98-D6EA-40D4-9A17-C77AA63E4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7A2D49C-937F-4C50-BF6C-670DCF8345F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8DB2A3F-4995-485E-AE3C-16610427F43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EE5E2E9-1A81-4C85-98FD-51A6109B0FAE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63691D3-1724-4657-B3C1-076EE8241CB8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CAD022D-E621-4E42-B17C-9B720588F254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7EF145F-2642-46C1-9E44-73EC93D181CB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DFE0C65-1475-417D-B4FD-F32CA8D38847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BB286D6-6A87-41CF-A87E-686E649986C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DEFE62F-6AB1-4F7C-923A-43CE8CDFBF7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465727F-3F47-4E15-90C3-726BF380BDC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278B17A-AE22-49BC-B9FE-A71BC3776FB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D749020-82E4-40A3-82B3-C66785936A1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806D4C8-CE3B-47C7-83BD-CDAE22713D6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1BF6F9F-C208-4EB2-AE14-1499C9D63509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559114E-9437-45AE-8C88-DB9B736D970B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FE7A1A9-C574-49FF-A72E-0BAE78DD739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1351381D-74CA-4010-97F9-BEC5550E5D3E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9F995D8-0534-4D8C-B7F3-E4C505D036A6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35BFF2E-285F-41A8-AF7C-28D13B08488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3669204-3AC6-4532-BA8E-BBDD1607607D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D6B8295-AC10-4FE6-BF30-A7B6F6CDB00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F596265-8EA3-4F74-8A80-0969F550FB36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3C60B6B-4A62-452C-B1D4-06B69AC7BE45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24EB94F-885B-478B-B166-60142A736F1B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449C190-CE05-46D3-B428-39F2ADAE165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E8EEE57-BD11-4E17-B3A8-5FD15659A92A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C08806B-3A3D-4F2D-9A79-B9F1C290520E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37B6A5E-0177-4907-8A00-2F915022A9B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6BDA82FC-32B0-41D6-A065-AAA39D08082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DB2C63E-295E-4E29-B8FD-8D9CF1E4D05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32A6C5A-39A6-4DCF-9D55-84081976468F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574115F-C852-4B63-9278-D5292B759BC7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E8315ED-006C-4674-9348-FDD40070D31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5ACEF0D-B428-4755-87CC-A285C5D2A82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C8840E0-ED07-440E-969D-55921301639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22764C00-7756-4499-A0AE-0E3213103FF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64C651C-6164-4457-9D61-797071AF4A5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CC1B7B3-01DD-4471-9F5B-453CD0D395B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7AD12662-E041-483D-B739-AFE968D53D49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D555A839-01D1-4674-9F49-AB8F80B3D9D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654D487-EFCD-4593-9EEA-9D865417D71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DD0D4DE-F47D-4A08-AC7C-1DE059A14597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738654C-8477-4A2B-8041-D56C43F56A0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2B09A7A-0C69-4A3E-862E-33ED4BC30805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35BCF7B-6BAA-4D25-BB95-4EFAFE9DD3A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C498DFB-0F01-4133-BAA9-76F9D3C6B8F7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E31965-DA6D-422F-B277-49F128968AA4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4248558-5D06-4216-9025-CFD9AAC7C35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99E270E-6B8E-4A5F-985E-9D563C72387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66E3E03-2AFB-45E7-B367-5A0581D9D684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4C7B768-A810-46AA-ACD1-464C8279630B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AFE8AB6B-673A-4B7D-BA65-75EB17D60BC8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C2ED675-BE04-40AB-8686-38FCE2B8EB15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40AA81A-FF32-4474-A2D7-525FDBD44266}"/>
            </a:ext>
          </a:extLst>
        </xdr:cNvPr>
        <xdr:cNvCxnSpPr/>
      </xdr:nvCxnSpPr>
      <xdr:spPr>
        <a:xfrm>
          <a:off x="9019709" y="605565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DA9494E-AE00-44AF-994A-16C39E521C78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539E81B-3B5A-4BD8-8371-C035E15C4DD0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60FB81A-C9A4-413C-9E43-E9E96050782E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04B00A9-1848-49F8-BEE9-F6CE57DCE14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B1756A3-FDF4-42F7-B3A3-757D8CCE537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642C49D-E386-4DD8-A91F-E07D5D3C5AEA}"/>
            </a:ext>
          </a:extLst>
        </xdr:cNvPr>
        <xdr:cNvCxnSpPr/>
      </xdr:nvCxnSpPr>
      <xdr:spPr>
        <a:xfrm>
          <a:off x="13973736" y="60847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FE7BAC61-43AB-45C8-9826-55839B5242E9}"/>
            </a:ext>
          </a:extLst>
        </xdr:cNvPr>
        <xdr:cNvCxnSpPr/>
      </xdr:nvCxnSpPr>
      <xdr:spPr>
        <a:xfrm>
          <a:off x="13962529" y="624167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9719F-ACB5-4A0D-930C-40E73587D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230B69D-4A5C-4F9A-B372-AA1FCF5C68B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082D3B4-007E-453D-A86E-18C129EBA8D3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4461EC1-61F9-45C3-9910-1725822B124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31B481F-16E6-4A05-A034-006FE46CD2B9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ED2B6B8-82B5-494E-B10B-C6B85C8A9341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4FC4702-5E5C-468E-AA8B-FEC4D235F105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FDC8224-7F80-4FA9-8A4A-9B2F829FAA99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241EE92-86BD-4F3F-86D9-AFE2F7942A0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34A7B8F-B40A-468E-93D9-2C72DF788DA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514D1D5-099A-41BF-9F3D-133140A49F5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802DE71-9668-438D-97EE-E0C16E96C21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667663C-5189-45F5-BA31-A56148D1A4EB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FEFADD3-2370-47EF-A443-45C64BE6F7E9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B265B08-0E00-48C7-9F8E-0A37EFEF822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FDFFF74-1A45-4329-96C9-B088099E48F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1CB851B-11BB-4E2F-B4CF-AA6A93AC314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5B25648-F492-48AB-92ED-2DE437EF2F1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91AADCC-CE6A-4D78-A948-7C2A6E60775E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52EC7FD-77D0-41DE-9FEF-DA6F7578926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89E1329-49C8-45B0-A463-CE9BB2B0C39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8E6BF15-EE1F-4A96-9BDB-9DBE54C1365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4474467-0953-42C1-B318-65B3CD1CC90E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2002DBB-BEDC-4745-864F-DC93E737FC2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F4F4118-EAE6-4159-B146-44B209B82378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6DEC536D-86CF-4440-88AD-F5E4E33A90E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99E2FC1-CF5D-4216-8DB9-C02FAD09E96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8965F97-2BC3-4FFA-89C9-2FC3F3FDB20E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12F1943-3530-40A4-938E-41BD5F1C0D0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C4B6D55-3C1A-45D7-BC16-4C3A7AD48C0E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4933178-DC32-4678-B89A-BE399ED7B7E1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2296FC3-EC7F-4674-9462-8F8F5AEF2443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293A000-2AC7-41C6-9D52-A52A496A752D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576A302-2A89-4E92-BAF8-B89C6D0B7E43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A936D2B-F3B7-443F-8180-65E7C1F9D0F1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D8B38FF-5D87-44AE-B4FC-49D964A95129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25304F5-6B1C-4725-8868-5AB75DBE14FF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B5B1B46-CB09-4228-8F4F-75DF12F95CD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2682D94C-79A0-4D1B-A1D2-851369A0868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7ADD5673-2189-4C2B-95E8-3BB8C1B412C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996A7613-9CF0-4EE0-A784-C634C84D2BF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31E315E2-DD01-4A2B-ABA8-7DD3F43690A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864D9AB9-A3EF-4129-84D5-B88895C2EFB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770CD7EE-821D-45A8-8551-57EB81A0757A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4AA279F-B70C-47E5-BD4B-66392E81945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7F3163A-943D-454D-B270-EB54AF7E096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731EDB6-49E4-44CF-9E7C-F75F49BD3708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B357851-F5BB-4946-A854-253DE9DFDDD5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54B974F-4D25-4B46-AAD9-A684F93ED06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E4470B6-B814-4069-9DE2-090FA679DED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6C7CDEE-55EF-4846-A07F-D95A5F861BD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1E06DAD-4157-4FD7-8CDC-4C2B622C88CB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1050953-CB47-4114-98A5-3E4467B8ED9C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CC9DB8F-CDB6-425E-B036-DDD9EA85E25B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8CAEEB6-6C41-4344-A321-E5711F154A1E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259B007-64BC-4092-BC82-F0C6764B320D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75EFFA2-B6F4-48B3-90DC-970F4B53ADF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2F66CEC-AB90-441F-BA4B-4B4A3FE4B32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519CAEB-48E6-4F92-A614-0C8F6D8D8BD1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1C217A8-DCAE-4D93-9F1A-2D7376D221AF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136F8D2-58DD-4FA8-A4C9-FFE871A0D510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95C3B281-CF78-4D20-845E-893C96859DB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F91FFF60-EB68-4B55-9897-0CB9B3CC6E03}"/>
            </a:ext>
          </a:extLst>
        </xdr:cNvPr>
        <xdr:cNvCxnSpPr/>
      </xdr:nvCxnSpPr>
      <xdr:spPr>
        <a:xfrm>
          <a:off x="12953999" y="621926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1D12283F-20F2-4EBB-9B61-0817187FFFF3}"/>
            </a:ext>
          </a:extLst>
        </xdr:cNvPr>
        <xdr:cNvCxnSpPr/>
      </xdr:nvCxnSpPr>
      <xdr:spPr>
        <a:xfrm>
          <a:off x="12954000" y="60847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9633B463-9D22-4167-8527-EC95189EF675}"/>
            </a:ext>
          </a:extLst>
        </xdr:cNvPr>
        <xdr:cNvCxnSpPr/>
      </xdr:nvCxnSpPr>
      <xdr:spPr>
        <a:xfrm>
          <a:off x="18848294" y="621926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9D016969-F5B0-40E2-8D16-AEE9BE2A2129}"/>
            </a:ext>
          </a:extLst>
        </xdr:cNvPr>
        <xdr:cNvCxnSpPr/>
      </xdr:nvCxnSpPr>
      <xdr:spPr>
        <a:xfrm>
          <a:off x="18814677" y="60735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A29A0-E80D-4D17-8BF0-969CE8F35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5293A8D-7488-4C9A-B5E8-A5D3A828CD5C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E1F8996-2FAA-45BA-BF64-48C1FA134EBB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8C34748-1ECA-4108-9C64-224EF33EABE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8E7636C-3B62-4FD6-BED7-4E2133F0A4FE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905560F-8D60-49ED-AA71-38F328D105BB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5A9DD38-FFE6-4382-9279-E534E6252605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2791523-4EC8-472D-8EB1-FC778B98E45E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B50C2BE-21C9-4591-AFF8-375BA3754EB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BD0ED1A-63E2-48E6-8307-B5FF7F3A2C0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24B40C3-9479-4D1D-9929-9321EB82061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1044830-4FA7-47FD-93D0-6380B0D4AC8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E47688A-5E3F-4EF4-B58E-75FFC38D150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D0F7255-C63A-4FC5-A4D5-2E4A6E2FEC2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8AFA91E-FC20-48A9-809C-5EE1B1B8869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8DD3309-8D07-4E63-AD28-860BB496546A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AD5F9EC-64E4-422A-85DE-063FE665706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E2DED7C-B27B-49BA-BD27-3563ADDA676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C973CB0-9B9D-4DDD-A002-E3A9C71D2B7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3390596-6D42-4637-BE88-8C2C3D69758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E01702E-741E-42EE-9F18-522509F2C249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3085084-34AF-4174-AB15-324ABBBE6E1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67688955-5334-4453-BEC2-1826CF03E485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95E74B9-4A5C-4356-909C-E7F86C565364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E422E6F-0A19-4224-B707-45B94421394E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DBA2E5C-6450-4C8F-BC1A-B4E5E8B9E242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BD30F616-D4C0-431E-A41D-69342171537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07366B3-2ADE-468A-AA32-3354E39048D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FBAC269-2A08-4FD6-8455-278D6CE3392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5E7EABC-14D4-49D1-A119-C03A59CA299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B04D86E-0DEF-4E0C-9C31-06824B18D8F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8819AA72-3818-4D03-A1B8-F790571817CC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8947489-4485-4662-8370-059D281A3939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E14D8E7-83DA-480A-BCD0-D68B98412DA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4A64DAB-1B2A-426D-B2A9-2C7830B80C69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C056209-51F2-4328-98B2-20C382CF383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D1E5EAC-F367-41F0-9F9C-141B76053C8D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E31F1A0-551B-42DC-A0CB-D6385C64F72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EEE78089-1A4D-42FC-9A6E-5009AAE57DFF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8C792472-CA7F-468F-98B7-EFD06FFB3BAA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8412A1A6-894B-4499-8785-886AA4100734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F13ABB4-EB71-4380-95AD-39433DED26B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1C7F5DD6-98F1-4C1F-A852-6C420D9F896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1099F8E-FCDF-4035-B658-0E4EC4AC853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2325030-A546-4F65-8320-9319714F3E4C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4BF42D3-10D4-4CF9-9373-30BA4EE9A7D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66E80AA2-5AB5-48CF-9E08-170A337FFC55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0B6BD0D-CAC6-488F-B915-5B5D3491E97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6C54861-E7FB-483D-A5AD-8D8E731D0F0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505A781-5634-4C89-A30C-C8A3A99D2757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4450BA8-05C7-48EB-AA5C-9AEF949F4F07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4347944-39F1-4764-9367-18D93198B22D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D2769BA-0F85-4D22-8BE3-0551DB8D316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22E14787-B3E8-44AD-BDE4-F294DB83C46D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F204F0A-6277-4080-8F7D-002E3B395812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B84192F-805E-4347-9658-2DDAF9575F9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DC67A7F-F9D1-4350-AB66-DEF757F2450F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8B84E6F-054A-4DCC-B0BB-307896E0B75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FCFBCD01-EF81-49CF-8754-F533C8FB1CF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5E9E4EB-860A-4A22-B7AA-CE530D5F4CD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5D129F4-E90A-4687-A3CF-9087DF6DE45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A72E95F3-C218-4BCA-913C-47C82AFFB47B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AB0C16D-66C3-4CD6-B898-F2158BA8CD9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3B348AC1-1D7D-4F3A-B0C8-33A8F80FC4F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6C77166C-CA08-4386-A35D-85877CB869A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D335D78C-4E1F-4ECD-B742-19056E021498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E59EB-9622-45D4-8F62-683A6BF1C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112EAE2-B611-4F9F-AF6D-AE43369B068D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6002542-3CBF-473E-943C-FB97BE15DB13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92FC512-5953-4425-9951-D5154B736E3D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0DFD87E-8F3E-4AA0-B4C6-0E015BE04BC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89EEF20-6005-44BE-A82D-58438E985C5A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EB302331-22F0-4764-8EA6-E4471CFFD3FF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6A76F7A-DC04-4490-ADA1-EF2AB86A3C15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B269AE4-963F-4ECC-A0F5-0AFEF5322F3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90B1E63-505E-4947-A92B-6B89AB3C8894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24BC6A5-8135-486E-914F-F6E5C0BDF7F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6CCCB7E-2194-471E-AB13-576E7A38068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7287E5B-11F5-4BDD-BAED-7094C30F65E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DE652F1-D017-4D7B-B7E9-683CAB6553C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1314CBF-F6A6-4965-AACA-8CC676560345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4CF7799-EEEC-4D29-80E7-FF916E72125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3C834C3-9AAA-48AD-8AC4-F204D138146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819533C-B8D2-4EAF-8274-5CB6317AF5E8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5E96E9E-D5C3-4A00-B23A-159D7996CEF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154602D8-EEA4-44FE-9AE0-5325681D385A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8AC7DD6-BFD4-469A-BEEE-B8CCC622475D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AAF5B47-D6C3-4A15-B82E-30D2A7E5F65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9E978F27-1CE2-445C-8E0A-C26115B9CD90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AF07C4F-4AA4-4D1C-9789-624FBDCF151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812A7D2-378F-401A-AD0A-0B6295FCF1C8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BB5014A-8EC5-4B72-8CBE-E3DED16E232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803FA1E-03B9-42B1-9688-674127657AB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DB10861-A4ED-4B8B-AFB4-E3151F8B2A06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FC29134-B9B0-412B-886F-63C6D0EF576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B363AF5-53E2-46BA-B5BC-241F0045F806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2D65B57-6EBC-4D5B-AE6A-D22392145287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AA0EEB3-450C-4E98-B0C1-DD1499E6978C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13BF0E7E-AC8D-4C89-8B62-800FE13C4422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5D827A2-FA07-4C1C-8CA4-B8BDD1A74BE9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0656DDA-8963-46E6-A18F-096CD11A273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B433B1B-CD3B-42DF-9810-C7368CCC739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6710518-21F6-48DB-9ADB-9F959A0FF48F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76FA303-2C02-46C3-94CA-2E54CFCDBEE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62F64F4-A47A-4D9A-B1E3-A5DD0E10CE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B14794A-D5FE-4F70-8B29-7FA6CF9B2B3D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893E446-174D-43F1-9018-0E164216FCEC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7C8BAE8-543E-4C59-AF60-F988B26258DD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223DCB63-EB33-440D-A53B-2A4315D74F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F6B4E2D-E782-48AD-9B98-2419160EB721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0C3B294-B32C-42E0-8A60-380906A6765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F8CE285-6C64-49AD-B5E6-378D5FFCEE92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0E514FB-16EA-44CF-A7BA-870137AF1851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9086180-88F0-48AF-9FCA-FB4FC2ED519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048FC5B-E90E-47E5-8D12-1FDEC5E585F0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81A57B1-F249-4CB0-BB36-749C0ED9926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0C56B59-CE42-42AE-993B-1817E8B25BDA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53B8C45-7527-4D51-9940-55F57485B5E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9488FC4-053B-4494-A823-959B034B8D2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D9AEFA7C-6F8A-45E4-A269-58ED2161F5F0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811CFE3-D4A8-4A7B-A9E5-C8909F5EF02A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1CA554E-36A5-4826-9CA1-DD97E0DFA2E0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2CD37A3-8B3A-4AA2-84EB-6E28B6AA4DC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86CCB2EF-FD92-4CAA-AC81-9AE6C607DB4D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2087345-4FCB-4735-A85D-856FEB10F8A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3098EFEF-35EA-4298-9443-3F97AB1FC7A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C36BAE27-293F-46FF-BE9A-94A0AFAF0CFB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5BC74FB0-F5B8-4C76-8506-881E0071FFD2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B432752-755E-496A-B97D-61A4E1A0DABB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69EF669D-3AAD-4584-9330-A5EB889B37C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18BE02CC-E26B-4195-BA02-178A06C48B17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5BA74861-F84B-4EC8-86B5-B1C690C1387E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AC1A836D-17DA-4E52-8B79-0784B5F8BB84}"/>
            </a:ext>
          </a:extLst>
        </xdr:cNvPr>
        <xdr:cNvCxnSpPr/>
      </xdr:nvCxnSpPr>
      <xdr:spPr>
        <a:xfrm>
          <a:off x="10992971" y="608479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DC65ABF-A977-465A-BF5C-AF6938A3DFA5}"/>
            </a:ext>
          </a:extLst>
        </xdr:cNvPr>
        <xdr:cNvCxnSpPr/>
      </xdr:nvCxnSpPr>
      <xdr:spPr>
        <a:xfrm>
          <a:off x="10948147" y="62304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66C40-327F-4DD0-83C4-3CA80EBB8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A8CBA5A-BB2C-45EE-B659-C8FFA3078EE7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3C492A8-4055-4A2F-9E7E-AEA6F7B8AA2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989BD63-C8FB-454F-9096-8148C8BA548B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2530747-BD63-4B21-A469-66EE8E8E40D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7B6DA71-EE40-43EB-9E67-347243945ED1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868295C-1216-4143-B347-F14218BADEF8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6CF5A51-6A18-49F5-BED4-2E11ECF9C88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1F5EAE7-772F-4C88-AE21-D0A8DD62BDC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B9936D3-8F7F-4ED4-B059-B3EDBDC1E56A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DA581BE-9DFA-4B15-A643-AF8EC4C2864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5C4B787-4E32-4D94-AD45-6A8B33A9352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13CE387-2A00-440D-925A-D6BE3744F44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BEACD6E-A779-4561-9B59-B187F2420B4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8CC85F4-9A7B-437B-A029-6030AF60693A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2327F1B-AC9B-4C8D-ABF5-C93812DC80FC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FBDC909-1ADD-4565-A2BE-261E7B19AEA9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EE1F28B-11C4-43EC-B923-66A03D63298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029CA57-E31E-4066-A264-B97F9E56689D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AA21B9F-0191-475B-B40B-D95D0A1FA1F1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C7E9078-E40D-41A1-BB18-2CB6814C500E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3DBC8B8-8DCD-4A36-BBFD-835A1F06E28E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9DC440E6-3A79-4F50-8615-0E937C9E4DA2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0236CF2-5FA5-45E0-B71C-29E9F3B1F672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20A755B-354E-4BC5-92E0-BD0A964389ED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0895BD0-712A-41FF-A245-5A271DFDC04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8F2EBC2-60B0-4450-8664-B828C22EADC6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D9169D7-B6E1-4C42-9B6A-744D24F03CB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E5C190F-C89F-4605-800B-11017DB29A6E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2B167ED-DD97-4A49-A725-2987ABCD1C7E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AC2A2B5-595E-4D31-8DD4-C0A55579AD3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87D92E76-9ACA-458C-8BF4-295E80BA3B9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EF9A284-8DE7-48C5-A70F-18C807A04FA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DF6613B-449D-443B-B484-0B732B8DA519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228CAA7-07FE-447B-AE17-19002C71A2F0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69626C8-F7BE-406D-825C-C292AE005F2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E2CE9E7-0A34-4FB8-83EA-7BCD0BF4F41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AB4820D-5E02-4252-8DBF-E86869CDC075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5BAD7E9-43DB-45A5-A5F5-4C46C40DD55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75C2F6CD-B970-47E4-811C-F382E6A29CDD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95FF97B-3E83-4441-90B8-0DB19AE3C129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D93FC4CD-A1D8-42BF-A9CA-3B915402BD4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80DD3E0A-1646-4EA8-A4B1-9919243FEF5A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4D9EF02-9689-4158-AA38-AEDA29A6BC28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DD7CDBA4-D5B0-46EF-AFCB-1C902ABD195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404C182-A0D7-4AE9-B31F-ECB98A80FC7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9D2EC7C-4EFC-4A80-8846-216568EFA618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FFAB004-6F74-4616-A6B7-8C666D3D9B5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25F8649-0781-484C-8014-2371E6919152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53D36AC-844C-49E6-8D1B-9028F6CC551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11A1667-267D-4063-ACA6-D716A79BB936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91100280-B795-439F-B9E9-0D4D9B582629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88320A9-65C6-461D-9527-9813AF945EF1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B337686-CD7A-4562-B013-E112C733D1EA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85116D5-8F05-42F2-8BC1-0B6056FFFFF9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A7568BC-52B9-4EC2-AC31-57D7480BB1E3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15C4310-E0F5-4C36-80F2-3D8014BA37D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E877C0C-3A7C-4370-BE96-EFF1D1EC058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1FE498D-D47C-4B66-89CD-C7237B9198C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3C879A2-8724-44DB-B7F9-0EC6489FB8BA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C41517AE-01EA-4448-AAF7-64016913B34B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361DF77-D0DE-4AFB-B277-E4F25B3F295A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3B1C3FA7-6002-4086-A582-4F006B78CAD8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8FEE8105-AEA8-44EC-B75E-77FFBF0F359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33CE450-B220-4D0A-AD7A-EEE150375416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B234FD4-08B0-4F22-8660-921035BAF246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BABECDD-C746-467B-9CDC-C797D9909C1A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4508435E-0FA8-4607-8868-5DE127A3A726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EABBE-AB76-41BC-A35D-417834E47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EB38F9E-2D7F-47BE-BDEE-960950E1890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CA8E1CB-4073-41A8-8C4D-CC8308596613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6FA68AC-B2A5-4374-90A5-95226A3CDD85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3F5BB2C-3A1C-45A9-9CA4-06326EC46AF1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AC4198FE-952B-4111-A9FA-D34E81A89844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CD1ECB3-435D-4855-850E-FD301713D7F4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58FAD54-CDCD-4EAA-8505-BA16E286E14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A9B4BFD-2867-4427-A50C-4ED43D6547D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CCDA474-CA00-442D-9D0C-B5CB675D348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580CF51-9B5E-436A-B124-AFFCF6104E3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D42F7D0-8371-440D-9CE9-DE8E8126949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FF2DF25-F76F-4BEC-9E12-658422D6B43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E78CA7E1-FB46-42C0-96AD-FB9F7DC2F17A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FC8C16E-6EAB-424C-8022-5480073E516A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F74B615-DD14-4AD6-A8ED-98EBBAC4F4FA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26D7026-1867-4001-980B-F20B21E9B23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A51C356-964F-4E56-AC6C-7C4C8C7BDD2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D2B046C-59A6-4391-B279-5511513EC73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1CB2C10-CC86-404A-A8C4-81DFD348204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57F9493-F846-4612-B3FD-B9049406F4E1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BEEDE66-8F87-4E05-9467-5BDA867E65B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FF06A4F-AE4D-42BE-A02D-BA6F9C81FE53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2CA0763-CC50-4D40-8E12-2B211CE71255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A608DB0-B935-4067-BACF-F47A303F5050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A82A8F8-04D2-4DF1-B0CD-4C948D8FB96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8DD78F9-542B-4907-85B6-1240AD736EF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E2B9F52-AD3D-45C7-B9F0-0DA6F62F3F7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CA6117E-C2BB-47AF-87EA-E0579458EF1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3B162E5-3527-4205-9AED-09665270F6D3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90890D8-0942-472D-BF42-C1986DD6C5B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8B4FDB1-8678-4410-9A28-AC00D79E71D1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BD719D5-F295-4CFE-9331-1E452FDB77D7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50C8C69-3A8F-4B1C-B95C-A86E2E8AE71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999E12A6-7C00-4D5C-A799-F77ADD3FDCE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B7EDF78-0D00-42F5-B8A5-D98109C723F8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45D507F-5389-4CBF-8196-BFFC685DEB2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5A7723C-774D-4A51-A19F-071FB636E24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4C41632-2644-4808-A1A1-EEE06010F51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C35D65F-D220-4A0D-AECE-8E0BDBC3DE59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7085F51-5C2A-4E55-A8A0-E7D67A0B478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D9F65718-DC34-4811-8494-9C14286C2B8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33914A94-5FCD-47EE-842F-8991E12EDFB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9F19D91-2D39-4F46-8A89-62E0A01A8766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6F8B943-5BDE-446D-BF59-2E1473984E77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4E4CAA-D671-461E-93F1-4FA0069F445C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19261B6-E653-440F-9151-96CF523030C8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02A5A7C-5F14-4650-9EFE-1AAEC4556467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4121C3C-F74B-4485-BAD0-DC73F6154EF1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7593D72-3607-4035-BDE5-ECCC2DB5842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178FE9-7639-4704-8332-5E0EC1D3CF33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821B0A5-B685-408B-A7AB-343EB08CC4F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FBDE9AB-53D0-494D-ABE5-9D08DA9E1C55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ED6C7D2-51F0-4D5D-A076-1028F07831A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149D204-3317-436F-B314-CD5C2ECF0BA4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1700E1A-5943-413A-B3BF-5DCB6A049613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C0897E-F99E-4A12-8319-FAD0114FBA70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8390144-4707-4ACB-9125-C31C66B53A02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D650370-B8A7-4C94-981E-423AA5C903A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7AEDE93-F19E-4E8B-8C1B-230CA3608680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BF743B98-2DDE-47A3-A8EF-7E12AD7C48D2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AB9D08B3-D6F9-4D6E-BBB4-305DC8752D1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3F73540-65ED-47FF-85F0-C82766B8148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DBB0412-A305-4EEF-8638-B964791B9196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35C9DAB-3DA1-4432-8B74-A18C4CD9C227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764A6CDD-934C-40F6-8291-3C509511EAA5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D9C3E5B-FC1D-4767-B048-C437759BCC12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D486B83-02C9-4170-B596-DF4F143B9E73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A0377-28FF-41E8-AF7E-61EA4B4A7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55DF613-DC6F-46A2-98F1-D53684F8927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C1C5B6E-C957-4FC4-92AF-732393B78039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0BDFDFF-EEB6-471D-8F9C-F4D07ABBC2FE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7954DA6-E335-4487-8F9F-C28D73A461B1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ADE56147-40B2-499A-94B8-A831A040B190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CA357C5-88ED-430D-853A-E456E4EFDEF8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DCE9343-A251-41C7-A688-DD51106F06C1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EB23361-1CA9-4ECC-AFAD-B9D5852B304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90CCBCE-61F2-485D-AA4A-2EB71225D509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1687F31-01EF-47F4-9FBD-91805AA2AA6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6848C40-E6A5-4962-B117-9495E0B9D24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72C6BFE-2559-4555-8C69-03D85DBC270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7CF9FC2-A078-4082-8B86-F7D8FA0FF4C0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A942D4F-5F18-47F0-B4A7-05FACD99AA1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2AF116B-2AA1-4F8E-8BCD-1FAABF5A3935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27F1255-9D14-4FF5-AFA2-CA46239BC67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EAECA89D-01CF-4A77-9545-906B8B4B8AD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0824D57-5A97-4082-9F1D-67ED59DBF72E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89E984E-F81F-4737-A74F-2654EE5AA86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B4C2968-7C80-4783-B312-F0EBF8018E71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DEA19EF-C599-48EA-AB16-1DDAC9ECBC1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621E871-DA17-4462-99D1-6D52E57BE5C3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C6A73B38-53C3-4EC4-9C37-50803047F8DA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416973C-E723-41D0-92ED-A95A4AEC7B3F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098FE97-21E4-4DEE-9FF2-820D1A0A6BB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70646A8-75A5-4EBF-87D0-5EC2B0B7F56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8D44058-053E-4B42-861A-8F8F11DD60A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98688F5-D090-4D6A-A256-3ED33852F3D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83443CF-6071-48B0-97F0-395EEB92B106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93F93D89-9DFE-47F8-A881-69A53991B32E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80073AA-E139-44DD-988E-A62D0784B645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F8A120EC-B9D5-47D2-B3C7-9919438F51C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FBB984CC-736B-461D-9491-B76248C0B5F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48FF938-7964-4824-BB7F-46663BA63B5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96510E8-FA20-436C-89CC-29CC04A50E8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7A73650-C933-4538-A3A4-9C815848E0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259E09A1-C32A-47B1-A8FD-831F942FE1B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207600CF-6B5C-42D2-820C-4DBED88D97D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CA04B3A-8842-40CA-AC92-CCB57AA3A8B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47E87B90-AE7E-4140-BA90-83A9D7058988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502B7CB3-F393-49F5-A1C8-A95A9FD882B7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D0283675-DC72-454C-94C1-C4FD5A6970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4E91C90B-CC13-4DE8-86F3-133500F7CB2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389A490-B651-43DB-96B6-6CCE57DB585B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3C317AC-A07B-4436-A7C4-06F262684F1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3E4B47B-C6E7-4861-B33C-220AB3D301E8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D0AB255-D17A-4461-A9FE-20A1818E5FF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CE0D9EB-D1B8-4AB7-9FC9-0BB1BCADB97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236BAB5-B2B1-4416-8283-E02B541D53FD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AB95ACF-0471-4E2B-B717-B09076BF777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EA2DB1E-23E0-499F-8D2A-0C91CB740BC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BA3CCF8-31BD-4F1A-A7DD-960FC0240ED2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0B4BF68-829A-4C81-9791-7E5D3C4139BD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0267256-CFD9-4BF8-A284-BF261EA248E2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9238017-6F17-4147-A3B1-EAB1CDA2762C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D81F8E3-1C5A-4366-BF87-384F730E82D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5FCC54C3-49B2-4EE5-8EDF-8174F9D7187D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8BA8B15-7615-49AF-A774-B5D1C2F3B33D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FD2A6AA-7518-44A8-9329-DA82EC64A227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6065B8E-AE6A-4C29-9CF2-0F852976294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69C8B540-531C-4AA9-BBFB-AA4F8F296FF6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935B80EC-3404-401D-A2E8-F19D65B0602F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E2F3FBBF-14E0-4489-A5F6-61DB9E5569C0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427EA651-D121-434E-88B8-BBAE21BCFB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8951665A-704F-4046-9960-37547E03574E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C4D2970B-57FD-4DB8-870B-A721B4E20CCD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6C39D928-4F80-4C8D-8310-AFF3249C6C11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F835F-CE05-4D3B-BB4B-916E5DF25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77E31FF-F4AD-4021-877D-125F8FF0A40F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52530E9-F45B-43DF-B5EB-02A5CC84971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359B99F-0917-49C0-B077-4813D42B634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75452CA-3881-4657-AB26-0B2AEE58AE77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ADE0158-C3F3-4D77-B230-4325F28C3E43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36A34DE-79A1-4489-8B37-A55A452F6DB5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E47F58B-1F3A-48C4-BD0A-BEC398AF0CC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592D413-7D8A-488D-9D36-61032AE42426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E5B8B7B-B48D-4239-9057-ED76A0CFD6D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5AB7138-F2C2-4103-B20E-4F87B09C281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718B9CC-D8A0-45FC-9BF2-39125E9766C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50AF967-764A-43D5-BC4F-868D85B1CB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9D66EB7-1E95-4E52-ACF7-373F6F93D19F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B4BBD-442F-4327-AE8C-CBD7CAA1494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BC4790B-1F8F-4101-811E-2922054963C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D263D50-FDD8-4636-8FBE-99AA2217AAD9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B62D0BA-B1D3-4073-A648-F116F8F1857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7C804E7-D614-465E-B975-A52D41AEADF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FECD56-1EF6-4951-974B-5F6A32BFB5FC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2EFEFA1-30EB-4C90-9C0D-658327DF043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B501ACA-3DEC-4F2B-8332-354DA83D19D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4E04550-66C6-49E2-B195-E29F231767D9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E66AB35-AF3A-4CA7-A4AF-DBBE5508D89D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5B9F7CA-C616-480D-A639-E69158DB00BF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E6AF8B0-665E-42C0-9FCD-A83C7522E50C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8486CCE-3634-4366-9E24-28C377D0466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D592BA5-D767-44CC-A993-936197C43280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B108024-1BE8-42DC-A93B-B9EA7ABAF1B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CA7E619-6C43-45C5-A41E-3C8AEDD50FD7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ADD1CC7-F489-4F9A-86CB-E2F807C49B00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EF76D8F6-022A-4A0D-AEE9-311A405DDCC2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FEFE2CA-3B4F-4AA4-9DF6-773403BC6D7B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1B14AFC-08DE-493B-8645-BFF348F3C3C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3B80DFA-0D24-48F2-80EF-E77F7E01503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F7EC7AB-3B81-4728-A8EF-168D6E9C3962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2FA509B-40D8-4168-8CE4-7B825BC4B1A3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3C5817F-64FA-41AC-B741-B959664DD50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52876B96-DC79-4681-BE1E-5E7996AE32D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60B57368-6B74-4876-9AC9-1D50218D5633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866EFA10-8C30-4CEA-8334-9D1CCDB22BEB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5C57CCA-F410-478A-8D39-DD171E77205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FFAA34FF-32D4-428F-86C3-2C1199213C7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25B06D39-6048-4309-8CC7-6C7CCD2231F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F78A8F9-5406-4DD2-BC12-C38ADAB84E6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6C8C87F-2BDB-4CE4-897E-011C673037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5EC8A10-8630-47AF-8AC1-7AE3CE22156C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4CC971B-48B3-4C32-934F-17298B7CEC35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0CF73BD-3509-4692-BD96-4F59F79B1E05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A7CB4A6-FE8C-4AF6-B259-33361FE68F8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9DC5A4B-8A82-4F3A-ADD6-FB2A7DF4A98E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21A0EAC-F2D6-4399-B040-CE88492998B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C4EE75B-0FD1-4531-A427-EC86210368DC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29C8BB4-D159-41DC-93C7-15CEDBFA809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80FF4CB-1C89-4AD4-BB1D-A2F93010C393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698DAB5-B624-4365-98AF-157A41AAF613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BADD203-1924-409B-934F-C2D1465BBB0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E6E5ED2-9FDA-4EAA-BABF-4E96D00C99E1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8C522B7-A77C-4C7B-A7AF-542E5723BED5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CF1D87A-9514-4A45-8E0A-3E51426344F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478D831-7C6D-4613-ACEE-40B253567995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985FF3AE-952B-4730-BCAD-33CD96136B15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1A990036-E570-43BE-9EB7-E44772FF060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635FDC6-0DBE-413B-BC64-983B430A230C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2EE2C439-76A8-47D9-8C4F-04593708CC40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D16596DE-17B1-419A-B1DB-2C5648164A63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437FB007-BC0F-478B-AE63-AB86E3115108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758749D2-E458-4A61-93EF-05BBB2123D8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15D40-579E-45DF-AFEE-99193576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5CF9387-47B1-45BB-B945-9E1E4DDDCAB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7968145-D294-4510-AAC1-066133360CF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FE9D85D-10A4-4DF6-BD1B-930CAC773C9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C1B7CEA-FE6D-42C1-9E58-D9CAEFAB9EE4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B344CAB-CB55-4A24-BAAA-B407A22A179C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1081E5E-37EA-4481-8EEE-A22A6BD521DA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32FE240-A2C1-4C95-986F-9ECB8B047BB0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1A22C70-F187-49D3-B706-8391064C35F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56C8829-1307-476B-A9CC-177F3D6DAC8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D12EC57-8B57-4CC2-9003-A9E00D82538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99FB0A7-A3C2-4F47-9A22-A63489B4C96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4895210-1BC2-446D-93E0-D350F4835D4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D73096E-194F-4686-A5CC-BC38EF57200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1DBD361-9F0F-4E43-81B5-955DDE8AD78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C6A5CE7-32B3-4521-9AFF-ED036781DFF6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178E321-80AB-4E61-9673-4C4AA8DCC6A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9BA90CD-5BED-4D18-8C41-D9203CE3ED2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C547261-DBC3-43EB-A47C-5E22616E01C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0D0B70B-E822-443A-93A7-0511E39E406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5640D69-D819-4E31-91F0-84EAC56317E9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211D6F7-199C-4C0A-9C26-3F35EDE443BB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10F15CA-51DB-45F3-B7BB-4A03DA787EDD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CC789062-EB66-417F-B914-89E30805A2AB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2F4BAEC-FAA1-409D-B091-66BF64331483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9A3D604-E508-4140-8391-7C54F7A5798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33BAFFD-E61C-4554-8E2E-2E7C00CA0BB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7E0E026-5464-4C9D-854B-85466D2B2733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41E1F05-A8C0-4F08-9BF7-1C24F15B7A1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7BF3A15-6C57-4AF2-B30A-D985E9BC952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644136D-B5F8-4B55-B25C-09019E569C8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EC056FC-3C7F-4DDF-A796-1D9EE094FBF3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C0B3A1B-3127-43EC-AB7D-9CE20A217EC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2A7B1EA-2FD5-4BE9-8705-B74F429D469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46B3C47-A48E-4CE3-B5FC-82DCEF01B4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CE95356-DCB2-466F-A8BA-9CC6563AD004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662D5A75-44AF-4C23-A8D8-70BC0DA96F71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5BEA4B6-7A28-43A5-AC6B-D14FE58DF29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984DEF2-2872-471B-A2A9-2E6F642004BA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53F94F5-8B3E-424D-A738-239BCCBE239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42E8EF6-CFAC-49B9-88B9-3527D1D284C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9C541E74-6239-4FDE-A145-B0ED2E438A69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3109E928-0C14-4F06-BB41-28D7CD7EBE3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DC6DFD27-551B-4DF4-8717-2F57AD4E12E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0F6F895-060D-4E68-98B0-B20D7119B137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1AB6793-5411-41F9-BF1A-676BC4BDF9BA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A7FECB6-85AF-4D8D-A919-7053B542EC46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1F11FF9-7A47-4ECC-A304-D716ACEA1C8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77FD0CA-F95B-4818-B884-76EC0BF63B6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844A837-2FBB-4A0A-B86B-875A9D0638A7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A3CA0AD-90B3-456D-9227-F08FFD85BD8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6878849-17A5-4852-B927-51E9DD61C38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E07C271-D511-4F0B-8AF9-4DB78E16A54F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CE84AE3-ED9F-47E8-AD10-F1954FA2D160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917C01C-B51C-44F6-A4EA-634088C3AE40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74C3911-E713-4FD9-9763-3DB70F84F224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D2553A42-3CC3-472A-AEE3-775612C8224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FD1ED61-A3C2-4126-B9D3-83676C76CB8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ECB03BE8-74D0-4477-9E85-17D47597A25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10558115-4392-4D88-AEE9-6C3B9B51FBA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7D965CB6-B6B0-47BB-945C-6D4CEEF4046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3B9B5839-0887-45B1-A2E0-512826E01F11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389F566-C914-4810-B49E-39570DA03186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16FA84D9-D191-470C-83EC-595E4E6AE5D8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AFDF308-1AAF-4EE4-A873-2F921BCF53F0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3754A24-0498-4C6D-85FE-1E4D3360D453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4BE3EBE-2ACC-4AE1-8EE0-D2EC262F3EB4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F76DAEC-3959-4D1F-B9EC-855EEF0546FD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AE46F-D744-4EBB-AB82-028FEF84F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1E0F188-A40E-4106-93D0-18CF134EDE47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9B1FF8F-0007-47DF-9630-8E624014E50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AEB199F-BB2D-4CA9-B2DB-DDDCAE210868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3FC8419-3DDC-443E-A593-019DE0E90E12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E8FA3ED-BFB2-4A83-82FD-FA533C97684F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CEFE1F1-2196-4187-AABE-BDFEA7B0A8FA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304C03E-AFBC-43F0-A729-018B3623E85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F289375-CF1A-4DAF-A5DF-FB4FAD5BF6F0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E56188A-5A73-4EAE-928E-0580178153AF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BC3732CE-6A9D-4DD7-8FFE-42FD1D5F818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AECD1ED-B014-4680-A923-EA3AB36B101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53239C1-02AA-4FBA-8566-93335731927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4EFD99CC-6268-4FB0-9C00-39E22645511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97BC584-56CA-4A23-AEE2-34B9D9A15DF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06A37A8-B46B-4DDC-B530-42E470431D5B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BC77106-A80D-4F67-A0C5-1D9444C7F54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EA114D3B-DE40-4AF3-8588-188AA3F61B2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2BE13AB-C505-482B-9239-FB4BDDCE01B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B2C4F7D-DCAA-4B9A-AE8C-C346DD65799C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3EA881E-44C9-4C8F-B74C-89510673F30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CFDE5AE-087F-4BEF-9E45-51023F72F50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DD19073-6859-48F7-8777-C01B28D7D7F6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DFD5F9F-152C-422F-A288-63AF5301DA41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65366DB-2D60-4BA7-95B5-F472F1DA68D3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1BA620E-8EAE-4570-819D-79A51ABC099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EFD2D57-8D4F-421D-8B89-871F187942F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73B10F7-E8CE-4F92-95D8-1365586D284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88D8F71-C26E-4E0E-B6C4-BE3E28940CA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0A3F63-4D10-4484-8CDA-C0389AA408C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72709CF-15D6-4B64-81B1-AFE3F723DC16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714CDF4-2218-405B-A041-EED4A106D16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87D7744-09DF-49C8-8A7D-B630BAA3A7D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D97D5D5-3A40-4116-A052-AA2EDCAD6D39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3C2AB151-3028-4349-8AA0-124DED59C4D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B09CB8AF-F035-44E8-AEB9-96E662FC80C8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DB5EC8C-34B5-4D7E-B729-DA6CAC1C5C6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285C443D-93B7-40A8-B4AC-4E561F5BE6F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DDD856B-CB67-4C6D-9A0C-0D3E850EA036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9E8B8EEE-E515-41F5-AA74-2372714EA5AC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2864AE3-F88F-4A73-92CF-80DDB8891EE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A0A1686-C826-4136-B79B-6B0E8EC172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BE039C08-D73C-4EFB-83F8-D3641F7A56F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220D7872-1B80-40A5-8303-71D6A517AC27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2670CDA-B8C8-4682-AB28-7CC948ECCDA7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B86C214-8511-4FC3-80EE-D40A2C8855E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41A2432-BA38-4ACF-AC00-27CB62622D3D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64E8318-8EEF-42EA-A2BE-0452237494E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B007809-8AFB-45A4-B0ED-7F83E7EF2190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1FAB6A4-5833-4D6B-AA57-74CAB48A7466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B255B46-85C0-406B-B522-038B97F498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58E95A7D-134F-45EE-A41D-4CF2E6DC47B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6603F23A-CE15-4197-911D-2D0DA3FAA7AC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2E3372CA-8C11-4815-ACB6-5B25CF21F7FD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F8F85E2-4475-44B0-9A73-09CB1C7FF711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BB13B28-08E1-41A1-8836-C9487D5493F5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D830B63-DF62-46D4-8B76-EB680A4B333D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C7ABAE9-C854-419A-9C75-7AF71A33C02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DE79B3E-B428-4171-817F-6D8C1199D1AB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83C9DCB-F664-4317-874C-590C2DD0634D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1A5BB7C-ADEF-4369-9164-C3517D8C18F9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86949AE8-559A-4B4A-AF8B-46635D73AE7F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123A066F-6E54-48EC-96EB-2583C0B5D47A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1C14A8C9-D0E1-4DFA-A73D-612C2B84FCE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89374D9-1ECA-48FE-8607-9AF242C3EA61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ABED31A3-2808-4BFD-9938-760F41685851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2A0D146-452B-471B-A272-B5387787D5F5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04F9FE9-3B45-4472-8931-749838677E3B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3E19C-5960-49EF-A0B6-00EA4B6D2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C00CD34-24ED-4803-A99D-39C3A8F0D97B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27CBCC2-DC90-4208-8127-D8136304E5B9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A34AFA7-2768-4507-B22B-B864643D3C2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1716D5D-14B4-42AE-B8FB-DAB58CA79BD5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8C8677F0-4619-4D01-A2BE-7B941A729CA4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B869F63-BCFE-41E1-83B3-AEA78713FCA1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41117CA-3873-473E-B68F-25FD4FD6E33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6B1F0C3-8054-49C6-B79F-E2744BDEF38B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A05C0D5-FF15-4AE8-9E80-8C42D239141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8B029BF-98C3-46FB-9D51-8CB8A40B68D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899B6518-D187-44E8-8B65-5AAA23E9D7C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F135B16-15F5-4C77-8E47-C195111D9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EC3C052E-3DF5-41CC-8E5A-7ED688B7003A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8998E46-1097-4A97-BCE2-C0F6F1160ABC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60F706C6-FB46-4DB5-B6E3-312098B78E61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08FEEB4-CD35-4A04-AB30-CCB0141B212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88BEF5F-B2CC-4E77-A75C-66C74FB62FF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7209054-F706-45F3-A83F-C67ABC1E097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E06F740-3E44-4986-9E4D-77C8C201E50B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AEE9CE1-9D3E-4D0F-9832-EC7B12459CE1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584C9CA-257C-40C5-8B60-1242AACFD36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AE5C48B-7200-425B-90CD-C002A298C8AB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2C1E19C-173A-4A96-819D-D374A007B758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6CC5C4B-917A-4A5E-AB15-EF9C06B6A449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F8937E1-C150-43DA-8EB8-BC03E7AED2B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6B729BC-5D86-4D95-9046-20349213EED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2F0C030F-BDDE-4BAA-94F5-7552D210ACD0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CE56569-0DE9-4983-814A-955738EB414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580184E-A4C0-43DE-9879-140099FC062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0489798-C93D-40D5-8ED4-E8D0716FD3E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6C58CF8-9A1A-4AA2-9021-75CE711A17C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F7BD796-506A-48A6-85E9-36BFC735C7D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5DFF0D1-14AC-4985-A7F1-7C7C1B711F48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C5874C9-B64C-47E1-BADF-E13E8E4E19F1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916E13F-B61A-497F-BD73-E024B00DFF3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3198589-EB65-4FBD-90B3-083929C5C99F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377F6B7-A530-475F-AC09-37D79688C3B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CD6F1655-5331-4422-814A-2FAA48DD5C02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B9635EC1-1AD7-4F05-B385-EBDEC42E654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D878ECE-CFA1-4513-87B1-2936C14A158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A9427A34-11E7-4FC6-A30C-ADB37769A43D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B60357A-F3EA-4A3D-AF69-0A3DF62BF296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2390A409-A69C-4EDE-9A3E-45D02069879C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F8E348-A8FF-49CD-AFA0-182D83CAC05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302B098-748A-4A17-B404-A455AAB3930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732EA69-FC17-4998-BD95-5D098D671B60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DD93D0CD-04F5-4BF5-9244-05B794C26640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4AF60BA-33C5-4124-848C-F35AE9034C35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C6CFE29-F3B9-417B-85F2-EF217AEE2475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902BF34-6D11-4B56-95E6-8E32E57EA224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BAB24B5-6B42-47EE-AE9F-AA0D0CEE110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0F3EBC4-4168-4B32-8EE3-48352620A82D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EE928F9-006F-4769-BF6F-85C7CCC6E2F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0398F4D-1E26-4813-B912-6BAC5F1D2CF7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A6609B3-24CD-4BFE-8F2B-04EFC753876E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6BCB3CA-F26F-41C7-90E9-ED043E2C6A4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3F36BCD-BD59-400A-97D9-A53ADCAD3769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4F68060-63B7-4E6A-A69D-1BD60C59181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13C5AA8-D017-4B9D-BF11-0BDD6E42B3F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A8441EA8-C7BB-47D7-B14C-85A31F94357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69A3B362-D767-402B-8F27-52B2A25261F3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FEAF1F4-733B-4121-8720-61635F962D3F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1EA4D26-5DBE-47D8-9C86-6840C3DBF54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2811376A-16F3-4537-BC9A-F9503874919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BA2B6DAE-E15A-469C-8DC0-8ED0B5B38D2E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6F54EB4-4C8A-4691-BE47-8941709545C5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4FB91A7-CD28-4050-80BE-93174F6BEA27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70754-04A9-4E14-9206-ACCBFE96F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0C9D286-C2A8-402D-AECC-7EAA052206D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F4546AB-CBFD-4A20-9A08-2169332E3019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4F52B9B-F16A-4147-B623-865A64363628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FEB578C-D0C2-4A21-8C05-CD2FBB2C1A26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A3BD265-6B34-4E0D-BF00-11BCF482BA8A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12F8B42-3FEE-4051-9235-25D8905A2309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ED8273F-A69F-424D-A321-F7EA6B7DE82D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1E4408B-3C0E-4452-9DA5-4E2C566D5A11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13CE638-5DE5-4FC4-9300-0C8927FE922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C402278-CD32-44A7-8511-BB34D9EFEE0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536CE9D-48A1-42FE-94C2-6C031EC6BFD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6E94D33-3152-44DD-938E-5A9772F1DDC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14AC3DF-ECA4-415A-9998-8F1C55241E6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F85BE37-8B67-4440-9125-A3A6B4C3E23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F555735-1545-4E83-BAD2-2BA37DAC61FB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9FB3023-7E7B-4161-B437-DAA5E54D52C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BF42D68-AF29-4FA8-8B52-FE6F4E8CA8C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2D4A903-3813-4E30-B58F-7DF674CEB2C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F63646F-9DAB-4838-A07F-45A5FAF8CC9B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35967C7-1727-4426-85B5-082CF52B314E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5E51F1A-C847-437C-97C3-B5EF6D2AA9F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EEFAFB2-45D8-4DAA-8020-E4C7EAA624D1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275C0DE-4AE3-4E8F-8CF2-C30F2112390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76879A3-0CAD-4F2A-9667-E2E6545C7403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BC69F29-7B43-4999-BA0A-98B39059F70D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6B8D2B-8C23-49A4-9224-6CDD3C20015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8303D80-7A3C-4140-AD0B-F6A39392F5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068A9A7-CB73-4E4D-8440-590C1BACC18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2547C65-93A0-46ED-A978-D6CA0F2DE4E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ECD722A-8BF3-474C-9F55-0D61826DCE8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A442332-EBF1-44CD-B64C-9A5D2CC2302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E1EACD6-BB5A-4E8D-BADA-90AB5095EBE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BD9B4BF-5458-47A3-8FB7-017CF4D6DBA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169664A-1BEF-4800-BFAA-8F78D0AB1B45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852C966-228E-4DF0-84E6-0BD6EF31060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FB8637F-6D86-40E2-85EB-2534874FB1DC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F29A26E-96A1-4F46-BCFC-CABE26D7EDD5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1539CDB-8F0C-41C8-B480-A5E69DCD7F5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CDD4485E-10F1-4A73-BC54-6E1FB5650460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A7B3200C-387E-45F2-A76B-358E4800FE7A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93BC5AC-366E-4609-B317-7A033D5333E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F608884-017C-4A1D-9FF5-AB8496E485F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BE8A035E-204B-4CC5-AF47-1DC96476259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B0F523F-D6C6-40EE-B62D-E0AA6C51D7E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71AE9E7-F6D5-4276-9E6B-64B601B77D3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649292A6-FACE-438B-9F3D-B628A83CC75F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BE2EA72-6895-4A49-83BA-BCE2E26A0B4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B5C362E-A475-4B3F-B501-67369B77B3C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BCACF62-BD23-49AC-A2DF-394C6E837F58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47D80E3-C160-4E5C-BE87-4F9A8DB54CD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D8DD3AE-5AB5-47CC-BE5D-924958D4AA58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37BEB48-4BB9-496E-A213-B5B951089FDF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FC3FBBE-37F4-4102-8F82-A208C48B7576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F38419DF-2020-4431-9DA4-3B6CC3646E9B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C53D44C-17A0-4EA5-9FB3-E5E0FCB9EBF6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DC6648B-3ADD-45F2-956F-24732809B3A1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8AB1DEF-8907-45F7-8339-BB54641D6F48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AE6FA3A-0DAD-4CB8-B349-7AC48FC1917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DB47C460-C2AF-4D22-89D4-245F3D4B7AAC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B9D299C-D58D-4645-94C9-CD598462B30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13565744-276A-443E-A8E0-C741B1BDFC34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465D1D3-2EAD-4457-8885-E501D112F44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FB735687-B12F-493B-935C-F3A0C1FC9C0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0CEF702-CA7D-4898-BE78-2458D650E7F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875A9962-19C9-4E3F-9448-C762019CA2E2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B14A0F55-8FA6-4B51-A745-A6E01250F8F4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B92F9A6D-04CC-4087-B5C0-D8DFD41290A7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5A1BEA35-2891-4573-B0AA-CBAFC2E62AB0}"/>
            </a:ext>
          </a:extLst>
        </xdr:cNvPr>
        <xdr:cNvCxnSpPr/>
      </xdr:nvCxnSpPr>
      <xdr:spPr>
        <a:xfrm>
          <a:off x="14993470" y="60735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A881600-7957-4E1B-A4A5-D5E28E052C21}"/>
            </a:ext>
          </a:extLst>
        </xdr:cNvPr>
        <xdr:cNvCxnSpPr/>
      </xdr:nvCxnSpPr>
      <xdr:spPr>
        <a:xfrm>
          <a:off x="14982264" y="623047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E233F5-95F3-49CB-8540-82049329C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3C51AB0-9006-413E-9948-8C29E253735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076D404-FD67-44F8-962A-5239174E80F9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AF526E0-1F18-447D-A92D-A5AC1D9E303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02C6C02-CFEC-4013-9DCD-E883662451C8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AD45BCF-D3C3-4038-980D-F6F691FE4337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7444688-7454-4561-9B01-50AECBFDAF69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34C69D5-A6F2-4DE6-9B16-2397E06838B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EFDACE7-EB2B-4BEC-8E02-D75FC56066E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6B9B4EE-A998-4BF4-A51F-2171DD093A82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025058B-968D-4884-9214-2E7FCFA1502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4662D82-EF20-40EB-B600-17DFE3B63C2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B4EDC9E-9FE2-414E-8031-EEFDA7F3EB0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BD4F46E-A89D-471F-A7D6-C890B6129C9D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93DE916-73E2-4A99-9ADC-1267C211113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927EE4B-4C31-4E5E-BF26-1251E820E6B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A672012-C328-4DE4-B62B-156BEC09482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3C4827A-E63C-4C5A-886C-78D5A61179C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DF31C38-8560-4057-B6FB-953452C3D109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1CF05930-5F57-43BE-B1D5-76E89910E38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26DCD81-002F-493E-B4CC-CCFDA2E16E1F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EA6ED75-C412-484B-9CF3-ED1FD20F022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E4BDC96-37E7-41E7-994E-1A254B7CFB99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C035236-C5DA-42E5-A392-52D4FF438CC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8D67240-3DF1-4DD1-B4F4-128FBFAB0E5F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6748FFB-A8C1-4551-A78F-8F4DC417296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7276921-6FEC-4FCF-B412-32742C33C4C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F997B81-568F-4B61-9848-8B0DF062DC4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81DD064-DC4F-4316-863F-6B53B60F2B8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8369952-870C-4F0A-94E1-1070F5ED8C38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19EAAF2-1A56-4EEA-9E8F-078F63ADD0A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960F750-7237-4F2A-967A-529DAA82442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9898A89-EE4C-4806-A1E5-41E4BEDAAD0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847D51-89E5-4349-B19E-95706FC5D58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3196695-D520-4C51-879E-8D5876B1B842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9149451E-3EDC-4956-A0DB-B6E5526B41B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CFD9E3D-72F8-4A58-B936-4CC9E141584B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14899EE-8543-4700-BDDC-5EB52FBE79D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48908FC-AA50-4961-BD57-512C5E36E81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58D8348-7F61-40F6-B09A-39515479B25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FE200D4-C1BA-4E82-9D40-0FA448219F0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20D79B19-8331-4CE8-9254-143D4EB9EAAD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2C8791D4-4C33-4EFB-B6DB-1321EA4AD8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1456D34-F212-4875-9FF6-FD5A3D39A85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1803CBD-1959-47F7-A483-48A89B360924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2218C99-0ECB-42EE-89C3-0042E0993989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91D22B4-1D53-400C-B15B-4AB78AFE77D3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C6724DB-512F-47B5-97A6-2C741FC269D7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31095C2-2FC8-4777-BCA7-7EEF381ABD2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0A33865-5B5F-42D8-87C6-FE13BF86AA32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245B5D9-A222-4175-870C-D9E66B4D6692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96A5E94A-3816-4C58-B637-05229E98E0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2F2A359-677E-493E-B38F-3088B4742C70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32F7632F-45B7-449E-86DC-974AB8ED7A3C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5673160-1126-4A14-BA0E-6DDEA538ED30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FD264C8-8864-4F99-985E-9D9F0E1D45AC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41D2B7C-E612-48DA-B65B-76524FB24E6F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217AF02-F44F-41C0-BAAD-64EFC81BC5BB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FF8ABFA8-A990-4E65-82EA-E762982885F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F373473-7B94-4FAA-9411-E3366137CC85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C963B57B-BF18-466A-97C8-30FF4971BB1A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8A022FE-0322-4B62-90CD-7993CE6FF275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83D3172-5A95-41D0-8171-874155AEABE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80BC41A-8EA2-4436-9886-8AB24198560F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9199EF5A-1964-403D-B164-744319256E00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1C117763-EB4C-40AE-8908-CA68F3E3720D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EFA5DCC-94B6-4532-9BA8-1246DB88F790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D1F92169-50D4-413F-A9E4-A2ECAE77BA8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EF87EA1C-CC66-43F5-91A9-6AF8275A0A29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B40AE398-2D57-4BAB-A14A-640720263506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6FFE9-29AE-4836-9856-60C3951E1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1487581-9729-46FB-8A39-A81EE9D487FF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D49458F-C77D-464D-8C52-2504713204A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63DFF41-3F8E-4C65-AEBD-FA762DAAA78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707B870-22A5-44B5-ADC3-4593DADEDF33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771B876-57F8-40E4-B007-5BAF15961136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79614FF-F877-443A-B30F-DB99A03C916D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0CD7DD6-AD3C-4596-BCB0-CE19618BA53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7E5A468-B199-4889-8BEB-FDD891751ABA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2DADAA7-32D8-454D-8DE3-166F0A877C9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E31ABF1-7F5D-4D30-B600-89C4DE9F8C3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80F6003-19D4-46A3-BB00-D0FA47C9292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DF4559C-CA06-4911-BDAD-6B3A196C607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E247A780-2B51-4381-993F-6535FAF5B7B9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96074E09-B29B-4A54-A1E2-BC21112CF4B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277E3CC-ACFC-4EB6-92E2-B8F59C3E5EC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0896C91-84E5-42C3-AE1B-E7D9AAB3161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997AD56-A110-4325-B844-7033D9F70682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3E2B4D7-5229-47E9-9D3F-CC8DB98CDBC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C9B9AB2-9AB3-4689-9355-522CFBD5255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50A0A84-54F8-482A-8860-56430C1A7070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9E630AA-538D-4FCC-AD30-11FD5C893C31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635871-438F-4A14-89E3-A3495108D42D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6B66299-B217-4217-895C-8298E8F2B6A6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979C9D6-DD34-4F72-B155-F6C57FB73B3E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C38BFAE-A752-4728-BE15-EF609587A29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836F2B1-FECE-4736-BF88-FA00A7E18DD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F761B28-9392-4E7E-8EFC-DE1B36314A8E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5BD834D-09DC-4F05-B1A4-2C0B25070A8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31D8551-5427-4D16-AB51-B81B20B133D9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4BA93A5-B871-4ACC-8A78-DB9E40AB2A37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4EEDD65-C745-4196-9255-A4A865962B4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AADF7A-3466-4471-8475-8BE775AB26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DE49EDB-73AF-4D53-991D-19E248A78D9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2ACD4E43-6FA4-4A21-911E-27E2AC708B3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F632BA5-EEBF-4207-8F12-857A4AF7EBF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0A8405D-0EF8-4D37-BB04-6ABB796B9283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893A63E-1AFB-4151-9524-011C1B4416DE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32C1C68-1951-4C22-8092-EB7EAEDE06A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CCCB92FE-3834-433E-B80C-78B5190FA6B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9489ABA-2204-43E1-BBA5-E82841C4D38A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EC96BAC8-3968-4874-9F2D-A43B54F3301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C77C23DE-ACF6-4AC7-BC1C-B6D32E4BACA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7F8D6CDC-2EAF-46B4-AB1F-67462F5F9851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7FC8849-1AF8-4C3F-AFE9-75AA7DFDF2A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317E427-2B1D-4E2A-AE54-89B6AF2B6DB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21A5998-44C9-4888-A8B9-E90E64F612C1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AF33129-1837-4DF4-B219-1970D7439327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D7AA200-F753-4B56-BA8D-BFFD35608D2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423F613-A4D1-4E5B-BB4D-BDC9D0DA9AD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5026823-1F95-4514-82DC-2EAC7FA5E29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97D276E-AAC9-4381-871C-5C71F38F3C1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D11EBAA-5FBE-4F1D-BBAD-0CE468152052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EE0B802-1E76-47A7-8B1F-342EF6CB11C7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FFC8E569-DE53-436A-9F76-FAD4DCDD2ED0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56FF153-BD72-4A88-A67B-B1A422E0500E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0DF6C15-F7B1-41F6-A372-F3D4AD66076E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9E4493B-7E51-4468-8F03-7AEAB9F192E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6E08478-875D-4B55-A840-66546983F1D5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39E557E3-DBF5-49F6-9752-455C89FE2382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37991DF7-449F-45D1-BE77-12D0C82A8A97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E9F58309-D482-40A9-8F26-1B1671CC63D6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47A2889-5CC7-4F2A-A546-E3655065500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B7E65107-D9DB-4576-9AFC-BE474D1B66F5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A3A3FE37-69E8-42F4-B5EC-73053ACEE45D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5F9E4AF2-00DA-442B-853D-299B689B614B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C81E27E-FEE6-400F-98F1-D66D480F416D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6B959234-4111-4199-9AB0-8B28C75713CE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16D005F7-78EB-4F32-B8A9-F46E80F1762C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1D5BC5BA-DFEC-4A80-91F9-7379D815D9F3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8D6C94-59CC-4B5B-BF23-015BD215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1E7B663-400C-4AA8-A983-00A5214ADBCD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34715BC8-7545-4EB8-BA52-8D7A776036A5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8693E79-AD69-49D1-A0D3-712C05ECA238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624E7F7-7E68-4D36-A71A-5B3C5A78A9D7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A28DE30-AD8B-4E23-88A2-4C6D25C43399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558F631-258E-4240-B7D2-A83E06D7AB33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6152635-212F-4303-9032-EC72F86AB334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4A8B1EE-A926-415F-A64A-6C85801093D6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FA8A27D-5673-48CE-9D6E-2214B6A2119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F27DD2D-E064-4606-9D6B-10A9BF84010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29417B1-0CAC-47D4-932A-D1D0A2368F2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1468803-11C9-4747-8C8E-8279942606B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0154389-0318-4CBD-8623-38F4D436142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4437D14-E2F3-4C6F-8983-05C76B123DB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E3218B4-37DA-4C92-B96B-28AD0CBE5098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3D2DB22-860B-4F43-B5C9-361E032EF9B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4031E33-589D-481E-A6E7-A8BF7E55541A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5EF058D-F2AE-48AA-BEFB-855501BC50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D60933F-8519-4A40-8142-E3952A58F2A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0E26F34-F23D-48D3-A09A-C9B2413F3C8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BF8B188-5140-42A9-80BB-B7ADC1FBDE5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E1C56D11-CC22-4976-B8EB-164699C61F3A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D5944FD-C911-4B66-9231-839037B573B9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1350BEC-20E6-4B17-8F8B-EFC5167C8586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C5D14-6934-4C95-B812-9FC43444A3D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A475A43-F9BF-432B-B99B-B75B2068C7A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893F963-C26B-494E-B517-431BC532456F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FFC2B60-6763-4CCB-990A-105D6AF3F43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33D86E1-C6AF-4FA6-AB1F-34D19DECA4C2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54F6178-FE4F-4AE5-BDCE-F35C4B84B155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5EBD537-03E8-491C-B7EC-86BEA8A7EC89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C7ED102-7AA8-42F4-949B-AAC5CA9D3758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7E2AA17-4CC6-4F6B-8AE3-B78895E3CFA8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D893B0D-7732-4C9D-8077-8A4D93876AF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05A2822-325C-436E-B0A9-D7DA51038EC1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9393F93-FB9D-40A5-A129-774A140784F1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A495FC1-F5A3-4F9B-8817-5AA677BDF070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E4BE5B0-581F-451B-97BF-F268C9FD1E40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780DB9B0-08D7-428E-9E80-5BF6B8846003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53705C7A-72D1-4CB7-A4A0-4DF56B9C839A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B635470D-1376-48F3-8F33-CCA21E1EAE17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69E4EC8-F6F6-46AD-A7E5-53FAF2D6373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AE1B8A2-38FE-4966-A712-1893764A9CE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150CA84-23C4-43FF-BA54-920BFCF5543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4AF415E-2E0F-41E3-BBF4-D6B40E161F62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0D86556-5133-4B7A-8755-F0B3621B560D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C2E2FF5A-2C3E-4052-B211-32FF595CFD3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277E6B2-D8AE-40C3-9454-A1FA37408115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87AC301-3634-46F3-9A43-59471729282A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BB3B010-917C-48F8-8662-003663605C15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83E5D32-7C38-4791-B000-588957A3A2BA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AD29C18-338E-4F51-A650-8567DD2CFF84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C0C7F14-D3BB-42F9-A7E2-3E4BE6519AB8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F76E8CA-C3BC-4B6F-A6B6-C94635541ECE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7F7314E4-170F-4DB8-887F-E3FA121A4804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8DD16F9-4BEE-4605-A9DA-F479EA74B2AC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B461CE1-E3B8-4436-BC68-DCED022D079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E70E0DE-FE9E-40F6-908F-2567CE1AC7E5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1CD9E225-A053-4225-B272-F474BDF75EBD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CC8436C-4E58-4B50-977A-7103DC252A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742D16A-D5EF-451C-A9BB-DC77A8A0563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955FF9AF-EF48-463D-97D8-DABDD647B84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54FFC625-1F3F-4820-94B3-6EE9F5C4259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C618BE1-483A-4CBC-846E-EBF7AAD80686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481019B4-3790-4DDB-8D3E-330160BC6022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DF9252C-04C4-4F7B-B654-5EFC99A43769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B6CB6478-9148-4E0C-9793-21F57177588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B7DAC933-991F-43FE-AFA5-1E1D9567CE76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C6F4DE42-F4E3-4DB6-9DF0-F6EDD2FBABC4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9583F-8CF1-499F-A78F-7EA1D73D3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7D6ADC3-A150-43E5-86BD-A500834D9B02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47FCB32-BEE0-4995-BDD7-1F24301C37B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91C8DBA-EFE8-4CE4-AAB7-47D4A677539D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5F81B67-D436-4C84-BBC5-4E34FDB85F29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6509AF2-7C3C-48A1-8BFC-79B968BE318E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F37C438-3154-4134-981F-31FF69410C5A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EA7E828-6CA8-4793-9A95-D0F7AC035C90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3C81A73-4A0E-42C3-9B46-BCB9FE93DAE0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8BC017E-C2B0-44DF-9420-C4F1447F24D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86F1DB6-4E38-42F7-A322-E53ECC1DF3B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070CC99-AA31-4BD8-954B-3E5E67960C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CF80EF4-12FB-4072-9F4C-55F08E531F7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869BFB3-DD81-4E86-93AF-CCDF7740494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7D18C9A-DFC7-4981-A529-69B2BB03507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441421C-A63D-4ABE-BA03-F79C3044D495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C7ECD78-9671-4C68-A7CB-FBAA8403185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4A9F844-5360-4C41-A2A8-B303E20EFDE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607F824-11FB-432C-8E7E-C89C0495ABA0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25EDD29-FC7A-4F36-B273-DB16F69C473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D671F53-DD1D-48B4-BE93-6D3221F0EBE5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63D3815-384A-4D0E-857C-09465985543A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E25DBC1-BA7E-4422-9020-DE1A66FF8E9D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518D8DF-B1FA-4E66-AAEA-8CFA53BD024D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5932333-0A2C-498F-AFAB-7C74EE493296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91AC88A-ED57-4C7E-928F-42987E4FCF9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14D76997-FE2E-496E-8502-4F18AF6603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A3F5D63-77EA-4AD4-8C8E-366B8A90CC5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185CD19-7732-4BF5-A9EA-8076B15DCC77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6B2DB8E-001D-429D-A970-9CF37753C98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8710DFA-58FA-4ED3-A82C-C42696F9431B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B86709E-DB67-4A3A-89A5-DAC053C536B1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6BCFA04-C675-4DF4-BC88-E67473AAEEB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16962A4-E363-4992-A81C-BE4B3233F62C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278F7D0F-49B4-4370-8CC0-BEF6E462AC90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FD2B21F-48BF-4C9A-9E90-6EF2E82AA9A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CDAC6C-0027-42BE-A227-7DB1B0055BD0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23D9AADB-9E98-4B5E-8035-5EC97F1DBA4C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E747AE1-C1BF-444E-A2CC-E4049C2996B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B4B1E760-33B7-4462-B07E-AF2F5183D879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D9040E0-6DAE-45BC-BDDA-8C3D156097A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A84DD54E-D5A3-45B1-8D0F-C854B2DF9B77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CB1BA1F-0429-4A3E-916B-4FF7A274863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F22AA45B-B5D5-4BAA-B6C0-1DF1B71681CE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B7B0F72-E9D5-49C9-8AB9-B235700D4786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4B9F663-332A-436C-96DF-08C4AAE27478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BCE516E-2C79-439E-A3DE-B20362CBDCDD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0144AB2-601F-4E2E-8F78-AB830B5C37E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69C407E-5882-4524-AA17-1A81D5993F99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E25ADC4-1B37-46F3-ADC8-98156E92F9E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624FDE2E-21EF-4DA3-8EC9-307DC76167A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42A25B7-31B7-4480-8ADC-49085DC01CB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F4F6E9-CC09-4193-A918-698606FD2A6F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437D879F-C9B2-4957-8E96-57C4C9C848EA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0815BD1-9A21-42FA-9D0F-3C72F5EB7AF6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9ECBB02-036C-46C1-8459-D557141D6E07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8A15D31-050D-4EAB-8A46-2D77DBBF9FA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D6698E8-4FF1-4F15-97A4-BDA2CD9E737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FE6C585-669C-4340-A2B8-4E72A83E6AE7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4D4676C-524B-48F5-888A-44C3DE548C6D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B0EA7E5-744A-4B0E-B42A-7BD9663DE1D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06C82C7-5981-43EA-85A5-1F16236A2E71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8E37925-E491-4B20-87C9-C268CB143C38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4E71C31C-98DE-47E0-A2A4-147E41098D26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940F05E5-DB08-4B64-8FB4-BDFBE6494C3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B4F22A5-AD8A-4D70-B663-9090A7327D64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46B5DBA-125C-47DE-82D0-0448CFC39053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6A26C17-BA05-439A-A315-F4561F2CBB36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4CFEC0EC-27E9-4519-AC5F-F254BA8EBC9D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A9DF7843-8EC9-4A33-87BF-C8E25945BF83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6AA60-0E7F-4DD4-80D0-4AF8D0643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26834E3-8A38-4BC8-BA38-EA035E998C0D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0D8E26F-1BFB-4C21-A2DF-674D4F15C37E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D8305AE-97A1-45EC-9CB9-2E12266ACAF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E10CCA0-B210-4D02-B972-46F7223D6E9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2E51368-971E-4A2C-BC5A-E4F332C372BB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CBA9041-4E7C-475C-BEC6-C32EFA9E5B4D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9487584-3920-465F-840A-F9F22FC6DF2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64AB02E-8DF4-43F9-A353-19D60A6BEBC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F3DE948-F6DE-439E-8EFE-35BAF1DF527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F5F25A1-F8ED-4E4A-B10C-6D93CFE8CDD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C045B21-64A0-4D4F-B632-E73AE11826A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AB6ABFC-184C-4D5D-A4CA-CD162B94DB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58622DC0-75BA-41B5-A2ED-66156FEE5D2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DA199DC-46C0-4946-B02D-EB3E3C3F8A1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C91B307-97CD-4BE0-942A-60DDB00DF733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053E979-84A4-431D-8870-F150AA694D8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9604BC6-1F5F-498F-A629-D6F973A93902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9FC1658-8F02-4951-BE52-F66090130BF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A5A877EF-3C82-46E6-A253-2C0E2E2A444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4E15B76-088A-409A-8ACE-1A284C9EA50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94812D3-EDC2-4B8D-8A2C-E66604CE35B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D27336D-A2EC-4359-83D5-E0B329ABF358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50CD52D-7463-44AD-9F21-9A5562E39F62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A5BD70A-18C8-4D08-9855-D3E3F02C6D0E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BC370DEE-DB18-472A-9CC3-2EEF8AF1868C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29BA14C-B92D-477B-9230-4D4FF8EB2BF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290C07D-9D93-4E18-B725-5D1B3038022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1453810-2FA1-451A-9924-9744F947E2F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EA0C7A4-697C-4820-879E-7CA091BDC5D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93BA2AA-06B1-417E-801E-CD457FD0AF8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3C4B299-CCA2-442D-AD49-9A95FC98BB8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47C5E25-9051-4925-B1CA-3DFE0D6CB0C9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AC442D4-8153-4983-BF31-EF0F4FFF623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6D5E755-3D18-46BC-80C6-F2BD43C1996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6835B59-C07F-4757-B2DA-5220925AB0D1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71A32F7-2356-46B8-B86B-7D08C07E117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9FB949F-01E0-4BE2-BDF7-93E6C1354E8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0F56CB3-B924-424C-B9B9-4F732C9D0A23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AEC62588-5CDD-434A-9D16-F9F24B45010A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9ABB8AD2-9E94-49A3-8E1B-8B16DD812B8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5C345DBB-B670-4C1E-9A97-3A08EA6F0834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9858EA7-633C-48EA-9C47-CF2F5DA9CE7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8FE443DF-50F7-4A86-86FF-4F0A6208329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281D1D8-8A26-4A92-8246-A59CDB68874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96EF99C-64D8-4903-A4DB-C37DEB7A3C79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6569C47-A9A8-42CA-96D2-4FD3A4750FD9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DB45C56-8DA7-42C9-9F79-0FE152A1ACF2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395A8C1-D2C3-4E19-B30B-314FC34BABE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B33FB10-313E-460A-96F4-D3CF201EBDA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CB88DA1-5AFB-48DD-ABFC-8BEAC2B87263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BB4B2E7-552F-442C-94B3-C20BA58939B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E5DD6D4-AE47-43B4-A630-096FB8A730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2E322BBE-B5B0-4E2B-93CB-C98B76AFC718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7188B7E0-A586-4B00-8E0B-27F9AA531D2C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DF72A5D-72C1-445D-942E-CCC03467A731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AA3C569-E063-4278-9C75-680F25DFF1AB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84C1008-E643-4B43-BAFC-04972B106C77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E7EAB39-A862-4CB0-B66A-EEBB6C61A79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A6D326F0-5F65-4DF7-AAD0-2DC27FD9D04F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BCE75464-8F55-42AB-BB10-FF76FCD046F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4C6C74F6-9AC5-4100-8EE8-090C84005F6F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39D2E96-9DBC-4A40-B57A-A4677844EA49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9D87977-42EF-4008-BA2D-3FE6C125C605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440A65F-B187-44F9-ABE6-3BBED009E76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52C20FF-FD0C-4378-8CE6-5765982CE7DF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12407E32-6D50-46F9-AA96-D0C550359AEC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4E1A237-CE85-45C6-8432-9D6B849031E7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DE834B04-9A0E-49B9-9447-60AA2AF9EC8F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16962FA1-71E7-4A5F-89FA-DCF38387B659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3EC76-DCD1-439D-BBE0-BDA20A9C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2E26418-97E5-4E5A-9472-C429096AC84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FA56E32-0ED1-4A66-9232-463C08DC121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4AA6D6D-DB21-49F7-9359-4DD99E3C1F7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3398C3C-559B-4B22-8146-70FC963BDF41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26C2D5B-5029-4189-AEA1-C8AADD2A04EB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98FC6A0-EB92-4A5E-AA13-A55061C6259D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211EBF1-7676-46F2-8A1B-2D57BD7D4B09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260DB28-5A53-43AA-94DC-EB8C3FFD44E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0EE67CE-143E-4942-B946-D340D61C987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2CAFF9A-9583-4563-B57F-1CF4684DDB4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ECE0075-D7F3-40C4-9E63-10F7CB0EB44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D17D3B3-E517-4340-8EA5-17E8DE0A28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19D3F0A-D956-4D08-94C9-CDD9FC285E0B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D2B9B4F-6853-40CE-9C6B-1FE51B00075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E71A997-A5A0-48AF-A072-451038CCE58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D599BEE-9450-4162-9C3B-0FCF3B67310C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D8C3B15-A18B-4E91-ACD2-1DF203CD8DBA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AE0E86C-6EE8-4DEF-844B-63E43BEADDB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F45E651-F1B4-4C0C-9CED-1070C280C00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60CCACD-BC35-4859-BD1F-2B63A88ED2E1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0E7B8ED-B831-432B-99A9-04FA70357FAB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2DE0A85-8CB4-4E06-9B9E-CA9275AABD1B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D928D49-5098-4654-A333-BF30E3A63586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FF49832-468A-49B0-8EB1-3CB6E653AB0A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4966784-F559-4F6A-9EB1-D06F012C064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7A5FCC1-C66F-40AC-AD65-FD74111E5F0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A65EB9D-E3FD-4CFB-BAFF-9FC0A594D64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3098F8C-AC78-4AEC-AE4B-ADE8F33F5B67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4E4271D-2011-498F-90D6-EF8E53C65C7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9C328BAF-6089-44A7-97D9-22D3DF836BA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639483E-35B9-4632-9BFA-108725D727DC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3CA508F-3DDF-4224-9191-E279D9AA1F0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BD4B2F7-1B7C-4586-96CA-AE7A52DAD1B8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C9E8DAE-8007-46A4-A890-D3A1DC9E231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EF5670A-A0BF-4702-8B7A-921DFC586FB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7A35A8E-2F67-4CEA-BE58-7ABF2F11FD50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7A51202-0B85-4BBC-BFE5-202F16E9E326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8D018B09-A996-4FF7-894D-1BE4AAC36AB2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9B53FB03-3989-41A6-B00B-75D1BF0BA01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F6926EC7-CC9F-4941-8FC2-16CC6F6E834D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3AF277B-4F39-4736-ADCC-36DC6DB5AEE4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2FEDF2A-E501-451C-BA73-ED27A65A42E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4D2C7088-A3A2-4249-AC61-00BA908514FC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DEF14237-723F-419B-8585-990A26FC1CCB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FBAFECE-8186-40E2-8B8C-8ED95A8B698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2D5DD7-5F47-49E5-BBBE-1393D880D496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9094DF3-5642-486D-AF42-2B3B19C59B34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0E41D04-959D-4DF1-8A9D-F12A78F0C83B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B6BEB7E-6619-431F-B24A-963D9E98192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2FF920E-C2E2-4861-ACEE-86BBF70BF78E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ADC4BE2-A9C1-49E1-AF26-149B022BBD86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A55A616-A582-41DD-922D-1A2AA5800FEF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8B74C0C-0DC2-4F0C-9A21-F09B78C00010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52213ED-1753-4D1C-B715-905E430CD0CC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56711ED-0D8D-4258-9522-5E9F902C048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E97C2A6-5D4B-4B21-9AD4-A890DFC2A1A7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BA9F4A9-8789-448A-B9B2-34B592844208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B839C0C-EC7D-4A88-B51C-9F6305CCFA94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7AB0FCC-CCAA-4C90-A289-05E5E9411380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A9CFF4F-283B-4338-B956-F2D3F608D332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65F1A804-2D75-45F8-9B99-EF3F13F01471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D752A35C-E993-4748-87D3-5198228C2A6F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BE1A780F-7F5C-433B-9532-ED1FC515FFDC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9A0B7A64-4231-4EB9-B151-672505A6D36C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58647894-971D-4B4D-BF3A-1BFE7E9DA88C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AA55F8B2-3F77-4F29-BABB-E493888E547A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58D5250-4EE1-4F49-A1D7-209CBE1213B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5093A46C-A509-442B-B823-DDD3E48DB7EB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7076FD8-46CC-4FC8-A7C3-C861D33D8770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86ED3-25BF-4782-8F4E-0462CC5C8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865CDE6-B4A7-4451-9BE6-5EE99746CF13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E3EFF1E-C109-49A9-9C49-E9C5B52C9AB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81762B4-E7B8-4E82-B0E0-70FE4A609C5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C9CDBB4-BC3B-49C2-94FE-A8EFCD3B638A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8BA552BE-7B0F-4711-B82C-AE369601D3DF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0920003-B2B9-4D5B-AA20-EB0D0660AE7C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FF5E281-2CA3-454F-B25C-7DF6B0EBFBE9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61D0113-CF5A-448D-B3DB-5A5B6A5C2856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2911095-D304-4EB3-A8BB-377D78B94754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B478D0E-56FD-43FF-B08E-92D162ACBE0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818826E-D033-4DEA-9EC9-EADC2CB1D2A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5D5116B-5AC5-4ADA-B76C-14B4707A418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DC1E1EB-5921-43CE-8655-99CB3F5143DF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0A7068A-CA65-43DE-A6EB-68C266203454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5EF9751-4D97-46F4-8B4F-9DE1A1AEE9E4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4A8B7E6-DFD6-43AE-8678-E440159EFBD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6F70062-DE02-4CD1-B605-2D3402B30042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71BE271-0BC4-4CE3-82B3-B60189016F2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93482CB-548E-457A-9C99-EB5BB1EE6CF5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B097154-FFD8-4A92-8FB0-499F0AB8863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7718D61-D4B4-4850-AC3F-A97090BD702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633B058-F312-4D42-9F63-C65A26792F66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2A8F0C0-72D1-414C-AD22-5B9225D319F7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173CA73-CFA7-4146-973D-0FAB67A704DF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673D939-BFE8-47EE-B64D-61CAC1823A8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B3743E9-019D-42AB-870A-91B21BDEB2E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F962164-2C0B-4847-994B-6A0E09F6E12F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71D85A2-7CFC-4B14-B983-937BC563024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804B68C-FF12-45FE-9044-5FFA1F28BEC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E73FA57-4C7E-4F86-9790-F8C26E7D990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C74DB26-2BFA-48B7-8E32-79265B27095C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2967745-4BEB-46A0-B9A5-049D3A40F1B0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ECC2164-60F0-4B27-8A40-229E7E40DDA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F18B3D3-406D-48E8-A3FD-01B687F78C4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0D5984A-87AD-4195-8845-F90A446903A4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6F991346-8200-4CB2-B7E4-D826E4288ECD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1A751CE5-D4D3-48F6-ADF8-964521DA5B5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CD1298E-10FB-45A9-9DDC-F8361ED4A06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F1F605F-9FB4-4038-BC63-A35085FB9DEA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4F7AFD7-64E0-412B-8515-E16596E47837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397C8CE-DEA2-4C2E-B58D-0886C78700B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3C70AC80-AEA0-4C95-9616-F42D825A251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FC66D1EF-B3C7-4654-B549-D0D4BE3D4547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D99063D7-311F-47BB-9479-174CAE0D386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7205177-35A6-49AB-973F-254B2CDE0CF8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786BB4C-83F6-4853-B871-19D77590A971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0A66859-B3A9-4F17-B197-4C7A44A5DFD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975C5E0-F56E-4132-9E09-B69156F7311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8C2B299-97D3-490D-AE7B-C6599B788C3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1FAFEBA-C890-4056-8AA0-83360E5806C7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8E96A1E-D0EB-4BC7-AB62-7BD6DD882EA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1CCB3FD-2809-4AA8-A10E-9ED0E96BA265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F7409CD-DB58-4F74-A250-1B924E3A9136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5486008-D870-405F-859B-BDA3CF1657D7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EC5565E-EC96-4AAC-8F56-30805EDF6096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7CE80F3-9C1F-4E50-8951-6DC725CC8FF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DC32312-C7E5-4F22-8006-B0905ACB9A3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15130A8-1CEA-4231-A790-EABEAC77B6B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551599C-2364-4A61-A781-787199A791C5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260C233-AB49-481D-90D3-4B62AFA11815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6F4C3CFA-48B8-4B46-B142-8B0D82DF5B46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24D9E14-21D9-45F3-8F90-6D9290F2EF4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5F7AA9B8-3EA4-4C21-BDFE-8DC65181FAA8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CD508703-9199-4AB9-8973-39931D78FDC1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72C097AD-7591-4FAD-B77D-49B809D11002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A12DB7CC-2B05-44D6-9EA1-5990409DA0D6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684AE1F-9A15-48AD-9E3E-3A2B1CCC587A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465744EA-32A0-407C-B4B9-2033FFB89649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AFBBBF35-1540-4A0D-86CF-8DFB773D3497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6458D2-35BA-4C80-874A-B53D142EE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D53B9C4-0D7C-4315-9AE3-90DC27A3733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5300C61-4009-4120-A2B5-E8EC0F1C3BC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BD53652-981F-477A-A8AD-ECF8E85847A5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8885EBA-01A4-4434-9B6E-B5C207EEC5C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8E57DAF-9C77-467D-9047-8968BA11388D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A081E3F-7320-452E-B219-51E63138F9DF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47DEB85-3C7D-4BA9-AF17-00E778A482F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9D1D392-83BB-466D-B097-5338BE80BF46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9148A8C-48ED-4973-A589-20E6A3451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73865EF-27A5-4EC2-90BC-B28155AC8CB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F57CB98-85F6-46DE-8FF5-622A9BE1125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7B5CEBA-F667-43CD-B67A-57B17D4B52A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60FFFEC-706B-45AB-A7C0-D71B11D64A55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E0A2AB9-8239-4090-906D-FD8BB8D8066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0FC5AF4-042F-4DD6-8CC7-6BAB309D99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63AA279-A542-438E-A613-58CEFAC923D0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1DF2EEA-A5CC-47D5-A648-0939469898C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0FAD1F1-5284-44A6-957C-A0AF499C6FF6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12A6010-198A-4C5D-85BA-C02EAE3BD3F1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1825CD5-BA5D-4590-9E2D-50C02033B9EF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9AD57D3-EAAA-45EC-9205-96CD8FE40148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4D0144F-1330-422D-94A6-7EA0B25A7717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A698798-061F-40EC-87C2-BF7A55A3B14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60A31F2-72CF-4ACC-BD6E-A53D9A1712B9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2272DF3-E1F1-45CC-B141-32320B69A1D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246ECDC-5974-47AB-8398-F09C7C8B83F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2A194F32-431A-4079-B866-C5BE56AF0082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89C8519-2B94-42CD-9792-9ED28D777C3A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4AC618E-3473-4E48-856D-63B9FF4C361B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99ED70E-4DB9-4B37-B3CA-76467637AFED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5ECB221-3164-469B-908E-7EBB821C03A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AB6F3D2-1D48-48DA-9D10-86C1AA3646C8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A31468C-23FD-4BEE-8713-BE9983D49A5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5A33A40-C2BC-47E8-A80F-2CA5A2F095E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BAB4F71B-6682-4B96-927E-3BADC2880904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1B3BE7C-03F4-4D09-ABC0-A9A7B76728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297F9552-B15A-44E9-9F46-C7866E756AB0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54E54A4-DF03-4EE4-8892-B8156E39F486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E1BFAB99-7EA7-482D-BAF6-AF64EA3D85B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ABD7A04-E557-40A3-9C2F-EEDD2E3A510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96295348-C86A-43BB-9CBC-02D1AD43424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FFF9A666-1E59-415C-82EC-9416BAD8550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E4282E6F-1843-491B-A219-525075341EE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94DBC07-D3ED-46F0-B6F6-8105F9A4336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9442BC6-5FC9-4570-8F8F-68A7DC70FCF9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317533E-1320-4A95-BA6C-E8B652A848BA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132FCA6-26A5-4762-BCB1-F401B661B0F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AD81F8D-7664-4939-8F14-5BE32365BCBC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09AAEAF-EBC8-4A78-A9BB-99E917B1EF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D60E107-3923-43E8-8B59-44C80F2312A6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9830F68-1035-45CD-9D4D-9C9527BBA5AD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60123DD-60B1-4172-98A2-F991DC053CA4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D68F4BE-2FE9-4505-A5A6-46B617C360BB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FF480A82-CDF8-43D2-B77F-43E6E8F9E4E5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7ED9A49A-F06F-452C-8A17-E722DAEB15A8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E5620A3-D1A7-4C79-A1CA-B3EF655313E0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EB4B28F-9045-4FEA-A806-0FFF0DCF2EF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5E7F452-D52C-42BD-AB9C-80DEA1E17FC0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70DB3B0-5BB4-494C-B702-CC4D7D8F520E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36C7426-F7E9-4752-9D00-4B3480C44AB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CE717894-0E95-4A90-A441-8D5E94AA6D42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F533E9F9-40CE-41AC-9B0B-C7F8ED5D289B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6ADB0F7E-C68A-49A0-A396-F19038F9AF0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D51B5940-14D7-4BE5-B7A5-BE473F213776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BD1954FB-EBD9-4BCD-86D1-05D6D8555FFF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C5E339FF-4B82-4E7F-BC2F-8538A93C2C11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0E8FC17-53D8-40B4-A43F-CB3D9DEE6656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24567C46-F63D-4179-9C00-F0F5891FC9C0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5E37E91-E097-4FAC-9E57-A07409CCA19B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7C627-9F19-4CDC-854C-CF81EF255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9950382-DB06-4F89-BEFD-767FBFFD9B78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2856D68-C09D-4701-84C5-F7F52124D1D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CDB151F-533F-483F-A016-E44F9AC2BD4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C9EADEA-2840-4342-9700-F1562E7024D7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6EB0845-A366-4469-A2AB-D815A42EB8DD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9C0795D-1E0D-4F80-8B17-DA9C695A0294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DA0679A-E274-44CA-A94C-25D8EF9E72A3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0DA6B35-6670-47C8-BD81-63F2B0B0B51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0A6192E-5651-42CA-A21C-BD9F6EF5D72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F03340E-7346-4F6F-AFDC-351025DAA5B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1F38151-A320-4A48-973B-C58B5226096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C555CB1-CD37-4DBF-BDAD-566EF67FC81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E2C555FE-D06B-41B8-9162-EE7440B2E27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EC2D2C5-B768-49F7-948F-809E8057A5F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71F3D86-2651-4408-B2D0-56146582DEEB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E55A079-639C-452E-9CA8-049961BFD0E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E91F46D-F51D-4EEE-8FE0-EB5B19A94312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A881E06-EF46-42C0-A446-1A18E981075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E20C437-1259-4224-8C7D-F17964C2272A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93C0C38-25B5-4B51-BD8A-D204F0A2A83F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905A6D-E4D5-4E2C-9E30-76B03B2B6740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90E061A-E7E0-4A4D-9E17-0C3F482A0A75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27696AE-CDD5-449A-96BD-66CB7183DE42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6F1DDE1-777E-42F4-BCDA-17D97980BA0D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64F0F19E-3554-451E-8D18-3D97EAE6F3C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3CE2A8F-2106-4D53-B95D-77615785AB7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A38D3DD-B649-45A8-BC55-46400AD3DAE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7E5535D-64FD-4642-8C7E-02FB8A49225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6242C56-37AE-492F-B21A-F7002E373EAD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72B41D5-C6B6-41B0-92C3-9AAB4D36C9F5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10294C0-E8EA-4AF0-82A2-132EAD97937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AC533C37-8E63-45E7-9817-FF0C97FBF752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6E5ED75-AE96-4190-BCFE-AC0E85C701F3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26CF183-31D5-4E32-9B1D-02FCEE98610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56DFB1E-5CBA-4A73-B417-7C04202B85C2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9E3F855-3533-4C0D-A944-8080CA7806CA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18E67E2-18EC-4489-B922-EC7E6F7275E9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BD71D25-3CD2-43CB-B4A4-5380B656E84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39A67C99-6D3C-4239-A622-01F18040AA4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6330B14-3DA3-410A-8BCD-9EE750DECF1D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5917C1B-669A-48B1-ACEB-9943DA5C96D9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E535E80-514C-4429-8575-02611474E06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71E6EB4-74A6-4255-BE79-B3C2969FBE73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7F26DDF-CE3C-47B3-BC57-7A4DD0EEF145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A5F1048-F535-4CD2-BEE3-DD870F8E7FB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0362FE0-14D5-4BD2-A070-0AB23FF81A56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9D2945A-1C5E-48CE-A4D9-B28468BFCA36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3F80055-5137-43AB-9E2E-A44DB83B40DA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D718440-125D-4673-B654-E4A2C14DE218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EBB2061-F95C-40ED-8ACE-AAD03A5EFAFB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C997A85-DF50-4E9B-8C70-F2B6DC0B297B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53637D4-791A-45B4-B927-B739C5A3088E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BA23F3E-5713-4EE9-A7FD-B37D6B5BE8FC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1DA4BF3-5918-4D24-8A48-A913A56ED4DC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8FB7AD6-8B44-444B-A548-625631380B75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979DC26-AAB2-4BB8-963E-C6B620EDE02F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19DA867-08AF-4257-8FBD-B5467339E84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5EC0C0F-8C34-41B2-8B8A-DF7745022BBB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17FD331-953B-4EBF-8099-0017686F15B9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A7986D33-4AA0-46FB-882E-D135FB1C5E1B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4241EF87-08F4-433C-BFAE-35D13DA351F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6AD54A35-E462-42F8-B9ED-1DDEFFF5D8CA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B5B5EF60-8005-47C8-92F0-7DCD7966BF82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36513242-D435-49C7-B532-1DC6C463F160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518E94A3-5215-4B4F-90C4-3EB73C6740DA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0B7050E-BE18-4971-B1C3-4254BEAF50AD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359D2B0-A9BA-4435-A81B-5C157936C49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61905C67-0B8A-49E4-B17A-66EA8F719FE6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D2885CFC-BD66-49B9-A010-0FA96128489D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C794E-C3B1-4E41-B347-F9521F8FB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2324087-A40C-4D0C-B864-33BFED158591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CC6BCA-9544-48F1-A0B4-141B51B37831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811C136-BB67-490E-AE6F-FD6E5D79BC9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DC4CBEE-9276-49D7-8683-6E74162D2B7A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4B6319C-8057-4D01-B2C5-5F9EF68B4C9C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4D63570-4F50-45CC-9E30-984D73FF7FC8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10D67E0-5E5C-417D-B621-EB9F6CFDC961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B9EF74D-F541-44E0-A9B7-7DFF5E0AFF8A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7C71DD7-BAF9-430A-9083-9E100B006992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5CA0989-BAF9-404F-B5B4-22C6581A8AB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710579B-6E0B-402D-A607-1F6AD4F22D4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850EDAE-0408-4BC0-8D77-87D1333635D2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44782CF-48A8-4C8D-8DDC-2C8A59B8823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D70BA07-E453-42A7-962B-5312064C4878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508CD98-4287-4B47-9C3A-41CC84F1147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E006C85-5964-4521-AE29-E986F2A1DC79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6FA28E1-304C-4D72-94FB-2AA48455AF5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38BC8E6-04F6-41C9-97AC-F078CB31C02E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81CAEA8-D644-461F-87F3-E897083D6E0B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11413C6-71EC-45E9-BF76-0FE078B29447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16BA223-BFD0-4B95-8CC7-DB518B615D6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38AE328-8A2D-4C63-AEF8-8FBB5D406182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FCA90DB-2665-4B60-A4A2-1E146FD055EB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0F2D257-CB59-483F-816E-0040A8EBCACB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D9C76C2-2166-4DAF-88CF-A84349152BF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45E19D6-25FE-4948-9568-062E68D7DBF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BB873F9-2943-4F10-B9D0-9286A1C8924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9FFF56E-E0F1-4870-BDF7-D7347125019F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381A3C5-B206-402C-823E-3C0F0A40BA67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C03B01E-3862-43C7-9BDC-983B2AFE3DA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FC4A4E32-3903-44C0-A6BA-861748B53BC3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F3B1EF6-4784-4857-BC92-45B00C775A07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2C441BE-6794-425F-A516-D1D60135566C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F762F6C-7DC3-44B1-99BE-99A6BEFB42A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6757B53-B1A0-460A-BE84-CDEE4B72516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BD317B7-D6DC-4AE0-8C6A-A4D836B1F0C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C5E96EC-EABD-4EA3-ADFA-54E0F27B56C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FB1DB393-67AB-4B0A-9381-BBBD7754169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B12FEB80-2ACC-4B1C-ACD5-FACF4766C80D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AA21039F-00D7-4266-8490-7E1F2120D1B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FE9C593C-DF6F-40AE-94E2-2E3DCA5B1680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FA0476FA-A601-4325-8C98-0AFB0B92B44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46273A36-4962-4786-BADC-4BE4F3B73F7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1922317-84DF-4C0D-9F3D-728D46E82DF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1B247CA-3287-46DD-906C-C0CBF5591AE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97BE6C4-426A-4A25-89D1-B2C5F83E7492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FDA81A9-CE44-4B2A-AF06-FFC816871CD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C0EBD3E-59AA-489D-A644-BF200D6F2FC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321B5DE-29A7-4394-95DB-B60FCE306D99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66CA846-3246-4658-9DFE-85468C14FD56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EEA7905F-AF76-46F3-8BA9-70DAE58F312D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7C46AD2-1B3C-4D92-9E5F-AB25464E3EDB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AEBB13C-30DB-4359-BC4A-F17188E7926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FB487EEB-FFF4-468D-9E97-12CBCCF04E7A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BD42D64-4E27-455F-ABF8-906C58DE60AE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589826B-C1DC-447B-8A2B-8FDC848B837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2CB9138-D3D3-45E6-8743-4FDF5F7DF44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602CB64-A98B-4502-B768-F33AAC29D8D9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A9DFA83-6427-41B9-86D2-07702A36BF27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384ABF2-8494-4346-92B4-FFDEEBAC6C02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65028B1-6B15-4BE6-99CB-19F8458E4B32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26F70CAA-EE22-4C8F-AAC4-B2204CC6BB9A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A4ED572A-11B9-4959-95AE-13F8FC372BA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A99876A5-5550-4B9F-82E9-2E59DF4E90D3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AF33FAB0-876D-4F07-8C42-49EA851F1F65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9F59C4C-9E80-4EA3-99C4-0530ECCCF9A9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7570960-131F-4C3B-8DCB-AE5F384BFE19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52871DA-39FF-439C-88B2-F56577DFBF1E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2EE035F-5A5A-4907-9DDF-E63F6C0A80BE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C73BEC-7D6C-4717-92EE-A611EDB84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7097F07-CFAD-468C-91D9-415F5E56CA4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9812625-1FFF-493D-BD9E-1FAC4E1B4B9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81898B8-3E12-43EA-B7F7-6CD72AEAD0E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B338116-BBD6-48F6-AE9B-3172055EEBD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4C23B20-4D71-4971-997A-F7EF5DA62F51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B706AC7-E7D3-4058-8B94-EEB23906BCF0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65A2E49-6C2B-495E-9209-21A0444B6AA3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4347D15-C1A3-4EB7-998B-9D4F7E78880B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8EA3B85-3FB5-422A-A2F2-A8E3217D2E3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EA40505-0FF2-4B4B-A301-5A5BFB0BF97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7ADF1A8-DA33-433A-9B77-B6A05F752E1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A33759F-7C78-425E-8885-7EC70EFF387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098A36C-00B6-4DB2-A49C-EFFB0DD366F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8434395-9912-4FCB-957C-486FAD14E8F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CD8ECA8-2F78-4318-A4A4-10EEB72BEAF3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460B48F-572C-42A3-9E9D-2243E87698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765AB009-2242-4DEE-9988-F4771A4769C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304C574-DA39-40CE-8B4B-BB619B78476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A3AAA88-0F46-489F-8B8E-073C0396805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B0171FF-2671-444A-9BE4-70D46B617DE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BFA1AE6-C11B-4007-80C2-F87B605CB9DA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EC8D019A-AD89-4C70-A654-D5C0F2133DA0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F787453-ED7E-4F8E-819F-332296BB44B3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37DB80B-D695-4E0B-97CE-9601BCFD8CCD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89241A1-8AF4-4B10-8543-13B7154D321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530D03FF-D34C-4614-A8D4-389F9B51D56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98B393A-FFBC-4DF7-AB3F-8DB5965F2D94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05A1797-C0CA-41C9-B5C7-87618FE2F0B5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B9217C7-D077-4833-B5F5-BC286304AED3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F67CD38-D6C1-438F-A2E7-EC47530E377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4CC9E4E-405E-440B-ACED-C167501C237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4A7A19C3-0D41-4362-81B5-4F8F2C851D9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76A1355-A900-44C8-B8F0-679C1E8C092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0755C41-9EFD-45D0-9756-395F952D942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4B34FFB7-5B55-4D55-9D19-9FC68BA4B764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89E2713-E786-49EB-9BF3-6396FA21062B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1D2B1EC-9F5C-4E75-B404-F69F91D7AAD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2666F1DF-0925-4839-B224-5AB39D6C989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14E51E1-6E5F-4A7E-9342-86CBE62EBD0C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6D85C11-41D1-44BE-AEF3-DFE18C0EC10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5246276-EDD8-4569-8E37-CCC6141D0E8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3F9D6BD4-E667-4BC8-95A4-65A1A8EF2C2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565A6510-5105-42D4-8E4D-981EC7CD99F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78D873C-6EFB-497E-9D7C-71C3D781A4DE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1FDA00A-A62B-4AC2-8D83-47D6B030A9E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E8AB88D-4FE9-4043-B068-CED6288A315A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DA7D8EE2-DCE0-49BF-A954-F326316AFAB3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F843C97-AD16-438D-8F8D-4D15B9FBD56B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37E9C3A-09C1-4A96-B694-D0E5477430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6BC733F-8B92-4101-A719-298A94AB710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8687B19-5B40-4E53-B4F5-34CC2F9D061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53723FA-48AA-48EC-A04F-8AFCD8CBA7B0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EFCED5B-DC5C-4BE0-84C4-9DDA55DA774E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C845F7C-61F0-464F-B6BE-43584AC4A953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043EF1F-8EF4-4801-B683-7D1C4E281BEF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51D6E6A-3D85-4E3D-8E27-363675A8C71F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AB4322C-CF88-4EC1-9121-D38DD644B42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195C894-3C53-4E82-945A-F1BEAC8F3EF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833EE7B-1918-4619-B526-768607993271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DDFCBD9-009F-4C77-9216-76A56594C9D0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9E9C4473-E49B-4037-914B-E3E689CDB23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91B4ED9-BFA2-4FE2-B50E-92C163956115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E73E4DAF-84AB-49B0-9F92-4CB0843D7BAF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C79F62CD-B77A-451B-839B-570312AA3D21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94362AA-4961-4EB4-9948-2B55C8F9BC1D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E948423-37C5-4EE6-890B-626A3C6C4E92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77712A86-A618-4FAC-8F2D-DDC18BDC8D77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474486CF-7DA4-4716-A015-90386DC0843A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469F7FC2-142B-48B1-868C-22909AF3AF9B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ED3B9-5B6E-4233-8F50-6A7D966F9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A4D2EE7-4C36-4B88-BA63-5E47B86D172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8E7308B-6C41-426E-934F-0ECD55F49040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15A3B6-4270-4C6A-B20D-CD38DE5A9801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FCA066A-7D34-4118-9745-F6231B2F6464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79B1819-C964-4627-BA09-7CD5B6D2B500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E514B40A-09CD-45E0-8438-A4CAD7C926B8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566DF21-1C6D-47A0-A90E-9371FAF73DE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C173A26-D630-4CD7-8C49-B17E86B422F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5CFBAC0-77EC-4213-ADB8-43ABB985806C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A91FBF8-2FD0-4447-A6EF-FFBB6287949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3672365-5760-4F4A-B32F-EA304FCD7B4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61E71FA-477E-4EFD-81A9-F8EC56B84CF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6A45D96-F0B9-49A2-8AB9-C307C016EE0A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209FDB5-18DA-497E-8747-9F635D747269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A6043F5-487E-4FDD-BD42-310C9E17D4B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0856EC3-7F50-4CB7-BFE3-7A79C1412EC0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3EFB49D-86C4-4C10-BCA1-133D996AB1F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6B7865C-86E7-46EC-A43B-E99FE3C48F25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3081207-0EA6-4CEE-B818-28398D0E351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7C0DF41-F85D-467E-BD7D-21891FF10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53731F6-F099-40E6-B729-3DD0E103088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35606EF-E55A-4B17-B0CE-1379F1913DCB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EEDAE91-B37B-4E07-8818-734621564A0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6F2BAD1-C788-42C9-9925-DAA86C6443B0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8A9DA32-58A5-42AF-A19C-1D1EB13D256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CDC110C-AA4C-421A-A955-0A9BFCFD466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8CE6497-3304-4653-9FD3-C48AD218AA9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AD837AB-CA1D-4EDF-9728-9EA6EC5D0F07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9BB4FE0-348C-450F-B588-D6CBFB801002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B04D1B1-E05F-4307-A23B-D198D003A9F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D340F83-5CCC-4439-B4E8-718A00E18AA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160FF54-84BB-4A61-B5F5-62BA38FB9DF2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15B329A-680B-44F9-85CF-DC7D8751B47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9D5792B-349A-4BCF-B6E9-580C1A9F9C30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5F9EC14-DBC7-48B6-978A-93ED1AF8BFA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F127564-2636-473F-A586-57376376DD0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EDB0E1-FAFD-4978-86C6-8F1909C74E40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6B62C49-5286-45E1-A244-FAB1FAA72CE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22A9FAF5-BDC7-4D8B-81C1-5058DD81A87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2530996-14E8-4D10-BC25-C0F81D555D8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309C79CA-A246-43E4-9A70-3A08A02C59D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DCE411FB-D992-4809-A5F0-2F68F7DDA6B7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C4BD1DA-EB46-4F4B-95B8-15BDE1A270D3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DEC34B3-6BD8-4020-95C2-C01FB8018C65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BDE36E6-07FC-4AE1-B1FE-C70CDD08B88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8A757EA-05E1-4A31-8919-9AF1E5098E0E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D3BF417-C5C5-4DF1-B172-25D2E87A8FFB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A377F73-D4E0-466D-9F38-E79AE298E59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19745CA-6E3E-4864-BDDC-1B849813BE87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5C12581-3591-42CD-BF0C-80A838FBDD04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ED5777-2FAE-4269-8FC7-88DDA0C2F95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A2871BA-4E5A-450B-A066-2A5466A0A8D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EA6C26D9-8A1D-453C-A2A3-0BC02E13308F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5FA3F3D-28F2-405C-92C7-D7F71A1C4952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A17F071-5FDC-4B44-A47A-474EE9815AEC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2A5F149-A5EB-43B7-942E-A3F4A2BC41E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A1F85E72-476C-4B71-A009-E97D0C679781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A00E333-6F4C-4A9E-BDD6-A9CA6D51FDF0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CF7BFE2-3153-4366-9C8A-0245666CCFD5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C4FC2AF-6779-47ED-9535-9400FFF09078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939D9A52-9A8F-426B-A9F6-18AEFA85FB8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4AD33874-DD14-430D-A2F5-877C9387DEB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2CB400B-B4B6-4C1D-983F-FCD9914BE1D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9609DD23-903B-42CA-B724-DC2876706F5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F3FB5B1C-CDB4-4C74-AC6D-6A9C9B79388E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A3DED64-705F-413B-972A-2D4AE5B35B46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587B59AB-E67C-4412-AF29-B9DE54868DD1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F3ECD370-0AC7-41BA-BD03-525187ED3F3E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AC4C389C-D345-4B7B-8178-6822FA06674E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5FE9A-FCB7-435F-B1CE-6203249A1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C5E1EAB-6BF5-4727-9424-0317088F2C88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8A6E18F-E120-42F1-8B46-2BBDF52E83F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756EF4F-82EE-4E15-AAFC-D95496027E1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79E0F13-7D65-4139-9381-6DFA7E2F0C98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AA33F1D-C09C-4FAB-AFC9-E738AE3F0CD4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69257DE-672B-472F-A6D0-6F2FBA3C30CC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E19E4ED-124A-44E0-9D47-ADBBE7A15F5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01E8804-9875-4E85-ADA3-E84F5EA515E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4DE970-73F1-4517-97AA-02AF87EA19AD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4ED3395-9234-468F-BA4F-0C6897E260E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4BCFE64-9811-4566-8BBF-4042A3F9718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B2444B-B72E-4F27-BADA-1E3AA54DA0D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1E6E933-2E9E-4294-973A-82B7F445F50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9051BF76-FC71-4814-827A-7AB8A55C4140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481A056-3F21-4C51-9FB7-3BB8B37AA48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233A0AC-FAE8-489A-A127-7D2A917F961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69CBF3D-4A01-4FBF-A40E-40F8F439369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F74F21D-9A63-4132-8F9C-3ED7A2F8E7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D8D73A5-9873-4820-88BE-AB22372EB59F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3BF95D9-1383-4C3A-A42F-348CEB48D84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4AE77F7-941D-422A-9D49-3339C8578930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78291B7-D159-40E7-9488-2B1E8A901D22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C32B385-AA64-40A4-AA6F-7E18D1CD19C8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D8FA326-860E-44DA-9F11-4EB8CD879DAC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8ACBD3C-DDEE-413A-9DC4-31E28D40829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13EFC9B2-7586-4196-B376-C22888E98AD7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CD4CB21-61A6-49B5-AB4E-BD9549E6D647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184D713-4445-4F49-93CD-F9B8E452035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FCE1A14-6BAF-4105-A925-C8587AA42A7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2BC3D3D-590F-435C-A4BA-16EFA2F8CE0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F79E6FF1-D8AB-4615-B9FC-BEE3E5EC27E1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54B8130-8BF2-42CC-86D5-DDE6C4E65A91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BF7BCAC-A3E9-4F07-ADF9-A45EBE357FD0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D0A42E41-A662-46B8-B5CD-C37BF0516C4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44CBC0C-EF99-470F-8350-EEACA895E13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C97C8C4A-DB2D-4DFB-BA6E-67AA44DEF111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426570D-FD65-4266-8F18-DFBBE8B7E5F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16D673E2-6FE5-492C-861E-AA2B3D264B02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794F3BD0-FB11-4EF2-A426-9C20C1461F6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DACE5232-73DA-4FE3-B97B-9021E8B5048F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22C70B3A-6B88-42A0-A13B-2852C28A4A43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CA6CE2F1-2E5B-4B7F-B0CE-C55160EEDE2B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4815F3E-5BEE-4813-8536-C74D12339A8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F1A167A-0851-4812-9DA9-5CE64AC68C94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A5F0F33-C081-4AC6-A779-939CD2FFBA0C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4875E8F-366E-4AAB-BA7E-55312052149C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434943B-F0A6-4FE0-8285-7A722FA20822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C1AA475-4860-4E4A-AAE5-EF7DC5C7002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166EA66-4800-4CA5-8785-A3C9C8A51EA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2761E4D-7C91-4CCF-9778-ACEA9A44D1E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0D4B4F0-5599-4916-9308-C08450439416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9DA5A13-4F88-45FF-BA27-660D847FFB5F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D5E0494-B976-49C4-80BC-89F8CC7D2CAA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134C044-F15C-442E-BFFF-A54201D3EE6A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BF500F6-F7A9-406D-85C3-0A4AD8DF3E0C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D6A4977-F142-4508-BBF2-F4087D1B1DB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7A6DBAB-B93C-462C-8E50-13EE2C253FE7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9E9FC3F0-F312-489C-B228-3A11891DE27E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A06527B-1F3F-40E1-942F-8AE454ECB28C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75FC367-30AF-4179-B358-87F6C1A15295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C8D5AF1-98EF-4CF5-88FC-A6375F40FD4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44B83A41-EB23-4A40-B62D-F38685A3155D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C0F50A46-30F3-4948-96FF-E46B54F2A2C6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A812F5DD-79AA-42EB-BCF0-3FFD8E4E090D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56030</xdr:colOff>
      <xdr:row>23</xdr:row>
      <xdr:rowOff>246529</xdr:rowOff>
    </xdr:from>
    <xdr:to>
      <xdr:col>15</xdr:col>
      <xdr:colOff>806124</xdr:colOff>
      <xdr:row>23</xdr:row>
      <xdr:rowOff>258435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A74886AC-EECC-4305-95F6-D651B245D7EA}"/>
            </a:ext>
          </a:extLst>
        </xdr:cNvPr>
        <xdr:cNvCxnSpPr/>
      </xdr:nvCxnSpPr>
      <xdr:spPr>
        <a:xfrm>
          <a:off x="18772655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B9339D7-C113-4E9D-9B7D-C55F8FA777B4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3327815-445F-4408-861F-5291DA20499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179294</xdr:colOff>
      <xdr:row>23</xdr:row>
      <xdr:rowOff>246529</xdr:rowOff>
    </xdr:from>
    <xdr:to>
      <xdr:col>11</xdr:col>
      <xdr:colOff>929388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1F17B980-8607-48A5-A6E1-86F4E30AA385}"/>
            </a:ext>
          </a:extLst>
        </xdr:cNvPr>
        <xdr:cNvCxnSpPr/>
      </xdr:nvCxnSpPr>
      <xdr:spPr>
        <a:xfrm>
          <a:off x="14971619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168088</xdr:colOff>
      <xdr:row>23</xdr:row>
      <xdr:rowOff>403412</xdr:rowOff>
    </xdr:from>
    <xdr:to>
      <xdr:col>11</xdr:col>
      <xdr:colOff>918182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B61216DF-3628-462B-A079-6347E9D577E0}"/>
            </a:ext>
          </a:extLst>
        </xdr:cNvPr>
        <xdr:cNvCxnSpPr/>
      </xdr:nvCxnSpPr>
      <xdr:spPr>
        <a:xfrm>
          <a:off x="14960413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2298-86FC-425F-AB22-B93F98B4E905}">
  <dimension ref="B1:Q59"/>
  <sheetViews>
    <sheetView view="pageBreakPreview" zoomScale="85" zoomScaleNormal="60" zoomScaleSheetLayoutView="85" workbookViewId="0">
      <selection activeCell="K10" sqref="K10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8" t="s">
        <v>64</v>
      </c>
      <c r="O2" s="9"/>
      <c r="P2" s="9"/>
      <c r="Q2" s="10"/>
    </row>
    <row r="3" spans="2:17" ht="15.75" thickBot="1" x14ac:dyDescent="0.3">
      <c r="B3" s="113"/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20"/>
      <c r="N3" s="14" t="s">
        <v>63</v>
      </c>
      <c r="O3" s="15" t="s">
        <v>96</v>
      </c>
      <c r="P3" s="15"/>
      <c r="Q3" s="16"/>
    </row>
    <row r="4" spans="2:17" ht="15.75" thickBot="1" x14ac:dyDescent="0.3">
      <c r="B4" s="113"/>
      <c r="C4" s="118"/>
      <c r="D4" s="119"/>
      <c r="E4" s="119"/>
      <c r="F4" s="119"/>
      <c r="G4" s="119"/>
      <c r="H4" s="119"/>
      <c r="I4" s="119"/>
      <c r="J4" s="119"/>
      <c r="K4" s="119"/>
      <c r="L4" s="119"/>
      <c r="M4" s="120"/>
      <c r="N4" s="14" t="s">
        <v>62</v>
      </c>
      <c r="O4" s="15"/>
      <c r="P4" s="15"/>
      <c r="Q4" s="16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11" t="s">
        <v>61</v>
      </c>
      <c r="O5" s="12"/>
      <c r="P5" s="12"/>
      <c r="Q5" s="13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43" t="s">
        <v>78</v>
      </c>
      <c r="E10" s="27"/>
      <c r="F10" s="37"/>
      <c r="G10" s="37" t="s">
        <v>99</v>
      </c>
      <c r="H10" s="39" t="s">
        <v>99</v>
      </c>
      <c r="I10" s="39" t="s">
        <v>99</v>
      </c>
      <c r="J10" s="36"/>
      <c r="K10" s="37"/>
      <c r="L10" s="38" t="s">
        <v>99</v>
      </c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71.400000000000006</v>
      </c>
      <c r="H11" s="40">
        <v>82.5</v>
      </c>
      <c r="I11" s="40">
        <v>76.400000000000006</v>
      </c>
      <c r="J11" s="26"/>
      <c r="K11" s="26"/>
      <c r="L11" s="40"/>
      <c r="M11" s="40"/>
      <c r="N11" s="26">
        <v>73.400000000000006</v>
      </c>
      <c r="O11" s="26">
        <v>73.7</v>
      </c>
      <c r="P11" s="40">
        <v>78.7</v>
      </c>
      <c r="Q11" s="40">
        <v>77.3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0.4</v>
      </c>
      <c r="H12" s="40">
        <v>0</v>
      </c>
      <c r="I12" s="40">
        <v>0</v>
      </c>
      <c r="J12" s="26"/>
      <c r="K12" s="26"/>
      <c r="L12" s="40"/>
      <c r="M12" s="40"/>
      <c r="N12" s="26">
        <v>0</v>
      </c>
      <c r="O12" s="26">
        <v>0.1</v>
      </c>
      <c r="P12" s="40">
        <v>0.1</v>
      </c>
      <c r="Q12" s="40">
        <v>0.1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65.7</v>
      </c>
      <c r="H13" s="40">
        <v>79.099999999999994</v>
      </c>
      <c r="I13" s="40">
        <v>72</v>
      </c>
      <c r="J13" s="26"/>
      <c r="K13" s="26"/>
      <c r="L13" s="40"/>
      <c r="M13" s="40"/>
      <c r="N13" s="26">
        <v>68.099999999999994</v>
      </c>
      <c r="O13" s="26">
        <v>68.3</v>
      </c>
      <c r="P13" s="40">
        <v>75.8</v>
      </c>
      <c r="Q13" s="40">
        <v>72.2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65.400000000000006</v>
      </c>
      <c r="H14" s="40">
        <v>65.900000000000006</v>
      </c>
      <c r="I14" s="40">
        <v>66.900000000000006</v>
      </c>
      <c r="J14" s="26"/>
      <c r="K14" s="26"/>
      <c r="L14" s="40"/>
      <c r="M14" s="40"/>
      <c r="N14" s="26">
        <v>70.599999999999994</v>
      </c>
      <c r="O14" s="26">
        <v>65.2</v>
      </c>
      <c r="P14" s="40">
        <v>71.599999999999994</v>
      </c>
      <c r="Q14" s="40">
        <v>72.3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41.7</v>
      </c>
      <c r="H15" s="40">
        <v>49</v>
      </c>
      <c r="I15" s="40">
        <v>50.9</v>
      </c>
      <c r="J15" s="26"/>
      <c r="K15" s="26"/>
      <c r="L15" s="40"/>
      <c r="M15" s="40"/>
      <c r="N15" s="26">
        <v>61.8</v>
      </c>
      <c r="O15" s="26">
        <v>35.9</v>
      </c>
      <c r="P15" s="40">
        <v>44.8</v>
      </c>
      <c r="Q15" s="40">
        <v>43.9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>
        <v>6.6</v>
      </c>
      <c r="I16" s="40">
        <v>6.6</v>
      </c>
      <c r="J16" s="26"/>
      <c r="K16" s="26"/>
      <c r="L16" s="40"/>
      <c r="M16" s="40"/>
      <c r="N16" s="26">
        <v>6.6</v>
      </c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117.3</v>
      </c>
      <c r="H17" s="40">
        <v>119.7</v>
      </c>
      <c r="I17" s="40">
        <v>117</v>
      </c>
      <c r="J17" s="26"/>
      <c r="K17" s="26"/>
      <c r="L17" s="40"/>
      <c r="M17" s="40"/>
      <c r="N17" s="26">
        <v>117.7</v>
      </c>
      <c r="O17" s="26">
        <v>118.1</v>
      </c>
      <c r="P17" s="40">
        <v>118.8</v>
      </c>
      <c r="Q17" s="40">
        <v>118.6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1146</v>
      </c>
      <c r="H18" s="40">
        <v>1219</v>
      </c>
      <c r="I18" s="40">
        <v>1183</v>
      </c>
      <c r="J18" s="26"/>
      <c r="K18" s="26"/>
      <c r="L18" s="40"/>
      <c r="M18" s="40"/>
      <c r="N18" s="26">
        <v>1207</v>
      </c>
      <c r="O18" s="26">
        <v>1202</v>
      </c>
      <c r="P18" s="40">
        <v>1216</v>
      </c>
      <c r="Q18" s="40">
        <v>1201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33" t="s">
        <v>84</v>
      </c>
      <c r="F19" s="26"/>
      <c r="G19" s="26">
        <v>45955.3</v>
      </c>
      <c r="H19" s="40">
        <v>46885</v>
      </c>
      <c r="I19" s="40">
        <v>46723.3</v>
      </c>
      <c r="J19" s="26"/>
      <c r="K19" s="26"/>
      <c r="L19" s="40"/>
      <c r="M19" s="40"/>
      <c r="N19" s="26">
        <v>46179</v>
      </c>
      <c r="O19" s="26">
        <v>46740.9</v>
      </c>
      <c r="P19" s="40">
        <v>48012</v>
      </c>
      <c r="Q19" s="40">
        <v>47842.7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</v>
      </c>
      <c r="H22" s="40">
        <v>59.5</v>
      </c>
      <c r="I22" s="40">
        <v>59.1</v>
      </c>
      <c r="J22" s="26"/>
      <c r="K22" s="26"/>
      <c r="L22" s="40"/>
      <c r="M22" s="40"/>
      <c r="N22" s="26">
        <v>58.7</v>
      </c>
      <c r="O22" s="26">
        <v>57.2</v>
      </c>
      <c r="P22" s="40">
        <v>59.2</v>
      </c>
      <c r="Q22" s="40">
        <v>59.2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0.52</v>
      </c>
      <c r="H23" s="40">
        <v>0.49</v>
      </c>
      <c r="I23" s="40">
        <v>0.49</v>
      </c>
      <c r="J23" s="26"/>
      <c r="K23" s="26"/>
      <c r="L23" s="40"/>
      <c r="M23" s="40"/>
      <c r="N23" s="26">
        <v>0.49</v>
      </c>
      <c r="O23" s="26">
        <v>0.53</v>
      </c>
      <c r="P23" s="40">
        <v>0.48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45.1</v>
      </c>
      <c r="H25" s="40">
        <v>44.9</v>
      </c>
      <c r="I25" s="40">
        <v>44.8</v>
      </c>
      <c r="J25" s="26"/>
      <c r="K25" s="26"/>
      <c r="L25" s="40"/>
      <c r="M25" s="40"/>
      <c r="N25" s="26">
        <v>44.8</v>
      </c>
      <c r="O25" s="26">
        <v>45</v>
      </c>
      <c r="P25" s="40">
        <v>45</v>
      </c>
      <c r="Q25" s="40">
        <v>45.1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0.23</v>
      </c>
      <c r="H26" s="40">
        <v>0.21</v>
      </c>
      <c r="I26" s="40">
        <v>0.22</v>
      </c>
      <c r="J26" s="26"/>
      <c r="K26" s="26"/>
      <c r="L26" s="40"/>
      <c r="M26" s="40"/>
      <c r="N26" s="26">
        <v>0.23</v>
      </c>
      <c r="O26" s="26">
        <v>0.23</v>
      </c>
      <c r="P26" s="40">
        <v>0.23</v>
      </c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4.5999999999999996</v>
      </c>
      <c r="H27" s="40">
        <v>3.5</v>
      </c>
      <c r="I27" s="40">
        <v>3.8</v>
      </c>
      <c r="J27" s="26"/>
      <c r="K27" s="26"/>
      <c r="L27" s="40"/>
      <c r="M27" s="40"/>
      <c r="N27" s="26">
        <v>4.8</v>
      </c>
      <c r="O27" s="26">
        <v>4.5999999999999996</v>
      </c>
      <c r="P27" s="40">
        <v>4.3</v>
      </c>
      <c r="Q27" s="40">
        <v>4.3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</v>
      </c>
      <c r="H28" s="40">
        <v>2.5</v>
      </c>
      <c r="I28" s="40">
        <v>2.9</v>
      </c>
      <c r="J28" s="26"/>
      <c r="K28" s="26"/>
      <c r="L28" s="40"/>
      <c r="M28" s="40"/>
      <c r="N28" s="26">
        <v>3.7</v>
      </c>
      <c r="O28" s="26">
        <v>3.6</v>
      </c>
      <c r="P28" s="40">
        <v>3.4</v>
      </c>
      <c r="Q28" s="40">
        <v>3.6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 t="shared" ref="F29:P29" si="0">F32-F28</f>
        <v>0</v>
      </c>
      <c r="G29" s="41">
        <f t="shared" si="0"/>
        <v>0.79999999999999982</v>
      </c>
      <c r="H29" s="41">
        <f t="shared" si="0"/>
        <v>2.0999999999999996</v>
      </c>
      <c r="I29" s="41">
        <f t="shared" si="0"/>
        <v>2.3000000000000003</v>
      </c>
      <c r="J29" s="41">
        <f t="shared" si="0"/>
        <v>0</v>
      </c>
      <c r="K29" s="41">
        <f t="shared" si="0"/>
        <v>0</v>
      </c>
      <c r="L29" s="41">
        <f t="shared" si="0"/>
        <v>0</v>
      </c>
      <c r="M29" s="40">
        <f t="shared" si="0"/>
        <v>0</v>
      </c>
      <c r="N29" s="41">
        <f t="shared" si="0"/>
        <v>0.89999999999999947</v>
      </c>
      <c r="O29" s="41">
        <v>0.40000000000000036</v>
      </c>
      <c r="P29" s="41">
        <f t="shared" si="0"/>
        <v>1.5000000000000004</v>
      </c>
      <c r="Q29" s="41">
        <v>0.90000000000000036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719.1</v>
      </c>
      <c r="H30" s="40">
        <v>724.32</v>
      </c>
      <c r="I30" s="40">
        <v>689.3</v>
      </c>
      <c r="J30" s="26"/>
      <c r="K30" s="26"/>
      <c r="L30" s="40"/>
      <c r="M30" s="40"/>
      <c r="N30" s="26">
        <v>756.4</v>
      </c>
      <c r="O30" s="26">
        <v>714.4</v>
      </c>
      <c r="P30" s="40">
        <v>733</v>
      </c>
      <c r="Q30" s="40">
        <v>699.7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13.3</v>
      </c>
      <c r="H31" s="40">
        <v>12.2</v>
      </c>
      <c r="I31" s="40">
        <v>13.1</v>
      </c>
      <c r="J31" s="26"/>
      <c r="K31" s="26"/>
      <c r="L31" s="40"/>
      <c r="M31" s="40"/>
      <c r="N31" s="26">
        <v>12.2</v>
      </c>
      <c r="O31" s="26">
        <v>13.1</v>
      </c>
      <c r="P31" s="40">
        <v>12.4</v>
      </c>
      <c r="Q31" s="40">
        <v>13.3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4.8</v>
      </c>
      <c r="H32" s="40">
        <v>4.5999999999999996</v>
      </c>
      <c r="I32" s="40">
        <v>5.2</v>
      </c>
      <c r="J32" s="26"/>
      <c r="K32" s="26"/>
      <c r="L32" s="40"/>
      <c r="M32" s="40"/>
      <c r="N32" s="26">
        <v>4.5999999999999996</v>
      </c>
      <c r="O32" s="26">
        <v>5</v>
      </c>
      <c r="P32" s="40">
        <v>4.9000000000000004</v>
      </c>
      <c r="Q32" s="40">
        <v>5.2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v>8.5</v>
      </c>
      <c r="H33" s="41">
        <f t="shared" ref="H33:P33" si="1">H31-H32</f>
        <v>7.6</v>
      </c>
      <c r="I33" s="41">
        <v>7.8999999999999995</v>
      </c>
      <c r="J33" s="41">
        <f t="shared" si="1"/>
        <v>0</v>
      </c>
      <c r="K33" s="41"/>
      <c r="L33" s="41">
        <f t="shared" si="1"/>
        <v>0</v>
      </c>
      <c r="M33" s="40">
        <f t="shared" si="1"/>
        <v>0</v>
      </c>
      <c r="N33" s="41">
        <f t="shared" si="1"/>
        <v>7.6</v>
      </c>
      <c r="O33" s="41">
        <v>8.1</v>
      </c>
      <c r="P33" s="41">
        <f t="shared" si="1"/>
        <v>7.5</v>
      </c>
      <c r="Q33" s="41">
        <v>8.1000000000000014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N34" si="2">(G33*G30)/0.866</f>
        <v>7058.1408775981527</v>
      </c>
      <c r="H34" s="42">
        <f t="shared" si="2"/>
        <v>6356.6189376443426</v>
      </c>
      <c r="I34" s="42">
        <f t="shared" si="2"/>
        <v>6288.0715935334865</v>
      </c>
      <c r="J34" s="42">
        <f t="shared" si="2"/>
        <v>0</v>
      </c>
      <c r="K34" s="42">
        <f t="shared" si="2"/>
        <v>0</v>
      </c>
      <c r="L34" s="42">
        <f t="shared" si="2"/>
        <v>0</v>
      </c>
      <c r="M34" s="51">
        <f t="shared" si="2"/>
        <v>0</v>
      </c>
      <c r="N34" s="42">
        <f t="shared" si="2"/>
        <v>6638.1524249422628</v>
      </c>
      <c r="O34" s="42">
        <v>6682.03233256351</v>
      </c>
      <c r="P34" s="42">
        <f t="shared" ref="P34" si="3">(P33*P30)/0.866</f>
        <v>6348.1524249422637</v>
      </c>
      <c r="Q34" s="42">
        <v>6544.5381062355673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0.82</v>
      </c>
      <c r="H35" s="40">
        <v>0.86</v>
      </c>
      <c r="I35" s="40">
        <v>0.85</v>
      </c>
      <c r="J35" s="26"/>
      <c r="K35" s="26"/>
      <c r="L35" s="40"/>
      <c r="M35" s="40"/>
      <c r="N35" s="26">
        <v>0.86</v>
      </c>
      <c r="O35" s="26">
        <v>0.84</v>
      </c>
      <c r="P35" s="40">
        <v>0.82</v>
      </c>
      <c r="Q35" s="40">
        <v>0.84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36.1</v>
      </c>
      <c r="H36" s="40">
        <v>37.299999999999997</v>
      </c>
      <c r="I36" s="40">
        <v>36.700000000000003</v>
      </c>
      <c r="J36" s="26"/>
      <c r="K36" s="26"/>
      <c r="L36" s="40"/>
      <c r="M36" s="40"/>
      <c r="N36" s="26">
        <v>36.6</v>
      </c>
      <c r="O36" s="26">
        <v>37.700000000000003</v>
      </c>
      <c r="P36" s="40">
        <v>36.4</v>
      </c>
      <c r="Q36" s="40">
        <v>36.299999999999997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36.4</v>
      </c>
      <c r="H37" s="40">
        <v>38.1</v>
      </c>
      <c r="I37" s="40">
        <v>37.6</v>
      </c>
      <c r="J37" s="26"/>
      <c r="K37" s="26"/>
      <c r="L37" s="40"/>
      <c r="M37" s="40"/>
      <c r="N37" s="26">
        <v>37</v>
      </c>
      <c r="O37" s="26">
        <v>37.5</v>
      </c>
      <c r="P37" s="40">
        <v>36.5</v>
      </c>
      <c r="Q37" s="40">
        <v>36.4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4">G37-G41</f>
        <v>2.1999999999999957</v>
      </c>
      <c r="H38" s="41">
        <f t="shared" si="4"/>
        <v>4.2000000000000028</v>
      </c>
      <c r="I38" s="41">
        <f t="shared" si="4"/>
        <v>4.1000000000000014</v>
      </c>
      <c r="J38" s="41">
        <f t="shared" si="4"/>
        <v>0</v>
      </c>
      <c r="K38" s="41">
        <f t="shared" si="4"/>
        <v>0</v>
      </c>
      <c r="L38" s="41">
        <f t="shared" si="4"/>
        <v>0</v>
      </c>
      <c r="M38" s="40">
        <f t="shared" si="4"/>
        <v>0</v>
      </c>
      <c r="N38" s="41">
        <f t="shared" si="4"/>
        <v>2.2999999999999972</v>
      </c>
      <c r="O38" s="41">
        <f t="shared" si="4"/>
        <v>3.5</v>
      </c>
      <c r="P38" s="41">
        <f t="shared" si="4"/>
        <v>2.2999999999999972</v>
      </c>
      <c r="Q38" s="41">
        <f t="shared" si="4"/>
        <v>2.2999999999999972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28.7</v>
      </c>
      <c r="H40" s="40">
        <v>28.8</v>
      </c>
      <c r="I40" s="40">
        <v>28.4</v>
      </c>
      <c r="J40" s="26"/>
      <c r="K40" s="26"/>
      <c r="L40" s="40"/>
      <c r="M40" s="40"/>
      <c r="N40" s="26">
        <v>28.4</v>
      </c>
      <c r="O40" s="26">
        <v>28.6</v>
      </c>
      <c r="P40" s="40">
        <v>28.5</v>
      </c>
      <c r="Q40" s="40">
        <v>28.4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34.200000000000003</v>
      </c>
      <c r="H41" s="40">
        <v>33.9</v>
      </c>
      <c r="I41" s="40">
        <v>33.5</v>
      </c>
      <c r="J41" s="26"/>
      <c r="K41" s="26"/>
      <c r="L41" s="40"/>
      <c r="M41" s="40"/>
      <c r="N41" s="26">
        <v>34.700000000000003</v>
      </c>
      <c r="O41" s="26">
        <v>34</v>
      </c>
      <c r="P41" s="40">
        <v>34.200000000000003</v>
      </c>
      <c r="Q41" s="40">
        <v>34.1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v>5.5000000000000036</v>
      </c>
      <c r="H42" s="41">
        <f t="shared" ref="H42:P42" si="5">H41-H40</f>
        <v>5.0999999999999979</v>
      </c>
      <c r="I42" s="41">
        <v>5.1000000000000014</v>
      </c>
      <c r="J42" s="41">
        <f t="shared" si="5"/>
        <v>0</v>
      </c>
      <c r="K42" s="41">
        <f t="shared" si="5"/>
        <v>0</v>
      </c>
      <c r="L42" s="41">
        <f t="shared" si="5"/>
        <v>0</v>
      </c>
      <c r="M42" s="40">
        <f t="shared" si="5"/>
        <v>0</v>
      </c>
      <c r="N42" s="41">
        <f t="shared" si="5"/>
        <v>6.3000000000000043</v>
      </c>
      <c r="O42" s="41">
        <v>5.3999999999999986</v>
      </c>
      <c r="P42" s="41">
        <f t="shared" si="5"/>
        <v>5.7000000000000028</v>
      </c>
      <c r="Q42" s="41">
        <v>5.7000000000000028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1265.5999999999999</v>
      </c>
      <c r="H43" s="40">
        <v>1303.82</v>
      </c>
      <c r="I43" s="40">
        <v>1304.3</v>
      </c>
      <c r="J43" s="26"/>
      <c r="K43" s="26"/>
      <c r="L43" s="40"/>
      <c r="M43" s="40"/>
      <c r="N43" s="26">
        <v>1110.2</v>
      </c>
      <c r="O43" s="26">
        <v>1239.4000000000001</v>
      </c>
      <c r="P43" s="40">
        <v>1291</v>
      </c>
      <c r="Q43" s="40">
        <v>1261.9000000000001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v>8037.8752886836073</v>
      </c>
      <c r="H44" s="42">
        <f t="shared" ref="H44:P44" si="6">H42*H43/0.866</f>
        <v>7678.3856812932991</v>
      </c>
      <c r="I44" s="42">
        <v>7681.212471131641</v>
      </c>
      <c r="J44" s="42">
        <f t="shared" si="6"/>
        <v>0</v>
      </c>
      <c r="K44" s="42">
        <f>K42*K43/0.866</f>
        <v>0</v>
      </c>
      <c r="L44" s="42">
        <f>L42*L43/0.866</f>
        <v>0</v>
      </c>
      <c r="M44" s="51">
        <f t="shared" si="6"/>
        <v>0</v>
      </c>
      <c r="N44" s="42">
        <f t="shared" si="6"/>
        <v>8076.5127020785276</v>
      </c>
      <c r="O44" s="42">
        <v>7728.3602771362566</v>
      </c>
      <c r="P44" s="42">
        <f t="shared" si="6"/>
        <v>8497.3441108545067</v>
      </c>
      <c r="Q44" s="42">
        <v>8305.8083140877643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0.46</v>
      </c>
      <c r="H45" s="40">
        <v>0.46</v>
      </c>
      <c r="I45" s="40">
        <v>0.46</v>
      </c>
      <c r="J45" s="26"/>
      <c r="K45" s="26"/>
      <c r="L45" s="40"/>
      <c r="M45" s="40"/>
      <c r="N45" s="26">
        <v>0.47</v>
      </c>
      <c r="O45" s="26">
        <v>0.48</v>
      </c>
      <c r="P45" s="40">
        <v>0.46</v>
      </c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19.8</v>
      </c>
      <c r="H46" s="40">
        <v>19.7</v>
      </c>
      <c r="I46" s="40">
        <v>19.8</v>
      </c>
      <c r="J46" s="26"/>
      <c r="K46" s="26"/>
      <c r="L46" s="40"/>
      <c r="M46" s="40"/>
      <c r="N46" s="26">
        <v>20.100000000000001</v>
      </c>
      <c r="O46" s="26">
        <v>20.8</v>
      </c>
      <c r="P46" s="40">
        <v>19.8</v>
      </c>
      <c r="Q46" s="40">
        <v>20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187.8</v>
      </c>
      <c r="H47" s="40">
        <v>124.6</v>
      </c>
      <c r="I47" s="40">
        <v>124.6</v>
      </c>
      <c r="J47" s="26"/>
      <c r="K47" s="26"/>
      <c r="L47" s="40"/>
      <c r="M47" s="40"/>
      <c r="N47" s="26">
        <v>160.5</v>
      </c>
      <c r="O47" s="26">
        <v>214.1</v>
      </c>
      <c r="P47" s="40">
        <v>198</v>
      </c>
      <c r="Q47" s="40">
        <v>204.3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43">
        <v>5.89</v>
      </c>
      <c r="F49" s="26"/>
      <c r="G49" s="26">
        <v>5.52</v>
      </c>
      <c r="H49" s="40">
        <v>4.71</v>
      </c>
      <c r="I49" s="40">
        <v>4.96</v>
      </c>
      <c r="J49" s="26"/>
      <c r="K49" s="26"/>
      <c r="L49" s="40"/>
      <c r="M49" s="40"/>
      <c r="N49" s="26">
        <v>4.6900000000000004</v>
      </c>
      <c r="O49" s="26">
        <v>5.2</v>
      </c>
      <c r="P49" s="40">
        <v>4.79</v>
      </c>
      <c r="Q49" s="40">
        <v>5.09</v>
      </c>
    </row>
    <row r="50" spans="2:17" ht="20.100000000000001" customHeight="1" x14ac:dyDescent="0.25">
      <c r="B50" s="110" t="s">
        <v>51</v>
      </c>
      <c r="C50" s="110"/>
      <c r="D50" s="110"/>
      <c r="E50" s="43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44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0" t="b">
        <v>0</v>
      </c>
      <c r="G57" s="32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1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24A5-A6A3-4608-B2A4-604FA3154CC6}">
  <dimension ref="B1:Q59"/>
  <sheetViews>
    <sheetView view="pageBreakPreview" zoomScale="85" zoomScaleNormal="60" zoomScaleSheetLayoutView="85" workbookViewId="0">
      <selection activeCell="B26" sqref="B26:B34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8" t="s">
        <v>64</v>
      </c>
      <c r="O2" s="9"/>
      <c r="P2" s="9"/>
      <c r="Q2" s="10"/>
    </row>
    <row r="3" spans="2:17" ht="15.75" thickBot="1" x14ac:dyDescent="0.3">
      <c r="B3" s="113"/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20"/>
      <c r="N3" s="14" t="s">
        <v>63</v>
      </c>
      <c r="O3" s="15" t="s">
        <v>96</v>
      </c>
      <c r="P3" s="15"/>
      <c r="Q3" s="16"/>
    </row>
    <row r="4" spans="2:17" ht="15.75" thickBot="1" x14ac:dyDescent="0.3">
      <c r="B4" s="113"/>
      <c r="C4" s="118"/>
      <c r="D4" s="119"/>
      <c r="E4" s="119"/>
      <c r="F4" s="119"/>
      <c r="G4" s="119"/>
      <c r="H4" s="119"/>
      <c r="I4" s="119"/>
      <c r="J4" s="119"/>
      <c r="K4" s="119"/>
      <c r="L4" s="119"/>
      <c r="M4" s="120"/>
      <c r="N4" s="14" t="s">
        <v>62</v>
      </c>
      <c r="O4" s="15"/>
      <c r="P4" s="15"/>
      <c r="Q4" s="16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11" t="s">
        <v>61</v>
      </c>
      <c r="O5" s="12"/>
      <c r="P5" s="12"/>
      <c r="Q5" s="13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46" t="s">
        <v>78</v>
      </c>
      <c r="E10" s="27"/>
      <c r="F10" s="37" t="s">
        <v>99</v>
      </c>
      <c r="G10" s="37" t="s">
        <v>99</v>
      </c>
      <c r="H10" s="39"/>
      <c r="I10" s="39" t="s">
        <v>99</v>
      </c>
      <c r="J10" s="36"/>
      <c r="K10" s="37"/>
      <c r="L10" s="38" t="s">
        <v>99</v>
      </c>
      <c r="M10" s="39" t="s">
        <v>99</v>
      </c>
      <c r="N10" s="37"/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68.599999999999994</v>
      </c>
      <c r="G11" s="26">
        <v>78</v>
      </c>
      <c r="H11" s="40"/>
      <c r="I11" s="40">
        <v>78</v>
      </c>
      <c r="J11" s="26"/>
      <c r="K11" s="26"/>
      <c r="L11" s="40">
        <v>73.5</v>
      </c>
      <c r="M11" s="26">
        <v>73.5</v>
      </c>
      <c r="N11" s="26"/>
      <c r="O11" s="26">
        <v>74.099999999999994</v>
      </c>
      <c r="P11" s="40">
        <v>75.5</v>
      </c>
      <c r="Q11" s="40">
        <v>75.5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0.3</v>
      </c>
      <c r="G12" s="26">
        <v>0</v>
      </c>
      <c r="H12" s="40"/>
      <c r="I12" s="40">
        <v>0</v>
      </c>
      <c r="J12" s="26"/>
      <c r="K12" s="26"/>
      <c r="L12" s="40">
        <v>0.2</v>
      </c>
      <c r="M12" s="26">
        <v>0.2</v>
      </c>
      <c r="N12" s="26"/>
      <c r="O12" s="26">
        <v>0</v>
      </c>
      <c r="P12" s="40">
        <v>0.2</v>
      </c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62.7</v>
      </c>
      <c r="G13" s="26">
        <v>73.2</v>
      </c>
      <c r="H13" s="40"/>
      <c r="I13" s="40">
        <v>73.2</v>
      </c>
      <c r="J13" s="26"/>
      <c r="K13" s="26"/>
      <c r="L13" s="40">
        <v>67.7</v>
      </c>
      <c r="M13" s="26">
        <v>67.7</v>
      </c>
      <c r="N13" s="26"/>
      <c r="O13" s="26">
        <v>68.900000000000006</v>
      </c>
      <c r="P13" s="40">
        <v>70</v>
      </c>
      <c r="Q13" s="40">
        <v>70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70.2</v>
      </c>
      <c r="G14" s="26">
        <v>69.400000000000006</v>
      </c>
      <c r="H14" s="40"/>
      <c r="I14" s="40">
        <v>69.400000000000006</v>
      </c>
      <c r="J14" s="26"/>
      <c r="K14" s="26"/>
      <c r="L14" s="40">
        <v>69.8</v>
      </c>
      <c r="M14" s="26">
        <v>67.8</v>
      </c>
      <c r="N14" s="26"/>
      <c r="O14" s="26">
        <v>75.599999999999994</v>
      </c>
      <c r="P14" s="40">
        <v>72.3</v>
      </c>
      <c r="Q14" s="40">
        <v>75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73.8</v>
      </c>
      <c r="G15" s="26">
        <v>47.4</v>
      </c>
      <c r="H15" s="40"/>
      <c r="I15" s="40">
        <v>47.4</v>
      </c>
      <c r="J15" s="26"/>
      <c r="K15" s="26"/>
      <c r="L15" s="40">
        <v>32.200000000000003</v>
      </c>
      <c r="M15" s="26">
        <v>34.6</v>
      </c>
      <c r="N15" s="26"/>
      <c r="O15" s="26">
        <v>48</v>
      </c>
      <c r="P15" s="40">
        <v>41.4</v>
      </c>
      <c r="Q15" s="40">
        <v>38.299999999999997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26"/>
      <c r="I16" s="26">
        <v>6.6</v>
      </c>
      <c r="J16" s="26"/>
      <c r="K16" s="26"/>
      <c r="L16" s="26">
        <v>6.6</v>
      </c>
      <c r="M16" s="26">
        <v>6.6</v>
      </c>
      <c r="N16" s="26"/>
      <c r="O16" s="26">
        <v>6.6</v>
      </c>
      <c r="P16" s="26">
        <v>6.6</v>
      </c>
      <c r="Q16" s="26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117.3</v>
      </c>
      <c r="G17" s="26">
        <v>118.2</v>
      </c>
      <c r="H17" s="40"/>
      <c r="I17" s="40">
        <v>117</v>
      </c>
      <c r="J17" s="26"/>
      <c r="K17" s="26"/>
      <c r="L17" s="40">
        <v>115.9</v>
      </c>
      <c r="M17" s="26">
        <v>116.4</v>
      </c>
      <c r="N17" s="26"/>
      <c r="O17" s="26">
        <v>117.1</v>
      </c>
      <c r="P17" s="40">
        <v>114.6</v>
      </c>
      <c r="Q17" s="40">
        <v>115.6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1153</v>
      </c>
      <c r="G18" s="26">
        <v>1155</v>
      </c>
      <c r="H18" s="40"/>
      <c r="I18" s="40">
        <v>1207</v>
      </c>
      <c r="J18" s="26"/>
      <c r="K18" s="26"/>
      <c r="L18" s="40">
        <v>1193</v>
      </c>
      <c r="M18" s="26">
        <v>1198</v>
      </c>
      <c r="N18" s="26"/>
      <c r="O18" s="26">
        <v>1210</v>
      </c>
      <c r="P18" s="40">
        <v>1177</v>
      </c>
      <c r="Q18" s="40">
        <v>1188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33" t="s">
        <v>84</v>
      </c>
      <c r="F19" s="26">
        <v>46109.3</v>
      </c>
      <c r="G19" s="26"/>
      <c r="H19" s="40"/>
      <c r="I19" s="40"/>
      <c r="J19" s="26"/>
      <c r="K19" s="26"/>
      <c r="L19" s="40">
        <v>46912.2</v>
      </c>
      <c r="M19" s="26"/>
      <c r="N19" s="26"/>
      <c r="O19" s="26"/>
      <c r="P19" s="40">
        <v>48030.6</v>
      </c>
      <c r="Q19" s="40">
        <v>48022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26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26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</v>
      </c>
      <c r="G22" s="26">
        <v>58</v>
      </c>
      <c r="H22" s="40"/>
      <c r="I22" s="40">
        <v>59.3</v>
      </c>
      <c r="J22" s="26"/>
      <c r="K22" s="26"/>
      <c r="L22" s="40">
        <v>57.2</v>
      </c>
      <c r="M22" s="26">
        <v>57.3</v>
      </c>
      <c r="N22" s="26"/>
      <c r="O22" s="26">
        <v>58.8</v>
      </c>
      <c r="P22" s="40">
        <v>59.4</v>
      </c>
      <c r="Q22" s="40">
        <v>59.6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0.53</v>
      </c>
      <c r="G23" s="26">
        <v>0.52</v>
      </c>
      <c r="H23" s="40"/>
      <c r="I23" s="40">
        <v>0.5</v>
      </c>
      <c r="J23" s="26"/>
      <c r="K23" s="26"/>
      <c r="L23" s="40">
        <v>0.53</v>
      </c>
      <c r="M23" s="26">
        <v>0.53</v>
      </c>
      <c r="N23" s="26"/>
      <c r="O23" s="26">
        <v>0.48</v>
      </c>
      <c r="P23" s="40">
        <v>0.48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44.7</v>
      </c>
      <c r="G25" s="26">
        <v>45.1</v>
      </c>
      <c r="H25" s="40"/>
      <c r="I25" s="40">
        <v>44.7</v>
      </c>
      <c r="J25" s="26"/>
      <c r="K25" s="26"/>
      <c r="L25" s="40">
        <v>45.3</v>
      </c>
      <c r="M25" s="26">
        <v>45.1</v>
      </c>
      <c r="N25" s="26"/>
      <c r="O25" s="26">
        <v>44.9</v>
      </c>
      <c r="P25" s="40">
        <v>45.6</v>
      </c>
      <c r="Q25" s="40">
        <v>44.9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0.24</v>
      </c>
      <c r="G26" s="26">
        <v>0.23</v>
      </c>
      <c r="H26" s="40"/>
      <c r="I26" s="40">
        <v>0.22</v>
      </c>
      <c r="J26" s="26"/>
      <c r="K26" s="26"/>
      <c r="L26" s="40">
        <v>0.23</v>
      </c>
      <c r="M26" s="26">
        <v>0.22</v>
      </c>
      <c r="N26" s="26"/>
      <c r="O26" s="26">
        <v>0.23</v>
      </c>
      <c r="P26" s="40">
        <v>0.22</v>
      </c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5.4</v>
      </c>
      <c r="G27" s="26">
        <v>4.3</v>
      </c>
      <c r="H27" s="40"/>
      <c r="I27" s="40">
        <v>4.0999999999999996</v>
      </c>
      <c r="J27" s="26"/>
      <c r="K27" s="26"/>
      <c r="L27" s="40">
        <v>4.5</v>
      </c>
      <c r="M27" s="26">
        <v>4.4000000000000004</v>
      </c>
      <c r="N27" s="26"/>
      <c r="O27" s="26">
        <v>4.8</v>
      </c>
      <c r="P27" s="40">
        <v>4.0999999999999996</v>
      </c>
      <c r="Q27" s="40">
        <v>4.3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4.8</v>
      </c>
      <c r="G28" s="26">
        <v>3.9</v>
      </c>
      <c r="H28" s="40"/>
      <c r="I28" s="40">
        <v>3.1</v>
      </c>
      <c r="J28" s="26"/>
      <c r="K28" s="26"/>
      <c r="L28" s="40">
        <v>3.3</v>
      </c>
      <c r="M28" s="26">
        <v>3.4</v>
      </c>
      <c r="N28" s="26"/>
      <c r="O28" s="26">
        <v>3.3</v>
      </c>
      <c r="P28" s="40">
        <v>3.3</v>
      </c>
      <c r="Q28" s="40">
        <v>3.4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/>
      <c r="G29" s="41">
        <v>1.1000000000000001</v>
      </c>
      <c r="H29" s="41"/>
      <c r="I29" s="41">
        <f t="shared" ref="I29:Q29" si="0">I32-I28</f>
        <v>2.1999999999999997</v>
      </c>
      <c r="J29" s="41">
        <f t="shared" si="0"/>
        <v>0</v>
      </c>
      <c r="K29" s="41">
        <f t="shared" si="0"/>
        <v>0</v>
      </c>
      <c r="L29" s="41">
        <f t="shared" si="0"/>
        <v>1.4000000000000004</v>
      </c>
      <c r="M29" s="41">
        <f t="shared" si="0"/>
        <v>1.3000000000000003</v>
      </c>
      <c r="N29" s="41">
        <f t="shared" si="0"/>
        <v>0</v>
      </c>
      <c r="O29" s="41">
        <f t="shared" si="0"/>
        <v>1.6000000000000005</v>
      </c>
      <c r="P29" s="41">
        <f t="shared" si="0"/>
        <v>1.4000000000000004</v>
      </c>
      <c r="Q29" s="41">
        <f t="shared" si="0"/>
        <v>1.6999999999999997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736.8</v>
      </c>
      <c r="G30" s="26">
        <v>728.4</v>
      </c>
      <c r="H30" s="40"/>
      <c r="I30" s="40">
        <v>735.5</v>
      </c>
      <c r="J30" s="26"/>
      <c r="K30" s="26"/>
      <c r="L30" s="40">
        <v>617.5</v>
      </c>
      <c r="M30" s="26">
        <v>663.7</v>
      </c>
      <c r="N30" s="26"/>
      <c r="O30" s="26">
        <v>740.1</v>
      </c>
      <c r="P30" s="40">
        <v>629.5</v>
      </c>
      <c r="Q30" s="40">
        <v>629.29999999999995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13.9</v>
      </c>
      <c r="G31" s="26">
        <v>13</v>
      </c>
      <c r="H31" s="40"/>
      <c r="I31" s="40">
        <v>14</v>
      </c>
      <c r="J31" s="26"/>
      <c r="K31" s="26"/>
      <c r="L31" s="40">
        <v>14.1</v>
      </c>
      <c r="M31" s="26">
        <v>13.5</v>
      </c>
      <c r="N31" s="26"/>
      <c r="O31" s="26">
        <v>13.9</v>
      </c>
      <c r="P31" s="40">
        <v>13.2</v>
      </c>
      <c r="Q31" s="40">
        <v>13.6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5.9</v>
      </c>
      <c r="G32" s="26">
        <v>5</v>
      </c>
      <c r="H32" s="40"/>
      <c r="I32" s="40">
        <v>5.3</v>
      </c>
      <c r="J32" s="26"/>
      <c r="K32" s="26"/>
      <c r="L32" s="40">
        <v>4.7</v>
      </c>
      <c r="M32" s="26">
        <v>4.7</v>
      </c>
      <c r="N32" s="26"/>
      <c r="O32" s="26">
        <v>4.9000000000000004</v>
      </c>
      <c r="P32" s="40">
        <v>4.7</v>
      </c>
      <c r="Q32" s="40">
        <v>5.0999999999999996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8</v>
      </c>
      <c r="G33" s="41">
        <v>8</v>
      </c>
      <c r="H33" s="41">
        <f t="shared" ref="H33:Q33" si="1">H31-H32</f>
        <v>0</v>
      </c>
      <c r="I33" s="41">
        <f t="shared" si="1"/>
        <v>8.6999999999999993</v>
      </c>
      <c r="J33" s="41">
        <f t="shared" si="1"/>
        <v>0</v>
      </c>
      <c r="K33" s="41">
        <f t="shared" si="1"/>
        <v>0</v>
      </c>
      <c r="L33" s="41">
        <f t="shared" si="1"/>
        <v>9.3999999999999986</v>
      </c>
      <c r="M33" s="41">
        <f t="shared" si="1"/>
        <v>8.8000000000000007</v>
      </c>
      <c r="N33" s="41">
        <f t="shared" si="1"/>
        <v>0</v>
      </c>
      <c r="O33" s="41">
        <f t="shared" si="1"/>
        <v>9</v>
      </c>
      <c r="P33" s="41">
        <f t="shared" si="1"/>
        <v>8.5</v>
      </c>
      <c r="Q33" s="41">
        <f t="shared" si="1"/>
        <v>8.5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6806.466512702078</v>
      </c>
      <c r="G34" s="42">
        <v>6728.8683602771362</v>
      </c>
      <c r="H34" s="42">
        <f t="shared" ref="H34:Q34" si="2">(H33*H30)/0.866</f>
        <v>0</v>
      </c>
      <c r="I34" s="42">
        <f t="shared" si="2"/>
        <v>7388.9722863741335</v>
      </c>
      <c r="J34" s="42">
        <f t="shared" si="2"/>
        <v>0</v>
      </c>
      <c r="K34" s="42">
        <f t="shared" si="2"/>
        <v>0</v>
      </c>
      <c r="L34" s="42">
        <f t="shared" si="2"/>
        <v>6702.6558891454952</v>
      </c>
      <c r="M34" s="42">
        <f t="shared" si="2"/>
        <v>6744.2956120092394</v>
      </c>
      <c r="N34" s="42">
        <f t="shared" si="2"/>
        <v>0</v>
      </c>
      <c r="O34" s="42">
        <f t="shared" si="2"/>
        <v>7691.5704387990772</v>
      </c>
      <c r="P34" s="42">
        <f t="shared" si="2"/>
        <v>6178.6951501154736</v>
      </c>
      <c r="Q34" s="42">
        <f t="shared" si="2"/>
        <v>6176.732101616627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0.88</v>
      </c>
      <c r="G35" s="26">
        <v>0.82</v>
      </c>
      <c r="H35" s="40"/>
      <c r="I35" s="40">
        <v>0.87</v>
      </c>
      <c r="J35" s="26"/>
      <c r="K35" s="26"/>
      <c r="L35" s="40">
        <v>0.85</v>
      </c>
      <c r="M35" s="26">
        <v>0.88</v>
      </c>
      <c r="N35" s="26"/>
      <c r="O35" s="26">
        <v>0.86</v>
      </c>
      <c r="P35" s="40">
        <v>0.82</v>
      </c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36.6</v>
      </c>
      <c r="G36" s="26">
        <v>36</v>
      </c>
      <c r="H36" s="40"/>
      <c r="I36" s="40">
        <v>37.700000000000003</v>
      </c>
      <c r="J36" s="26"/>
      <c r="K36" s="26"/>
      <c r="L36" s="40">
        <v>38</v>
      </c>
      <c r="M36" s="26">
        <v>38.1</v>
      </c>
      <c r="N36" s="26"/>
      <c r="O36" s="26">
        <v>37.200000000000003</v>
      </c>
      <c r="P36" s="40">
        <v>36.5</v>
      </c>
      <c r="Q36" s="40">
        <v>36.9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37.5</v>
      </c>
      <c r="G37" s="26">
        <v>36.4</v>
      </c>
      <c r="H37" s="40"/>
      <c r="I37" s="40">
        <v>38.5</v>
      </c>
      <c r="J37" s="26"/>
      <c r="K37" s="26"/>
      <c r="L37" s="40">
        <v>37.9</v>
      </c>
      <c r="M37" s="26">
        <v>38</v>
      </c>
      <c r="N37" s="26"/>
      <c r="O37" s="26">
        <v>37.700000000000003</v>
      </c>
      <c r="P37" s="40">
        <v>36.6</v>
      </c>
      <c r="Q37" s="40">
        <v>37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2.7999999999999972</v>
      </c>
      <c r="G38" s="41">
        <v>2.1000000000000014</v>
      </c>
      <c r="H38" s="41">
        <f t="shared" ref="H38:Q38" si="3">H37-H41</f>
        <v>0</v>
      </c>
      <c r="I38" s="41">
        <f t="shared" si="3"/>
        <v>4.2999999999999972</v>
      </c>
      <c r="J38" s="41">
        <f t="shared" si="3"/>
        <v>0</v>
      </c>
      <c r="K38" s="41">
        <f t="shared" si="3"/>
        <v>0</v>
      </c>
      <c r="L38" s="41">
        <f t="shared" si="3"/>
        <v>3.3999999999999986</v>
      </c>
      <c r="M38" s="41">
        <f t="shared" si="3"/>
        <v>3.2999999999999972</v>
      </c>
      <c r="N38" s="41">
        <f t="shared" si="3"/>
        <v>0</v>
      </c>
      <c r="O38" s="41">
        <f t="shared" si="3"/>
        <v>2.4000000000000057</v>
      </c>
      <c r="P38" s="41">
        <f t="shared" si="3"/>
        <v>2.2000000000000028</v>
      </c>
      <c r="Q38" s="41">
        <f t="shared" si="3"/>
        <v>2.1000000000000014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29.1</v>
      </c>
      <c r="G40" s="26">
        <v>38.700000000000003</v>
      </c>
      <c r="H40" s="40"/>
      <c r="I40" s="40">
        <v>29.4</v>
      </c>
      <c r="J40" s="26"/>
      <c r="K40" s="26"/>
      <c r="L40" s="40">
        <v>29.1</v>
      </c>
      <c r="M40" s="26">
        <v>29.3</v>
      </c>
      <c r="N40" s="26"/>
      <c r="O40" s="26">
        <v>29.1</v>
      </c>
      <c r="P40" s="40">
        <v>28.8</v>
      </c>
      <c r="Q40" s="40">
        <v>29.1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34.700000000000003</v>
      </c>
      <c r="G41" s="26">
        <v>34.299999999999997</v>
      </c>
      <c r="H41" s="40"/>
      <c r="I41" s="40">
        <v>34.200000000000003</v>
      </c>
      <c r="J41" s="26"/>
      <c r="K41" s="26"/>
      <c r="L41" s="40">
        <v>34.5</v>
      </c>
      <c r="M41" s="26">
        <v>34.700000000000003</v>
      </c>
      <c r="N41" s="26"/>
      <c r="O41" s="26">
        <v>35.299999999999997</v>
      </c>
      <c r="P41" s="40">
        <v>34.4</v>
      </c>
      <c r="Q41" s="40">
        <v>34.9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5.6000000000000014</v>
      </c>
      <c r="G42" s="41">
        <v>-4.4000000000000057</v>
      </c>
      <c r="H42" s="41">
        <f t="shared" ref="H42:Q42" si="4">H41-H40</f>
        <v>0</v>
      </c>
      <c r="I42" s="41">
        <f t="shared" si="4"/>
        <v>4.8000000000000043</v>
      </c>
      <c r="J42" s="41">
        <f t="shared" si="4"/>
        <v>0</v>
      </c>
      <c r="K42" s="41">
        <f t="shared" si="4"/>
        <v>0</v>
      </c>
      <c r="L42" s="41">
        <f t="shared" si="4"/>
        <v>5.3999999999999986</v>
      </c>
      <c r="M42" s="41">
        <f t="shared" si="4"/>
        <v>5.4000000000000021</v>
      </c>
      <c r="N42" s="41">
        <f t="shared" si="4"/>
        <v>0</v>
      </c>
      <c r="O42" s="41">
        <f t="shared" si="4"/>
        <v>6.1999999999999957</v>
      </c>
      <c r="P42" s="41">
        <f t="shared" si="4"/>
        <v>5.5999999999999979</v>
      </c>
      <c r="Q42" s="41">
        <f t="shared" si="4"/>
        <v>5.7999999999999972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1227</v>
      </c>
      <c r="G43" s="26">
        <v>1259.4000000000001</v>
      </c>
      <c r="H43" s="40"/>
      <c r="I43" s="40">
        <v>1298.8</v>
      </c>
      <c r="J43" s="26"/>
      <c r="K43" s="26"/>
      <c r="L43" s="40">
        <v>1214</v>
      </c>
      <c r="M43" s="26">
        <v>1245.5999999999999</v>
      </c>
      <c r="N43" s="26"/>
      <c r="O43" s="26">
        <v>1086.5</v>
      </c>
      <c r="P43" s="40">
        <v>1233.9000000000001</v>
      </c>
      <c r="Q43" s="40">
        <v>1264.2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7934.4110854503488</v>
      </c>
      <c r="G44" s="42">
        <v>-6398.79907621248</v>
      </c>
      <c r="H44" s="42">
        <f t="shared" ref="H44:Q44" si="5">H42*H43/0.866</f>
        <v>0</v>
      </c>
      <c r="I44" s="42">
        <f t="shared" si="5"/>
        <v>7198.8914549653637</v>
      </c>
      <c r="J44" s="42">
        <f t="shared" si="5"/>
        <v>0</v>
      </c>
      <c r="K44" s="42">
        <f t="shared" si="5"/>
        <v>0</v>
      </c>
      <c r="L44" s="42">
        <f t="shared" si="5"/>
        <v>7569.976905311777</v>
      </c>
      <c r="M44" s="42">
        <f t="shared" si="5"/>
        <v>7767.0207852194026</v>
      </c>
      <c r="N44" s="42">
        <f t="shared" si="5"/>
        <v>0</v>
      </c>
      <c r="O44" s="42">
        <f t="shared" si="5"/>
        <v>7778.6374133949139</v>
      </c>
      <c r="P44" s="42">
        <f t="shared" si="5"/>
        <v>7979.0300230946859</v>
      </c>
      <c r="Q44" s="42">
        <f t="shared" si="5"/>
        <v>8466.9284064665098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0.48</v>
      </c>
      <c r="G45" s="26">
        <v>0.46</v>
      </c>
      <c r="H45" s="40"/>
      <c r="I45" s="40">
        <v>0.48</v>
      </c>
      <c r="J45" s="26"/>
      <c r="K45" s="26"/>
      <c r="L45" s="40">
        <v>0.48</v>
      </c>
      <c r="M45" s="26">
        <v>0.48</v>
      </c>
      <c r="N45" s="26"/>
      <c r="O45" s="26">
        <v>0.48</v>
      </c>
      <c r="P45" s="40">
        <v>0.47</v>
      </c>
      <c r="Q45" s="40">
        <v>0.48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20.9</v>
      </c>
      <c r="G46" s="26">
        <v>19.600000000000001</v>
      </c>
      <c r="H46" s="40"/>
      <c r="I46" s="40">
        <v>20.3</v>
      </c>
      <c r="J46" s="26"/>
      <c r="K46" s="26"/>
      <c r="L46" s="40">
        <v>20.8</v>
      </c>
      <c r="M46" s="26">
        <v>20.9</v>
      </c>
      <c r="N46" s="26"/>
      <c r="O46" s="26">
        <v>20.5</v>
      </c>
      <c r="P46" s="40">
        <v>20.2</v>
      </c>
      <c r="Q46" s="40">
        <v>20.399999999999999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200.3</v>
      </c>
      <c r="G47" s="26">
        <v>168.5</v>
      </c>
      <c r="H47" s="40"/>
      <c r="I47" s="40">
        <v>134.5</v>
      </c>
      <c r="J47" s="26"/>
      <c r="K47" s="26"/>
      <c r="L47" s="40">
        <v>202.1</v>
      </c>
      <c r="M47" s="26">
        <v>198.7</v>
      </c>
      <c r="N47" s="26"/>
      <c r="O47" s="26">
        <v>147.69999999999999</v>
      </c>
      <c r="P47" s="40">
        <v>191.4</v>
      </c>
      <c r="Q47" s="40">
        <v>205.7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46">
        <v>5.89</v>
      </c>
      <c r="F49" s="26">
        <v>5.35</v>
      </c>
      <c r="G49" s="26">
        <v>5.22</v>
      </c>
      <c r="H49" s="40"/>
      <c r="I49" s="40">
        <v>5.13</v>
      </c>
      <c r="J49" s="26"/>
      <c r="K49" s="26"/>
      <c r="L49" s="40">
        <v>5.82</v>
      </c>
      <c r="M49" s="26">
        <v>5.4</v>
      </c>
      <c r="N49" s="26"/>
      <c r="O49" s="26">
        <v>5.55</v>
      </c>
      <c r="P49" s="40">
        <v>5.45</v>
      </c>
      <c r="Q49" s="40">
        <v>5.32</v>
      </c>
    </row>
    <row r="50" spans="2:17" ht="20.100000000000001" customHeight="1" x14ac:dyDescent="0.25">
      <c r="B50" s="110" t="s">
        <v>51</v>
      </c>
      <c r="C50" s="110"/>
      <c r="D50" s="110"/>
      <c r="E50" s="46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45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0" t="b">
        <v>0</v>
      </c>
      <c r="G57" s="32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1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FA30-D5A7-4C34-8CE9-5B8E7D772A70}">
  <dimension ref="B1:Q59"/>
  <sheetViews>
    <sheetView view="pageBreakPreview" zoomScale="85" zoomScaleNormal="60" zoomScaleSheetLayoutView="85" workbookViewId="0">
      <selection activeCell="P10" sqref="P10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48" t="s">
        <v>78</v>
      </c>
      <c r="E10" s="27"/>
      <c r="F10" s="37"/>
      <c r="G10" s="37" t="s">
        <v>99</v>
      </c>
      <c r="H10" s="39" t="s">
        <v>99</v>
      </c>
      <c r="I10" s="39" t="s">
        <v>99</v>
      </c>
      <c r="J10" s="37"/>
      <c r="K10" s="37"/>
      <c r="L10" s="39" t="s">
        <v>99</v>
      </c>
      <c r="M10" s="39" t="s">
        <v>99</v>
      </c>
      <c r="N10" s="37" t="s">
        <v>99</v>
      </c>
      <c r="O10" s="37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70.099999999999994</v>
      </c>
      <c r="H11" s="40">
        <v>77</v>
      </c>
      <c r="I11" s="40">
        <v>74.8</v>
      </c>
      <c r="J11" s="26"/>
      <c r="K11" s="26"/>
      <c r="L11" s="40">
        <v>71.900000000000006</v>
      </c>
      <c r="M11" s="40">
        <v>72.2</v>
      </c>
      <c r="N11" s="26">
        <v>72.900000000000006</v>
      </c>
      <c r="O11" s="26">
        <v>73.5</v>
      </c>
      <c r="P11" s="40"/>
      <c r="Q11" s="40">
        <v>75.599999999999994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0.6</v>
      </c>
      <c r="H12" s="40">
        <v>0.2</v>
      </c>
      <c r="I12" s="40">
        <v>0</v>
      </c>
      <c r="J12" s="26"/>
      <c r="K12" s="26"/>
      <c r="L12" s="40">
        <v>0.1</v>
      </c>
      <c r="M12" s="40">
        <v>0.1</v>
      </c>
      <c r="N12" s="26">
        <v>0</v>
      </c>
      <c r="O12" s="26">
        <v>0</v>
      </c>
      <c r="P12" s="40"/>
      <c r="Q12" s="40">
        <v>0.3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67.099999999999994</v>
      </c>
      <c r="H13" s="40">
        <v>72.099999999999994</v>
      </c>
      <c r="I13" s="40">
        <v>69.599999999999994</v>
      </c>
      <c r="J13" s="26"/>
      <c r="K13" s="26"/>
      <c r="L13" s="40">
        <v>68.2</v>
      </c>
      <c r="M13" s="40">
        <v>67.5</v>
      </c>
      <c r="N13" s="26">
        <v>67.3</v>
      </c>
      <c r="O13" s="26">
        <v>67.8</v>
      </c>
      <c r="P13" s="40"/>
      <c r="Q13" s="40">
        <v>71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64.099999999999994</v>
      </c>
      <c r="H14" s="40">
        <v>70.599999999999994</v>
      </c>
      <c r="I14" s="40">
        <v>67.7</v>
      </c>
      <c r="J14" s="26"/>
      <c r="K14" s="26"/>
      <c r="L14" s="40">
        <v>64.900000000000006</v>
      </c>
      <c r="M14" s="40">
        <v>65.599999999999994</v>
      </c>
      <c r="N14" s="26">
        <v>70.7</v>
      </c>
      <c r="O14" s="26">
        <v>71.7</v>
      </c>
      <c r="P14" s="40"/>
      <c r="Q14" s="40">
        <v>73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55.3</v>
      </c>
      <c r="H15" s="40">
        <v>48.6</v>
      </c>
      <c r="I15" s="40">
        <v>50.1</v>
      </c>
      <c r="J15" s="26"/>
      <c r="K15" s="26"/>
      <c r="L15" s="40">
        <v>42.1</v>
      </c>
      <c r="M15" s="40">
        <v>35.299999999999997</v>
      </c>
      <c r="N15" s="26">
        <v>68.099999999999994</v>
      </c>
      <c r="O15" s="26">
        <v>67.8</v>
      </c>
      <c r="P15" s="40"/>
      <c r="Q15" s="40">
        <v>40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>
        <v>6.6</v>
      </c>
      <c r="I16" s="40">
        <v>6.6</v>
      </c>
      <c r="J16" s="26"/>
      <c r="K16" s="26"/>
      <c r="L16" s="40">
        <v>6.6</v>
      </c>
      <c r="M16" s="40">
        <v>6.6</v>
      </c>
      <c r="N16" s="26">
        <v>6.6</v>
      </c>
      <c r="O16" s="26">
        <v>6.6</v>
      </c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114.9</v>
      </c>
      <c r="H17" s="40">
        <v>117.4</v>
      </c>
      <c r="I17" s="40">
        <v>115.8</v>
      </c>
      <c r="J17" s="26"/>
      <c r="K17" s="26"/>
      <c r="L17" s="40">
        <v>117.9</v>
      </c>
      <c r="M17" s="40">
        <v>118.2</v>
      </c>
      <c r="N17" s="26">
        <v>118.6</v>
      </c>
      <c r="O17" s="26">
        <v>119.1</v>
      </c>
      <c r="P17" s="40"/>
      <c r="Q17" s="40">
        <v>118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1150</v>
      </c>
      <c r="H18" s="40">
        <v>1197</v>
      </c>
      <c r="I18" s="40">
        <v>1179</v>
      </c>
      <c r="J18" s="26"/>
      <c r="K18" s="26"/>
      <c r="L18" s="40">
        <v>1201</v>
      </c>
      <c r="M18" s="40">
        <v>1200</v>
      </c>
      <c r="N18" s="26">
        <v>1201</v>
      </c>
      <c r="O18" s="26">
        <v>1208</v>
      </c>
      <c r="P18" s="40"/>
      <c r="Q18" s="40">
        <v>1199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46060</v>
      </c>
      <c r="H19" s="40"/>
      <c r="I19" s="40">
        <v>46844</v>
      </c>
      <c r="J19" s="26"/>
      <c r="K19" s="26"/>
      <c r="L19" s="40"/>
      <c r="M19" s="40">
        <v>46861</v>
      </c>
      <c r="N19" s="26"/>
      <c r="O19" s="26">
        <v>46128</v>
      </c>
      <c r="P19" s="40"/>
      <c r="Q19" s="40">
        <v>47972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57.8</v>
      </c>
      <c r="H22" s="40">
        <v>59.3</v>
      </c>
      <c r="I22" s="40">
        <v>58.8</v>
      </c>
      <c r="J22" s="26"/>
      <c r="K22" s="26"/>
      <c r="L22" s="40">
        <v>58.1</v>
      </c>
      <c r="M22" s="40">
        <v>57.2</v>
      </c>
      <c r="N22" s="26">
        <v>58.5</v>
      </c>
      <c r="O22" s="26">
        <v>58.9</v>
      </c>
      <c r="P22" s="40"/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0.52</v>
      </c>
      <c r="H23" s="40">
        <v>0.5</v>
      </c>
      <c r="I23" s="40">
        <v>0.5</v>
      </c>
      <c r="J23" s="26"/>
      <c r="K23" s="26"/>
      <c r="L23" s="40">
        <v>0.53</v>
      </c>
      <c r="M23" s="40">
        <v>0.54</v>
      </c>
      <c r="N23" s="26">
        <v>0.48</v>
      </c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45.1</v>
      </c>
      <c r="H25" s="40">
        <v>44.7</v>
      </c>
      <c r="I25" s="40">
        <v>45</v>
      </c>
      <c r="J25" s="26"/>
      <c r="K25" s="26"/>
      <c r="L25" s="40">
        <v>45</v>
      </c>
      <c r="M25" s="40">
        <v>45</v>
      </c>
      <c r="N25" s="26">
        <v>44.8</v>
      </c>
      <c r="O25" s="26">
        <v>44.9</v>
      </c>
      <c r="P25" s="40"/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0.23</v>
      </c>
      <c r="H26" s="40">
        <v>0.22</v>
      </c>
      <c r="I26" s="40">
        <v>0.22</v>
      </c>
      <c r="J26" s="26"/>
      <c r="K26" s="26"/>
      <c r="L26" s="40">
        <v>0.22</v>
      </c>
      <c r="M26" s="40">
        <v>0.23</v>
      </c>
      <c r="N26" s="26">
        <v>0.22</v>
      </c>
      <c r="O26" s="26">
        <v>0.23</v>
      </c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4.5999999999999996</v>
      </c>
      <c r="H27" s="40">
        <v>4.0999999999999996</v>
      </c>
      <c r="I27" s="40">
        <v>4</v>
      </c>
      <c r="J27" s="26"/>
      <c r="K27" s="26"/>
      <c r="L27" s="40">
        <v>4.5</v>
      </c>
      <c r="M27" s="40">
        <v>4.5999999999999996</v>
      </c>
      <c r="N27" s="26">
        <v>4.8</v>
      </c>
      <c r="O27" s="26">
        <v>4.9000000000000004</v>
      </c>
      <c r="P27" s="40"/>
      <c r="Q27" s="40">
        <v>4.4000000000000004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</v>
      </c>
      <c r="H28" s="40">
        <v>3.1</v>
      </c>
      <c r="I28" s="40">
        <v>3.2</v>
      </c>
      <c r="J28" s="26"/>
      <c r="K28" s="26"/>
      <c r="L28" s="40">
        <v>3.4</v>
      </c>
      <c r="M28" s="40">
        <v>3.7</v>
      </c>
      <c r="N28" s="26">
        <v>3.6</v>
      </c>
      <c r="O28" s="26">
        <v>3.5</v>
      </c>
      <c r="P28" s="40"/>
      <c r="Q28" s="40">
        <v>3.8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>G32-G28</f>
        <v>1</v>
      </c>
      <c r="H29" s="41">
        <f t="shared" ref="H29:N29" si="0">H32-H27</f>
        <v>1.3000000000000007</v>
      </c>
      <c r="I29" s="41">
        <f>I32-I28</f>
        <v>3.2</v>
      </c>
      <c r="J29" s="41">
        <f t="shared" si="0"/>
        <v>0</v>
      </c>
      <c r="K29" s="41">
        <f>K32-K27</f>
        <v>0</v>
      </c>
      <c r="L29" s="41">
        <f>L32-L28</f>
        <v>1.6999999999999997</v>
      </c>
      <c r="M29" s="41">
        <f>M32-M28</f>
        <v>1.2999999999999998</v>
      </c>
      <c r="N29" s="41">
        <f t="shared" si="0"/>
        <v>0.10000000000000053</v>
      </c>
      <c r="O29" s="41">
        <f>O32-O28</f>
        <v>1.5</v>
      </c>
      <c r="P29" s="41">
        <f>P32-P28</f>
        <v>0</v>
      </c>
      <c r="Q29" s="41">
        <f>Q32-Q28</f>
        <v>1.6000000000000005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723.44</v>
      </c>
      <c r="H30" s="40">
        <v>669.2</v>
      </c>
      <c r="I30" s="40">
        <v>704.24</v>
      </c>
      <c r="J30" s="26"/>
      <c r="K30" s="26"/>
      <c r="L30" s="40">
        <v>713.6</v>
      </c>
      <c r="M30" s="40">
        <v>721.68</v>
      </c>
      <c r="N30" s="26">
        <v>701.8</v>
      </c>
      <c r="O30" s="26">
        <v>728</v>
      </c>
      <c r="P30" s="40"/>
      <c r="Q30" s="40">
        <v>705.6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13</v>
      </c>
      <c r="H31" s="40">
        <v>12.9</v>
      </c>
      <c r="I31" s="40">
        <v>13.1</v>
      </c>
      <c r="J31" s="26"/>
      <c r="K31" s="26"/>
      <c r="L31" s="40">
        <v>12.9</v>
      </c>
      <c r="M31" s="40">
        <v>13.5</v>
      </c>
      <c r="N31" s="26">
        <v>12.9</v>
      </c>
      <c r="O31" s="26">
        <v>13.2</v>
      </c>
      <c r="P31" s="40"/>
      <c r="Q31" s="40">
        <v>13.3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5</v>
      </c>
      <c r="H32" s="40">
        <v>5.4</v>
      </c>
      <c r="I32" s="40">
        <v>6.4</v>
      </c>
      <c r="J32" s="26"/>
      <c r="K32" s="26"/>
      <c r="L32" s="40">
        <v>5.0999999999999996</v>
      </c>
      <c r="M32" s="40">
        <v>5</v>
      </c>
      <c r="N32" s="26">
        <v>4.9000000000000004</v>
      </c>
      <c r="O32" s="26">
        <v>5</v>
      </c>
      <c r="P32" s="40"/>
      <c r="Q32" s="40">
        <v>5.4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8</v>
      </c>
      <c r="H33" s="41">
        <f t="shared" si="1"/>
        <v>7.5</v>
      </c>
      <c r="I33" s="41">
        <f t="shared" si="1"/>
        <v>6.6999999999999993</v>
      </c>
      <c r="J33" s="41">
        <f t="shared" si="1"/>
        <v>0</v>
      </c>
      <c r="K33" s="41">
        <f t="shared" si="1"/>
        <v>0</v>
      </c>
      <c r="L33" s="41">
        <f t="shared" si="1"/>
        <v>7.8000000000000007</v>
      </c>
      <c r="M33" s="41">
        <f t="shared" si="1"/>
        <v>8.5</v>
      </c>
      <c r="N33" s="41">
        <f t="shared" si="1"/>
        <v>8</v>
      </c>
      <c r="O33" s="41">
        <f t="shared" si="1"/>
        <v>8.1999999999999993</v>
      </c>
      <c r="P33" s="41">
        <f t="shared" si="1"/>
        <v>0</v>
      </c>
      <c r="Q33" s="41">
        <f t="shared" si="1"/>
        <v>7.9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6683.0484988452663</v>
      </c>
      <c r="H34" s="42">
        <f t="shared" si="2"/>
        <v>5795.6120092378751</v>
      </c>
      <c r="I34" s="42">
        <f t="shared" si="2"/>
        <v>5448.5080831408768</v>
      </c>
      <c r="J34" s="42">
        <f t="shared" si="2"/>
        <v>0</v>
      </c>
      <c r="K34" s="42">
        <f t="shared" si="2"/>
        <v>0</v>
      </c>
      <c r="L34" s="42">
        <f t="shared" si="2"/>
        <v>6427.3441108545048</v>
      </c>
      <c r="M34" s="42">
        <f t="shared" si="2"/>
        <v>7083.4642032332558</v>
      </c>
      <c r="N34" s="42">
        <f t="shared" si="2"/>
        <v>6483.1408775981517</v>
      </c>
      <c r="O34" s="42">
        <f t="shared" si="2"/>
        <v>6893.3025404157042</v>
      </c>
      <c r="P34" s="42">
        <f t="shared" si="2"/>
        <v>0</v>
      </c>
      <c r="Q34" s="42">
        <f t="shared" si="2"/>
        <v>6436.7667436489619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0.82</v>
      </c>
      <c r="H35" s="40">
        <v>0.86</v>
      </c>
      <c r="I35" s="40">
        <v>0.86</v>
      </c>
      <c r="J35" s="26"/>
      <c r="K35" s="26"/>
      <c r="L35" s="40">
        <v>0.85</v>
      </c>
      <c r="M35" s="40">
        <v>0.85</v>
      </c>
      <c r="N35" s="26">
        <v>0.81</v>
      </c>
      <c r="O35" s="26">
        <v>0.81</v>
      </c>
      <c r="P35" s="40"/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36.1</v>
      </c>
      <c r="H36" s="40">
        <v>37.4</v>
      </c>
      <c r="I36" s="40">
        <v>37.1</v>
      </c>
      <c r="J36" s="26"/>
      <c r="K36" s="26"/>
      <c r="L36" s="40">
        <v>38</v>
      </c>
      <c r="M36" s="40">
        <v>37.5</v>
      </c>
      <c r="N36" s="26">
        <v>36.799999999999997</v>
      </c>
      <c r="O36" s="26">
        <v>36.9</v>
      </c>
      <c r="P36" s="40"/>
      <c r="Q36" s="40">
        <v>36.5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36.4</v>
      </c>
      <c r="H37" s="40">
        <v>38.200000000000003</v>
      </c>
      <c r="I37" s="40">
        <v>38</v>
      </c>
      <c r="J37" s="26"/>
      <c r="K37" s="26"/>
      <c r="L37" s="40">
        <v>37.6</v>
      </c>
      <c r="M37" s="40">
        <v>37.6</v>
      </c>
      <c r="N37" s="26">
        <v>37.5</v>
      </c>
      <c r="O37" s="26">
        <v>37.299999999999997</v>
      </c>
      <c r="P37" s="40"/>
      <c r="Q37" s="40">
        <v>36.6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2.1999999999999957</v>
      </c>
      <c r="H38" s="41">
        <f t="shared" si="3"/>
        <v>4.3000000000000043</v>
      </c>
      <c r="I38" s="41">
        <f t="shared" si="3"/>
        <v>4.2999999999999972</v>
      </c>
      <c r="J38" s="41">
        <f t="shared" si="3"/>
        <v>0</v>
      </c>
      <c r="K38" s="41">
        <f t="shared" si="3"/>
        <v>0</v>
      </c>
      <c r="L38" s="41">
        <f t="shared" si="3"/>
        <v>3.6000000000000014</v>
      </c>
      <c r="M38" s="41">
        <f t="shared" si="3"/>
        <v>3.3999999999999986</v>
      </c>
      <c r="N38" s="41">
        <f t="shared" si="3"/>
        <v>3.3999999999999986</v>
      </c>
      <c r="O38" s="41">
        <f t="shared" si="3"/>
        <v>2.3999999999999986</v>
      </c>
      <c r="P38" s="41">
        <f t="shared" si="3"/>
        <v>0</v>
      </c>
      <c r="Q38" s="41">
        <f t="shared" si="3"/>
        <v>0.10000000000000142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28.7</v>
      </c>
      <c r="H40" s="40">
        <v>28</v>
      </c>
      <c r="I40" s="40">
        <v>29</v>
      </c>
      <c r="J40" s="26"/>
      <c r="K40" s="26"/>
      <c r="L40" s="40">
        <v>28.1</v>
      </c>
      <c r="M40" s="40">
        <v>28.7</v>
      </c>
      <c r="N40" s="26">
        <v>27.9</v>
      </c>
      <c r="O40" s="26">
        <v>28.7</v>
      </c>
      <c r="P40" s="40"/>
      <c r="Q40" s="40">
        <v>28.6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34.200000000000003</v>
      </c>
      <c r="H41" s="40">
        <v>33.9</v>
      </c>
      <c r="I41" s="40">
        <v>33.700000000000003</v>
      </c>
      <c r="J41" s="26"/>
      <c r="K41" s="26"/>
      <c r="L41" s="40">
        <v>34</v>
      </c>
      <c r="M41" s="40">
        <v>34.200000000000003</v>
      </c>
      <c r="N41" s="26">
        <v>34.1</v>
      </c>
      <c r="O41" s="26">
        <v>34.9</v>
      </c>
      <c r="P41" s="40"/>
      <c r="Q41" s="40">
        <v>36.5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5.5000000000000036</v>
      </c>
      <c r="H42" s="41">
        <f t="shared" si="4"/>
        <v>5.8999999999999986</v>
      </c>
      <c r="I42" s="41">
        <f t="shared" si="4"/>
        <v>4.7000000000000028</v>
      </c>
      <c r="J42" s="41">
        <f t="shared" si="4"/>
        <v>0</v>
      </c>
      <c r="K42" s="41">
        <f t="shared" si="4"/>
        <v>0</v>
      </c>
      <c r="L42" s="41">
        <f t="shared" si="4"/>
        <v>5.8999999999999986</v>
      </c>
      <c r="M42" s="41">
        <f t="shared" si="4"/>
        <v>5.5000000000000036</v>
      </c>
      <c r="N42" s="41">
        <f t="shared" si="4"/>
        <v>6.2000000000000028</v>
      </c>
      <c r="O42" s="41">
        <f t="shared" si="4"/>
        <v>6.1999999999999993</v>
      </c>
      <c r="P42" s="41">
        <f t="shared" si="4"/>
        <v>0</v>
      </c>
      <c r="Q42" s="41">
        <f t="shared" si="4"/>
        <v>7.8999999999999986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1265</v>
      </c>
      <c r="H43" s="40">
        <v>1249.9000000000001</v>
      </c>
      <c r="I43" s="40">
        <v>1300.5999999999999</v>
      </c>
      <c r="J43" s="26"/>
      <c r="K43" s="26"/>
      <c r="L43" s="40">
        <v>1221.0999999999999</v>
      </c>
      <c r="M43" s="26">
        <v>1243.06</v>
      </c>
      <c r="N43" s="26">
        <v>1101.2</v>
      </c>
      <c r="O43" s="26">
        <v>1087.24</v>
      </c>
      <c r="P43" s="40"/>
      <c r="Q43" s="40">
        <v>1263.6400000000001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8034.0646651270263</v>
      </c>
      <c r="H44" s="42">
        <f t="shared" si="5"/>
        <v>8515.4849884526539</v>
      </c>
      <c r="I44" s="42">
        <f t="shared" si="5"/>
        <v>7058.6836027713662</v>
      </c>
      <c r="J44" s="42">
        <f t="shared" si="5"/>
        <v>0</v>
      </c>
      <c r="K44" s="42">
        <f t="shared" si="5"/>
        <v>0</v>
      </c>
      <c r="L44" s="42">
        <f t="shared" si="5"/>
        <v>8319.2725173210147</v>
      </c>
      <c r="M44" s="42">
        <f t="shared" si="5"/>
        <v>7894.7228637413446</v>
      </c>
      <c r="N44" s="42">
        <f t="shared" si="5"/>
        <v>7883.8799076212508</v>
      </c>
      <c r="O44" s="42">
        <f t="shared" si="5"/>
        <v>7783.9353348729783</v>
      </c>
      <c r="P44" s="42">
        <f t="shared" si="5"/>
        <v>0</v>
      </c>
      <c r="Q44" s="42">
        <f t="shared" si="5"/>
        <v>11527.431870669745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0.46</v>
      </c>
      <c r="H45" s="40">
        <v>0.47</v>
      </c>
      <c r="I45" s="40">
        <v>0.47</v>
      </c>
      <c r="J45" s="26"/>
      <c r="K45" s="26"/>
      <c r="L45" s="40">
        <v>0.48</v>
      </c>
      <c r="M45" s="40">
        <v>0.48</v>
      </c>
      <c r="N45" s="26">
        <v>0.47</v>
      </c>
      <c r="O45" s="26">
        <v>0.47</v>
      </c>
      <c r="P45" s="40"/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19.8</v>
      </c>
      <c r="H46" s="40">
        <v>20.3</v>
      </c>
      <c r="I46" s="40">
        <v>20.2</v>
      </c>
      <c r="J46" s="26"/>
      <c r="K46" s="26"/>
      <c r="L46" s="40">
        <v>19.899999999999999</v>
      </c>
      <c r="M46" s="40">
        <v>20</v>
      </c>
      <c r="N46" s="26">
        <v>19.899999999999999</v>
      </c>
      <c r="O46" s="26">
        <v>20.399999999999999</v>
      </c>
      <c r="P46" s="40"/>
      <c r="Q46" s="40">
        <v>20.2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187.8</v>
      </c>
      <c r="H47" s="40">
        <v>124.7</v>
      </c>
      <c r="I47" s="40">
        <v>128.80000000000001</v>
      </c>
      <c r="J47" s="26"/>
      <c r="K47" s="26"/>
      <c r="L47" s="40">
        <v>211.1</v>
      </c>
      <c r="M47" s="40">
        <v>201</v>
      </c>
      <c r="N47" s="26">
        <v>149.9</v>
      </c>
      <c r="O47" s="26">
        <v>159.80000000000001</v>
      </c>
      <c r="P47" s="40"/>
      <c r="Q47" s="40">
        <v>198.7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48">
        <v>5.89</v>
      </c>
      <c r="F49" s="26"/>
      <c r="G49" s="26">
        <v>5.52</v>
      </c>
      <c r="H49" s="40">
        <v>5.1100000000000003</v>
      </c>
      <c r="I49" s="40">
        <v>5.12</v>
      </c>
      <c r="J49" s="26"/>
      <c r="K49" s="26"/>
      <c r="L49" s="40">
        <v>5.05</v>
      </c>
      <c r="M49" s="40">
        <v>5</v>
      </c>
      <c r="N49" s="26">
        <v>4.8600000000000003</v>
      </c>
      <c r="O49" s="26">
        <v>4.9800000000000004</v>
      </c>
      <c r="P49" s="40"/>
      <c r="Q49" s="40">
        <v>4.82</v>
      </c>
    </row>
    <row r="50" spans="2:17" ht="20.100000000000001" customHeight="1" x14ac:dyDescent="0.25">
      <c r="B50" s="110" t="s">
        <v>51</v>
      </c>
      <c r="C50" s="110"/>
      <c r="D50" s="110"/>
      <c r="E50" s="48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47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56F2-B686-43BF-A02B-B0514617F51A}">
  <dimension ref="B1:Q59"/>
  <sheetViews>
    <sheetView view="pageBreakPreview" zoomScale="85" zoomScaleNormal="60" zoomScaleSheetLayoutView="85" workbookViewId="0">
      <selection activeCell="E38" sqref="E38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50" t="s">
        <v>78</v>
      </c>
      <c r="E10" s="27"/>
      <c r="F10" s="37" t="s">
        <v>99</v>
      </c>
      <c r="G10" s="37" t="s">
        <v>99</v>
      </c>
      <c r="H10" s="39"/>
      <c r="I10" s="39" t="s">
        <v>99</v>
      </c>
      <c r="J10" s="37"/>
      <c r="K10" s="37"/>
      <c r="L10" s="39"/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73.900000000000006</v>
      </c>
      <c r="G11" s="26">
        <v>70.8</v>
      </c>
      <c r="H11" s="40"/>
      <c r="I11" s="40">
        <v>80.400000000000006</v>
      </c>
      <c r="J11" s="26"/>
      <c r="K11" s="26"/>
      <c r="L11" s="40"/>
      <c r="M11" s="40">
        <v>73.5</v>
      </c>
      <c r="N11" s="26">
        <v>77</v>
      </c>
      <c r="O11" s="26">
        <v>70.900000000000006</v>
      </c>
      <c r="P11" s="40">
        <v>80.099999999999994</v>
      </c>
      <c r="Q11" s="40">
        <v>74.5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0.3</v>
      </c>
      <c r="G12" s="26">
        <v>0.3</v>
      </c>
      <c r="H12" s="40"/>
      <c r="I12" s="40">
        <v>0.1</v>
      </c>
      <c r="J12" s="26"/>
      <c r="K12" s="26"/>
      <c r="L12" s="40"/>
      <c r="M12" s="40">
        <v>0.2</v>
      </c>
      <c r="N12" s="26">
        <v>0</v>
      </c>
      <c r="O12" s="26">
        <v>0</v>
      </c>
      <c r="P12" s="40">
        <v>0.2</v>
      </c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68.3</v>
      </c>
      <c r="G13" s="26">
        <v>65.400000000000006</v>
      </c>
      <c r="H13" s="40"/>
      <c r="I13" s="40">
        <v>76.2</v>
      </c>
      <c r="J13" s="26"/>
      <c r="K13" s="26"/>
      <c r="L13" s="40"/>
      <c r="M13" s="40">
        <v>67.7</v>
      </c>
      <c r="N13" s="26">
        <v>72.7</v>
      </c>
      <c r="O13" s="26">
        <v>64.400000000000006</v>
      </c>
      <c r="P13" s="40">
        <v>76.599999999999994</v>
      </c>
      <c r="Q13" s="40">
        <v>69.8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66</v>
      </c>
      <c r="G14" s="26">
        <v>66.2</v>
      </c>
      <c r="H14" s="40"/>
      <c r="I14" s="40">
        <v>67.900000000000006</v>
      </c>
      <c r="J14" s="26"/>
      <c r="K14" s="26"/>
      <c r="L14" s="40"/>
      <c r="M14" s="40">
        <v>68.3</v>
      </c>
      <c r="N14" s="26">
        <v>72.3</v>
      </c>
      <c r="O14" s="26">
        <v>72.2</v>
      </c>
      <c r="P14" s="40">
        <v>73.400000000000006</v>
      </c>
      <c r="Q14" s="40">
        <v>74.099999999999994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80</v>
      </c>
      <c r="G15" s="26">
        <v>70</v>
      </c>
      <c r="H15" s="40"/>
      <c r="I15" s="40">
        <v>50.3</v>
      </c>
      <c r="J15" s="26"/>
      <c r="K15" s="26"/>
      <c r="L15" s="40"/>
      <c r="M15" s="40">
        <v>33.299999999999997</v>
      </c>
      <c r="N15" s="26">
        <v>56.2</v>
      </c>
      <c r="O15" s="26">
        <v>64.400000000000006</v>
      </c>
      <c r="P15" s="40">
        <v>48.1</v>
      </c>
      <c r="Q15" s="40">
        <v>41.1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/>
      <c r="I16" s="40">
        <v>6.6</v>
      </c>
      <c r="J16" s="26"/>
      <c r="K16" s="26"/>
      <c r="L16" s="40"/>
      <c r="M16" s="40">
        <v>6.6</v>
      </c>
      <c r="N16" s="26">
        <v>6.6</v>
      </c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116.9</v>
      </c>
      <c r="G17" s="26">
        <v>119.1</v>
      </c>
      <c r="H17" s="40"/>
      <c r="I17" s="40">
        <v>121</v>
      </c>
      <c r="J17" s="26"/>
      <c r="K17" s="26"/>
      <c r="L17" s="40"/>
      <c r="M17" s="40">
        <v>120.2</v>
      </c>
      <c r="N17" s="26">
        <v>118.6</v>
      </c>
      <c r="O17" s="26">
        <v>119.4</v>
      </c>
      <c r="P17" s="40">
        <v>118</v>
      </c>
      <c r="Q17" s="40">
        <v>119.8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1151</v>
      </c>
      <c r="G18" s="26">
        <v>1171</v>
      </c>
      <c r="H18" s="40"/>
      <c r="I18" s="40">
        <v>1219</v>
      </c>
      <c r="J18" s="26"/>
      <c r="K18" s="26"/>
      <c r="L18" s="40"/>
      <c r="M18" s="40">
        <v>1219</v>
      </c>
      <c r="N18" s="26">
        <v>1215</v>
      </c>
      <c r="O18" s="26">
        <v>1205</v>
      </c>
      <c r="P18" s="40">
        <v>1205</v>
      </c>
      <c r="Q18" s="40">
        <v>1208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46143.199999999997</v>
      </c>
      <c r="G19" s="26">
        <v>46134.8</v>
      </c>
      <c r="H19" s="40"/>
      <c r="I19" s="40">
        <v>46933.599999999999</v>
      </c>
      <c r="J19" s="26"/>
      <c r="K19" s="26"/>
      <c r="L19" s="40"/>
      <c r="M19" s="40">
        <v>46951.5</v>
      </c>
      <c r="N19" s="26">
        <v>46232</v>
      </c>
      <c r="O19" s="26">
        <v>46223.1</v>
      </c>
      <c r="P19" s="40">
        <v>48064.7</v>
      </c>
      <c r="Q19" s="40">
        <v>48055.8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58.5</v>
      </c>
      <c r="G22" s="26">
        <v>58.2</v>
      </c>
      <c r="H22" s="40"/>
      <c r="I22" s="40">
        <v>59.4</v>
      </c>
      <c r="J22" s="26"/>
      <c r="K22" s="26"/>
      <c r="L22" s="40"/>
      <c r="M22" s="40">
        <v>57.4</v>
      </c>
      <c r="N22" s="26">
        <v>58.5</v>
      </c>
      <c r="O22" s="26">
        <v>58.9</v>
      </c>
      <c r="P22" s="40">
        <v>59.1</v>
      </c>
      <c r="Q22" s="40">
        <v>59.5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0.52</v>
      </c>
      <c r="G23" s="26">
        <v>0.53</v>
      </c>
      <c r="H23" s="40"/>
      <c r="I23" s="40">
        <v>0.51</v>
      </c>
      <c r="J23" s="26"/>
      <c r="K23" s="26"/>
      <c r="L23" s="40"/>
      <c r="M23" s="40">
        <v>0.54</v>
      </c>
      <c r="N23" s="26">
        <v>0.48</v>
      </c>
      <c r="O23" s="26">
        <v>0.48</v>
      </c>
      <c r="P23" s="40">
        <v>0.47</v>
      </c>
      <c r="Q23" s="40">
        <v>0.49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44.9</v>
      </c>
      <c r="G25" s="26">
        <v>44.9</v>
      </c>
      <c r="H25" s="40"/>
      <c r="I25" s="40">
        <v>45.1</v>
      </c>
      <c r="J25" s="26"/>
      <c r="K25" s="26"/>
      <c r="L25" s="40"/>
      <c r="M25" s="40">
        <v>45</v>
      </c>
      <c r="N25" s="26">
        <v>44.9</v>
      </c>
      <c r="O25" s="26">
        <v>44.9</v>
      </c>
      <c r="P25" s="40">
        <v>45</v>
      </c>
      <c r="Q25" s="40">
        <v>44.9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0.23</v>
      </c>
      <c r="G26" s="26">
        <v>0.24</v>
      </c>
      <c r="H26" s="40"/>
      <c r="I26" s="40">
        <v>0.22</v>
      </c>
      <c r="J26" s="26"/>
      <c r="K26" s="26"/>
      <c r="L26" s="40"/>
      <c r="M26" s="40">
        <v>0.23</v>
      </c>
      <c r="N26" s="26">
        <v>0.23</v>
      </c>
      <c r="O26" s="26">
        <v>0.24</v>
      </c>
      <c r="P26" s="40">
        <v>0.22</v>
      </c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4.3</v>
      </c>
      <c r="G27" s="26">
        <v>4.7</v>
      </c>
      <c r="H27" s="40"/>
      <c r="I27" s="40">
        <v>3.7</v>
      </c>
      <c r="J27" s="26"/>
      <c r="K27" s="26"/>
      <c r="L27" s="40"/>
      <c r="M27" s="40">
        <v>5</v>
      </c>
      <c r="N27" s="26">
        <v>4.5999999999999996</v>
      </c>
      <c r="O27" s="26">
        <v>5.4</v>
      </c>
      <c r="P27" s="40">
        <v>4</v>
      </c>
      <c r="Q27" s="40">
        <v>4.9000000000000004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3.6</v>
      </c>
      <c r="G28" s="26">
        <v>4.4000000000000004</v>
      </c>
      <c r="H28" s="40"/>
      <c r="I28" s="40">
        <v>2.9</v>
      </c>
      <c r="J28" s="26"/>
      <c r="K28" s="26"/>
      <c r="L28" s="40"/>
      <c r="M28" s="40">
        <v>3.9</v>
      </c>
      <c r="N28" s="26">
        <v>3.6</v>
      </c>
      <c r="O28" s="26">
        <v>4</v>
      </c>
      <c r="P28" s="40">
        <v>3.7</v>
      </c>
      <c r="Q28" s="40">
        <v>4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1.1999999999999997</v>
      </c>
      <c r="G29" s="41">
        <f>G32-G28</f>
        <v>0.89999999999999947</v>
      </c>
      <c r="H29" s="41">
        <f t="shared" ref="H29:N29" si="0">H32-H27</f>
        <v>0</v>
      </c>
      <c r="I29" s="41">
        <f>I32-I28</f>
        <v>2.4</v>
      </c>
      <c r="J29" s="41">
        <f t="shared" si="0"/>
        <v>0</v>
      </c>
      <c r="K29" s="41">
        <f>K32-K27</f>
        <v>0</v>
      </c>
      <c r="L29" s="41">
        <f>L32-L28</f>
        <v>0</v>
      </c>
      <c r="M29" s="41">
        <f>M32-M28</f>
        <v>1.4</v>
      </c>
      <c r="N29" s="41">
        <f t="shared" si="0"/>
        <v>0.30000000000000071</v>
      </c>
      <c r="O29" s="41">
        <f>O32-O28</f>
        <v>1.5999999999999996</v>
      </c>
      <c r="P29" s="41">
        <f>P32-P28</f>
        <v>1.2999999999999998</v>
      </c>
      <c r="Q29" s="41">
        <f>Q32-Q28</f>
        <v>1.7000000000000002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745.7</v>
      </c>
      <c r="G30" s="26">
        <v>731</v>
      </c>
      <c r="H30" s="40"/>
      <c r="I30" s="40">
        <v>705.7</v>
      </c>
      <c r="J30" s="26"/>
      <c r="K30" s="26"/>
      <c r="L30" s="40"/>
      <c r="M30" s="40">
        <v>714.7</v>
      </c>
      <c r="N30" s="26">
        <v>759.7</v>
      </c>
      <c r="O30" s="26">
        <v>740.8</v>
      </c>
      <c r="P30" s="40">
        <v>732.1</v>
      </c>
      <c r="Q30" s="40">
        <v>705.4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12.9</v>
      </c>
      <c r="G31" s="26">
        <v>13.5</v>
      </c>
      <c r="H31" s="40"/>
      <c r="I31" s="40">
        <v>13.6</v>
      </c>
      <c r="J31" s="26"/>
      <c r="K31" s="26"/>
      <c r="L31" s="40"/>
      <c r="M31" s="40">
        <v>13.5</v>
      </c>
      <c r="N31" s="26">
        <v>13</v>
      </c>
      <c r="O31" s="26">
        <v>13.6</v>
      </c>
      <c r="P31" s="40">
        <v>13.1</v>
      </c>
      <c r="Q31" s="40">
        <v>13.6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4.8</v>
      </c>
      <c r="G32" s="26">
        <v>5.3</v>
      </c>
      <c r="H32" s="40"/>
      <c r="I32" s="40">
        <v>5.3</v>
      </c>
      <c r="J32" s="26"/>
      <c r="K32" s="26"/>
      <c r="L32" s="40"/>
      <c r="M32" s="40">
        <v>5.3</v>
      </c>
      <c r="N32" s="26">
        <v>4.9000000000000004</v>
      </c>
      <c r="O32" s="26">
        <v>5.6</v>
      </c>
      <c r="P32" s="40">
        <v>5</v>
      </c>
      <c r="Q32" s="40">
        <v>5.7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8.1000000000000014</v>
      </c>
      <c r="G33" s="41">
        <f t="shared" ref="G33:Q33" si="1">G31-G32</f>
        <v>8.1999999999999993</v>
      </c>
      <c r="H33" s="41">
        <f t="shared" si="1"/>
        <v>0</v>
      </c>
      <c r="I33" s="41">
        <f t="shared" si="1"/>
        <v>8.3000000000000007</v>
      </c>
      <c r="J33" s="41">
        <f t="shared" si="1"/>
        <v>0</v>
      </c>
      <c r="K33" s="41">
        <f t="shared" si="1"/>
        <v>0</v>
      </c>
      <c r="L33" s="41">
        <f t="shared" si="1"/>
        <v>0</v>
      </c>
      <c r="M33" s="41">
        <f t="shared" si="1"/>
        <v>8.1999999999999993</v>
      </c>
      <c r="N33" s="41">
        <f t="shared" si="1"/>
        <v>8.1</v>
      </c>
      <c r="O33" s="41">
        <f t="shared" si="1"/>
        <v>8</v>
      </c>
      <c r="P33" s="41">
        <f t="shared" si="1"/>
        <v>8.1</v>
      </c>
      <c r="Q33" s="41">
        <f t="shared" si="1"/>
        <v>7.8999999999999995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6974.7921478060061</v>
      </c>
      <c r="G34" s="42">
        <f t="shared" ref="G34:Q34" si="2">(G33*G30)/0.866</f>
        <v>6921.7090069284059</v>
      </c>
      <c r="H34" s="42">
        <f t="shared" si="2"/>
        <v>0</v>
      </c>
      <c r="I34" s="42">
        <f t="shared" si="2"/>
        <v>6763.6374133949212</v>
      </c>
      <c r="J34" s="42">
        <f t="shared" si="2"/>
        <v>0</v>
      </c>
      <c r="K34" s="42">
        <f t="shared" si="2"/>
        <v>0</v>
      </c>
      <c r="L34" s="42">
        <f t="shared" si="2"/>
        <v>0</v>
      </c>
      <c r="M34" s="42">
        <f t="shared" si="2"/>
        <v>6767.3672055427251</v>
      </c>
      <c r="N34" s="42">
        <f t="shared" si="2"/>
        <v>7105.7390300230945</v>
      </c>
      <c r="O34" s="42">
        <f t="shared" si="2"/>
        <v>6843.4180138568126</v>
      </c>
      <c r="P34" s="42">
        <f t="shared" si="2"/>
        <v>6847.5866050808318</v>
      </c>
      <c r="Q34" s="42">
        <f t="shared" si="2"/>
        <v>6434.9422632794458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</v>
      </c>
      <c r="G35" s="26">
        <v>0.83</v>
      </c>
      <c r="H35" s="40"/>
      <c r="I35" s="40">
        <v>0.87</v>
      </c>
      <c r="J35" s="26"/>
      <c r="K35" s="26"/>
      <c r="L35" s="40"/>
      <c r="M35" s="40">
        <v>0.85</v>
      </c>
      <c r="N35" s="26">
        <v>0.8</v>
      </c>
      <c r="O35" s="26">
        <v>0.81</v>
      </c>
      <c r="P35" s="40">
        <v>0.82</v>
      </c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34.200000000000003</v>
      </c>
      <c r="G36" s="26">
        <v>36.799999999999997</v>
      </c>
      <c r="H36" s="40"/>
      <c r="I36" s="40">
        <v>37.6</v>
      </c>
      <c r="J36" s="26"/>
      <c r="K36" s="26"/>
      <c r="L36" s="40"/>
      <c r="M36" s="40">
        <v>38.299999999999997</v>
      </c>
      <c r="N36" s="26">
        <v>35.1</v>
      </c>
      <c r="O36" s="26">
        <v>37.299999999999997</v>
      </c>
      <c r="P36" s="40">
        <v>34.700000000000003</v>
      </c>
      <c r="Q36" s="40">
        <v>37.1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34.5</v>
      </c>
      <c r="G37" s="26">
        <v>37.1</v>
      </c>
      <c r="H37" s="40"/>
      <c r="I37" s="40">
        <v>38.6</v>
      </c>
      <c r="J37" s="26"/>
      <c r="K37" s="26"/>
      <c r="L37" s="40"/>
      <c r="M37" s="40">
        <v>38.200000000000003</v>
      </c>
      <c r="N37" s="26">
        <v>35.6</v>
      </c>
      <c r="O37" s="26">
        <v>37.700000000000003</v>
      </c>
      <c r="P37" s="40">
        <v>34.9</v>
      </c>
      <c r="Q37" s="40">
        <v>37.1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</v>
      </c>
      <c r="G38" s="41">
        <f t="shared" ref="G38:Q38" si="3">G37-G41</f>
        <v>2.1000000000000014</v>
      </c>
      <c r="H38" s="41">
        <f t="shared" si="3"/>
        <v>0</v>
      </c>
      <c r="I38" s="41">
        <f t="shared" si="3"/>
        <v>4.3999999999999986</v>
      </c>
      <c r="J38" s="41">
        <f t="shared" si="3"/>
        <v>0</v>
      </c>
      <c r="K38" s="41">
        <f t="shared" si="3"/>
        <v>0</v>
      </c>
      <c r="L38" s="41">
        <f t="shared" si="3"/>
        <v>0</v>
      </c>
      <c r="M38" s="41">
        <f t="shared" si="3"/>
        <v>3.4000000000000057</v>
      </c>
      <c r="N38" s="41">
        <f t="shared" si="3"/>
        <v>2.5</v>
      </c>
      <c r="O38" s="41">
        <f t="shared" si="3"/>
        <v>2.3000000000000043</v>
      </c>
      <c r="P38" s="41">
        <f t="shared" si="3"/>
        <v>2.2999999999999972</v>
      </c>
      <c r="Q38" s="41">
        <f t="shared" si="3"/>
        <v>2.2000000000000028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26.7</v>
      </c>
      <c r="G40" s="26">
        <v>29.4</v>
      </c>
      <c r="H40" s="40"/>
      <c r="I40" s="40">
        <v>29.4</v>
      </c>
      <c r="J40" s="26"/>
      <c r="K40" s="26"/>
      <c r="L40" s="40"/>
      <c r="M40" s="40">
        <v>29.2</v>
      </c>
      <c r="N40" s="26">
        <v>26.8</v>
      </c>
      <c r="O40" s="26">
        <v>29.1</v>
      </c>
      <c r="P40" s="40">
        <v>26.8</v>
      </c>
      <c r="Q40" s="40">
        <v>29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32.5</v>
      </c>
      <c r="G41" s="26">
        <v>35</v>
      </c>
      <c r="H41" s="40"/>
      <c r="I41" s="40">
        <v>34.200000000000003</v>
      </c>
      <c r="J41" s="26"/>
      <c r="K41" s="26"/>
      <c r="L41" s="40"/>
      <c r="M41" s="40">
        <v>34.799999999999997</v>
      </c>
      <c r="N41" s="26">
        <v>33.1</v>
      </c>
      <c r="O41" s="26">
        <v>35.4</v>
      </c>
      <c r="P41" s="40">
        <v>32.6</v>
      </c>
      <c r="Q41" s="40">
        <v>34.9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5.8000000000000007</v>
      </c>
      <c r="G42" s="41">
        <f t="shared" ref="G42:Q42" si="4">G41-G40</f>
        <v>5.6000000000000014</v>
      </c>
      <c r="H42" s="41">
        <f t="shared" si="4"/>
        <v>0</v>
      </c>
      <c r="I42" s="41">
        <f t="shared" si="4"/>
        <v>4.8000000000000043</v>
      </c>
      <c r="J42" s="41">
        <f t="shared" si="4"/>
        <v>0</v>
      </c>
      <c r="K42" s="41">
        <f t="shared" si="4"/>
        <v>0</v>
      </c>
      <c r="L42" s="41">
        <f t="shared" si="4"/>
        <v>0</v>
      </c>
      <c r="M42" s="41">
        <f t="shared" si="4"/>
        <v>5.5999999999999979</v>
      </c>
      <c r="N42" s="41">
        <f t="shared" si="4"/>
        <v>6.3000000000000007</v>
      </c>
      <c r="O42" s="41">
        <f t="shared" si="4"/>
        <v>6.2999999999999972</v>
      </c>
      <c r="P42" s="41">
        <f t="shared" si="4"/>
        <v>5.8000000000000007</v>
      </c>
      <c r="Q42" s="41">
        <f t="shared" si="4"/>
        <v>5.8999999999999986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1293.8</v>
      </c>
      <c r="G43" s="26">
        <v>1265.5</v>
      </c>
      <c r="H43" s="40"/>
      <c r="I43" s="40">
        <v>1306.4000000000001</v>
      </c>
      <c r="J43" s="26"/>
      <c r="K43" s="26"/>
      <c r="L43" s="40"/>
      <c r="M43" s="26">
        <v>1246.3</v>
      </c>
      <c r="N43" s="26">
        <v>1114.5</v>
      </c>
      <c r="O43" s="26">
        <v>1081.0999999999999</v>
      </c>
      <c r="P43" s="40">
        <v>1296.2</v>
      </c>
      <c r="Q43" s="40">
        <v>1265.5999999999999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8665.1732101616635</v>
      </c>
      <c r="G44" s="42">
        <f t="shared" ref="G44:Q44" si="5">G42*G43/0.866</f>
        <v>8183.3718244803722</v>
      </c>
      <c r="H44" s="42">
        <f t="shared" si="5"/>
        <v>0</v>
      </c>
      <c r="I44" s="42">
        <f t="shared" si="5"/>
        <v>7241.0161662817618</v>
      </c>
      <c r="J44" s="42">
        <f t="shared" si="5"/>
        <v>0</v>
      </c>
      <c r="K44" s="42">
        <f t="shared" si="5"/>
        <v>0</v>
      </c>
      <c r="L44" s="42">
        <f t="shared" si="5"/>
        <v>0</v>
      </c>
      <c r="M44" s="42">
        <f t="shared" si="5"/>
        <v>8059.2147806004587</v>
      </c>
      <c r="N44" s="42">
        <f t="shared" si="5"/>
        <v>8107.7944572748274</v>
      </c>
      <c r="O44" s="42">
        <f t="shared" si="5"/>
        <v>7864.8152424942227</v>
      </c>
      <c r="P44" s="42">
        <f t="shared" si="5"/>
        <v>8681.2471131639741</v>
      </c>
      <c r="Q44" s="42">
        <f t="shared" si="5"/>
        <v>8622.4480369514986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0.44</v>
      </c>
      <c r="G45" s="26">
        <v>0.48</v>
      </c>
      <c r="H45" s="40"/>
      <c r="I45" s="40">
        <v>0.47</v>
      </c>
      <c r="J45" s="26"/>
      <c r="K45" s="26"/>
      <c r="L45" s="40"/>
      <c r="M45" s="40">
        <v>0.49</v>
      </c>
      <c r="N45" s="26">
        <v>0.45</v>
      </c>
      <c r="O45" s="26">
        <v>0.49</v>
      </c>
      <c r="P45" s="40">
        <v>0.45</v>
      </c>
      <c r="Q45" s="40">
        <v>0.48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18.5</v>
      </c>
      <c r="G46" s="26">
        <v>20.5</v>
      </c>
      <c r="H46" s="40"/>
      <c r="I46" s="40">
        <v>20.2</v>
      </c>
      <c r="J46" s="26"/>
      <c r="K46" s="26"/>
      <c r="L46" s="40"/>
      <c r="M46" s="40">
        <v>21.2</v>
      </c>
      <c r="N46" s="26">
        <v>19.600000000000001</v>
      </c>
      <c r="O46" s="26">
        <v>21.1</v>
      </c>
      <c r="P46" s="40">
        <v>18.899999999999999</v>
      </c>
      <c r="Q46" s="40">
        <v>20.9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165.3</v>
      </c>
      <c r="G47" s="26">
        <v>223.5</v>
      </c>
      <c r="H47" s="40"/>
      <c r="I47" s="40">
        <v>128.80000000000001</v>
      </c>
      <c r="J47" s="26"/>
      <c r="K47" s="26"/>
      <c r="L47" s="40"/>
      <c r="M47" s="40">
        <v>211.2</v>
      </c>
      <c r="N47" s="26">
        <v>154.30000000000001</v>
      </c>
      <c r="O47" s="26">
        <v>162.6</v>
      </c>
      <c r="P47" s="40">
        <v>197.8</v>
      </c>
      <c r="Q47" s="40">
        <v>202.2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50">
        <v>5.89</v>
      </c>
      <c r="F49" s="26">
        <v>5.19</v>
      </c>
      <c r="G49" s="26">
        <v>5.07</v>
      </c>
      <c r="H49" s="40"/>
      <c r="I49" s="40">
        <v>4.9400000000000004</v>
      </c>
      <c r="J49" s="26"/>
      <c r="K49" s="26"/>
      <c r="L49" s="40"/>
      <c r="M49" s="40">
        <v>5.0599999999999996</v>
      </c>
      <c r="N49" s="26">
        <v>4.95</v>
      </c>
      <c r="O49" s="26">
        <v>4.82</v>
      </c>
      <c r="P49" s="40">
        <v>4.99</v>
      </c>
      <c r="Q49" s="40">
        <v>4.88</v>
      </c>
    </row>
    <row r="50" spans="2:17" ht="20.100000000000001" customHeight="1" x14ac:dyDescent="0.25">
      <c r="B50" s="110" t="s">
        <v>51</v>
      </c>
      <c r="C50" s="110"/>
      <c r="D50" s="110"/>
      <c r="E50" s="50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49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36DC-DA0D-4145-8000-3D0BEDFE8B5A}">
  <dimension ref="B1:Q59"/>
  <sheetViews>
    <sheetView view="pageBreakPreview" zoomScale="85" zoomScaleNormal="60" zoomScaleSheetLayoutView="85" workbookViewId="0">
      <selection activeCell="G11" sqref="G11:G23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57" t="s">
        <v>78</v>
      </c>
      <c r="E10" s="27"/>
      <c r="F10" s="37" t="s">
        <v>99</v>
      </c>
      <c r="G10" s="37" t="s">
        <v>99</v>
      </c>
      <c r="H10" s="39"/>
      <c r="I10" s="39" t="s">
        <v>99</v>
      </c>
      <c r="J10" s="37"/>
      <c r="K10" s="37"/>
      <c r="L10" s="39"/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73.900000000000006</v>
      </c>
      <c r="H11" s="40"/>
      <c r="I11" s="40">
        <v>77</v>
      </c>
      <c r="J11" s="26"/>
      <c r="K11" s="26"/>
      <c r="L11" s="40"/>
      <c r="M11" s="40">
        <v>75.900000000000006</v>
      </c>
      <c r="N11" s="26"/>
      <c r="O11" s="26">
        <v>76.7</v>
      </c>
      <c r="P11" s="40"/>
      <c r="Q11" s="40">
        <v>78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0.3</v>
      </c>
      <c r="H12" s="40"/>
      <c r="I12" s="40">
        <v>0.1</v>
      </c>
      <c r="J12" s="26"/>
      <c r="K12" s="26"/>
      <c r="L12" s="40"/>
      <c r="M12" s="40">
        <v>0.1</v>
      </c>
      <c r="N12" s="26"/>
      <c r="O12" s="26">
        <v>0</v>
      </c>
      <c r="P12" s="40"/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68.400000000000006</v>
      </c>
      <c r="H13" s="40"/>
      <c r="I13" s="40">
        <v>72.3</v>
      </c>
      <c r="J13" s="26"/>
      <c r="K13" s="26"/>
      <c r="L13" s="40"/>
      <c r="M13" s="40">
        <v>71.2</v>
      </c>
      <c r="N13" s="26"/>
      <c r="O13" s="26">
        <v>72.7</v>
      </c>
      <c r="P13" s="40"/>
      <c r="Q13" s="40">
        <v>73.5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65.099999999999994</v>
      </c>
      <c r="H14" s="40"/>
      <c r="I14" s="40">
        <v>67.3</v>
      </c>
      <c r="J14" s="26"/>
      <c r="K14" s="26"/>
      <c r="L14" s="40"/>
      <c r="M14" s="40">
        <v>65.8</v>
      </c>
      <c r="N14" s="26"/>
      <c r="O14" s="26">
        <v>71.5</v>
      </c>
      <c r="P14" s="40"/>
      <c r="Q14" s="40">
        <v>72.3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84.6</v>
      </c>
      <c r="H15" s="40"/>
      <c r="I15" s="40">
        <v>55.9</v>
      </c>
      <c r="J15" s="26"/>
      <c r="K15" s="26"/>
      <c r="L15" s="40"/>
      <c r="M15" s="40">
        <v>34.799999999999997</v>
      </c>
      <c r="N15" s="26"/>
      <c r="O15" s="26">
        <v>63.7</v>
      </c>
      <c r="P15" s="40"/>
      <c r="Q15" s="40">
        <v>44.8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/>
      <c r="I16" s="40">
        <v>6.6</v>
      </c>
      <c r="J16" s="26"/>
      <c r="K16" s="26"/>
      <c r="L16" s="40"/>
      <c r="M16" s="40">
        <v>6.6</v>
      </c>
      <c r="N16" s="26"/>
      <c r="O16" s="26">
        <v>6.6</v>
      </c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117.6</v>
      </c>
      <c r="H17" s="40"/>
      <c r="I17" s="40">
        <v>118.5</v>
      </c>
      <c r="J17" s="26"/>
      <c r="K17" s="26"/>
      <c r="L17" s="40"/>
      <c r="M17" s="40">
        <v>119.7</v>
      </c>
      <c r="N17" s="26"/>
      <c r="O17" s="26">
        <v>121.1</v>
      </c>
      <c r="P17" s="40"/>
      <c r="Q17" s="40">
        <v>118.6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1149</v>
      </c>
      <c r="H18" s="40"/>
      <c r="I18" s="40">
        <v>1200</v>
      </c>
      <c r="J18" s="26"/>
      <c r="K18" s="26"/>
      <c r="L18" s="40"/>
      <c r="M18" s="40">
        <v>1233</v>
      </c>
      <c r="N18" s="26"/>
      <c r="O18" s="26">
        <v>1243</v>
      </c>
      <c r="P18" s="40"/>
      <c r="Q18" s="40">
        <v>1216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46158</v>
      </c>
      <c r="H19" s="40"/>
      <c r="I19" s="40">
        <v>46943</v>
      </c>
      <c r="J19" s="26"/>
      <c r="K19" s="26"/>
      <c r="L19" s="40"/>
      <c r="M19" s="40">
        <v>46961</v>
      </c>
      <c r="N19" s="26"/>
      <c r="O19" s="26">
        <v>46247</v>
      </c>
      <c r="P19" s="40"/>
      <c r="Q19" s="40">
        <v>48074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58.1</v>
      </c>
      <c r="H22" s="40"/>
      <c r="I22" s="40">
        <v>59</v>
      </c>
      <c r="J22" s="26"/>
      <c r="K22" s="26"/>
      <c r="L22" s="40"/>
      <c r="M22" s="40">
        <v>57.5</v>
      </c>
      <c r="N22" s="26"/>
      <c r="O22" s="26">
        <v>58.8</v>
      </c>
      <c r="P22" s="40"/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0.52</v>
      </c>
      <c r="H23" s="40"/>
      <c r="I23" s="40">
        <v>0.5</v>
      </c>
      <c r="J23" s="26"/>
      <c r="K23" s="26"/>
      <c r="L23" s="40"/>
      <c r="M23" s="40">
        <v>0.54</v>
      </c>
      <c r="N23" s="26"/>
      <c r="O23" s="26">
        <v>0.49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45.1</v>
      </c>
      <c r="H25" s="40"/>
      <c r="I25" s="40">
        <v>44.9</v>
      </c>
      <c r="J25" s="26"/>
      <c r="K25" s="26"/>
      <c r="L25" s="40"/>
      <c r="M25" s="40">
        <v>44.5</v>
      </c>
      <c r="N25" s="26"/>
      <c r="O25" s="26">
        <v>44.6</v>
      </c>
      <c r="P25" s="40"/>
      <c r="Q25" s="40">
        <v>45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0.23</v>
      </c>
      <c r="H26" s="40"/>
      <c r="I26" s="40">
        <v>0.22</v>
      </c>
      <c r="J26" s="26"/>
      <c r="K26" s="26"/>
      <c r="L26" s="40"/>
      <c r="M26" s="40">
        <v>0.23</v>
      </c>
      <c r="N26" s="26"/>
      <c r="O26" s="26">
        <v>0.23</v>
      </c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3.8</v>
      </c>
      <c r="H27" s="40"/>
      <c r="I27" s="40">
        <v>4</v>
      </c>
      <c r="J27" s="26"/>
      <c r="K27" s="26"/>
      <c r="L27" s="40"/>
      <c r="M27" s="40">
        <v>4.8</v>
      </c>
      <c r="N27" s="26"/>
      <c r="O27" s="26">
        <v>4.9000000000000004</v>
      </c>
      <c r="P27" s="40"/>
      <c r="Q27" s="40">
        <v>4.5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3.8</v>
      </c>
      <c r="H28" s="40"/>
      <c r="I28" s="40">
        <v>2.9</v>
      </c>
      <c r="J28" s="26"/>
      <c r="K28" s="26"/>
      <c r="L28" s="40"/>
      <c r="M28" s="40">
        <v>3.7</v>
      </c>
      <c r="N28" s="26"/>
      <c r="O28" s="26">
        <v>3.7</v>
      </c>
      <c r="P28" s="40"/>
      <c r="Q28" s="40">
        <v>3.6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>G32-G28</f>
        <v>0.90000000000000036</v>
      </c>
      <c r="H29" s="41">
        <f t="shared" ref="H29:N29" si="0">H32-H27</f>
        <v>0</v>
      </c>
      <c r="I29" s="41">
        <f>I32-I28</f>
        <v>2.1</v>
      </c>
      <c r="J29" s="41">
        <f t="shared" si="0"/>
        <v>0</v>
      </c>
      <c r="K29" s="41">
        <f>K32-K27</f>
        <v>0</v>
      </c>
      <c r="L29" s="41">
        <f>L32-L28</f>
        <v>0</v>
      </c>
      <c r="M29" s="41">
        <f>M32-M28</f>
        <v>1</v>
      </c>
      <c r="N29" s="41">
        <f t="shared" si="0"/>
        <v>0</v>
      </c>
      <c r="O29" s="41">
        <f>O32-O28</f>
        <v>1.2000000000000002</v>
      </c>
      <c r="P29" s="41">
        <f>P32-P28</f>
        <v>0</v>
      </c>
      <c r="Q29" s="41">
        <f>Q32-Q28</f>
        <v>1.8000000000000003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724.24</v>
      </c>
      <c r="H30" s="40"/>
      <c r="I30" s="40">
        <v>695.28</v>
      </c>
      <c r="J30" s="26"/>
      <c r="K30" s="26"/>
      <c r="L30" s="40"/>
      <c r="M30" s="40">
        <v>719.36</v>
      </c>
      <c r="N30" s="26"/>
      <c r="O30" s="26">
        <v>729.28</v>
      </c>
      <c r="P30" s="40"/>
      <c r="Q30" s="40">
        <v>706.72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12.9</v>
      </c>
      <c r="H31" s="40"/>
      <c r="I31" s="40">
        <v>12.9</v>
      </c>
      <c r="J31" s="26"/>
      <c r="K31" s="26"/>
      <c r="L31" s="40"/>
      <c r="M31" s="40">
        <v>13.3</v>
      </c>
      <c r="N31" s="26"/>
      <c r="O31" s="26">
        <v>13</v>
      </c>
      <c r="P31" s="40"/>
      <c r="Q31" s="40">
        <v>13.3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4.7</v>
      </c>
      <c r="H32" s="40"/>
      <c r="I32" s="40">
        <v>5</v>
      </c>
      <c r="J32" s="26"/>
      <c r="K32" s="26"/>
      <c r="L32" s="40"/>
      <c r="M32" s="40">
        <v>4.7</v>
      </c>
      <c r="N32" s="26"/>
      <c r="O32" s="26">
        <v>4.9000000000000004</v>
      </c>
      <c r="P32" s="40"/>
      <c r="Q32" s="40">
        <v>5.4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8.1999999999999993</v>
      </c>
      <c r="H33" s="41">
        <f t="shared" si="1"/>
        <v>0</v>
      </c>
      <c r="I33" s="41">
        <f t="shared" si="1"/>
        <v>7.9</v>
      </c>
      <c r="J33" s="41">
        <f t="shared" si="1"/>
        <v>0</v>
      </c>
      <c r="K33" s="41">
        <f t="shared" si="1"/>
        <v>0</v>
      </c>
      <c r="L33" s="41">
        <f t="shared" si="1"/>
        <v>0</v>
      </c>
      <c r="M33" s="41">
        <f t="shared" si="1"/>
        <v>8.6000000000000014</v>
      </c>
      <c r="N33" s="41">
        <f t="shared" si="1"/>
        <v>0</v>
      </c>
      <c r="O33" s="41">
        <f t="shared" si="1"/>
        <v>8.1</v>
      </c>
      <c r="P33" s="41">
        <f t="shared" si="1"/>
        <v>0</v>
      </c>
      <c r="Q33" s="41">
        <f t="shared" si="1"/>
        <v>7.9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6857.6997690531171</v>
      </c>
      <c r="H34" s="42">
        <f t="shared" si="2"/>
        <v>0</v>
      </c>
      <c r="I34" s="42">
        <f t="shared" si="2"/>
        <v>6342.623556581987</v>
      </c>
      <c r="J34" s="42">
        <f t="shared" si="2"/>
        <v>0</v>
      </c>
      <c r="K34" s="42">
        <f t="shared" si="2"/>
        <v>0</v>
      </c>
      <c r="L34" s="42">
        <f t="shared" si="2"/>
        <v>0</v>
      </c>
      <c r="M34" s="42">
        <f t="shared" si="2"/>
        <v>7143.7598152424953</v>
      </c>
      <c r="N34" s="42">
        <f t="shared" si="2"/>
        <v>0</v>
      </c>
      <c r="O34" s="42">
        <f t="shared" si="2"/>
        <v>6821.210161662817</v>
      </c>
      <c r="P34" s="42">
        <f t="shared" si="2"/>
        <v>0</v>
      </c>
      <c r="Q34" s="42">
        <f t="shared" si="2"/>
        <v>6446.9838337182455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0.82</v>
      </c>
      <c r="H35" s="40"/>
      <c r="I35" s="40">
        <v>0.86</v>
      </c>
      <c r="J35" s="26"/>
      <c r="K35" s="26"/>
      <c r="L35" s="40"/>
      <c r="M35" s="40">
        <v>0.85</v>
      </c>
      <c r="N35" s="26"/>
      <c r="O35" s="26">
        <v>0.84</v>
      </c>
      <c r="P35" s="40"/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36.1</v>
      </c>
      <c r="H36" s="40"/>
      <c r="I36" s="40">
        <v>36.9</v>
      </c>
      <c r="J36" s="26"/>
      <c r="K36" s="26"/>
      <c r="L36" s="40"/>
      <c r="M36" s="40">
        <v>37.799999999999997</v>
      </c>
      <c r="N36" s="26"/>
      <c r="O36" s="26">
        <v>36.700000000000003</v>
      </c>
      <c r="P36" s="40"/>
      <c r="Q36" s="40">
        <v>36.4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36.5</v>
      </c>
      <c r="H37" s="40"/>
      <c r="I37" s="40">
        <v>37.799999999999997</v>
      </c>
      <c r="J37" s="26"/>
      <c r="K37" s="26"/>
      <c r="L37" s="40"/>
      <c r="M37" s="40">
        <v>37.700000000000003</v>
      </c>
      <c r="N37" s="26"/>
      <c r="O37" s="26">
        <v>37.200000000000003</v>
      </c>
      <c r="P37" s="40"/>
      <c r="Q37" s="40">
        <v>36.5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2.8999999999999986</v>
      </c>
      <c r="H38" s="41">
        <f t="shared" si="3"/>
        <v>0</v>
      </c>
      <c r="I38" s="41">
        <f t="shared" si="3"/>
        <v>4.8999999999999986</v>
      </c>
      <c r="J38" s="41">
        <f t="shared" si="3"/>
        <v>0</v>
      </c>
      <c r="K38" s="41">
        <f t="shared" si="3"/>
        <v>0</v>
      </c>
      <c r="L38" s="41">
        <f t="shared" si="3"/>
        <v>0</v>
      </c>
      <c r="M38" s="41">
        <f t="shared" si="3"/>
        <v>4.3000000000000043</v>
      </c>
      <c r="N38" s="41">
        <f t="shared" si="3"/>
        <v>0</v>
      </c>
      <c r="O38" s="41">
        <f t="shared" si="3"/>
        <v>3.2000000000000028</v>
      </c>
      <c r="P38" s="41">
        <f t="shared" si="3"/>
        <v>0</v>
      </c>
      <c r="Q38" s="41">
        <f t="shared" si="3"/>
        <v>2.7999999999999972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28.2</v>
      </c>
      <c r="H40" s="40"/>
      <c r="I40" s="40">
        <v>27.9</v>
      </c>
      <c r="J40" s="26"/>
      <c r="K40" s="26"/>
      <c r="L40" s="40"/>
      <c r="M40" s="40">
        <v>27.8</v>
      </c>
      <c r="N40" s="26"/>
      <c r="O40" s="26">
        <v>27.9</v>
      </c>
      <c r="P40" s="40"/>
      <c r="Q40" s="40">
        <v>28.2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33.6</v>
      </c>
      <c r="H41" s="40"/>
      <c r="I41" s="40">
        <v>32.9</v>
      </c>
      <c r="J41" s="26"/>
      <c r="K41" s="26"/>
      <c r="L41" s="40"/>
      <c r="M41" s="40">
        <v>33.4</v>
      </c>
      <c r="N41" s="26"/>
      <c r="O41" s="26">
        <v>34</v>
      </c>
      <c r="P41" s="40"/>
      <c r="Q41" s="40">
        <v>33.700000000000003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5.4000000000000021</v>
      </c>
      <c r="H42" s="41">
        <f t="shared" si="4"/>
        <v>0</v>
      </c>
      <c r="I42" s="41">
        <f t="shared" si="4"/>
        <v>5</v>
      </c>
      <c r="J42" s="41">
        <f t="shared" si="4"/>
        <v>0</v>
      </c>
      <c r="K42" s="41">
        <f t="shared" si="4"/>
        <v>0</v>
      </c>
      <c r="L42" s="41">
        <f t="shared" si="4"/>
        <v>0</v>
      </c>
      <c r="M42" s="41">
        <f t="shared" si="4"/>
        <v>5.5999999999999979</v>
      </c>
      <c r="N42" s="41">
        <f t="shared" si="4"/>
        <v>0</v>
      </c>
      <c r="O42" s="41">
        <f t="shared" si="4"/>
        <v>6.1000000000000014</v>
      </c>
      <c r="P42" s="41">
        <f t="shared" si="4"/>
        <v>0</v>
      </c>
      <c r="Q42" s="41">
        <f t="shared" si="4"/>
        <v>5.5000000000000036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1263.3599999999999</v>
      </c>
      <c r="H43" s="40"/>
      <c r="I43" s="40">
        <v>1302</v>
      </c>
      <c r="J43" s="26"/>
      <c r="K43" s="26"/>
      <c r="L43" s="40"/>
      <c r="M43" s="26">
        <v>1244.18</v>
      </c>
      <c r="N43" s="26"/>
      <c r="O43" s="26">
        <v>1086.4000000000001</v>
      </c>
      <c r="P43" s="40"/>
      <c r="Q43" s="40">
        <v>1261.1199999999999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7877.7644341801406</v>
      </c>
      <c r="H44" s="42">
        <f t="shared" si="5"/>
        <v>0</v>
      </c>
      <c r="I44" s="42">
        <f t="shared" si="5"/>
        <v>7517.3210161662819</v>
      </c>
      <c r="J44" s="42">
        <f t="shared" si="5"/>
        <v>0</v>
      </c>
      <c r="K44" s="42">
        <f t="shared" si="5"/>
        <v>0</v>
      </c>
      <c r="L44" s="42">
        <f t="shared" si="5"/>
        <v>0</v>
      </c>
      <c r="M44" s="42">
        <f t="shared" si="5"/>
        <v>8045.5057736720528</v>
      </c>
      <c r="N44" s="42">
        <f t="shared" si="5"/>
        <v>0</v>
      </c>
      <c r="O44" s="42">
        <f t="shared" si="5"/>
        <v>7652.4711316397252</v>
      </c>
      <c r="P44" s="42">
        <f t="shared" si="5"/>
        <v>0</v>
      </c>
      <c r="Q44" s="42">
        <f t="shared" si="5"/>
        <v>8009.4226327944616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0.46</v>
      </c>
      <c r="H45" s="40"/>
      <c r="I45" s="40">
        <v>0.42</v>
      </c>
      <c r="J45" s="26"/>
      <c r="K45" s="26"/>
      <c r="L45" s="40"/>
      <c r="M45" s="40">
        <v>0.45</v>
      </c>
      <c r="N45" s="26"/>
      <c r="O45" s="26">
        <v>0.47</v>
      </c>
      <c r="P45" s="40"/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19.7</v>
      </c>
      <c r="H46" s="40"/>
      <c r="I46" s="40">
        <v>20</v>
      </c>
      <c r="J46" s="26"/>
      <c r="K46" s="26"/>
      <c r="L46" s="40"/>
      <c r="M46" s="40">
        <v>21.2</v>
      </c>
      <c r="N46" s="26"/>
      <c r="O46" s="26">
        <v>20</v>
      </c>
      <c r="P46" s="40"/>
      <c r="Q46" s="40">
        <v>20.100000000000001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310.5</v>
      </c>
      <c r="H47" s="40"/>
      <c r="I47" s="40">
        <v>120.1</v>
      </c>
      <c r="J47" s="26"/>
      <c r="K47" s="26"/>
      <c r="L47" s="40"/>
      <c r="M47" s="40">
        <v>210.2</v>
      </c>
      <c r="N47" s="26"/>
      <c r="O47" s="26">
        <v>164.7</v>
      </c>
      <c r="P47" s="40"/>
      <c r="Q47" s="40">
        <v>201.1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57">
        <v>5.89</v>
      </c>
      <c r="F49" s="26"/>
      <c r="G49" s="26">
        <v>5.39</v>
      </c>
      <c r="H49" s="40"/>
      <c r="I49" s="40">
        <v>4.9800000000000004</v>
      </c>
      <c r="J49" s="26"/>
      <c r="K49" s="26"/>
      <c r="L49" s="40"/>
      <c r="M49" s="40">
        <v>4.93</v>
      </c>
      <c r="N49" s="26"/>
      <c r="O49" s="26">
        <v>4.8600000000000003</v>
      </c>
      <c r="P49" s="40"/>
      <c r="Q49" s="40">
        <v>5</v>
      </c>
    </row>
    <row r="50" spans="2:17" ht="20.100000000000001" customHeight="1" x14ac:dyDescent="0.25">
      <c r="B50" s="110" t="s">
        <v>51</v>
      </c>
      <c r="C50" s="110"/>
      <c r="D50" s="110"/>
      <c r="E50" s="57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56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3159-C09D-4055-B9BB-8D07844B3EFE}">
  <dimension ref="B1:Q59"/>
  <sheetViews>
    <sheetView view="pageBreakPreview" topLeftCell="B1" zoomScale="85" zoomScaleNormal="60" zoomScaleSheetLayoutView="85" workbookViewId="0">
      <selection activeCell="M45" sqref="M45:M49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59" t="s">
        <v>78</v>
      </c>
      <c r="E10" s="27"/>
      <c r="F10" s="37" t="s">
        <v>99</v>
      </c>
      <c r="G10" s="37" t="s">
        <v>99</v>
      </c>
      <c r="H10" s="39" t="s">
        <v>99</v>
      </c>
      <c r="I10" s="39" t="s">
        <v>99</v>
      </c>
      <c r="J10" s="37"/>
      <c r="K10" s="37"/>
      <c r="L10" s="39"/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68.599999999999994</v>
      </c>
      <c r="G11" s="26">
        <v>72.400000000000006</v>
      </c>
      <c r="H11" s="40">
        <v>78</v>
      </c>
      <c r="I11" s="40">
        <v>77</v>
      </c>
      <c r="J11" s="26"/>
      <c r="K11" s="26"/>
      <c r="L11" s="40"/>
      <c r="M11" s="40">
        <v>76.7</v>
      </c>
      <c r="N11" s="26">
        <v>74.099999999999994</v>
      </c>
      <c r="O11" s="26">
        <v>76.7</v>
      </c>
      <c r="P11" s="40"/>
      <c r="Q11" s="40">
        <v>78.3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0.3</v>
      </c>
      <c r="G12" s="26">
        <v>0.8</v>
      </c>
      <c r="H12" s="40">
        <v>0</v>
      </c>
      <c r="I12" s="40">
        <v>0.1</v>
      </c>
      <c r="J12" s="26"/>
      <c r="K12" s="26"/>
      <c r="L12" s="40"/>
      <c r="M12" s="40">
        <v>0</v>
      </c>
      <c r="N12" s="26">
        <v>0</v>
      </c>
      <c r="O12" s="26">
        <v>0</v>
      </c>
      <c r="P12" s="40"/>
      <c r="Q12" s="40">
        <v>0.3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62.7</v>
      </c>
      <c r="G13" s="26">
        <v>66.099999999999994</v>
      </c>
      <c r="H13" s="40">
        <v>73.2</v>
      </c>
      <c r="I13" s="40">
        <v>72.3</v>
      </c>
      <c r="J13" s="26"/>
      <c r="K13" s="26"/>
      <c r="L13" s="40"/>
      <c r="M13" s="40">
        <v>71.099999999999994</v>
      </c>
      <c r="N13" s="26">
        <v>68.900000000000006</v>
      </c>
      <c r="O13" s="26">
        <v>71.099999999999994</v>
      </c>
      <c r="P13" s="40"/>
      <c r="Q13" s="40">
        <v>74.3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70.2</v>
      </c>
      <c r="G14" s="26">
        <v>64.900000000000006</v>
      </c>
      <c r="H14" s="40">
        <v>69.400000000000006</v>
      </c>
      <c r="I14" s="40">
        <v>67.3</v>
      </c>
      <c r="J14" s="26"/>
      <c r="K14" s="26"/>
      <c r="L14" s="40"/>
      <c r="M14" s="40">
        <v>71</v>
      </c>
      <c r="N14" s="26">
        <v>75.599999999999994</v>
      </c>
      <c r="O14" s="26">
        <v>71.099999999999994</v>
      </c>
      <c r="P14" s="40"/>
      <c r="Q14" s="40">
        <v>71.900000000000006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73.8</v>
      </c>
      <c r="G15" s="26">
        <v>52</v>
      </c>
      <c r="H15" s="40">
        <v>47.4</v>
      </c>
      <c r="I15" s="40">
        <v>55.9</v>
      </c>
      <c r="J15" s="26"/>
      <c r="K15" s="26"/>
      <c r="L15" s="40"/>
      <c r="M15" s="40">
        <v>34.799999999999997</v>
      </c>
      <c r="N15" s="26">
        <v>48</v>
      </c>
      <c r="O15" s="26">
        <v>63.7</v>
      </c>
      <c r="P15" s="40"/>
      <c r="Q15" s="40">
        <v>42.4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>
        <v>6.6</v>
      </c>
      <c r="I16" s="40">
        <v>6.6</v>
      </c>
      <c r="J16" s="26"/>
      <c r="K16" s="26"/>
      <c r="L16" s="40"/>
      <c r="M16" s="40">
        <v>6.6</v>
      </c>
      <c r="N16" s="26">
        <v>6.6</v>
      </c>
      <c r="O16" s="26">
        <v>6.6</v>
      </c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117.3</v>
      </c>
      <c r="G17" s="26">
        <v>117.4</v>
      </c>
      <c r="H17" s="40">
        <v>117</v>
      </c>
      <c r="I17" s="40">
        <v>117.8</v>
      </c>
      <c r="J17" s="26"/>
      <c r="K17" s="26"/>
      <c r="L17" s="40"/>
      <c r="M17" s="40">
        <v>120.9</v>
      </c>
      <c r="N17" s="26">
        <v>117.1</v>
      </c>
      <c r="O17" s="26">
        <v>121.1</v>
      </c>
      <c r="P17" s="40"/>
      <c r="Q17" s="40">
        <v>119.4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1153</v>
      </c>
      <c r="G18" s="26">
        <v>1157</v>
      </c>
      <c r="H18" s="40">
        <v>1207</v>
      </c>
      <c r="I18" s="40">
        <v>1199</v>
      </c>
      <c r="J18" s="26"/>
      <c r="K18" s="26"/>
      <c r="L18" s="40"/>
      <c r="M18" s="40">
        <v>1227</v>
      </c>
      <c r="N18" s="26">
        <v>1210</v>
      </c>
      <c r="O18" s="26">
        <v>1243</v>
      </c>
      <c r="P18" s="40"/>
      <c r="Q18" s="40">
        <v>1208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46178.7</v>
      </c>
      <c r="G19" s="26">
        <v>46167.9</v>
      </c>
      <c r="H19" s="40">
        <v>46978</v>
      </c>
      <c r="I19" s="40">
        <v>46967.199999999997</v>
      </c>
      <c r="J19" s="26"/>
      <c r="K19" s="26"/>
      <c r="L19" s="40"/>
      <c r="M19" s="40">
        <v>46256.800000000003</v>
      </c>
      <c r="N19" s="26">
        <v>46267.6</v>
      </c>
      <c r="O19" s="26">
        <v>46256.800000000003</v>
      </c>
      <c r="P19" s="40"/>
      <c r="Q19" s="40">
        <v>48092.7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</v>
      </c>
      <c r="G22" s="26">
        <v>58.5</v>
      </c>
      <c r="H22" s="40">
        <v>59.3</v>
      </c>
      <c r="I22" s="40">
        <v>59</v>
      </c>
      <c r="J22" s="26"/>
      <c r="K22" s="26"/>
      <c r="L22" s="40"/>
      <c r="M22" s="40">
        <v>44.8</v>
      </c>
      <c r="N22" s="26">
        <v>58.8</v>
      </c>
      <c r="O22" s="26">
        <v>58.8</v>
      </c>
      <c r="P22" s="40"/>
      <c r="Q22" s="40">
        <v>59.2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0.53</v>
      </c>
      <c r="G23" s="26">
        <v>0.52</v>
      </c>
      <c r="H23" s="40">
        <v>0.5</v>
      </c>
      <c r="I23" s="40">
        <v>0.5</v>
      </c>
      <c r="J23" s="26"/>
      <c r="K23" s="26"/>
      <c r="L23" s="40"/>
      <c r="M23" s="40">
        <v>0.54</v>
      </c>
      <c r="N23" s="26">
        <v>0.48</v>
      </c>
      <c r="O23" s="26">
        <v>0.49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44.7</v>
      </c>
      <c r="G25" s="26">
        <v>44.9</v>
      </c>
      <c r="H25" s="40">
        <v>44.7</v>
      </c>
      <c r="I25" s="40">
        <v>44.9</v>
      </c>
      <c r="J25" s="26"/>
      <c r="K25" s="26"/>
      <c r="L25" s="40"/>
      <c r="M25" s="40">
        <v>44.8</v>
      </c>
      <c r="N25" s="26">
        <v>44.9</v>
      </c>
      <c r="O25" s="26">
        <v>44.8</v>
      </c>
      <c r="P25" s="40"/>
      <c r="Q25" s="40">
        <v>45.1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0.24</v>
      </c>
      <c r="G26" s="26">
        <v>0.28000000000000003</v>
      </c>
      <c r="H26" s="40">
        <v>0.22</v>
      </c>
      <c r="I26" s="40">
        <v>0.22</v>
      </c>
      <c r="J26" s="26"/>
      <c r="K26" s="26"/>
      <c r="L26" s="40"/>
      <c r="M26" s="40">
        <v>0.2</v>
      </c>
      <c r="N26" s="26">
        <v>0.23</v>
      </c>
      <c r="O26" s="26">
        <v>0.23</v>
      </c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5.4</v>
      </c>
      <c r="G27" s="26">
        <v>4.5</v>
      </c>
      <c r="H27" s="40">
        <v>4.0999999999999996</v>
      </c>
      <c r="I27" s="40">
        <v>3.4</v>
      </c>
      <c r="J27" s="26"/>
      <c r="K27" s="26"/>
      <c r="L27" s="40"/>
      <c r="M27" s="40">
        <v>4.7</v>
      </c>
      <c r="N27" s="26">
        <v>4.8</v>
      </c>
      <c r="O27" s="26">
        <v>4.7</v>
      </c>
      <c r="P27" s="40"/>
      <c r="Q27" s="40">
        <v>4.2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4.8</v>
      </c>
      <c r="G28" s="26">
        <v>3.9</v>
      </c>
      <c r="H28" s="40">
        <v>3.1</v>
      </c>
      <c r="I28" s="40">
        <v>2.5</v>
      </c>
      <c r="J28" s="26"/>
      <c r="K28" s="26"/>
      <c r="L28" s="40"/>
      <c r="M28" s="40">
        <v>3.7</v>
      </c>
      <c r="N28" s="26">
        <v>3.3</v>
      </c>
      <c r="O28" s="26">
        <v>3.7</v>
      </c>
      <c r="P28" s="40"/>
      <c r="Q28" s="40">
        <v>3.6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0.20000000000000018</v>
      </c>
      <c r="G29" s="41">
        <f>G32-G28</f>
        <v>0.69999999999999973</v>
      </c>
      <c r="H29" s="41">
        <f t="shared" ref="H29:N29" si="0">H32-H27</f>
        <v>1.2000000000000002</v>
      </c>
      <c r="I29" s="41">
        <f>I32-I28</f>
        <v>2.0999999999999996</v>
      </c>
      <c r="J29" s="41">
        <f t="shared" si="0"/>
        <v>0</v>
      </c>
      <c r="K29" s="41">
        <f>K32-K27</f>
        <v>0</v>
      </c>
      <c r="L29" s="41">
        <f>L32-L28</f>
        <v>0</v>
      </c>
      <c r="M29" s="41">
        <f>M32-M28</f>
        <v>0.79999999999999982</v>
      </c>
      <c r="N29" s="41">
        <f t="shared" si="0"/>
        <v>0.10000000000000053</v>
      </c>
      <c r="O29" s="41">
        <f>O32-O28</f>
        <v>0.70000000000000018</v>
      </c>
      <c r="P29" s="41">
        <f>P32-P28</f>
        <v>0</v>
      </c>
      <c r="Q29" s="41">
        <f>Q32-Q28</f>
        <v>1.1999999999999997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728.4</v>
      </c>
      <c r="G30" s="26">
        <v>727.36</v>
      </c>
      <c r="H30" s="40">
        <v>735.5</v>
      </c>
      <c r="I30" s="40">
        <v>695.28</v>
      </c>
      <c r="J30" s="26"/>
      <c r="K30" s="26"/>
      <c r="L30" s="40"/>
      <c r="M30" s="40">
        <v>719.76</v>
      </c>
      <c r="N30" s="26">
        <v>740.1</v>
      </c>
      <c r="O30" s="26">
        <v>729.04</v>
      </c>
      <c r="P30" s="40"/>
      <c r="Q30" s="40">
        <v>705.36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13</v>
      </c>
      <c r="G31" s="26">
        <v>12.5</v>
      </c>
      <c r="H31" s="40">
        <v>14</v>
      </c>
      <c r="I31" s="40">
        <v>12.6</v>
      </c>
      <c r="J31" s="26"/>
      <c r="K31" s="26"/>
      <c r="L31" s="40"/>
      <c r="M31" s="40">
        <v>12.8</v>
      </c>
      <c r="N31" s="26">
        <v>13.9</v>
      </c>
      <c r="O31" s="26">
        <v>12.5</v>
      </c>
      <c r="P31" s="40"/>
      <c r="Q31" s="40">
        <v>12.7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5</v>
      </c>
      <c r="G32" s="26">
        <v>4.5999999999999996</v>
      </c>
      <c r="H32" s="40">
        <v>5.3</v>
      </c>
      <c r="I32" s="40">
        <v>4.5999999999999996</v>
      </c>
      <c r="J32" s="26"/>
      <c r="K32" s="26"/>
      <c r="L32" s="40"/>
      <c r="M32" s="40">
        <v>4.5</v>
      </c>
      <c r="N32" s="26">
        <v>4.9000000000000004</v>
      </c>
      <c r="O32" s="26">
        <v>4.4000000000000004</v>
      </c>
      <c r="P32" s="40"/>
      <c r="Q32" s="40">
        <v>4.8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8</v>
      </c>
      <c r="G33" s="41">
        <f t="shared" ref="G33:Q33" si="1">G31-G32</f>
        <v>7.9</v>
      </c>
      <c r="H33" s="41">
        <f t="shared" si="1"/>
        <v>8.6999999999999993</v>
      </c>
      <c r="I33" s="41">
        <f t="shared" si="1"/>
        <v>8</v>
      </c>
      <c r="J33" s="41">
        <f t="shared" si="1"/>
        <v>0</v>
      </c>
      <c r="K33" s="41">
        <f t="shared" si="1"/>
        <v>0</v>
      </c>
      <c r="L33" s="41">
        <f t="shared" si="1"/>
        <v>0</v>
      </c>
      <c r="M33" s="41">
        <f t="shared" si="1"/>
        <v>8.3000000000000007</v>
      </c>
      <c r="N33" s="41">
        <f t="shared" si="1"/>
        <v>9</v>
      </c>
      <c r="O33" s="41">
        <f t="shared" si="1"/>
        <v>8.1</v>
      </c>
      <c r="P33" s="41">
        <f t="shared" si="1"/>
        <v>0</v>
      </c>
      <c r="Q33" s="41">
        <f t="shared" si="1"/>
        <v>7.8999999999999995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6728.8683602771362</v>
      </c>
      <c r="G34" s="42">
        <f t="shared" ref="G34:Q34" si="2">(G33*G30)/0.866</f>
        <v>6635.2702078521943</v>
      </c>
      <c r="H34" s="42">
        <f t="shared" si="2"/>
        <v>7388.9722863741335</v>
      </c>
      <c r="I34" s="42">
        <f t="shared" si="2"/>
        <v>6422.9099307159349</v>
      </c>
      <c r="J34" s="42">
        <f t="shared" si="2"/>
        <v>0</v>
      </c>
      <c r="K34" s="42">
        <f t="shared" si="2"/>
        <v>0</v>
      </c>
      <c r="L34" s="42">
        <f t="shared" si="2"/>
        <v>0</v>
      </c>
      <c r="M34" s="42">
        <f t="shared" si="2"/>
        <v>6898.3926096997702</v>
      </c>
      <c r="N34" s="42">
        <f t="shared" si="2"/>
        <v>7691.5704387990772</v>
      </c>
      <c r="O34" s="42">
        <f t="shared" si="2"/>
        <v>6818.9653579676669</v>
      </c>
      <c r="P34" s="42">
        <f t="shared" si="2"/>
        <v>0</v>
      </c>
      <c r="Q34" s="42">
        <f t="shared" si="2"/>
        <v>6434.5773672055429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0.82</v>
      </c>
      <c r="G35" s="26">
        <v>0.81</v>
      </c>
      <c r="H35" s="40">
        <v>0.87</v>
      </c>
      <c r="I35" s="40">
        <v>0.84</v>
      </c>
      <c r="J35" s="26"/>
      <c r="K35" s="26"/>
      <c r="L35" s="40"/>
      <c r="M35" s="40">
        <v>0.83</v>
      </c>
      <c r="N35" s="26">
        <v>0.86</v>
      </c>
      <c r="O35" s="26">
        <v>0.82</v>
      </c>
      <c r="P35" s="40"/>
      <c r="Q35" s="40">
        <v>0.81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36</v>
      </c>
      <c r="G36" s="26">
        <v>35.6</v>
      </c>
      <c r="H36" s="40">
        <v>37.700000000000003</v>
      </c>
      <c r="I36" s="40">
        <v>36.9</v>
      </c>
      <c r="J36" s="26"/>
      <c r="K36" s="26"/>
      <c r="L36" s="40"/>
      <c r="M36" s="40">
        <v>37.799999999999997</v>
      </c>
      <c r="N36" s="26">
        <v>37.200000000000003</v>
      </c>
      <c r="O36" s="26">
        <v>36.700000000000003</v>
      </c>
      <c r="P36" s="40"/>
      <c r="Q36" s="40">
        <v>36.4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36.4</v>
      </c>
      <c r="G37" s="26">
        <v>35.9</v>
      </c>
      <c r="H37" s="40">
        <v>38.5</v>
      </c>
      <c r="I37" s="40">
        <v>37.4</v>
      </c>
      <c r="J37" s="26"/>
      <c r="K37" s="26"/>
      <c r="L37" s="40"/>
      <c r="M37" s="40">
        <v>37</v>
      </c>
      <c r="N37" s="26">
        <v>37.700000000000003</v>
      </c>
      <c r="O37" s="26">
        <v>36.6</v>
      </c>
      <c r="P37" s="40"/>
      <c r="Q37" s="40">
        <v>36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2.1000000000000014</v>
      </c>
      <c r="G38" s="41">
        <f t="shared" ref="G38:Q38" si="3">G37-G41</f>
        <v>2.6999999999999957</v>
      </c>
      <c r="H38" s="41">
        <f t="shared" si="3"/>
        <v>4.2999999999999972</v>
      </c>
      <c r="I38" s="41">
        <f t="shared" si="3"/>
        <v>4.7999999999999972</v>
      </c>
      <c r="J38" s="41">
        <f t="shared" si="3"/>
        <v>0</v>
      </c>
      <c r="K38" s="41">
        <f t="shared" si="3"/>
        <v>0</v>
      </c>
      <c r="L38" s="41">
        <f t="shared" si="3"/>
        <v>0</v>
      </c>
      <c r="M38" s="41">
        <f t="shared" si="3"/>
        <v>4.2999999999999972</v>
      </c>
      <c r="N38" s="41">
        <f t="shared" si="3"/>
        <v>2.4000000000000057</v>
      </c>
      <c r="O38" s="41">
        <f t="shared" si="3"/>
        <v>3.2000000000000028</v>
      </c>
      <c r="P38" s="41">
        <f t="shared" si="3"/>
        <v>0</v>
      </c>
      <c r="Q38" s="41">
        <f t="shared" si="3"/>
        <v>8.5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28.7</v>
      </c>
      <c r="G40" s="26">
        <v>27.7</v>
      </c>
      <c r="H40" s="40">
        <v>29.4</v>
      </c>
      <c r="I40" s="40">
        <v>27.6</v>
      </c>
      <c r="J40" s="26"/>
      <c r="K40" s="26"/>
      <c r="L40" s="40"/>
      <c r="M40" s="40">
        <v>27.2</v>
      </c>
      <c r="N40" s="26">
        <v>29.1</v>
      </c>
      <c r="O40" s="26">
        <v>27.3</v>
      </c>
      <c r="P40" s="40"/>
      <c r="Q40" s="40">
        <v>27.5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34.299999999999997</v>
      </c>
      <c r="G41" s="26">
        <v>33.200000000000003</v>
      </c>
      <c r="H41" s="40">
        <v>34.200000000000003</v>
      </c>
      <c r="I41" s="40">
        <v>32.6</v>
      </c>
      <c r="J41" s="26"/>
      <c r="K41" s="26"/>
      <c r="L41" s="40"/>
      <c r="M41" s="40">
        <v>32.700000000000003</v>
      </c>
      <c r="N41" s="26">
        <v>35.299999999999997</v>
      </c>
      <c r="O41" s="26">
        <v>33.4</v>
      </c>
      <c r="P41" s="40"/>
      <c r="Q41" s="40">
        <v>27.5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5.5999999999999979</v>
      </c>
      <c r="G42" s="41">
        <f t="shared" ref="G42:Q42" si="4">G41-G40</f>
        <v>5.5000000000000036</v>
      </c>
      <c r="H42" s="41">
        <f t="shared" si="4"/>
        <v>4.8000000000000043</v>
      </c>
      <c r="I42" s="41">
        <f t="shared" si="4"/>
        <v>5</v>
      </c>
      <c r="J42" s="41">
        <f t="shared" si="4"/>
        <v>0</v>
      </c>
      <c r="K42" s="41">
        <f t="shared" si="4"/>
        <v>0</v>
      </c>
      <c r="L42" s="41">
        <f t="shared" si="4"/>
        <v>0</v>
      </c>
      <c r="M42" s="41">
        <f t="shared" si="4"/>
        <v>5.5000000000000036</v>
      </c>
      <c r="N42" s="41">
        <f t="shared" si="4"/>
        <v>6.1999999999999957</v>
      </c>
      <c r="O42" s="41">
        <f t="shared" si="4"/>
        <v>6.0999999999999979</v>
      </c>
      <c r="P42" s="41">
        <f t="shared" si="4"/>
        <v>0</v>
      </c>
      <c r="Q42" s="41">
        <f t="shared" si="4"/>
        <v>0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1259.4000000000001</v>
      </c>
      <c r="G43" s="26">
        <v>1260.8399999999999</v>
      </c>
      <c r="H43" s="40">
        <v>1298.8</v>
      </c>
      <c r="I43" s="40">
        <v>1299.3599999999999</v>
      </c>
      <c r="J43" s="26"/>
      <c r="K43" s="26"/>
      <c r="L43" s="40"/>
      <c r="M43" s="26">
        <v>1245.44</v>
      </c>
      <c r="N43" s="26">
        <v>1086.5</v>
      </c>
      <c r="O43" s="26">
        <v>1086.4000000000001</v>
      </c>
      <c r="P43" s="40"/>
      <c r="Q43" s="40">
        <v>1261.1199999999999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8143.9260969976876</v>
      </c>
      <c r="G44" s="42">
        <f t="shared" ref="G44:Q44" si="5">G42*G43/0.866</f>
        <v>8007.6443418013905</v>
      </c>
      <c r="H44" s="42">
        <f t="shared" si="5"/>
        <v>7198.8914549653637</v>
      </c>
      <c r="I44" s="42">
        <f t="shared" si="5"/>
        <v>7502.0785219399531</v>
      </c>
      <c r="J44" s="42">
        <f t="shared" si="5"/>
        <v>0</v>
      </c>
      <c r="K44" s="42">
        <f t="shared" si="5"/>
        <v>0</v>
      </c>
      <c r="L44" s="42">
        <f t="shared" si="5"/>
        <v>0</v>
      </c>
      <c r="M44" s="42">
        <f t="shared" si="5"/>
        <v>7909.8383371824539</v>
      </c>
      <c r="N44" s="42">
        <f t="shared" si="5"/>
        <v>7778.6374133949139</v>
      </c>
      <c r="O44" s="42">
        <f t="shared" si="5"/>
        <v>7652.4711316397206</v>
      </c>
      <c r="P44" s="42">
        <f t="shared" si="5"/>
        <v>0</v>
      </c>
      <c r="Q44" s="42">
        <f t="shared" si="5"/>
        <v>0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0.46</v>
      </c>
      <c r="G45" s="26">
        <v>0.46</v>
      </c>
      <c r="H45" s="40">
        <v>0.48</v>
      </c>
      <c r="I45" s="40">
        <v>0.42</v>
      </c>
      <c r="J45" s="26"/>
      <c r="K45" s="26"/>
      <c r="L45" s="40"/>
      <c r="M45" s="40">
        <v>0.46</v>
      </c>
      <c r="N45" s="26">
        <v>0.48</v>
      </c>
      <c r="O45" s="26">
        <v>0.46</v>
      </c>
      <c r="P45" s="40"/>
      <c r="Q45" s="40">
        <v>0.46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19.600000000000001</v>
      </c>
      <c r="G46" s="26">
        <v>19.5</v>
      </c>
      <c r="H46" s="40">
        <v>20.3</v>
      </c>
      <c r="I46" s="40">
        <v>19.3</v>
      </c>
      <c r="J46" s="26"/>
      <c r="K46" s="26"/>
      <c r="L46" s="40"/>
      <c r="M46" s="40">
        <v>19.7</v>
      </c>
      <c r="N46" s="26">
        <v>20.5</v>
      </c>
      <c r="O46" s="26">
        <v>19.7</v>
      </c>
      <c r="P46" s="40"/>
      <c r="Q46" s="40">
        <v>19.7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168.5</v>
      </c>
      <c r="G47" s="26">
        <v>172.9</v>
      </c>
      <c r="H47" s="40">
        <v>134.5</v>
      </c>
      <c r="I47" s="40">
        <v>122.5</v>
      </c>
      <c r="J47" s="26"/>
      <c r="K47" s="26"/>
      <c r="L47" s="40"/>
      <c r="M47" s="40">
        <v>210.2</v>
      </c>
      <c r="N47" s="26">
        <v>147.69999999999999</v>
      </c>
      <c r="O47" s="26">
        <v>168.4</v>
      </c>
      <c r="P47" s="40"/>
      <c r="Q47" s="40">
        <v>193.9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59">
        <v>5.89</v>
      </c>
      <c r="F49" s="26">
        <v>5.22</v>
      </c>
      <c r="G49" s="26">
        <v>5.13</v>
      </c>
      <c r="H49" s="40">
        <v>5.13</v>
      </c>
      <c r="I49" s="40">
        <v>5.1100000000000003</v>
      </c>
      <c r="J49" s="26"/>
      <c r="K49" s="26"/>
      <c r="L49" s="40"/>
      <c r="M49" s="40">
        <v>4.93</v>
      </c>
      <c r="N49" s="26">
        <v>5.55</v>
      </c>
      <c r="O49" s="26">
        <v>4.8499999999999996</v>
      </c>
      <c r="P49" s="40"/>
      <c r="Q49" s="40">
        <v>4.96</v>
      </c>
    </row>
    <row r="50" spans="2:17" ht="20.100000000000001" customHeight="1" x14ac:dyDescent="0.25">
      <c r="B50" s="110" t="s">
        <v>51</v>
      </c>
      <c r="C50" s="110"/>
      <c r="D50" s="110"/>
      <c r="E50" s="59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58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A5D9-DC82-42FC-A475-B0A1CB012002}">
  <dimension ref="B1:Q59"/>
  <sheetViews>
    <sheetView view="pageBreakPreview" zoomScale="85" zoomScaleNormal="60" zoomScaleSheetLayoutView="85" workbookViewId="0">
      <selection activeCell="O15" sqref="O15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61" t="s">
        <v>78</v>
      </c>
      <c r="E10" s="27"/>
      <c r="F10" s="37"/>
      <c r="G10" s="37" t="s">
        <v>99</v>
      </c>
      <c r="H10" s="39"/>
      <c r="I10" s="39" t="s">
        <v>99</v>
      </c>
      <c r="J10" s="39" t="s">
        <v>99</v>
      </c>
      <c r="K10" s="37" t="s">
        <v>99</v>
      </c>
      <c r="L10" s="39" t="s">
        <v>99</v>
      </c>
      <c r="M10" s="39" t="s">
        <v>99</v>
      </c>
      <c r="N10" s="37"/>
      <c r="O10" s="37"/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67.400000000000006</v>
      </c>
      <c r="H11" s="40"/>
      <c r="I11" s="40">
        <v>77.2</v>
      </c>
      <c r="J11" s="26">
        <v>75.2</v>
      </c>
      <c r="K11" s="26">
        <v>75.2</v>
      </c>
      <c r="L11" s="40">
        <v>72.5</v>
      </c>
      <c r="M11" s="40">
        <v>72.5</v>
      </c>
      <c r="N11" s="26"/>
      <c r="O11" s="26"/>
      <c r="P11" s="40">
        <v>75.099999999999994</v>
      </c>
      <c r="Q11" s="40">
        <v>75.099999999999994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1</v>
      </c>
      <c r="H12" s="40"/>
      <c r="I12" s="40">
        <v>0.1</v>
      </c>
      <c r="J12" s="26">
        <v>0.2</v>
      </c>
      <c r="K12" s="26">
        <v>0.2</v>
      </c>
      <c r="L12" s="40">
        <v>0.1</v>
      </c>
      <c r="M12" s="40">
        <v>0.2</v>
      </c>
      <c r="N12" s="26"/>
      <c r="O12" s="26"/>
      <c r="P12" s="40">
        <v>0.3</v>
      </c>
      <c r="Q12" s="40">
        <v>0.3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61.6</v>
      </c>
      <c r="H13" s="40"/>
      <c r="I13" s="40">
        <v>72.8</v>
      </c>
      <c r="J13" s="26">
        <v>42.2</v>
      </c>
      <c r="K13" s="26">
        <v>70.400000000000006</v>
      </c>
      <c r="L13" s="40">
        <v>66.599999999999994</v>
      </c>
      <c r="M13" s="40">
        <v>66.599999999999994</v>
      </c>
      <c r="N13" s="26"/>
      <c r="O13" s="26"/>
      <c r="P13" s="40">
        <v>70.7</v>
      </c>
      <c r="Q13" s="40">
        <v>70.7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66.900000000000006</v>
      </c>
      <c r="H14" s="40"/>
      <c r="I14" s="40">
        <v>69.400000000000006</v>
      </c>
      <c r="J14" s="26">
        <v>63.8</v>
      </c>
      <c r="K14" s="26">
        <v>63.2</v>
      </c>
      <c r="L14" s="40">
        <v>70.7</v>
      </c>
      <c r="M14" s="40">
        <v>66.3</v>
      </c>
      <c r="N14" s="26"/>
      <c r="O14" s="26"/>
      <c r="P14" s="40">
        <v>77.400000000000006</v>
      </c>
      <c r="Q14" s="40">
        <v>73.900000000000006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48.1</v>
      </c>
      <c r="H15" s="40"/>
      <c r="I15" s="40">
        <v>48</v>
      </c>
      <c r="J15" s="26">
        <v>70.400000000000006</v>
      </c>
      <c r="K15" s="26">
        <v>35.799999999999997</v>
      </c>
      <c r="L15" s="40">
        <v>36.799999999999997</v>
      </c>
      <c r="M15" s="40">
        <v>30.6</v>
      </c>
      <c r="N15" s="26"/>
      <c r="O15" s="26"/>
      <c r="P15" s="40">
        <v>45.1</v>
      </c>
      <c r="Q15" s="40">
        <v>37.799999999999997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/>
      <c r="I16" s="40">
        <v>6.6</v>
      </c>
      <c r="J16" s="26">
        <v>6.6</v>
      </c>
      <c r="K16" s="26">
        <v>6.6</v>
      </c>
      <c r="L16" s="40">
        <v>6.6</v>
      </c>
      <c r="M16" s="40">
        <v>6.6</v>
      </c>
      <c r="N16" s="26"/>
      <c r="O16" s="26"/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114.1</v>
      </c>
      <c r="H17" s="40"/>
      <c r="I17" s="40">
        <v>118.6</v>
      </c>
      <c r="J17" s="26">
        <v>115.6</v>
      </c>
      <c r="K17" s="26">
        <v>118.8</v>
      </c>
      <c r="L17" s="40">
        <v>116.1</v>
      </c>
      <c r="M17" s="40">
        <v>117.1</v>
      </c>
      <c r="N17" s="26"/>
      <c r="O17" s="26"/>
      <c r="P17" s="40">
        <v>114.7</v>
      </c>
      <c r="Q17" s="40">
        <v>118.7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1142</v>
      </c>
      <c r="H18" s="40"/>
      <c r="I18" s="40">
        <v>1206</v>
      </c>
      <c r="J18" s="26">
        <v>1189</v>
      </c>
      <c r="K18" s="26">
        <v>1216</v>
      </c>
      <c r="L18" s="40">
        <v>1191</v>
      </c>
      <c r="M18" s="40">
        <v>1200</v>
      </c>
      <c r="N18" s="26"/>
      <c r="O18" s="26"/>
      <c r="P18" s="40">
        <v>1172</v>
      </c>
      <c r="Q18" s="40">
        <v>1213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46192</v>
      </c>
      <c r="H19" s="40"/>
      <c r="I19" s="40">
        <v>46988</v>
      </c>
      <c r="J19" s="26">
        <v>44578</v>
      </c>
      <c r="K19" s="26">
        <v>44570</v>
      </c>
      <c r="L19" s="40">
        <v>47002</v>
      </c>
      <c r="M19" s="40">
        <v>46993.9</v>
      </c>
      <c r="N19" s="26"/>
      <c r="O19" s="26"/>
      <c r="P19" s="40">
        <v>48111</v>
      </c>
      <c r="Q19" s="40">
        <v>48102.9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58.2</v>
      </c>
      <c r="H22" s="40"/>
      <c r="I22" s="40">
        <v>59.1</v>
      </c>
      <c r="J22" s="26">
        <v>57.9</v>
      </c>
      <c r="K22" s="26">
        <v>57.7</v>
      </c>
      <c r="L22" s="40">
        <v>57.3</v>
      </c>
      <c r="M22" s="40">
        <v>57.3</v>
      </c>
      <c r="N22" s="26"/>
      <c r="O22" s="26"/>
      <c r="P22" s="40">
        <v>59.3</v>
      </c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0.53</v>
      </c>
      <c r="H23" s="40"/>
      <c r="I23" s="40">
        <v>0.5</v>
      </c>
      <c r="J23" s="26">
        <v>0.5</v>
      </c>
      <c r="K23" s="26">
        <v>0.59</v>
      </c>
      <c r="L23" s="40">
        <v>0.53</v>
      </c>
      <c r="M23" s="40">
        <v>0.54</v>
      </c>
      <c r="N23" s="26"/>
      <c r="O23" s="26"/>
      <c r="P23" s="40">
        <v>0.47</v>
      </c>
      <c r="Q23" s="40">
        <v>0.49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44.9</v>
      </c>
      <c r="H25" s="40"/>
      <c r="I25" s="40">
        <v>45.2</v>
      </c>
      <c r="J25" s="26">
        <v>44.9</v>
      </c>
      <c r="K25" s="26">
        <v>44.9</v>
      </c>
      <c r="L25" s="40">
        <v>45.1</v>
      </c>
      <c r="M25" s="40">
        <v>45</v>
      </c>
      <c r="N25" s="26"/>
      <c r="O25" s="26"/>
      <c r="P25" s="40">
        <v>45.3</v>
      </c>
      <c r="Q25" s="40">
        <v>44.6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0.21</v>
      </c>
      <c r="H26" s="40"/>
      <c r="I26" s="40">
        <v>0.22</v>
      </c>
      <c r="J26" s="26">
        <v>0.23</v>
      </c>
      <c r="K26" s="26">
        <v>0.22</v>
      </c>
      <c r="L26" s="40">
        <v>0.23</v>
      </c>
      <c r="M26" s="40">
        <v>0.23</v>
      </c>
      <c r="N26" s="26"/>
      <c r="O26" s="26"/>
      <c r="P26" s="40">
        <v>0.23</v>
      </c>
      <c r="Q26" s="40">
        <v>0.21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4.8</v>
      </c>
      <c r="H27" s="40"/>
      <c r="I27" s="40">
        <v>4.0999999999999996</v>
      </c>
      <c r="J27" s="26">
        <v>4.0999999999999996</v>
      </c>
      <c r="K27" s="26">
        <v>4.3</v>
      </c>
      <c r="L27" s="40">
        <v>4.7</v>
      </c>
      <c r="M27" s="40">
        <v>4.8</v>
      </c>
      <c r="N27" s="26"/>
      <c r="O27" s="26"/>
      <c r="P27" s="40">
        <v>4</v>
      </c>
      <c r="Q27" s="40">
        <v>4.8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4.4000000000000004</v>
      </c>
      <c r="H28" s="40"/>
      <c r="I28" s="40">
        <v>3.3</v>
      </c>
      <c r="J28" s="26">
        <v>3.5</v>
      </c>
      <c r="K28" s="26">
        <v>3.4</v>
      </c>
      <c r="L28" s="40">
        <v>3.3</v>
      </c>
      <c r="M28" s="40">
        <v>3.7</v>
      </c>
      <c r="N28" s="26"/>
      <c r="O28" s="26"/>
      <c r="P28" s="40">
        <v>3.2</v>
      </c>
      <c r="Q28" s="40">
        <v>3.8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>G32-G28</f>
        <v>0.79999999999999982</v>
      </c>
      <c r="H29" s="41">
        <f t="shared" ref="H29:N29" si="0">H32-H27</f>
        <v>0</v>
      </c>
      <c r="I29" s="41">
        <f>I32-I28</f>
        <v>1.7999999999999998</v>
      </c>
      <c r="J29" s="41">
        <f t="shared" si="0"/>
        <v>0.40000000000000036</v>
      </c>
      <c r="K29" s="41">
        <f>K32-K27</f>
        <v>0.60000000000000053</v>
      </c>
      <c r="L29" s="41">
        <f>L32-L28</f>
        <v>1</v>
      </c>
      <c r="M29" s="41">
        <f>M32-M28</f>
        <v>1.2000000000000002</v>
      </c>
      <c r="N29" s="41">
        <f t="shared" si="0"/>
        <v>0</v>
      </c>
      <c r="O29" s="41">
        <f>O32-O28</f>
        <v>0</v>
      </c>
      <c r="P29" s="41">
        <f>P32-P28</f>
        <v>1.5</v>
      </c>
      <c r="Q29" s="41">
        <f>Q32-Q28</f>
        <v>1.9000000000000004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730.24</v>
      </c>
      <c r="H30" s="40"/>
      <c r="I30" s="40">
        <v>703.68</v>
      </c>
      <c r="J30" s="26">
        <v>662.88</v>
      </c>
      <c r="K30" s="26">
        <v>658.24</v>
      </c>
      <c r="L30" s="40">
        <v>628.24</v>
      </c>
      <c r="M30" s="40">
        <v>693.12</v>
      </c>
      <c r="N30" s="26"/>
      <c r="O30" s="26"/>
      <c r="P30" s="40">
        <v>660.32</v>
      </c>
      <c r="Q30" s="40">
        <v>714.32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12.9</v>
      </c>
      <c r="H31" s="40"/>
      <c r="I31" s="40">
        <v>13</v>
      </c>
      <c r="J31" s="26">
        <v>13.5</v>
      </c>
      <c r="K31" s="26">
        <v>13.6</v>
      </c>
      <c r="L31" s="40">
        <v>13.7</v>
      </c>
      <c r="M31" s="40">
        <v>13.4</v>
      </c>
      <c r="N31" s="26"/>
      <c r="O31" s="26"/>
      <c r="P31" s="40">
        <v>13.2</v>
      </c>
      <c r="Q31" s="40">
        <v>13.3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5.2</v>
      </c>
      <c r="H32" s="40"/>
      <c r="I32" s="40">
        <v>5.0999999999999996</v>
      </c>
      <c r="J32" s="26">
        <v>4.5</v>
      </c>
      <c r="K32" s="26">
        <v>4.9000000000000004</v>
      </c>
      <c r="L32" s="40">
        <v>4.3</v>
      </c>
      <c r="M32" s="40">
        <v>4.9000000000000004</v>
      </c>
      <c r="N32" s="26"/>
      <c r="O32" s="26"/>
      <c r="P32" s="40">
        <v>4.7</v>
      </c>
      <c r="Q32" s="40">
        <v>5.7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7.7</v>
      </c>
      <c r="H33" s="41">
        <f t="shared" si="1"/>
        <v>0</v>
      </c>
      <c r="I33" s="41">
        <f t="shared" si="1"/>
        <v>7.9</v>
      </c>
      <c r="J33" s="41">
        <f t="shared" si="1"/>
        <v>9</v>
      </c>
      <c r="K33" s="41">
        <f t="shared" si="1"/>
        <v>8.6999999999999993</v>
      </c>
      <c r="L33" s="41">
        <f t="shared" si="1"/>
        <v>9.3999999999999986</v>
      </c>
      <c r="M33" s="41">
        <f t="shared" si="1"/>
        <v>8.5</v>
      </c>
      <c r="N33" s="41">
        <f t="shared" si="1"/>
        <v>0</v>
      </c>
      <c r="O33" s="41">
        <f t="shared" si="1"/>
        <v>0</v>
      </c>
      <c r="P33" s="41">
        <f t="shared" si="1"/>
        <v>8.5</v>
      </c>
      <c r="Q33" s="41">
        <f t="shared" si="1"/>
        <v>7.6000000000000005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6492.8960739030026</v>
      </c>
      <c r="H34" s="42">
        <f t="shared" si="2"/>
        <v>0</v>
      </c>
      <c r="I34" s="42">
        <f t="shared" si="2"/>
        <v>6419.2517321016167</v>
      </c>
      <c r="J34" s="42">
        <f t="shared" si="2"/>
        <v>6889.0531177829098</v>
      </c>
      <c r="K34" s="42">
        <f t="shared" si="2"/>
        <v>6612.8036951501144</v>
      </c>
      <c r="L34" s="42">
        <f t="shared" si="2"/>
        <v>6819.2332563510381</v>
      </c>
      <c r="M34" s="42">
        <f t="shared" si="2"/>
        <v>6803.1408775981527</v>
      </c>
      <c r="N34" s="42">
        <f t="shared" si="2"/>
        <v>0</v>
      </c>
      <c r="O34" s="42">
        <f t="shared" si="2"/>
        <v>0</v>
      </c>
      <c r="P34" s="42">
        <f t="shared" si="2"/>
        <v>6481.2009237875291</v>
      </c>
      <c r="Q34" s="42">
        <f t="shared" si="2"/>
        <v>6268.8591224018483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0.84</v>
      </c>
      <c r="H35" s="40"/>
      <c r="I35" s="40">
        <v>0.88</v>
      </c>
      <c r="J35" s="26">
        <v>0.82</v>
      </c>
      <c r="K35" s="26">
        <v>0.85</v>
      </c>
      <c r="L35" s="40">
        <v>0.83</v>
      </c>
      <c r="M35" s="40">
        <v>0.82</v>
      </c>
      <c r="N35" s="26"/>
      <c r="O35" s="26"/>
      <c r="P35" s="40">
        <v>0.8</v>
      </c>
      <c r="Q35" s="40">
        <v>0.81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37</v>
      </c>
      <c r="H36" s="40"/>
      <c r="I36" s="40">
        <v>37.799999999999997</v>
      </c>
      <c r="J36" s="26">
        <v>35.4</v>
      </c>
      <c r="K36" s="26">
        <v>37.200000000000003</v>
      </c>
      <c r="L36" s="40">
        <v>36.799999999999997</v>
      </c>
      <c r="M36" s="40">
        <v>38.700000000000003</v>
      </c>
      <c r="N36" s="26"/>
      <c r="O36" s="26"/>
      <c r="P36" s="40">
        <v>35.5</v>
      </c>
      <c r="Q36" s="40">
        <v>37.4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37.200000000000003</v>
      </c>
      <c r="H37" s="40"/>
      <c r="I37" s="40">
        <v>38.700000000000003</v>
      </c>
      <c r="J37" s="26">
        <v>36.4</v>
      </c>
      <c r="K37" s="26">
        <v>37.9</v>
      </c>
      <c r="L37" s="40">
        <v>36.700000000000003</v>
      </c>
      <c r="M37" s="40">
        <v>38.4</v>
      </c>
      <c r="N37" s="26"/>
      <c r="O37" s="26"/>
      <c r="P37" s="40">
        <v>35.700000000000003</v>
      </c>
      <c r="Q37" s="40">
        <v>37.5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1.8000000000000043</v>
      </c>
      <c r="H38" s="41">
        <f t="shared" si="3"/>
        <v>0</v>
      </c>
      <c r="I38" s="41">
        <f t="shared" si="3"/>
        <v>4.2000000000000028</v>
      </c>
      <c r="J38" s="41">
        <f t="shared" si="3"/>
        <v>3.8999999999999986</v>
      </c>
      <c r="K38" s="41">
        <f t="shared" si="3"/>
        <v>2.7999999999999972</v>
      </c>
      <c r="L38" s="41">
        <f t="shared" si="3"/>
        <v>4.2000000000000028</v>
      </c>
      <c r="M38" s="41">
        <f t="shared" si="3"/>
        <v>4</v>
      </c>
      <c r="N38" s="41">
        <f t="shared" si="3"/>
        <v>0</v>
      </c>
      <c r="O38" s="41">
        <f t="shared" si="3"/>
        <v>0</v>
      </c>
      <c r="P38" s="41">
        <f t="shared" si="3"/>
        <v>2.9000000000000057</v>
      </c>
      <c r="Q38" s="41">
        <f t="shared" si="3"/>
        <v>2.1000000000000014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29.5</v>
      </c>
      <c r="H40" s="40"/>
      <c r="I40" s="40">
        <v>29.5</v>
      </c>
      <c r="J40" s="26">
        <v>27.2</v>
      </c>
      <c r="K40" s="26">
        <v>29.5</v>
      </c>
      <c r="L40" s="40">
        <v>27</v>
      </c>
      <c r="M40" s="40">
        <v>28.9</v>
      </c>
      <c r="N40" s="26"/>
      <c r="O40" s="26"/>
      <c r="P40" s="40">
        <v>27.3</v>
      </c>
      <c r="Q40" s="40">
        <v>29.3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35.4</v>
      </c>
      <c r="H41" s="40"/>
      <c r="I41" s="40">
        <v>34.5</v>
      </c>
      <c r="J41" s="26">
        <v>32.5</v>
      </c>
      <c r="K41" s="26">
        <v>35.1</v>
      </c>
      <c r="L41" s="40">
        <v>32.5</v>
      </c>
      <c r="M41" s="40">
        <v>34.4</v>
      </c>
      <c r="N41" s="26"/>
      <c r="O41" s="26"/>
      <c r="P41" s="40">
        <v>32.799999999999997</v>
      </c>
      <c r="Q41" s="40">
        <v>35.4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5.8999999999999986</v>
      </c>
      <c r="H42" s="41">
        <f t="shared" si="4"/>
        <v>0</v>
      </c>
      <c r="I42" s="41">
        <f t="shared" si="4"/>
        <v>5</v>
      </c>
      <c r="J42" s="41">
        <f t="shared" si="4"/>
        <v>5.3000000000000007</v>
      </c>
      <c r="K42" s="41">
        <f t="shared" si="4"/>
        <v>5.6000000000000014</v>
      </c>
      <c r="L42" s="41">
        <f t="shared" si="4"/>
        <v>5.5</v>
      </c>
      <c r="M42" s="41">
        <f t="shared" si="4"/>
        <v>5.5</v>
      </c>
      <c r="N42" s="41">
        <f t="shared" si="4"/>
        <v>0</v>
      </c>
      <c r="O42" s="41">
        <f t="shared" si="4"/>
        <v>0</v>
      </c>
      <c r="P42" s="41">
        <f t="shared" si="4"/>
        <v>5.4999999999999964</v>
      </c>
      <c r="Q42" s="41">
        <f t="shared" si="4"/>
        <v>6.0999999999999979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1220.3</v>
      </c>
      <c r="H43" s="40"/>
      <c r="I43" s="40">
        <v>1260.56</v>
      </c>
      <c r="J43" s="26">
        <v>1298.5</v>
      </c>
      <c r="K43" s="26">
        <v>1293</v>
      </c>
      <c r="L43" s="40">
        <v>1228.08</v>
      </c>
      <c r="M43" s="26">
        <v>1201.48</v>
      </c>
      <c r="N43" s="26"/>
      <c r="O43" s="26"/>
      <c r="P43" s="40">
        <v>1245.8599999999999</v>
      </c>
      <c r="Q43" s="40">
        <v>1218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8313.8221709006903</v>
      </c>
      <c r="H44" s="42">
        <f t="shared" si="5"/>
        <v>0</v>
      </c>
      <c r="I44" s="42">
        <f t="shared" si="5"/>
        <v>7278.0600461893755</v>
      </c>
      <c r="J44" s="42">
        <f t="shared" si="5"/>
        <v>7946.9399538106245</v>
      </c>
      <c r="K44" s="42">
        <f t="shared" si="5"/>
        <v>8361.2009237875318</v>
      </c>
      <c r="L44" s="42">
        <f t="shared" si="5"/>
        <v>7799.5842956120086</v>
      </c>
      <c r="M44" s="42">
        <f t="shared" si="5"/>
        <v>7630.6466512702082</v>
      </c>
      <c r="N44" s="42">
        <f t="shared" si="5"/>
        <v>0</v>
      </c>
      <c r="O44" s="42">
        <f t="shared" si="5"/>
        <v>0</v>
      </c>
      <c r="P44" s="42">
        <f t="shared" si="5"/>
        <v>7912.5057736720501</v>
      </c>
      <c r="Q44" s="42">
        <f t="shared" si="5"/>
        <v>8579.4457274826764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0.48</v>
      </c>
      <c r="H45" s="40"/>
      <c r="I45" s="40">
        <v>0.48</v>
      </c>
      <c r="J45" s="26">
        <v>0.45</v>
      </c>
      <c r="K45" s="26">
        <v>0.47</v>
      </c>
      <c r="L45" s="40">
        <v>0.47</v>
      </c>
      <c r="M45" s="40">
        <v>0.49</v>
      </c>
      <c r="N45" s="26"/>
      <c r="O45" s="26"/>
      <c r="P45" s="40">
        <v>0.46</v>
      </c>
      <c r="Q45" s="40">
        <v>0.48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20.9</v>
      </c>
      <c r="H46" s="40"/>
      <c r="I46" s="40">
        <v>20.6</v>
      </c>
      <c r="J46" s="26">
        <v>19.100000000000001</v>
      </c>
      <c r="K46" s="26">
        <v>20.100000000000001</v>
      </c>
      <c r="L46" s="40">
        <v>20.100000000000001</v>
      </c>
      <c r="M46" s="40">
        <v>21.3</v>
      </c>
      <c r="N46" s="26"/>
      <c r="O46" s="26"/>
      <c r="P46" s="40">
        <v>19.3</v>
      </c>
      <c r="Q46" s="40">
        <v>20.9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219.1</v>
      </c>
      <c r="H47" s="40"/>
      <c r="I47" s="40">
        <v>130.4</v>
      </c>
      <c r="J47" s="26">
        <v>196.9</v>
      </c>
      <c r="K47" s="26">
        <v>207.1</v>
      </c>
      <c r="L47" s="40">
        <v>197.6</v>
      </c>
      <c r="M47" s="40">
        <v>216.1</v>
      </c>
      <c r="N47" s="26"/>
      <c r="O47" s="26"/>
      <c r="P47" s="40">
        <v>189.3</v>
      </c>
      <c r="Q47" s="40">
        <v>212.2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61">
        <v>5.89</v>
      </c>
      <c r="F49" s="26"/>
      <c r="G49" s="26">
        <v>5.01</v>
      </c>
      <c r="H49" s="40"/>
      <c r="I49" s="40">
        <v>5.01</v>
      </c>
      <c r="J49" s="26">
        <v>5.59</v>
      </c>
      <c r="K49" s="26">
        <v>5.31</v>
      </c>
      <c r="L49" s="40">
        <v>5.69</v>
      </c>
      <c r="M49" s="40">
        <v>5.28</v>
      </c>
      <c r="N49" s="26"/>
      <c r="O49" s="26"/>
      <c r="P49" s="40">
        <v>5.93</v>
      </c>
      <c r="Q49" s="40">
        <v>4.7300000000000004</v>
      </c>
    </row>
    <row r="50" spans="2:17" ht="20.100000000000001" customHeight="1" x14ac:dyDescent="0.25">
      <c r="B50" s="110" t="s">
        <v>51</v>
      </c>
      <c r="C50" s="110"/>
      <c r="D50" s="110"/>
      <c r="E50" s="61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60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92F4-539B-4B28-960E-63105E870689}">
  <dimension ref="B1:Q59"/>
  <sheetViews>
    <sheetView view="pageBreakPreview" topLeftCell="B1" zoomScale="85" zoomScaleNormal="60" zoomScaleSheetLayoutView="85" workbookViewId="0">
      <selection activeCell="P51" sqref="P51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63" t="s">
        <v>78</v>
      </c>
      <c r="E10" s="27"/>
      <c r="F10" s="37" t="s">
        <v>99</v>
      </c>
      <c r="G10" s="37" t="s">
        <v>99</v>
      </c>
      <c r="H10" s="39"/>
      <c r="I10" s="39" t="s">
        <v>99</v>
      </c>
      <c r="J10" s="37" t="s">
        <v>99</v>
      </c>
      <c r="K10" s="37" t="s">
        <v>99</v>
      </c>
      <c r="L10" s="39"/>
      <c r="M10" s="39" t="s">
        <v>99</v>
      </c>
      <c r="N10" s="37"/>
      <c r="O10" s="37"/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74.3</v>
      </c>
      <c r="G11" s="26">
        <v>70.2</v>
      </c>
      <c r="H11" s="40"/>
      <c r="I11" s="40">
        <v>73.900000000000006</v>
      </c>
      <c r="J11" s="26">
        <v>75.8</v>
      </c>
      <c r="K11" s="26">
        <v>73.2</v>
      </c>
      <c r="L11" s="40"/>
      <c r="M11" s="40">
        <v>78.599999999999994</v>
      </c>
      <c r="N11" s="26"/>
      <c r="O11" s="26"/>
      <c r="P11" s="40">
        <v>78.5</v>
      </c>
      <c r="Q11" s="40">
        <v>78.5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</v>
      </c>
      <c r="G12" s="26">
        <v>0</v>
      </c>
      <c r="H12" s="40"/>
      <c r="I12" s="40">
        <v>0</v>
      </c>
      <c r="J12" s="26">
        <v>0</v>
      </c>
      <c r="K12" s="26">
        <v>0</v>
      </c>
      <c r="L12" s="40"/>
      <c r="M12" s="40">
        <v>0.2</v>
      </c>
      <c r="N12" s="26"/>
      <c r="O12" s="26"/>
      <c r="P12" s="40">
        <v>0.3</v>
      </c>
      <c r="Q12" s="40">
        <v>0.3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69</v>
      </c>
      <c r="G13" s="26">
        <v>64.400000000000006</v>
      </c>
      <c r="H13" s="40"/>
      <c r="I13" s="40">
        <v>68.400000000000006</v>
      </c>
      <c r="J13" s="26">
        <v>71.400000000000006</v>
      </c>
      <c r="K13" s="26">
        <v>68.400000000000006</v>
      </c>
      <c r="L13" s="40"/>
      <c r="M13" s="40">
        <v>73.7</v>
      </c>
      <c r="N13" s="26"/>
      <c r="O13" s="26"/>
      <c r="P13" s="40">
        <v>73.900000000000006</v>
      </c>
      <c r="Q13" s="40">
        <v>73.8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63.9</v>
      </c>
      <c r="G14" s="26">
        <v>68.7</v>
      </c>
      <c r="H14" s="40"/>
      <c r="I14" s="40">
        <v>69.5</v>
      </c>
      <c r="J14" s="26">
        <v>62.5</v>
      </c>
      <c r="K14" s="26">
        <v>64.099999999999994</v>
      </c>
      <c r="L14" s="40"/>
      <c r="M14" s="40">
        <v>68.099999999999994</v>
      </c>
      <c r="N14" s="26"/>
      <c r="O14" s="26"/>
      <c r="P14" s="40">
        <v>70.8</v>
      </c>
      <c r="Q14" s="40">
        <v>74.599999999999994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52.6</v>
      </c>
      <c r="G15" s="26">
        <v>50.7</v>
      </c>
      <c r="H15" s="40"/>
      <c r="I15" s="40">
        <v>60.6</v>
      </c>
      <c r="J15" s="26">
        <v>40.200000000000003</v>
      </c>
      <c r="K15" s="26">
        <v>42.5</v>
      </c>
      <c r="L15" s="40"/>
      <c r="M15" s="40">
        <v>38.4</v>
      </c>
      <c r="N15" s="26"/>
      <c r="O15" s="26"/>
      <c r="P15" s="40">
        <v>41.1</v>
      </c>
      <c r="Q15" s="40">
        <v>41.5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/>
      <c r="I16" s="40">
        <v>6.6</v>
      </c>
      <c r="J16" s="26">
        <v>6.6</v>
      </c>
      <c r="K16" s="26">
        <v>6.6</v>
      </c>
      <c r="L16" s="40"/>
      <c r="M16" s="40">
        <v>6.6</v>
      </c>
      <c r="N16" s="26"/>
      <c r="O16" s="26"/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118.2</v>
      </c>
      <c r="G17" s="26">
        <v>115.1</v>
      </c>
      <c r="H17" s="40"/>
      <c r="I17" s="40">
        <v>114.3</v>
      </c>
      <c r="J17" s="26">
        <v>117.6</v>
      </c>
      <c r="K17" s="26">
        <v>115.2</v>
      </c>
      <c r="L17" s="40"/>
      <c r="M17" s="40">
        <v>117.7</v>
      </c>
      <c r="N17" s="26"/>
      <c r="O17" s="26"/>
      <c r="P17" s="40">
        <v>118.6</v>
      </c>
      <c r="Q17" s="40">
        <v>114.4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1164</v>
      </c>
      <c r="G18" s="26">
        <v>1135</v>
      </c>
      <c r="H18" s="40"/>
      <c r="I18" s="40">
        <v>1164</v>
      </c>
      <c r="J18" s="26">
        <v>1194</v>
      </c>
      <c r="K18" s="26">
        <v>1170</v>
      </c>
      <c r="L18" s="40"/>
      <c r="M18" s="40">
        <v>1214</v>
      </c>
      <c r="N18" s="26"/>
      <c r="O18" s="26"/>
      <c r="P18" s="40">
        <v>1202</v>
      </c>
      <c r="Q18" s="40">
        <v>1179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46210.7</v>
      </c>
      <c r="G19" s="26">
        <v>46201.8</v>
      </c>
      <c r="H19" s="40"/>
      <c r="I19" s="40">
        <v>46997.9</v>
      </c>
      <c r="J19" s="26">
        <v>44599.4</v>
      </c>
      <c r="K19" s="26">
        <v>44590.5</v>
      </c>
      <c r="L19" s="40"/>
      <c r="M19" s="40">
        <v>47017.599999999999</v>
      </c>
      <c r="N19" s="26"/>
      <c r="O19" s="26"/>
      <c r="P19" s="40">
        <v>48135.6</v>
      </c>
      <c r="Q19" s="40">
        <v>48126.7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58.8</v>
      </c>
      <c r="G22" s="26">
        <v>58.4</v>
      </c>
      <c r="H22" s="40"/>
      <c r="I22" s="40">
        <v>59.2</v>
      </c>
      <c r="J22" s="26">
        <v>57.7</v>
      </c>
      <c r="K22" s="26">
        <v>57.4</v>
      </c>
      <c r="L22" s="40"/>
      <c r="M22" s="40">
        <v>57</v>
      </c>
      <c r="N22" s="26"/>
      <c r="O22" s="26"/>
      <c r="P22" s="40">
        <v>59.2</v>
      </c>
      <c r="Q22" s="40">
        <v>59.2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0.52</v>
      </c>
      <c r="G23" s="26">
        <v>0.52</v>
      </c>
      <c r="H23" s="40"/>
      <c r="I23" s="40">
        <v>0.5</v>
      </c>
      <c r="J23" s="26">
        <v>0.57999999999999996</v>
      </c>
      <c r="K23" s="26">
        <v>0.57999999999999996</v>
      </c>
      <c r="L23" s="40"/>
      <c r="M23" s="40">
        <v>0.53</v>
      </c>
      <c r="N23" s="26"/>
      <c r="O23" s="26"/>
      <c r="P23" s="40">
        <v>0.48</v>
      </c>
      <c r="Q23" s="40">
        <v>0.47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45.3</v>
      </c>
      <c r="G25" s="26">
        <v>44.5</v>
      </c>
      <c r="H25" s="40"/>
      <c r="I25" s="40">
        <v>45</v>
      </c>
      <c r="J25" s="26">
        <v>45.1</v>
      </c>
      <c r="K25" s="26">
        <v>44.6</v>
      </c>
      <c r="L25" s="40"/>
      <c r="M25" s="40">
        <v>44.6</v>
      </c>
      <c r="N25" s="26"/>
      <c r="O25" s="26"/>
      <c r="P25" s="40">
        <v>45.1</v>
      </c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0.28000000000000003</v>
      </c>
      <c r="G26" s="26">
        <v>0.23</v>
      </c>
      <c r="H26" s="40"/>
      <c r="I26" s="40">
        <v>0.22</v>
      </c>
      <c r="J26" s="26">
        <v>0.23</v>
      </c>
      <c r="K26" s="26">
        <v>0.22</v>
      </c>
      <c r="L26" s="40"/>
      <c r="M26" s="40">
        <v>0.22</v>
      </c>
      <c r="N26" s="26"/>
      <c r="O26" s="26"/>
      <c r="P26" s="40">
        <v>0.22</v>
      </c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4.5</v>
      </c>
      <c r="G27" s="26">
        <v>4.5</v>
      </c>
      <c r="H27" s="40"/>
      <c r="I27" s="40">
        <v>4.4000000000000004</v>
      </c>
      <c r="J27" s="26">
        <v>4</v>
      </c>
      <c r="K27" s="26">
        <v>4</v>
      </c>
      <c r="L27" s="40"/>
      <c r="M27" s="40">
        <v>4</v>
      </c>
      <c r="N27" s="26"/>
      <c r="O27" s="26"/>
      <c r="P27" s="40">
        <v>4.2</v>
      </c>
      <c r="Q27" s="40">
        <v>3.6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3.8</v>
      </c>
      <c r="G28" s="26">
        <v>4.2</v>
      </c>
      <c r="H28" s="40"/>
      <c r="I28" s="40">
        <v>3.4</v>
      </c>
      <c r="J28" s="26">
        <v>3.3</v>
      </c>
      <c r="K28" s="26">
        <v>3.3</v>
      </c>
      <c r="L28" s="40"/>
      <c r="M28" s="40">
        <v>3.2</v>
      </c>
      <c r="N28" s="26"/>
      <c r="O28" s="26"/>
      <c r="P28" s="40">
        <v>3.2</v>
      </c>
      <c r="Q28" s="40">
        <v>2.7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0.5</v>
      </c>
      <c r="G29" s="41">
        <f t="shared" ref="G29:Q29" si="0">G32-G28</f>
        <v>1</v>
      </c>
      <c r="H29" s="41">
        <f t="shared" si="0"/>
        <v>0</v>
      </c>
      <c r="I29" s="41">
        <f t="shared" si="0"/>
        <v>2.1999999999999997</v>
      </c>
      <c r="J29" s="41">
        <f t="shared" si="0"/>
        <v>1</v>
      </c>
      <c r="K29" s="41">
        <f t="shared" si="0"/>
        <v>0.79999999999999982</v>
      </c>
      <c r="L29" s="41">
        <f t="shared" si="0"/>
        <v>0</v>
      </c>
      <c r="M29" s="41">
        <f t="shared" si="0"/>
        <v>1.2999999999999998</v>
      </c>
      <c r="N29" s="41">
        <f t="shared" si="0"/>
        <v>0</v>
      </c>
      <c r="O29" s="41">
        <f t="shared" si="0"/>
        <v>0</v>
      </c>
      <c r="P29" s="41">
        <f t="shared" si="0"/>
        <v>1.5999999999999996</v>
      </c>
      <c r="Q29" s="41">
        <f t="shared" si="0"/>
        <v>1.7999999999999998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747.12</v>
      </c>
      <c r="G30" s="26">
        <v>742.4</v>
      </c>
      <c r="H30" s="40"/>
      <c r="I30" s="40">
        <v>713.2</v>
      </c>
      <c r="J30" s="26">
        <v>686.96</v>
      </c>
      <c r="K30" s="26">
        <v>661.52</v>
      </c>
      <c r="L30" s="40"/>
      <c r="M30" s="40">
        <v>647.29999999999995</v>
      </c>
      <c r="N30" s="26"/>
      <c r="O30" s="26"/>
      <c r="P30" s="40">
        <v>731.92</v>
      </c>
      <c r="Q30" s="40">
        <v>650.4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12.1</v>
      </c>
      <c r="G31" s="26">
        <v>13.6</v>
      </c>
      <c r="H31" s="40"/>
      <c r="I31" s="40">
        <v>13.6</v>
      </c>
      <c r="J31" s="26">
        <v>12.8</v>
      </c>
      <c r="K31" s="26">
        <v>13</v>
      </c>
      <c r="L31" s="40"/>
      <c r="M31" s="40">
        <v>13.6</v>
      </c>
      <c r="N31" s="26"/>
      <c r="O31" s="26"/>
      <c r="P31" s="40">
        <v>12.4</v>
      </c>
      <c r="Q31" s="40">
        <v>13.2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4.3</v>
      </c>
      <c r="G32" s="26">
        <v>5.2</v>
      </c>
      <c r="H32" s="40"/>
      <c r="I32" s="40">
        <v>5.6</v>
      </c>
      <c r="J32" s="26">
        <v>4.3</v>
      </c>
      <c r="K32" s="26">
        <v>4.0999999999999996</v>
      </c>
      <c r="L32" s="40"/>
      <c r="M32" s="40">
        <v>4.5</v>
      </c>
      <c r="N32" s="26"/>
      <c r="O32" s="26"/>
      <c r="P32" s="40">
        <v>4.8</v>
      </c>
      <c r="Q32" s="40">
        <v>4.5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7.8</v>
      </c>
      <c r="G33" s="41">
        <f t="shared" ref="G33:Q33" si="1">G31-G32</f>
        <v>8.3999999999999986</v>
      </c>
      <c r="H33" s="41">
        <f t="shared" si="1"/>
        <v>0</v>
      </c>
      <c r="I33" s="41">
        <f t="shared" si="1"/>
        <v>8</v>
      </c>
      <c r="J33" s="41">
        <f t="shared" si="1"/>
        <v>8.5</v>
      </c>
      <c r="K33" s="41">
        <f t="shared" si="1"/>
        <v>8.9</v>
      </c>
      <c r="L33" s="41">
        <f t="shared" si="1"/>
        <v>0</v>
      </c>
      <c r="M33" s="41">
        <f t="shared" si="1"/>
        <v>9.1</v>
      </c>
      <c r="N33" s="41">
        <f t="shared" si="1"/>
        <v>0</v>
      </c>
      <c r="O33" s="41">
        <f t="shared" si="1"/>
        <v>0</v>
      </c>
      <c r="P33" s="41">
        <f t="shared" si="1"/>
        <v>7.6000000000000005</v>
      </c>
      <c r="Q33" s="41">
        <f t="shared" si="1"/>
        <v>8.6999999999999993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6729.2563510392611</v>
      </c>
      <c r="G34" s="42">
        <f t="shared" ref="G34:Q34" si="2">(G33*G30)/0.866</f>
        <v>7201.1085450346409</v>
      </c>
      <c r="H34" s="42">
        <f t="shared" si="2"/>
        <v>0</v>
      </c>
      <c r="I34" s="42">
        <f t="shared" si="2"/>
        <v>6588.4526558891457</v>
      </c>
      <c r="J34" s="42">
        <f t="shared" si="2"/>
        <v>6742.6789838337181</v>
      </c>
      <c r="K34" s="42">
        <f t="shared" si="2"/>
        <v>6798.5311778290998</v>
      </c>
      <c r="L34" s="42">
        <f t="shared" si="2"/>
        <v>0</v>
      </c>
      <c r="M34" s="42">
        <f t="shared" si="2"/>
        <v>6801.8822170900685</v>
      </c>
      <c r="N34" s="42">
        <f t="shared" si="2"/>
        <v>0</v>
      </c>
      <c r="O34" s="42">
        <f t="shared" si="2"/>
        <v>0</v>
      </c>
      <c r="P34" s="42">
        <f t="shared" si="2"/>
        <v>6423.3163972286375</v>
      </c>
      <c r="Q34" s="42">
        <f t="shared" si="2"/>
        <v>6534.0415704387988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0.81</v>
      </c>
      <c r="G35" s="26">
        <v>0.78</v>
      </c>
      <c r="H35" s="40"/>
      <c r="I35" s="40">
        <v>0.82</v>
      </c>
      <c r="J35" s="26">
        <v>0.83</v>
      </c>
      <c r="K35" s="26">
        <v>0.8</v>
      </c>
      <c r="L35" s="40"/>
      <c r="M35" s="40">
        <v>0.81</v>
      </c>
      <c r="N35" s="26"/>
      <c r="O35" s="26"/>
      <c r="P35" s="40">
        <v>0.82</v>
      </c>
      <c r="Q35" s="40">
        <v>0.78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35.799999999999997</v>
      </c>
      <c r="G36" s="26">
        <v>34.6</v>
      </c>
      <c r="H36" s="40"/>
      <c r="I36" s="40">
        <v>35.6</v>
      </c>
      <c r="J36" s="26">
        <v>36</v>
      </c>
      <c r="K36" s="26">
        <v>34.799999999999997</v>
      </c>
      <c r="L36" s="40"/>
      <c r="M36" s="40">
        <v>36.1</v>
      </c>
      <c r="N36" s="26"/>
      <c r="O36" s="26"/>
      <c r="P36" s="40">
        <v>36.1</v>
      </c>
      <c r="Q36" s="40">
        <v>35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36.200000000000003</v>
      </c>
      <c r="G37" s="26">
        <v>35.1</v>
      </c>
      <c r="H37" s="40"/>
      <c r="I37" s="40">
        <v>36.5</v>
      </c>
      <c r="J37" s="26">
        <v>36.700000000000003</v>
      </c>
      <c r="K37" s="26">
        <v>35.6</v>
      </c>
      <c r="L37" s="40"/>
      <c r="M37" s="40">
        <v>36.200000000000003</v>
      </c>
      <c r="N37" s="26"/>
      <c r="O37" s="26"/>
      <c r="P37" s="40">
        <v>36.200000000000003</v>
      </c>
      <c r="Q37" s="40">
        <v>35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2.9000000000000057</v>
      </c>
      <c r="G38" s="41">
        <f t="shared" ref="G38:Q38" si="3">G37-G41</f>
        <v>2</v>
      </c>
      <c r="H38" s="41">
        <f t="shared" si="3"/>
        <v>0</v>
      </c>
      <c r="I38" s="41">
        <f t="shared" si="3"/>
        <v>4.3999999999999986</v>
      </c>
      <c r="J38" s="41">
        <f t="shared" si="3"/>
        <v>3.7000000000000028</v>
      </c>
      <c r="K38" s="41">
        <f t="shared" si="3"/>
        <v>3</v>
      </c>
      <c r="L38" s="41">
        <f t="shared" si="3"/>
        <v>0</v>
      </c>
      <c r="M38" s="41">
        <f t="shared" si="3"/>
        <v>3.4000000000000057</v>
      </c>
      <c r="N38" s="41">
        <f t="shared" si="3"/>
        <v>0</v>
      </c>
      <c r="O38" s="41">
        <f t="shared" si="3"/>
        <v>0</v>
      </c>
      <c r="P38" s="41">
        <f t="shared" si="3"/>
        <v>2.9000000000000057</v>
      </c>
      <c r="Q38" s="41">
        <f t="shared" si="3"/>
        <v>2.1000000000000014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27.8</v>
      </c>
      <c r="G40" s="26">
        <v>27</v>
      </c>
      <c r="H40" s="40"/>
      <c r="I40" s="40">
        <v>26.9</v>
      </c>
      <c r="J40" s="26">
        <v>27.5</v>
      </c>
      <c r="K40" s="26">
        <v>37</v>
      </c>
      <c r="L40" s="40"/>
      <c r="M40" s="40">
        <v>26.9</v>
      </c>
      <c r="N40" s="26"/>
      <c r="O40" s="26"/>
      <c r="P40" s="40">
        <v>27.7</v>
      </c>
      <c r="Q40" s="40">
        <v>26.8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33.299999999999997</v>
      </c>
      <c r="G41" s="26">
        <v>33.1</v>
      </c>
      <c r="H41" s="40"/>
      <c r="I41" s="40">
        <v>32.1</v>
      </c>
      <c r="J41" s="26">
        <v>33</v>
      </c>
      <c r="K41" s="26">
        <v>32.6</v>
      </c>
      <c r="L41" s="40"/>
      <c r="M41" s="40">
        <v>32.799999999999997</v>
      </c>
      <c r="N41" s="26"/>
      <c r="O41" s="26"/>
      <c r="P41" s="40">
        <v>33.299999999999997</v>
      </c>
      <c r="Q41" s="40">
        <v>32.9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5.4999999999999964</v>
      </c>
      <c r="G42" s="41">
        <f t="shared" ref="G42:Q42" si="4">G41-G40</f>
        <v>6.1000000000000014</v>
      </c>
      <c r="H42" s="41">
        <f t="shared" si="4"/>
        <v>0</v>
      </c>
      <c r="I42" s="41">
        <f t="shared" si="4"/>
        <v>5.2000000000000028</v>
      </c>
      <c r="J42" s="41">
        <f t="shared" si="4"/>
        <v>5.5</v>
      </c>
      <c r="K42" s="41">
        <f t="shared" si="4"/>
        <v>-4.3999999999999986</v>
      </c>
      <c r="L42" s="41">
        <f t="shared" si="4"/>
        <v>0</v>
      </c>
      <c r="M42" s="41">
        <f t="shared" si="4"/>
        <v>5.8999999999999986</v>
      </c>
      <c r="N42" s="41">
        <f t="shared" si="4"/>
        <v>0</v>
      </c>
      <c r="O42" s="41">
        <f t="shared" si="4"/>
        <v>0</v>
      </c>
      <c r="P42" s="41">
        <f t="shared" si="4"/>
        <v>5.5999999999999979</v>
      </c>
      <c r="Q42" s="41">
        <f t="shared" si="4"/>
        <v>6.0999999999999979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1214.78</v>
      </c>
      <c r="G43" s="26">
        <v>1236.5</v>
      </c>
      <c r="H43" s="40"/>
      <c r="I43" s="40">
        <v>1276.2</v>
      </c>
      <c r="J43" s="26">
        <v>1294.02</v>
      </c>
      <c r="K43" s="26">
        <v>1297.5</v>
      </c>
      <c r="L43" s="40"/>
      <c r="M43" s="26">
        <v>1219.2</v>
      </c>
      <c r="N43" s="26"/>
      <c r="O43" s="26"/>
      <c r="P43" s="40">
        <v>1215.6199999999999</v>
      </c>
      <c r="Q43" s="40">
        <v>1237.7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7715.1154734411029</v>
      </c>
      <c r="G44" s="42">
        <f t="shared" ref="G44:Q44" si="5">G42*G43/0.866</f>
        <v>8709.757505773674</v>
      </c>
      <c r="H44" s="42">
        <f t="shared" si="5"/>
        <v>0</v>
      </c>
      <c r="I44" s="42">
        <f t="shared" si="5"/>
        <v>7663.0946882217131</v>
      </c>
      <c r="J44" s="42">
        <f t="shared" si="5"/>
        <v>8218.3718244803695</v>
      </c>
      <c r="K44" s="42">
        <f t="shared" si="5"/>
        <v>-6592.3787528868343</v>
      </c>
      <c r="L44" s="42">
        <f t="shared" si="5"/>
        <v>0</v>
      </c>
      <c r="M44" s="42">
        <f t="shared" si="5"/>
        <v>8306.3279445727476</v>
      </c>
      <c r="N44" s="42">
        <f t="shared" si="5"/>
        <v>0</v>
      </c>
      <c r="O44" s="42">
        <f t="shared" si="5"/>
        <v>0</v>
      </c>
      <c r="P44" s="42">
        <f t="shared" si="5"/>
        <v>7860.8221709006893</v>
      </c>
      <c r="Q44" s="42">
        <f t="shared" si="5"/>
        <v>8718.2101616628152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0.45</v>
      </c>
      <c r="G45" s="26">
        <v>0.46</v>
      </c>
      <c r="H45" s="40"/>
      <c r="I45" s="40">
        <v>0.46</v>
      </c>
      <c r="J45" s="26">
        <v>0.46</v>
      </c>
      <c r="K45" s="26">
        <v>0.45</v>
      </c>
      <c r="L45" s="40"/>
      <c r="M45" s="40">
        <v>0.46</v>
      </c>
      <c r="N45" s="26"/>
      <c r="O45" s="26"/>
      <c r="P45" s="40">
        <v>0.46</v>
      </c>
      <c r="Q45" s="40">
        <v>0.45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19.3</v>
      </c>
      <c r="G46" s="26">
        <v>19.399999999999999</v>
      </c>
      <c r="H46" s="40"/>
      <c r="I46" s="40">
        <v>19.3</v>
      </c>
      <c r="J46" s="26">
        <v>19.399999999999999</v>
      </c>
      <c r="K46" s="26">
        <v>18.899999999999999</v>
      </c>
      <c r="L46" s="40"/>
      <c r="M46" s="40">
        <v>19.3</v>
      </c>
      <c r="N46" s="26"/>
      <c r="O46" s="26"/>
      <c r="P46" s="40">
        <v>19.7</v>
      </c>
      <c r="Q46" s="40">
        <v>18.8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161.69999999999999</v>
      </c>
      <c r="G47" s="26">
        <v>197.8</v>
      </c>
      <c r="H47" s="40"/>
      <c r="I47" s="40">
        <v>128.4</v>
      </c>
      <c r="J47" s="26">
        <v>201.7</v>
      </c>
      <c r="K47" s="26">
        <v>213.7</v>
      </c>
      <c r="L47" s="40"/>
      <c r="M47" s="40">
        <v>218.1</v>
      </c>
      <c r="N47" s="26"/>
      <c r="O47" s="26"/>
      <c r="P47" s="40">
        <v>203.8</v>
      </c>
      <c r="Q47" s="40">
        <v>207.4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63">
        <v>5.89</v>
      </c>
      <c r="F49" s="26">
        <v>5.2</v>
      </c>
      <c r="G49" s="26">
        <v>5.3</v>
      </c>
      <c r="H49" s="40"/>
      <c r="I49" s="40">
        <v>5.0599999999999996</v>
      </c>
      <c r="J49" s="26">
        <v>5.28</v>
      </c>
      <c r="K49" s="26">
        <v>5.62</v>
      </c>
      <c r="L49" s="40"/>
      <c r="M49" s="40">
        <v>5.55</v>
      </c>
      <c r="N49" s="26"/>
      <c r="O49" s="26" t="s">
        <v>100</v>
      </c>
      <c r="P49" s="40">
        <v>4.7</v>
      </c>
      <c r="Q49" s="40">
        <v>5.47</v>
      </c>
    </row>
    <row r="50" spans="2:17" ht="20.100000000000001" customHeight="1" x14ac:dyDescent="0.25">
      <c r="B50" s="110" t="s">
        <v>51</v>
      </c>
      <c r="C50" s="110"/>
      <c r="D50" s="110"/>
      <c r="E50" s="63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62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96CF-7BB9-4E13-A381-CA6D21513797}">
  <dimension ref="B1:Q59"/>
  <sheetViews>
    <sheetView view="pageBreakPreview" topLeftCell="C1" zoomScale="85" zoomScaleNormal="60" zoomScaleSheetLayoutView="85" workbookViewId="0">
      <selection activeCell="L45" sqref="L45:L49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65" t="s">
        <v>78</v>
      </c>
      <c r="E10" s="27"/>
      <c r="F10" s="37" t="s">
        <v>99</v>
      </c>
      <c r="G10" s="37" t="s">
        <v>99</v>
      </c>
      <c r="H10" s="37" t="s">
        <v>99</v>
      </c>
      <c r="I10" s="39" t="s">
        <v>99</v>
      </c>
      <c r="J10" s="37" t="s">
        <v>99</v>
      </c>
      <c r="K10" s="37" t="s">
        <v>99</v>
      </c>
      <c r="L10" s="39"/>
      <c r="M10" s="39" t="s">
        <v>99</v>
      </c>
      <c r="N10" s="37"/>
      <c r="O10" s="37"/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73.900000000000006</v>
      </c>
      <c r="G11" s="26">
        <v>69.3</v>
      </c>
      <c r="H11" s="40">
        <v>78</v>
      </c>
      <c r="I11" s="40">
        <v>79.400000000000006</v>
      </c>
      <c r="J11" s="26"/>
      <c r="K11" s="26">
        <v>74.599999999999994</v>
      </c>
      <c r="L11" s="40">
        <v>76.7</v>
      </c>
      <c r="M11" s="40">
        <v>72.5</v>
      </c>
      <c r="N11" s="26"/>
      <c r="O11" s="26"/>
      <c r="P11" s="40"/>
      <c r="Q11" s="40">
        <v>71.3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0.3</v>
      </c>
      <c r="G12" s="26">
        <v>0.4</v>
      </c>
      <c r="H12" s="40">
        <v>0</v>
      </c>
      <c r="I12" s="40">
        <v>0</v>
      </c>
      <c r="J12" s="26"/>
      <c r="K12" s="26">
        <v>0</v>
      </c>
      <c r="L12" s="40">
        <v>0</v>
      </c>
      <c r="M12" s="40">
        <v>0.2</v>
      </c>
      <c r="N12" s="26"/>
      <c r="O12" s="26"/>
      <c r="P12" s="40"/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68.400000000000006</v>
      </c>
      <c r="G13" s="26">
        <v>63.8</v>
      </c>
      <c r="H13" s="40">
        <v>73.2</v>
      </c>
      <c r="I13" s="40">
        <v>75.400000000000006</v>
      </c>
      <c r="J13" s="26"/>
      <c r="K13" s="26">
        <v>69.8</v>
      </c>
      <c r="L13" s="40">
        <v>71.099999999999994</v>
      </c>
      <c r="M13" s="40">
        <v>67.900000000000006</v>
      </c>
      <c r="N13" s="26"/>
      <c r="O13" s="26"/>
      <c r="P13" s="40"/>
      <c r="Q13" s="40">
        <v>66.3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65.099999999999994</v>
      </c>
      <c r="G14" s="26">
        <v>66.7</v>
      </c>
      <c r="H14" s="40">
        <v>69.400000000000006</v>
      </c>
      <c r="I14" s="40">
        <v>68.5</v>
      </c>
      <c r="J14" s="26"/>
      <c r="K14" s="26">
        <v>63.3</v>
      </c>
      <c r="L14" s="40">
        <v>71</v>
      </c>
      <c r="M14" s="40">
        <v>67.8</v>
      </c>
      <c r="N14" s="26"/>
      <c r="O14" s="26"/>
      <c r="P14" s="40"/>
      <c r="Q14" s="40">
        <v>74.599999999999994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84.6</v>
      </c>
      <c r="G15" s="26">
        <v>49.9</v>
      </c>
      <c r="H15" s="40">
        <v>47.4</v>
      </c>
      <c r="I15" s="40">
        <v>50.3</v>
      </c>
      <c r="J15" s="26"/>
      <c r="K15" s="26">
        <v>39.6</v>
      </c>
      <c r="L15" s="40">
        <v>34.799999999999997</v>
      </c>
      <c r="M15" s="40">
        <v>35.9</v>
      </c>
      <c r="N15" s="26"/>
      <c r="O15" s="26"/>
      <c r="P15" s="40"/>
      <c r="Q15" s="40">
        <v>39.299999999999997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>
        <v>6.6</v>
      </c>
      <c r="I16" s="40">
        <v>6.6</v>
      </c>
      <c r="J16" s="26"/>
      <c r="K16" s="26">
        <v>6.6</v>
      </c>
      <c r="L16" s="40">
        <v>6.6</v>
      </c>
      <c r="M16" s="40">
        <v>6.6</v>
      </c>
      <c r="N16" s="26"/>
      <c r="O16" s="26"/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117.6</v>
      </c>
      <c r="G17" s="26">
        <v>116.7</v>
      </c>
      <c r="H17" s="40">
        <v>117</v>
      </c>
      <c r="I17" s="40">
        <v>118.6</v>
      </c>
      <c r="J17" s="26"/>
      <c r="K17" s="26">
        <v>117.8</v>
      </c>
      <c r="L17" s="40">
        <v>120.9</v>
      </c>
      <c r="M17" s="40">
        <v>119.1</v>
      </c>
      <c r="N17" s="26"/>
      <c r="O17" s="26"/>
      <c r="P17" s="40"/>
      <c r="Q17" s="40">
        <v>115.2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1149</v>
      </c>
      <c r="G18" s="26">
        <v>1151</v>
      </c>
      <c r="H18" s="40">
        <v>1207</v>
      </c>
      <c r="I18" s="40">
        <v>1205</v>
      </c>
      <c r="J18" s="26"/>
      <c r="K18" s="26">
        <v>1201</v>
      </c>
      <c r="L18" s="40">
        <v>1227</v>
      </c>
      <c r="M18" s="40">
        <v>1212</v>
      </c>
      <c r="N18" s="26"/>
      <c r="O18" s="26"/>
      <c r="P18" s="40"/>
      <c r="Q18" s="40">
        <v>1173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46158</v>
      </c>
      <c r="G19" s="26">
        <v>46221.1</v>
      </c>
      <c r="H19" s="40">
        <v>46978</v>
      </c>
      <c r="I19" s="40">
        <v>47008.3</v>
      </c>
      <c r="J19" s="26"/>
      <c r="K19" s="26">
        <v>44612.800000000003</v>
      </c>
      <c r="L19" s="40">
        <v>46256.800000000003</v>
      </c>
      <c r="M19" s="40">
        <v>47028</v>
      </c>
      <c r="N19" s="26"/>
      <c r="O19" s="26"/>
      <c r="P19" s="40"/>
      <c r="Q19" s="40">
        <v>48148.2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58.1</v>
      </c>
      <c r="G22" s="26">
        <v>58.8</v>
      </c>
      <c r="H22" s="40">
        <v>59.3</v>
      </c>
      <c r="I22" s="40">
        <v>59.1</v>
      </c>
      <c r="J22" s="26"/>
      <c r="K22" s="26">
        <v>57.8</v>
      </c>
      <c r="L22" s="40">
        <v>44.8</v>
      </c>
      <c r="M22" s="40">
        <v>57.3</v>
      </c>
      <c r="N22" s="26"/>
      <c r="O22" s="26"/>
      <c r="P22" s="40"/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0.52</v>
      </c>
      <c r="G23" s="26">
        <v>0.53</v>
      </c>
      <c r="H23" s="40">
        <v>0.5</v>
      </c>
      <c r="I23" s="40">
        <v>0.49</v>
      </c>
      <c r="J23" s="26"/>
      <c r="K23" s="26">
        <v>0.57999999999999996</v>
      </c>
      <c r="L23" s="40">
        <v>0.54</v>
      </c>
      <c r="M23" s="40">
        <v>0.54</v>
      </c>
      <c r="N23" s="26"/>
      <c r="O23" s="26"/>
      <c r="P23" s="40"/>
      <c r="Q23" s="40">
        <v>0.49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44.7</v>
      </c>
      <c r="G25" s="26">
        <v>44.8</v>
      </c>
      <c r="H25" s="40">
        <v>44.7</v>
      </c>
      <c r="I25" s="40">
        <v>45.2</v>
      </c>
      <c r="J25" s="26"/>
      <c r="K25" s="26">
        <v>44.9</v>
      </c>
      <c r="L25" s="40">
        <v>44.8</v>
      </c>
      <c r="M25" s="40">
        <v>44.8</v>
      </c>
      <c r="N25" s="26"/>
      <c r="O25" s="26"/>
      <c r="P25" s="40"/>
      <c r="Q25" s="40">
        <v>45.1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0.24</v>
      </c>
      <c r="G26" s="26">
        <v>0.23</v>
      </c>
      <c r="H26" s="40">
        <v>0.22</v>
      </c>
      <c r="I26" s="40">
        <v>0.22</v>
      </c>
      <c r="J26" s="26"/>
      <c r="K26" s="26">
        <v>0.22</v>
      </c>
      <c r="L26" s="40">
        <v>0.2</v>
      </c>
      <c r="M26" s="40">
        <v>0.23</v>
      </c>
      <c r="N26" s="26"/>
      <c r="O26" s="26"/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5.4</v>
      </c>
      <c r="G27" s="26">
        <v>4.8</v>
      </c>
      <c r="H27" s="40">
        <v>4.0999999999999996</v>
      </c>
      <c r="I27" s="40">
        <v>3.7</v>
      </c>
      <c r="J27" s="26"/>
      <c r="K27" s="26">
        <v>4.2</v>
      </c>
      <c r="L27" s="40">
        <v>4.7</v>
      </c>
      <c r="M27" s="40">
        <v>4.9000000000000004</v>
      </c>
      <c r="N27" s="26"/>
      <c r="O27" s="26"/>
      <c r="P27" s="40"/>
      <c r="Q27" s="40">
        <v>4.9000000000000004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4.8</v>
      </c>
      <c r="G28" s="26">
        <v>4.2</v>
      </c>
      <c r="H28" s="40">
        <v>3.1</v>
      </c>
      <c r="I28" s="40">
        <v>2.9</v>
      </c>
      <c r="J28" s="26"/>
      <c r="K28" s="26">
        <v>3.4</v>
      </c>
      <c r="L28" s="40">
        <v>3.7</v>
      </c>
      <c r="M28" s="40">
        <v>3.9</v>
      </c>
      <c r="N28" s="26"/>
      <c r="O28" s="26"/>
      <c r="P28" s="40"/>
      <c r="Q28" s="40">
        <v>4.2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0.20000000000000018</v>
      </c>
      <c r="G29" s="41">
        <f t="shared" ref="G29:Q29" si="0">G32-G28</f>
        <v>1</v>
      </c>
      <c r="H29" s="41">
        <f t="shared" si="0"/>
        <v>2.1999999999999997</v>
      </c>
      <c r="I29" s="41">
        <f t="shared" si="0"/>
        <v>2.3000000000000003</v>
      </c>
      <c r="J29" s="41">
        <f t="shared" si="0"/>
        <v>0</v>
      </c>
      <c r="K29" s="41">
        <f t="shared" si="0"/>
        <v>0.80000000000000027</v>
      </c>
      <c r="L29" s="41">
        <f t="shared" si="0"/>
        <v>0.79999999999999982</v>
      </c>
      <c r="M29" s="41">
        <f t="shared" si="0"/>
        <v>1.3000000000000003</v>
      </c>
      <c r="N29" s="41">
        <f t="shared" si="0"/>
        <v>0</v>
      </c>
      <c r="O29" s="41">
        <f t="shared" si="0"/>
        <v>0</v>
      </c>
      <c r="P29" s="41">
        <f t="shared" si="0"/>
        <v>0</v>
      </c>
      <c r="Q29" s="41">
        <f t="shared" si="0"/>
        <v>1.3999999999999995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728.4</v>
      </c>
      <c r="G30" s="26">
        <v>733.5</v>
      </c>
      <c r="H30" s="40">
        <v>735.5</v>
      </c>
      <c r="I30" s="40">
        <v>710.3</v>
      </c>
      <c r="J30" s="26"/>
      <c r="K30" s="26">
        <v>645.79999999999995</v>
      </c>
      <c r="L30" s="40">
        <v>719.76</v>
      </c>
      <c r="M30" s="40">
        <v>728.2</v>
      </c>
      <c r="N30" s="26"/>
      <c r="O30" s="26"/>
      <c r="P30" s="40"/>
      <c r="Q30" s="40">
        <v>712.9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13</v>
      </c>
      <c r="G31" s="26">
        <v>13.1</v>
      </c>
      <c r="H31" s="40">
        <v>14</v>
      </c>
      <c r="I31" s="40">
        <v>13.4</v>
      </c>
      <c r="J31" s="26"/>
      <c r="K31" s="26">
        <v>13.1</v>
      </c>
      <c r="L31" s="40">
        <v>12.8</v>
      </c>
      <c r="M31" s="40">
        <v>13.3</v>
      </c>
      <c r="N31" s="26"/>
      <c r="O31" s="26"/>
      <c r="P31" s="40"/>
      <c r="Q31" s="40">
        <v>13.4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5</v>
      </c>
      <c r="G32" s="26">
        <v>5.2</v>
      </c>
      <c r="H32" s="40">
        <v>5.3</v>
      </c>
      <c r="I32" s="40">
        <v>5.2</v>
      </c>
      <c r="J32" s="26"/>
      <c r="K32" s="26">
        <v>4.2</v>
      </c>
      <c r="L32" s="40">
        <v>4.5</v>
      </c>
      <c r="M32" s="40">
        <v>5.2</v>
      </c>
      <c r="N32" s="26"/>
      <c r="O32" s="26"/>
      <c r="P32" s="40"/>
      <c r="Q32" s="40">
        <v>5.6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8</v>
      </c>
      <c r="G33" s="41">
        <f t="shared" ref="G33:Q33" si="1">G31-G32</f>
        <v>7.8999999999999995</v>
      </c>
      <c r="H33" s="41">
        <f t="shared" si="1"/>
        <v>8.6999999999999993</v>
      </c>
      <c r="I33" s="41">
        <f t="shared" si="1"/>
        <v>8.1999999999999993</v>
      </c>
      <c r="J33" s="41">
        <f t="shared" si="1"/>
        <v>0</v>
      </c>
      <c r="K33" s="41">
        <f t="shared" si="1"/>
        <v>8.8999999999999986</v>
      </c>
      <c r="L33" s="41">
        <f t="shared" si="1"/>
        <v>8.3000000000000007</v>
      </c>
      <c r="M33" s="41">
        <f t="shared" si="1"/>
        <v>8.1000000000000014</v>
      </c>
      <c r="N33" s="41">
        <f t="shared" si="1"/>
        <v>0</v>
      </c>
      <c r="O33" s="41">
        <f t="shared" si="1"/>
        <v>0</v>
      </c>
      <c r="P33" s="41">
        <f t="shared" si="1"/>
        <v>0</v>
      </c>
      <c r="Q33" s="41">
        <f t="shared" si="1"/>
        <v>7.8000000000000007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6728.8683602771362</v>
      </c>
      <c r="G34" s="42">
        <f t="shared" ref="G34:Q34" si="2">(G33*G30)/0.866</f>
        <v>6691.2817551963044</v>
      </c>
      <c r="H34" s="42">
        <f t="shared" si="2"/>
        <v>7388.9722863741335</v>
      </c>
      <c r="I34" s="42">
        <f t="shared" si="2"/>
        <v>6725.7043879907615</v>
      </c>
      <c r="J34" s="42">
        <f t="shared" si="2"/>
        <v>0</v>
      </c>
      <c r="K34" s="42">
        <f t="shared" si="2"/>
        <v>6636.9745958429548</v>
      </c>
      <c r="L34" s="42">
        <f t="shared" si="2"/>
        <v>6898.3926096997702</v>
      </c>
      <c r="M34" s="42">
        <f t="shared" si="2"/>
        <v>6811.1085450346436</v>
      </c>
      <c r="N34" s="42">
        <f t="shared" si="2"/>
        <v>0</v>
      </c>
      <c r="O34" s="42">
        <f t="shared" si="2"/>
        <v>0</v>
      </c>
      <c r="P34" s="42">
        <f t="shared" si="2"/>
        <v>0</v>
      </c>
      <c r="Q34" s="42">
        <f t="shared" si="2"/>
        <v>6421.0392609699766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0.82</v>
      </c>
      <c r="G35" s="26">
        <v>0.82</v>
      </c>
      <c r="H35" s="40">
        <v>0.87</v>
      </c>
      <c r="I35" s="40">
        <v>0.86</v>
      </c>
      <c r="J35" s="26"/>
      <c r="K35" s="26">
        <v>0.84</v>
      </c>
      <c r="L35" s="40">
        <v>0.83</v>
      </c>
      <c r="M35" s="40">
        <v>0.85</v>
      </c>
      <c r="N35" s="26"/>
      <c r="O35" s="26"/>
      <c r="P35" s="40"/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36</v>
      </c>
      <c r="G36" s="26">
        <v>36.4</v>
      </c>
      <c r="H36" s="40">
        <v>37.700000000000003</v>
      </c>
      <c r="I36" s="40">
        <v>37.1</v>
      </c>
      <c r="J36" s="26"/>
      <c r="K36" s="26">
        <v>36.299999999999997</v>
      </c>
      <c r="L36" s="40">
        <v>37.799999999999997</v>
      </c>
      <c r="M36" s="40">
        <v>37.9</v>
      </c>
      <c r="N36" s="26"/>
      <c r="O36" s="26"/>
      <c r="P36" s="40"/>
      <c r="Q36" s="40">
        <v>36.6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36.4</v>
      </c>
      <c r="G37" s="26">
        <v>36.6</v>
      </c>
      <c r="H37" s="40">
        <v>38.5</v>
      </c>
      <c r="I37" s="40">
        <v>38</v>
      </c>
      <c r="J37" s="26"/>
      <c r="K37" s="26">
        <v>37.200000000000003</v>
      </c>
      <c r="L37" s="40">
        <v>37</v>
      </c>
      <c r="M37" s="40">
        <v>37.9</v>
      </c>
      <c r="N37" s="26"/>
      <c r="O37" s="26"/>
      <c r="P37" s="40"/>
      <c r="Q37" s="40">
        <v>36.700000000000003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2.1000000000000014</v>
      </c>
      <c r="G38" s="41">
        <f t="shared" ref="G38:Q38" si="3">G37-G41</f>
        <v>1.8999999999999986</v>
      </c>
      <c r="H38" s="41">
        <f t="shared" si="3"/>
        <v>4.2999999999999972</v>
      </c>
      <c r="I38" s="41">
        <f t="shared" si="3"/>
        <v>4.2999999999999972</v>
      </c>
      <c r="J38" s="41">
        <f t="shared" si="3"/>
        <v>0</v>
      </c>
      <c r="K38" s="41">
        <f t="shared" si="3"/>
        <v>2.9000000000000057</v>
      </c>
      <c r="L38" s="41">
        <f t="shared" si="3"/>
        <v>4.2999999999999972</v>
      </c>
      <c r="M38" s="41">
        <f t="shared" si="3"/>
        <v>3.3999999999999986</v>
      </c>
      <c r="N38" s="41">
        <f t="shared" si="3"/>
        <v>0</v>
      </c>
      <c r="O38" s="41">
        <f t="shared" si="3"/>
        <v>0</v>
      </c>
      <c r="P38" s="41">
        <f t="shared" si="3"/>
        <v>0</v>
      </c>
      <c r="Q38" s="41">
        <f t="shared" si="3"/>
        <v>2.3000000000000043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28.7</v>
      </c>
      <c r="G40" s="26">
        <v>28.7</v>
      </c>
      <c r="H40" s="40">
        <v>29.4</v>
      </c>
      <c r="I40" s="40">
        <v>28.7</v>
      </c>
      <c r="J40" s="26"/>
      <c r="K40" s="26">
        <v>28.7</v>
      </c>
      <c r="L40" s="40">
        <v>27.2</v>
      </c>
      <c r="M40" s="40">
        <v>28.7</v>
      </c>
      <c r="N40" s="26"/>
      <c r="O40" s="26"/>
      <c r="P40" s="40"/>
      <c r="Q40" s="40">
        <v>28.6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34.299999999999997</v>
      </c>
      <c r="G41" s="26">
        <v>34.700000000000003</v>
      </c>
      <c r="H41" s="40">
        <v>34.200000000000003</v>
      </c>
      <c r="I41" s="40">
        <v>33.700000000000003</v>
      </c>
      <c r="J41" s="26"/>
      <c r="K41" s="26">
        <v>34.299999999999997</v>
      </c>
      <c r="L41" s="40">
        <v>32.700000000000003</v>
      </c>
      <c r="M41" s="40">
        <v>34.5</v>
      </c>
      <c r="N41" s="26"/>
      <c r="O41" s="26"/>
      <c r="P41" s="40"/>
      <c r="Q41" s="40">
        <v>34.4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5.5999999999999979</v>
      </c>
      <c r="G42" s="41">
        <f t="shared" ref="G42:Q42" si="4">G41-G40</f>
        <v>6.0000000000000036</v>
      </c>
      <c r="H42" s="41">
        <f t="shared" si="4"/>
        <v>4.8000000000000043</v>
      </c>
      <c r="I42" s="41">
        <f t="shared" si="4"/>
        <v>5.0000000000000036</v>
      </c>
      <c r="J42" s="41">
        <f t="shared" si="4"/>
        <v>0</v>
      </c>
      <c r="K42" s="41">
        <f t="shared" si="4"/>
        <v>5.5999999999999979</v>
      </c>
      <c r="L42" s="41">
        <f t="shared" si="4"/>
        <v>5.5000000000000036</v>
      </c>
      <c r="M42" s="41">
        <f t="shared" si="4"/>
        <v>5.8000000000000007</v>
      </c>
      <c r="N42" s="41">
        <f t="shared" si="4"/>
        <v>0</v>
      </c>
      <c r="O42" s="41">
        <f t="shared" si="4"/>
        <v>0</v>
      </c>
      <c r="P42" s="41">
        <f t="shared" si="4"/>
        <v>0</v>
      </c>
      <c r="Q42" s="41">
        <f t="shared" si="4"/>
        <v>5.7999999999999972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1259.4000000000001</v>
      </c>
      <c r="G43" s="26">
        <v>1221.3</v>
      </c>
      <c r="H43" s="40">
        <v>1298.8</v>
      </c>
      <c r="I43" s="40">
        <v>1261.7</v>
      </c>
      <c r="J43" s="26"/>
      <c r="K43" s="26">
        <v>1295.7</v>
      </c>
      <c r="L43" s="40">
        <v>1245.44</v>
      </c>
      <c r="M43" s="26">
        <v>1198.8</v>
      </c>
      <c r="N43" s="26"/>
      <c r="O43" s="26"/>
      <c r="P43" s="40"/>
      <c r="Q43" s="40">
        <v>1215.7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8143.9260969976876</v>
      </c>
      <c r="G44" s="42">
        <f t="shared" ref="G44:Q44" si="5">G42*G43/0.866</f>
        <v>8461.6628175519672</v>
      </c>
      <c r="H44" s="42">
        <f t="shared" si="5"/>
        <v>7198.8914549653637</v>
      </c>
      <c r="I44" s="42">
        <f t="shared" si="5"/>
        <v>7284.6420323325692</v>
      </c>
      <c r="J44" s="42">
        <f t="shared" si="5"/>
        <v>0</v>
      </c>
      <c r="K44" s="42">
        <f t="shared" si="5"/>
        <v>8378.6605080831378</v>
      </c>
      <c r="L44" s="42">
        <f t="shared" si="5"/>
        <v>7909.8383371824539</v>
      </c>
      <c r="M44" s="42">
        <f t="shared" si="5"/>
        <v>8028.9145496535812</v>
      </c>
      <c r="N44" s="42">
        <f t="shared" si="5"/>
        <v>0</v>
      </c>
      <c r="O44" s="42">
        <f t="shared" si="5"/>
        <v>0</v>
      </c>
      <c r="P44" s="42">
        <f t="shared" si="5"/>
        <v>0</v>
      </c>
      <c r="Q44" s="42">
        <f t="shared" si="5"/>
        <v>8142.1016166281715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0.46</v>
      </c>
      <c r="G45" s="26">
        <v>0.47</v>
      </c>
      <c r="H45" s="40">
        <v>0.48</v>
      </c>
      <c r="I45" s="40">
        <v>0.47</v>
      </c>
      <c r="J45" s="26"/>
      <c r="K45" s="26">
        <v>0.46</v>
      </c>
      <c r="L45" s="40">
        <v>0.46</v>
      </c>
      <c r="M45" s="40">
        <v>0.48</v>
      </c>
      <c r="N45" s="26"/>
      <c r="O45" s="26"/>
      <c r="P45" s="40"/>
      <c r="Q45" s="40">
        <v>0.48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19.600000000000001</v>
      </c>
      <c r="G46" s="26">
        <v>20.3</v>
      </c>
      <c r="H46" s="40">
        <v>20.3</v>
      </c>
      <c r="I46" s="40">
        <v>19.899999999999999</v>
      </c>
      <c r="J46" s="26"/>
      <c r="K46" s="26">
        <v>19.399999999999999</v>
      </c>
      <c r="L46" s="40">
        <v>19.7</v>
      </c>
      <c r="M46" s="40">
        <v>20</v>
      </c>
      <c r="N46" s="26"/>
      <c r="O46" s="26"/>
      <c r="P46" s="40"/>
      <c r="Q46" s="40">
        <v>20.6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168.5</v>
      </c>
      <c r="G47" s="26">
        <v>212.2</v>
      </c>
      <c r="H47" s="40">
        <v>134.5</v>
      </c>
      <c r="I47" s="40">
        <v>125.7</v>
      </c>
      <c r="J47" s="26"/>
      <c r="K47" s="26">
        <v>194.8</v>
      </c>
      <c r="L47" s="40">
        <v>210.2</v>
      </c>
      <c r="M47" s="40">
        <v>210.2</v>
      </c>
      <c r="N47" s="26"/>
      <c r="O47" s="26"/>
      <c r="P47" s="40"/>
      <c r="Q47" s="40">
        <v>196.6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65">
        <v>5.89</v>
      </c>
      <c r="F49" s="26">
        <v>5.22</v>
      </c>
      <c r="G49" s="26">
        <v>5.16</v>
      </c>
      <c r="H49" s="40">
        <v>5.13</v>
      </c>
      <c r="I49" s="40">
        <v>5.08</v>
      </c>
      <c r="J49" s="26"/>
      <c r="K49" s="26">
        <v>5.48</v>
      </c>
      <c r="L49" s="40">
        <v>4.93</v>
      </c>
      <c r="M49" s="40">
        <v>4.88</v>
      </c>
      <c r="N49" s="26"/>
      <c r="O49" s="26"/>
      <c r="P49" s="40"/>
      <c r="Q49" s="40">
        <v>4.8499999999999996</v>
      </c>
    </row>
    <row r="50" spans="2:17" ht="20.100000000000001" customHeight="1" x14ac:dyDescent="0.25">
      <c r="B50" s="110" t="s">
        <v>51</v>
      </c>
      <c r="C50" s="110"/>
      <c r="D50" s="110"/>
      <c r="E50" s="65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64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732E-7477-46C9-BA76-FE4BC81D4C79}">
  <dimension ref="B1:Q59"/>
  <sheetViews>
    <sheetView view="pageBreakPreview" zoomScale="85" zoomScaleNormal="60" zoomScaleSheetLayoutView="85" workbookViewId="0">
      <selection activeCell="P51" sqref="P51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67" t="s">
        <v>78</v>
      </c>
      <c r="E10" s="27"/>
      <c r="F10" s="37" t="s">
        <v>99</v>
      </c>
      <c r="G10" s="37" t="s">
        <v>99</v>
      </c>
      <c r="H10" s="39" t="s">
        <v>99</v>
      </c>
      <c r="I10" s="39" t="s">
        <v>99</v>
      </c>
      <c r="J10" s="37" t="s">
        <v>99</v>
      </c>
      <c r="K10" s="37" t="s">
        <v>99</v>
      </c>
      <c r="L10" s="39"/>
      <c r="M10" s="39" t="s">
        <v>99</v>
      </c>
      <c r="N10" s="37"/>
      <c r="O10" s="37"/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69.900000000000006</v>
      </c>
      <c r="H11" s="40">
        <v>79.400000000000006</v>
      </c>
      <c r="I11" s="40">
        <v>79.400000000000006</v>
      </c>
      <c r="J11" s="26">
        <v>75.900000000000006</v>
      </c>
      <c r="K11" s="26">
        <v>72.900000000000006</v>
      </c>
      <c r="L11" s="40"/>
      <c r="M11" s="40">
        <v>72.5</v>
      </c>
      <c r="N11" s="26"/>
      <c r="O11" s="26"/>
      <c r="P11" s="40">
        <v>77.3</v>
      </c>
      <c r="Q11" s="40">
        <v>77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</v>
      </c>
      <c r="H12" s="40">
        <v>0</v>
      </c>
      <c r="I12" s="40">
        <v>0</v>
      </c>
      <c r="J12" s="26">
        <v>0</v>
      </c>
      <c r="K12" s="26">
        <v>0</v>
      </c>
      <c r="L12" s="40"/>
      <c r="M12" s="40">
        <v>0.2</v>
      </c>
      <c r="N12" s="26"/>
      <c r="O12" s="26"/>
      <c r="P12" s="40">
        <v>0.1</v>
      </c>
      <c r="Q12" s="40">
        <v>0.1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63.2</v>
      </c>
      <c r="H13" s="40">
        <v>75.400000000000006</v>
      </c>
      <c r="I13" s="40">
        <v>75.400000000000006</v>
      </c>
      <c r="J13" s="26">
        <v>72.400000000000006</v>
      </c>
      <c r="K13" s="26">
        <v>67</v>
      </c>
      <c r="L13" s="40"/>
      <c r="M13" s="40">
        <v>67.900000000000006</v>
      </c>
      <c r="N13" s="26"/>
      <c r="O13" s="26"/>
      <c r="P13" s="40">
        <v>72</v>
      </c>
      <c r="Q13" s="40">
        <v>72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66.7</v>
      </c>
      <c r="H14" s="40">
        <v>64.8</v>
      </c>
      <c r="I14" s="40">
        <v>67.900000000000006</v>
      </c>
      <c r="J14" s="26">
        <v>61.6</v>
      </c>
      <c r="K14" s="26">
        <v>64.3</v>
      </c>
      <c r="L14" s="40"/>
      <c r="M14" s="40">
        <v>66.7</v>
      </c>
      <c r="N14" s="26"/>
      <c r="O14" s="26"/>
      <c r="P14" s="40">
        <v>69.400000000000006</v>
      </c>
      <c r="Q14" s="40">
        <v>73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55.3</v>
      </c>
      <c r="H15" s="40">
        <v>52.4</v>
      </c>
      <c r="I15" s="40">
        <v>49.6</v>
      </c>
      <c r="J15" s="26">
        <v>40</v>
      </c>
      <c r="K15" s="26">
        <v>37.200000000000003</v>
      </c>
      <c r="L15" s="40"/>
      <c r="M15" s="40">
        <v>34.1</v>
      </c>
      <c r="N15" s="26"/>
      <c r="O15" s="26"/>
      <c r="P15" s="40">
        <v>42.6</v>
      </c>
      <c r="Q15" s="40">
        <v>42.6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>
        <v>6.6</v>
      </c>
      <c r="I16" s="40">
        <v>6.6</v>
      </c>
      <c r="J16" s="26">
        <v>6.6</v>
      </c>
      <c r="K16" s="26">
        <v>6.6</v>
      </c>
      <c r="L16" s="40"/>
      <c r="M16" s="40">
        <v>6.6</v>
      </c>
      <c r="N16" s="26"/>
      <c r="O16" s="26"/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118</v>
      </c>
      <c r="H17" s="40">
        <v>117.4</v>
      </c>
      <c r="I17" s="40">
        <v>119.6</v>
      </c>
      <c r="J17" s="26">
        <v>118.2</v>
      </c>
      <c r="K17" s="26">
        <v>116.6</v>
      </c>
      <c r="L17" s="40"/>
      <c r="M17" s="40">
        <v>119.2</v>
      </c>
      <c r="N17" s="26"/>
      <c r="O17" s="26"/>
      <c r="P17" s="40">
        <v>116.9</v>
      </c>
      <c r="Q17" s="40">
        <v>120.3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1142</v>
      </c>
      <c r="H18" s="40">
        <v>1194</v>
      </c>
      <c r="I18" s="40">
        <v>1200</v>
      </c>
      <c r="J18" s="26">
        <v>1205</v>
      </c>
      <c r="K18" s="26">
        <v>1175</v>
      </c>
      <c r="L18" s="40"/>
      <c r="M18" s="40">
        <v>1202</v>
      </c>
      <c r="N18" s="26"/>
      <c r="O18" s="26"/>
      <c r="P18" s="40">
        <v>1189</v>
      </c>
      <c r="Q18" s="40">
        <v>1217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46241.5</v>
      </c>
      <c r="H19" s="40">
        <v>47042.5</v>
      </c>
      <c r="I19" s="40">
        <v>47031.9</v>
      </c>
      <c r="J19" s="26">
        <v>44632.7</v>
      </c>
      <c r="K19" s="26">
        <v>44622.1</v>
      </c>
      <c r="L19" s="40"/>
      <c r="M19" s="40">
        <v>47051.7</v>
      </c>
      <c r="N19" s="26"/>
      <c r="O19" s="26"/>
      <c r="P19" s="40">
        <v>48168.2</v>
      </c>
      <c r="Q19" s="40">
        <v>48157.7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58.2</v>
      </c>
      <c r="H22" s="40">
        <v>59.1</v>
      </c>
      <c r="I22" s="40">
        <v>59.4</v>
      </c>
      <c r="J22" s="26">
        <v>57.8</v>
      </c>
      <c r="K22" s="26">
        <v>57.6</v>
      </c>
      <c r="L22" s="40"/>
      <c r="M22" s="40">
        <v>57.3</v>
      </c>
      <c r="N22" s="26"/>
      <c r="O22" s="26"/>
      <c r="P22" s="40">
        <v>59.3</v>
      </c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0.53</v>
      </c>
      <c r="H23" s="40">
        <v>0.49</v>
      </c>
      <c r="I23" s="40">
        <v>0.49</v>
      </c>
      <c r="J23" s="26">
        <v>0.59</v>
      </c>
      <c r="K23" s="26">
        <v>0.57999999999999996</v>
      </c>
      <c r="L23" s="40"/>
      <c r="M23" s="40">
        <v>0.54</v>
      </c>
      <c r="N23" s="26"/>
      <c r="O23" s="26"/>
      <c r="P23" s="40">
        <v>0.48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45.1</v>
      </c>
      <c r="H25" s="40">
        <v>45.1</v>
      </c>
      <c r="I25" s="40">
        <v>44.7</v>
      </c>
      <c r="J25" s="26">
        <v>44.9</v>
      </c>
      <c r="K25" s="26">
        <v>45</v>
      </c>
      <c r="L25" s="40"/>
      <c r="M25" s="40">
        <v>45</v>
      </c>
      <c r="N25" s="26"/>
      <c r="O25" s="26"/>
      <c r="P25" s="40">
        <v>44.9</v>
      </c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0.21</v>
      </c>
      <c r="H26" s="40">
        <v>0.21</v>
      </c>
      <c r="I26" s="40">
        <v>0.22</v>
      </c>
      <c r="J26" s="26">
        <v>0.28000000000000003</v>
      </c>
      <c r="K26" s="26">
        <v>0.23</v>
      </c>
      <c r="L26" s="40"/>
      <c r="M26" s="40">
        <v>0.23</v>
      </c>
      <c r="N26" s="26"/>
      <c r="O26" s="26"/>
      <c r="P26" s="40">
        <v>0.22</v>
      </c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4.9000000000000004</v>
      </c>
      <c r="H27" s="40">
        <v>3.4</v>
      </c>
      <c r="I27" s="40">
        <v>3.6</v>
      </c>
      <c r="J27" s="26">
        <v>4.2</v>
      </c>
      <c r="K27" s="26">
        <v>4.3</v>
      </c>
      <c r="L27" s="40"/>
      <c r="M27" s="40">
        <v>4.5999999999999996</v>
      </c>
      <c r="N27" s="26"/>
      <c r="O27" s="26"/>
      <c r="P27" s="40">
        <v>4.0999999999999996</v>
      </c>
      <c r="Q27" s="40">
        <v>4.8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4.4000000000000004</v>
      </c>
      <c r="H28" s="40">
        <v>2.5</v>
      </c>
      <c r="I28" s="40">
        <v>2.8</v>
      </c>
      <c r="J28" s="26">
        <v>3.4</v>
      </c>
      <c r="K28" s="26">
        <v>3.6</v>
      </c>
      <c r="L28" s="40"/>
      <c r="M28" s="40">
        <v>3.7</v>
      </c>
      <c r="N28" s="26"/>
      <c r="O28" s="26"/>
      <c r="P28" s="40">
        <v>3.1</v>
      </c>
      <c r="Q28" s="40">
        <v>3.8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0.89999999999999947</v>
      </c>
      <c r="H29" s="41">
        <f t="shared" si="0"/>
        <v>2.5</v>
      </c>
      <c r="I29" s="41">
        <f t="shared" si="0"/>
        <v>2.5</v>
      </c>
      <c r="J29" s="41">
        <f t="shared" si="0"/>
        <v>0.80000000000000027</v>
      </c>
      <c r="K29" s="41">
        <f t="shared" si="0"/>
        <v>0.69999999999999973</v>
      </c>
      <c r="L29" s="41">
        <f t="shared" si="0"/>
        <v>0</v>
      </c>
      <c r="M29" s="41">
        <f t="shared" si="0"/>
        <v>1.2999999999999998</v>
      </c>
      <c r="N29" s="41">
        <f t="shared" si="0"/>
        <v>0</v>
      </c>
      <c r="O29" s="41">
        <f t="shared" si="0"/>
        <v>0</v>
      </c>
      <c r="P29" s="41">
        <f t="shared" si="0"/>
        <v>1.8000000000000003</v>
      </c>
      <c r="Q29" s="41">
        <f t="shared" si="0"/>
        <v>1.7999999999999998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735.9</v>
      </c>
      <c r="H30" s="40">
        <v>730.2</v>
      </c>
      <c r="I30" s="40">
        <v>689.8</v>
      </c>
      <c r="J30" s="26">
        <v>639.4</v>
      </c>
      <c r="K30" s="26">
        <v>656.7</v>
      </c>
      <c r="L30" s="40"/>
      <c r="M30" s="40">
        <v>689.5</v>
      </c>
      <c r="N30" s="26"/>
      <c r="O30" s="26"/>
      <c r="P30" s="40">
        <v>692.2</v>
      </c>
      <c r="Q30" s="40">
        <v>715.7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13.4</v>
      </c>
      <c r="H31" s="40">
        <v>12.9</v>
      </c>
      <c r="I31" s="40">
        <v>13.4</v>
      </c>
      <c r="J31" s="26">
        <v>12.8</v>
      </c>
      <c r="K31" s="26">
        <v>13.1</v>
      </c>
      <c r="L31" s="40"/>
      <c r="M31" s="40">
        <v>13.5</v>
      </c>
      <c r="N31" s="26"/>
      <c r="O31" s="26"/>
      <c r="P31" s="40">
        <v>12.9</v>
      </c>
      <c r="Q31" s="40">
        <v>13.5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5.3</v>
      </c>
      <c r="H32" s="40">
        <v>5</v>
      </c>
      <c r="I32" s="40">
        <v>5.3</v>
      </c>
      <c r="J32" s="26">
        <v>4.2</v>
      </c>
      <c r="K32" s="26">
        <v>4.3</v>
      </c>
      <c r="L32" s="40"/>
      <c r="M32" s="40">
        <v>5</v>
      </c>
      <c r="N32" s="26"/>
      <c r="O32" s="26"/>
      <c r="P32" s="40">
        <v>4.9000000000000004</v>
      </c>
      <c r="Q32" s="40">
        <v>5.6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8.1000000000000014</v>
      </c>
      <c r="H33" s="41">
        <f t="shared" si="1"/>
        <v>7.9</v>
      </c>
      <c r="I33" s="41">
        <f t="shared" si="1"/>
        <v>8.1000000000000014</v>
      </c>
      <c r="J33" s="41">
        <f t="shared" si="1"/>
        <v>8.6000000000000014</v>
      </c>
      <c r="K33" s="41">
        <f t="shared" si="1"/>
        <v>8.8000000000000007</v>
      </c>
      <c r="L33" s="41">
        <f t="shared" si="1"/>
        <v>0</v>
      </c>
      <c r="M33" s="41"/>
      <c r="N33" s="41">
        <f t="shared" si="1"/>
        <v>0</v>
      </c>
      <c r="O33" s="41">
        <f t="shared" si="1"/>
        <v>0</v>
      </c>
      <c r="P33" s="41">
        <f t="shared" si="1"/>
        <v>8</v>
      </c>
      <c r="Q33" s="41">
        <f t="shared" si="1"/>
        <v>7.9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6883.1293302540425</v>
      </c>
      <c r="H34" s="42">
        <f t="shared" si="2"/>
        <v>6661.1778290993079</v>
      </c>
      <c r="I34" s="42">
        <f t="shared" si="2"/>
        <v>6451.9399538106245</v>
      </c>
      <c r="J34" s="42">
        <f t="shared" si="2"/>
        <v>6349.6997690531189</v>
      </c>
      <c r="K34" s="42">
        <f t="shared" si="2"/>
        <v>6673.1639722863756</v>
      </c>
      <c r="L34" s="42">
        <f t="shared" si="2"/>
        <v>0</v>
      </c>
      <c r="M34" s="42">
        <f t="shared" si="2"/>
        <v>0</v>
      </c>
      <c r="N34" s="42">
        <f t="shared" si="2"/>
        <v>0</v>
      </c>
      <c r="O34" s="42">
        <f t="shared" si="2"/>
        <v>0</v>
      </c>
      <c r="P34" s="42">
        <f t="shared" si="2"/>
        <v>6394.4572748267901</v>
      </c>
      <c r="Q34" s="42">
        <f t="shared" si="2"/>
        <v>6528.9030023094692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0.82</v>
      </c>
      <c r="H35" s="40">
        <v>0.84</v>
      </c>
      <c r="I35" s="40">
        <v>0.86</v>
      </c>
      <c r="J35" s="26">
        <v>0.82</v>
      </c>
      <c r="K35" s="26">
        <v>0.83</v>
      </c>
      <c r="L35" s="40"/>
      <c r="M35" s="40">
        <v>0.85</v>
      </c>
      <c r="N35" s="26"/>
      <c r="O35" s="26"/>
      <c r="P35" s="40">
        <v>0.81</v>
      </c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36.200000000000003</v>
      </c>
      <c r="H36" s="40">
        <v>36.5</v>
      </c>
      <c r="I36" s="40">
        <v>37.1</v>
      </c>
      <c r="J36" s="26">
        <v>36</v>
      </c>
      <c r="K36" s="26">
        <v>36.4</v>
      </c>
      <c r="L36" s="40"/>
      <c r="M36" s="40">
        <v>37.700000000000003</v>
      </c>
      <c r="N36" s="26"/>
      <c r="O36" s="26"/>
      <c r="P36" s="40">
        <v>36</v>
      </c>
      <c r="Q36" s="40">
        <v>36.799999999999997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36.6</v>
      </c>
      <c r="H37" s="40">
        <v>37.4</v>
      </c>
      <c r="I37" s="40">
        <v>38</v>
      </c>
      <c r="J37" s="26">
        <v>36.700000000000003</v>
      </c>
      <c r="K37" s="26">
        <v>37.1</v>
      </c>
      <c r="L37" s="40"/>
      <c r="M37" s="40">
        <v>37.700000000000003</v>
      </c>
      <c r="N37" s="26"/>
      <c r="O37" s="26"/>
      <c r="P37" s="40">
        <v>36</v>
      </c>
      <c r="Q37" s="40">
        <v>36.799999999999997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2</v>
      </c>
      <c r="H38" s="41">
        <f t="shared" si="3"/>
        <v>4.2999999999999972</v>
      </c>
      <c r="I38" s="41">
        <f t="shared" si="3"/>
        <v>4.2000000000000028</v>
      </c>
      <c r="J38" s="41">
        <f t="shared" si="3"/>
        <v>2.9000000000000057</v>
      </c>
      <c r="K38" s="41">
        <f t="shared" si="3"/>
        <v>2.8999999999999986</v>
      </c>
      <c r="L38" s="41">
        <f t="shared" si="3"/>
        <v>0</v>
      </c>
      <c r="M38" s="41">
        <f t="shared" si="3"/>
        <v>3.3000000000000043</v>
      </c>
      <c r="N38" s="41">
        <f t="shared" si="3"/>
        <v>0</v>
      </c>
      <c r="O38" s="41">
        <f t="shared" si="3"/>
        <v>0</v>
      </c>
      <c r="P38" s="41">
        <f t="shared" si="3"/>
        <v>2.2000000000000028</v>
      </c>
      <c r="Q38" s="41">
        <f t="shared" si="3"/>
        <v>2.1999999999999957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28.8</v>
      </c>
      <c r="H40" s="40">
        <v>28</v>
      </c>
      <c r="I40" s="40">
        <v>28.6</v>
      </c>
      <c r="J40" s="26">
        <v>28.1</v>
      </c>
      <c r="K40" s="26">
        <v>28.7</v>
      </c>
      <c r="L40" s="40"/>
      <c r="M40" s="40">
        <v>28.7</v>
      </c>
      <c r="N40" s="26"/>
      <c r="O40" s="26"/>
      <c r="P40" s="40">
        <v>27.8</v>
      </c>
      <c r="Q40" s="40">
        <v>28.4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34.6</v>
      </c>
      <c r="H41" s="40">
        <v>33.1</v>
      </c>
      <c r="I41" s="40">
        <v>33.799999999999997</v>
      </c>
      <c r="J41" s="26">
        <v>33.799999999999997</v>
      </c>
      <c r="K41" s="26">
        <v>34.200000000000003</v>
      </c>
      <c r="L41" s="40"/>
      <c r="M41" s="40">
        <v>34.4</v>
      </c>
      <c r="N41" s="26"/>
      <c r="O41" s="26"/>
      <c r="P41" s="40">
        <v>33.799999999999997</v>
      </c>
      <c r="Q41" s="40">
        <v>34.6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5.8000000000000007</v>
      </c>
      <c r="H42" s="41">
        <f t="shared" si="4"/>
        <v>5.1000000000000014</v>
      </c>
      <c r="I42" s="41">
        <f t="shared" si="4"/>
        <v>5.1999999999999957</v>
      </c>
      <c r="J42" s="41">
        <f t="shared" si="4"/>
        <v>5.6999999999999957</v>
      </c>
      <c r="K42" s="41">
        <f t="shared" si="4"/>
        <v>5.5000000000000036</v>
      </c>
      <c r="L42" s="41">
        <f t="shared" si="4"/>
        <v>0</v>
      </c>
      <c r="M42" s="41">
        <f t="shared" si="4"/>
        <v>5.6999999999999993</v>
      </c>
      <c r="N42" s="41">
        <f t="shared" si="4"/>
        <v>0</v>
      </c>
      <c r="O42" s="41">
        <f t="shared" si="4"/>
        <v>0</v>
      </c>
      <c r="P42" s="41">
        <f t="shared" si="4"/>
        <v>5.9999999999999964</v>
      </c>
      <c r="Q42" s="41">
        <f t="shared" si="4"/>
        <v>6.2000000000000028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1220.3</v>
      </c>
      <c r="H43" s="40">
        <v>1259.3</v>
      </c>
      <c r="I43" s="40">
        <v>1265.2</v>
      </c>
      <c r="J43" s="26">
        <v>1299</v>
      </c>
      <c r="K43" s="26">
        <v>1294.2</v>
      </c>
      <c r="L43" s="40"/>
      <c r="M43" s="26">
        <v>1197</v>
      </c>
      <c r="N43" s="26"/>
      <c r="O43" s="26"/>
      <c r="P43" s="40">
        <v>1205.5999999999999</v>
      </c>
      <c r="Q43" s="40">
        <v>1211.8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8172.9099307159358</v>
      </c>
      <c r="H44" s="42">
        <f t="shared" si="5"/>
        <v>7416.20092378753</v>
      </c>
      <c r="I44" s="42">
        <f t="shared" si="5"/>
        <v>7597.0438799076146</v>
      </c>
      <c r="J44" s="42">
        <f t="shared" si="5"/>
        <v>8549.9999999999945</v>
      </c>
      <c r="K44" s="42">
        <f t="shared" si="5"/>
        <v>8219.5150115473498</v>
      </c>
      <c r="L44" s="42">
        <f t="shared" si="5"/>
        <v>0</v>
      </c>
      <c r="M44" s="42">
        <f t="shared" si="5"/>
        <v>7878.6374133949175</v>
      </c>
      <c r="N44" s="42">
        <f t="shared" si="5"/>
        <v>0</v>
      </c>
      <c r="O44" s="42">
        <f t="shared" si="5"/>
        <v>0</v>
      </c>
      <c r="P44" s="42">
        <f t="shared" si="5"/>
        <v>8352.8868360277083</v>
      </c>
      <c r="Q44" s="42">
        <f t="shared" si="5"/>
        <v>8675.7043879907669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0.47</v>
      </c>
      <c r="H45" s="40">
        <v>0.46</v>
      </c>
      <c r="I45" s="40">
        <v>0.46</v>
      </c>
      <c r="J45" s="26">
        <v>0.46</v>
      </c>
      <c r="K45" s="26">
        <v>0.47</v>
      </c>
      <c r="L45" s="40"/>
      <c r="M45" s="40">
        <v>0.48</v>
      </c>
      <c r="N45" s="26"/>
      <c r="O45" s="26"/>
      <c r="P45" s="40">
        <v>0.46</v>
      </c>
      <c r="Q45" s="40">
        <v>0.48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20.2</v>
      </c>
      <c r="H46" s="40">
        <v>19.3</v>
      </c>
      <c r="I46" s="40">
        <v>19.8</v>
      </c>
      <c r="J46" s="26">
        <v>19.5</v>
      </c>
      <c r="K46" s="26">
        <v>20.100000000000001</v>
      </c>
      <c r="L46" s="40"/>
      <c r="M46" s="40">
        <v>20.5</v>
      </c>
      <c r="N46" s="26"/>
      <c r="O46" s="26"/>
      <c r="P46" s="40">
        <v>19.5</v>
      </c>
      <c r="Q46" s="40">
        <v>20.399999999999999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165.8</v>
      </c>
      <c r="H47" s="40">
        <v>123.5</v>
      </c>
      <c r="I47" s="40">
        <v>123.1</v>
      </c>
      <c r="J47" s="26">
        <v>207.6</v>
      </c>
      <c r="K47" s="26">
        <v>205.4</v>
      </c>
      <c r="L47" s="40"/>
      <c r="M47" s="40">
        <v>211.6</v>
      </c>
      <c r="N47" s="26"/>
      <c r="O47" s="26"/>
      <c r="P47" s="40">
        <v>196.2</v>
      </c>
      <c r="Q47" s="40">
        <v>200.6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67">
        <v>5.89</v>
      </c>
      <c r="F49" s="26"/>
      <c r="G49" s="26">
        <v>5.3</v>
      </c>
      <c r="H49" s="40">
        <v>4.88</v>
      </c>
      <c r="I49" s="40">
        <v>4.9800000000000004</v>
      </c>
      <c r="J49" s="26">
        <v>5.29</v>
      </c>
      <c r="K49" s="26">
        <v>5.54</v>
      </c>
      <c r="L49" s="40"/>
      <c r="M49" s="40">
        <v>5.18</v>
      </c>
      <c r="N49" s="26"/>
      <c r="O49" s="26"/>
      <c r="P49" s="40">
        <v>5.0199999999999996</v>
      </c>
      <c r="Q49" s="40">
        <v>4.84</v>
      </c>
    </row>
    <row r="50" spans="2:17" ht="20.100000000000001" customHeight="1" x14ac:dyDescent="0.25">
      <c r="B50" s="110" t="s">
        <v>51</v>
      </c>
      <c r="C50" s="110"/>
      <c r="D50" s="110"/>
      <c r="E50" s="67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66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0A1A-1F4B-42E3-8769-F074A412EE80}">
  <dimension ref="B1:Q59"/>
  <sheetViews>
    <sheetView view="pageBreakPreview" topLeftCell="C1" zoomScale="85" zoomScaleNormal="60" zoomScaleSheetLayoutView="85" workbookViewId="0">
      <selection activeCell="L14" sqref="L14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69" t="s">
        <v>78</v>
      </c>
      <c r="E10" s="27"/>
      <c r="F10" s="37" t="s">
        <v>99</v>
      </c>
      <c r="G10" s="37" t="s">
        <v>99</v>
      </c>
      <c r="H10" s="39"/>
      <c r="I10" s="39" t="s">
        <v>99</v>
      </c>
      <c r="J10" s="37" t="s">
        <v>99</v>
      </c>
      <c r="K10" s="37" t="s">
        <v>99</v>
      </c>
      <c r="L10" s="39"/>
      <c r="M10" s="39"/>
      <c r="N10" s="37" t="s">
        <v>99</v>
      </c>
      <c r="O10" s="39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70.8</v>
      </c>
      <c r="G11" s="26">
        <v>70.8</v>
      </c>
      <c r="H11" s="40"/>
      <c r="I11" s="40">
        <v>75.2</v>
      </c>
      <c r="J11" s="26">
        <v>72.599999999999994</v>
      </c>
      <c r="K11" s="26">
        <v>74.599999999999994</v>
      </c>
      <c r="L11" s="40"/>
      <c r="M11" s="40"/>
      <c r="N11" s="26">
        <v>74</v>
      </c>
      <c r="O11" s="26">
        <v>74</v>
      </c>
      <c r="P11" s="40"/>
      <c r="Q11" s="40">
        <v>77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</v>
      </c>
      <c r="G12" s="26">
        <v>0</v>
      </c>
      <c r="H12" s="40"/>
      <c r="I12" s="40">
        <v>0</v>
      </c>
      <c r="J12" s="26">
        <v>0</v>
      </c>
      <c r="K12" s="26">
        <v>0</v>
      </c>
      <c r="L12" s="40"/>
      <c r="M12" s="40"/>
      <c r="N12" s="26">
        <v>0</v>
      </c>
      <c r="O12" s="26">
        <v>0</v>
      </c>
      <c r="P12" s="40"/>
      <c r="Q12" s="40">
        <v>0.1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64.900000000000006</v>
      </c>
      <c r="G13" s="26">
        <v>64.8</v>
      </c>
      <c r="H13" s="40"/>
      <c r="I13" s="40">
        <v>70.7</v>
      </c>
      <c r="J13" s="26">
        <v>70.099999999999994</v>
      </c>
      <c r="K13" s="26">
        <v>70.099999999999994</v>
      </c>
      <c r="L13" s="40"/>
      <c r="M13" s="40"/>
      <c r="N13" s="26">
        <v>68.3</v>
      </c>
      <c r="O13" s="26">
        <v>70.099999999999994</v>
      </c>
      <c r="P13" s="40"/>
      <c r="Q13" s="40">
        <v>72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72.099999999999994</v>
      </c>
      <c r="G14" s="26">
        <v>64.8</v>
      </c>
      <c r="H14" s="40"/>
      <c r="I14" s="40">
        <v>66.400000000000006</v>
      </c>
      <c r="J14" s="26">
        <v>61.8</v>
      </c>
      <c r="K14" s="26">
        <v>62.8</v>
      </c>
      <c r="L14" s="40"/>
      <c r="M14" s="40"/>
      <c r="N14" s="26">
        <v>70.3</v>
      </c>
      <c r="O14" s="26">
        <v>68.3</v>
      </c>
      <c r="P14" s="40"/>
      <c r="Q14" s="40">
        <v>73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64.900000000000006</v>
      </c>
      <c r="G15" s="26">
        <v>31.7</v>
      </c>
      <c r="H15" s="40"/>
      <c r="I15" s="40">
        <v>70.7</v>
      </c>
      <c r="J15" s="26">
        <v>39.9</v>
      </c>
      <c r="K15" s="26">
        <v>40.6</v>
      </c>
      <c r="L15" s="40"/>
      <c r="M15" s="40"/>
      <c r="N15" s="26">
        <v>40.9</v>
      </c>
      <c r="O15" s="26">
        <v>70</v>
      </c>
      <c r="P15" s="40"/>
      <c r="Q15" s="40">
        <v>42.6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/>
      <c r="I16" s="40">
        <v>6.6</v>
      </c>
      <c r="J16" s="26">
        <v>6.6</v>
      </c>
      <c r="K16" s="26">
        <v>6.6</v>
      </c>
      <c r="L16" s="40"/>
      <c r="M16" s="40"/>
      <c r="N16" s="26">
        <v>6.6</v>
      </c>
      <c r="O16" s="26">
        <v>6.6</v>
      </c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115.4</v>
      </c>
      <c r="G17" s="26">
        <v>116</v>
      </c>
      <c r="H17" s="40"/>
      <c r="I17" s="40">
        <v>116.4</v>
      </c>
      <c r="J17" s="26">
        <v>115.9</v>
      </c>
      <c r="K17" s="26">
        <v>118</v>
      </c>
      <c r="L17" s="40"/>
      <c r="M17" s="40"/>
      <c r="N17" s="26">
        <v>118.5</v>
      </c>
      <c r="O17" s="26">
        <v>120</v>
      </c>
      <c r="P17" s="40"/>
      <c r="Q17" s="40">
        <v>120.3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1145</v>
      </c>
      <c r="G18" s="26">
        <v>1141</v>
      </c>
      <c r="H18" s="40"/>
      <c r="I18" s="40">
        <v>1187</v>
      </c>
      <c r="J18" s="26">
        <v>1204</v>
      </c>
      <c r="K18" s="26">
        <v>1215</v>
      </c>
      <c r="L18" s="40"/>
      <c r="M18" s="40"/>
      <c r="N18" s="26">
        <v>1210</v>
      </c>
      <c r="O18" s="26">
        <v>1213</v>
      </c>
      <c r="P18" s="40"/>
      <c r="Q18" s="40">
        <v>1217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46262.5</v>
      </c>
      <c r="G19" s="26">
        <v>46250.400000000001</v>
      </c>
      <c r="H19" s="40"/>
      <c r="I19" s="40">
        <v>47053.599999999999</v>
      </c>
      <c r="J19" s="26">
        <v>44652.5</v>
      </c>
      <c r="K19" s="26">
        <v>44640.4</v>
      </c>
      <c r="L19" s="40"/>
      <c r="M19" s="40"/>
      <c r="N19" s="26">
        <v>46284.6</v>
      </c>
      <c r="O19" s="26">
        <v>46272.6</v>
      </c>
      <c r="P19" s="40"/>
      <c r="Q19" s="40">
        <v>48180.9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58.1</v>
      </c>
      <c r="G22" s="26">
        <v>58.4</v>
      </c>
      <c r="H22" s="40"/>
      <c r="I22" s="40">
        <v>57</v>
      </c>
      <c r="J22" s="26">
        <v>57.8</v>
      </c>
      <c r="K22" s="26">
        <v>58</v>
      </c>
      <c r="L22" s="40"/>
      <c r="M22" s="40"/>
      <c r="N22" s="26">
        <v>58.7</v>
      </c>
      <c r="O22" s="26">
        <v>58.8</v>
      </c>
      <c r="P22" s="40"/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0.52</v>
      </c>
      <c r="G23" s="26">
        <v>0.53</v>
      </c>
      <c r="H23" s="40"/>
      <c r="I23" s="40">
        <v>0.5</v>
      </c>
      <c r="J23" s="26">
        <v>0.54</v>
      </c>
      <c r="K23" s="26">
        <v>0.53</v>
      </c>
      <c r="L23" s="40"/>
      <c r="M23" s="40"/>
      <c r="N23" s="26">
        <v>0.49</v>
      </c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44.9</v>
      </c>
      <c r="G25" s="26">
        <v>45.1</v>
      </c>
      <c r="H25" s="40"/>
      <c r="I25" s="40">
        <v>45</v>
      </c>
      <c r="J25" s="26">
        <v>44.9</v>
      </c>
      <c r="K25" s="26">
        <v>45</v>
      </c>
      <c r="L25" s="40"/>
      <c r="M25" s="40"/>
      <c r="N25" s="26">
        <v>44.9</v>
      </c>
      <c r="O25" s="26">
        <v>44.8</v>
      </c>
      <c r="P25" s="40"/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0.23</v>
      </c>
      <c r="G26" s="26">
        <v>0.21</v>
      </c>
      <c r="H26" s="40"/>
      <c r="I26" s="40">
        <v>0.22</v>
      </c>
      <c r="J26" s="26">
        <v>0.22</v>
      </c>
      <c r="K26" s="26">
        <v>0.23</v>
      </c>
      <c r="L26" s="40"/>
      <c r="M26" s="40"/>
      <c r="N26" s="26">
        <v>0.23</v>
      </c>
      <c r="O26" s="26">
        <v>0.23</v>
      </c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4.5</v>
      </c>
      <c r="G27" s="26">
        <v>4.9000000000000004</v>
      </c>
      <c r="H27" s="40"/>
      <c r="I27" s="40">
        <v>3.6</v>
      </c>
      <c r="J27" s="26">
        <v>4.7</v>
      </c>
      <c r="K27" s="26">
        <v>4.3</v>
      </c>
      <c r="L27" s="40"/>
      <c r="M27" s="40"/>
      <c r="N27" s="26">
        <v>4.9000000000000004</v>
      </c>
      <c r="O27" s="26">
        <v>4.7</v>
      </c>
      <c r="P27" s="40"/>
      <c r="Q27" s="40">
        <v>4.8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4.3</v>
      </c>
      <c r="G28" s="26">
        <v>4.4000000000000004</v>
      </c>
      <c r="H28" s="40"/>
      <c r="I28" s="40">
        <v>2.8</v>
      </c>
      <c r="J28" s="26">
        <v>3.9</v>
      </c>
      <c r="K28" s="26">
        <v>3.6</v>
      </c>
      <c r="L28" s="40"/>
      <c r="M28" s="40"/>
      <c r="N28" s="26">
        <v>3.9</v>
      </c>
      <c r="O28" s="26">
        <v>3.7</v>
      </c>
      <c r="P28" s="40"/>
      <c r="Q28" s="40">
        <v>3.8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0.70000000000000018</v>
      </c>
      <c r="G29" s="41">
        <f t="shared" ref="G29:Q29" si="0">G32-G28</f>
        <v>0.89999999999999947</v>
      </c>
      <c r="H29" s="41">
        <f t="shared" si="0"/>
        <v>0</v>
      </c>
      <c r="I29" s="41">
        <f t="shared" si="0"/>
        <v>2.5</v>
      </c>
      <c r="J29" s="41">
        <f t="shared" si="0"/>
        <v>0.60000000000000009</v>
      </c>
      <c r="K29" s="41">
        <f t="shared" si="0"/>
        <v>0.69999999999999973</v>
      </c>
      <c r="L29" s="41">
        <f t="shared" si="0"/>
        <v>0</v>
      </c>
      <c r="M29" s="41">
        <f t="shared" si="0"/>
        <v>0</v>
      </c>
      <c r="N29" s="41">
        <f t="shared" si="0"/>
        <v>1.3000000000000003</v>
      </c>
      <c r="O29" s="41">
        <f t="shared" si="0"/>
        <v>0.70000000000000018</v>
      </c>
      <c r="P29" s="41">
        <f t="shared" si="0"/>
        <v>0</v>
      </c>
      <c r="Q29" s="41">
        <f t="shared" si="0"/>
        <v>1.7999999999999998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752.6</v>
      </c>
      <c r="G30" s="26">
        <v>645</v>
      </c>
      <c r="H30" s="40"/>
      <c r="I30" s="40">
        <v>689.8</v>
      </c>
      <c r="J30" s="26">
        <v>660.2</v>
      </c>
      <c r="K30" s="26">
        <v>656.7</v>
      </c>
      <c r="L30" s="40"/>
      <c r="M30" s="40"/>
      <c r="N30" s="26">
        <v>760.6</v>
      </c>
      <c r="O30" s="26">
        <v>653</v>
      </c>
      <c r="P30" s="40"/>
      <c r="Q30" s="40">
        <v>715.7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13.1</v>
      </c>
      <c r="G31" s="26">
        <v>13.4</v>
      </c>
      <c r="H31" s="40"/>
      <c r="I31" s="40">
        <v>13.4</v>
      </c>
      <c r="J31" s="26">
        <v>13</v>
      </c>
      <c r="K31" s="26">
        <v>13.1</v>
      </c>
      <c r="L31" s="40"/>
      <c r="M31" s="40"/>
      <c r="N31" s="26">
        <v>13</v>
      </c>
      <c r="O31" s="26">
        <v>13.4</v>
      </c>
      <c r="P31" s="40"/>
      <c r="Q31" s="40">
        <v>13.5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5</v>
      </c>
      <c r="G32" s="26">
        <v>5.3</v>
      </c>
      <c r="H32" s="40"/>
      <c r="I32" s="40">
        <v>5.3</v>
      </c>
      <c r="J32" s="26">
        <v>4.5</v>
      </c>
      <c r="K32" s="26">
        <v>4.3</v>
      </c>
      <c r="L32" s="40"/>
      <c r="M32" s="40"/>
      <c r="N32" s="26">
        <v>5.2</v>
      </c>
      <c r="O32" s="26">
        <v>4.4000000000000004</v>
      </c>
      <c r="P32" s="40"/>
      <c r="Q32" s="40">
        <v>5.6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8.1</v>
      </c>
      <c r="G33" s="41">
        <f t="shared" ref="G33:Q33" si="1">G31-G32</f>
        <v>8.1000000000000014</v>
      </c>
      <c r="H33" s="41">
        <f t="shared" si="1"/>
        <v>0</v>
      </c>
      <c r="I33" s="41">
        <f t="shared" si="1"/>
        <v>8.1000000000000014</v>
      </c>
      <c r="J33" s="41">
        <f t="shared" si="1"/>
        <v>8.5</v>
      </c>
      <c r="K33" s="41">
        <f t="shared" si="1"/>
        <v>8.8000000000000007</v>
      </c>
      <c r="L33" s="41">
        <f t="shared" si="1"/>
        <v>0</v>
      </c>
      <c r="M33" s="41"/>
      <c r="N33" s="41">
        <f t="shared" si="1"/>
        <v>7.8</v>
      </c>
      <c r="O33" s="41">
        <f t="shared" si="1"/>
        <v>9</v>
      </c>
      <c r="P33" s="41">
        <f t="shared" si="1"/>
        <v>0</v>
      </c>
      <c r="Q33" s="41">
        <f t="shared" si="1"/>
        <v>7.9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7039.3302540415698</v>
      </c>
      <c r="G34" s="42">
        <f t="shared" ref="G34:Q34" si="2">(G33*G30)/0.866</f>
        <v>6032.9099307159368</v>
      </c>
      <c r="H34" s="42">
        <f t="shared" si="2"/>
        <v>0</v>
      </c>
      <c r="I34" s="42">
        <f t="shared" si="2"/>
        <v>6451.9399538106245</v>
      </c>
      <c r="J34" s="42">
        <f t="shared" si="2"/>
        <v>6480.023094688223</v>
      </c>
      <c r="K34" s="42">
        <f t="shared" si="2"/>
        <v>6673.1639722863756</v>
      </c>
      <c r="L34" s="42">
        <f t="shared" si="2"/>
        <v>0</v>
      </c>
      <c r="M34" s="42">
        <f t="shared" si="2"/>
        <v>0</v>
      </c>
      <c r="N34" s="42">
        <f t="shared" si="2"/>
        <v>6850.6697459584302</v>
      </c>
      <c r="O34" s="42">
        <f t="shared" si="2"/>
        <v>6786.3741339491917</v>
      </c>
      <c r="P34" s="42">
        <f t="shared" si="2"/>
        <v>0</v>
      </c>
      <c r="Q34" s="42">
        <f t="shared" si="2"/>
        <v>6528.9030023094692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0.82</v>
      </c>
      <c r="G35" s="26">
        <v>0.82</v>
      </c>
      <c r="H35" s="40"/>
      <c r="I35" s="40">
        <v>0.86</v>
      </c>
      <c r="J35" s="26">
        <v>0.84</v>
      </c>
      <c r="K35" s="26">
        <v>0.83</v>
      </c>
      <c r="L35" s="40"/>
      <c r="M35" s="40"/>
      <c r="N35" s="26">
        <v>0.83</v>
      </c>
      <c r="O35" s="26">
        <v>0.82</v>
      </c>
      <c r="P35" s="40"/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36.1</v>
      </c>
      <c r="G36" s="26">
        <v>36.200000000000003</v>
      </c>
      <c r="H36" s="40"/>
      <c r="I36" s="40">
        <v>37.1</v>
      </c>
      <c r="J36" s="26">
        <v>36.6</v>
      </c>
      <c r="K36" s="26">
        <v>36.4</v>
      </c>
      <c r="L36" s="40"/>
      <c r="M36" s="40"/>
      <c r="N36" s="26">
        <v>36.700000000000003</v>
      </c>
      <c r="O36" s="26">
        <v>36.5</v>
      </c>
      <c r="P36" s="40"/>
      <c r="Q36" s="40">
        <v>36.799999999999997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36.5</v>
      </c>
      <c r="G37" s="26">
        <v>36.6</v>
      </c>
      <c r="H37" s="40"/>
      <c r="I37" s="40">
        <v>38</v>
      </c>
      <c r="J37" s="26">
        <v>37.299999999999997</v>
      </c>
      <c r="K37" s="26">
        <v>37.1</v>
      </c>
      <c r="L37" s="40"/>
      <c r="M37" s="40"/>
      <c r="N37" s="26">
        <v>37</v>
      </c>
      <c r="O37" s="26">
        <v>36.4</v>
      </c>
      <c r="P37" s="40"/>
      <c r="Q37" s="40">
        <v>36.799999999999997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2.1000000000000014</v>
      </c>
      <c r="G38" s="41">
        <f t="shared" ref="G38:Q38" si="3">G37-G41</f>
        <v>2</v>
      </c>
      <c r="H38" s="41">
        <f t="shared" si="3"/>
        <v>0</v>
      </c>
      <c r="I38" s="41">
        <f t="shared" si="3"/>
        <v>4.2000000000000028</v>
      </c>
      <c r="J38" s="41">
        <f t="shared" si="3"/>
        <v>2.7999999999999972</v>
      </c>
      <c r="K38" s="41">
        <f t="shared" si="3"/>
        <v>2.8999999999999986</v>
      </c>
      <c r="L38" s="41">
        <f t="shared" si="3"/>
        <v>0</v>
      </c>
      <c r="M38" s="41">
        <f t="shared" si="3"/>
        <v>0</v>
      </c>
      <c r="N38" s="41">
        <f t="shared" si="3"/>
        <v>2.2000000000000028</v>
      </c>
      <c r="O38" s="41">
        <f t="shared" si="3"/>
        <v>1.8999999999999986</v>
      </c>
      <c r="P38" s="41">
        <f t="shared" si="3"/>
        <v>0</v>
      </c>
      <c r="Q38" s="41">
        <f t="shared" si="3"/>
        <v>2.1999999999999957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28.9</v>
      </c>
      <c r="G40" s="26">
        <v>28.8</v>
      </c>
      <c r="H40" s="40"/>
      <c r="I40" s="40">
        <v>28.6</v>
      </c>
      <c r="J40" s="26">
        <v>28.9</v>
      </c>
      <c r="K40" s="26">
        <v>28.7</v>
      </c>
      <c r="L40" s="40"/>
      <c r="M40" s="40"/>
      <c r="N40" s="26">
        <v>28.7</v>
      </c>
      <c r="O40" s="26">
        <v>28.7</v>
      </c>
      <c r="P40" s="40"/>
      <c r="Q40" s="40">
        <v>28.4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34.4</v>
      </c>
      <c r="G41" s="26">
        <v>34.6</v>
      </c>
      <c r="H41" s="40"/>
      <c r="I41" s="40">
        <v>33.799999999999997</v>
      </c>
      <c r="J41" s="26">
        <v>34.5</v>
      </c>
      <c r="K41" s="26">
        <v>34.200000000000003</v>
      </c>
      <c r="L41" s="40"/>
      <c r="M41" s="40"/>
      <c r="N41" s="26">
        <v>34.799999999999997</v>
      </c>
      <c r="O41" s="26">
        <v>34.5</v>
      </c>
      <c r="P41" s="40"/>
      <c r="Q41" s="40">
        <v>34.6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5.5</v>
      </c>
      <c r="G42" s="41">
        <f t="shared" ref="G42:Q42" si="4">G41-G40</f>
        <v>5.8000000000000007</v>
      </c>
      <c r="H42" s="41">
        <f t="shared" si="4"/>
        <v>0</v>
      </c>
      <c r="I42" s="41">
        <f t="shared" si="4"/>
        <v>5.1999999999999957</v>
      </c>
      <c r="J42" s="41">
        <f t="shared" si="4"/>
        <v>5.6000000000000014</v>
      </c>
      <c r="K42" s="41">
        <f t="shared" si="4"/>
        <v>5.5000000000000036</v>
      </c>
      <c r="L42" s="41">
        <f t="shared" si="4"/>
        <v>0</v>
      </c>
      <c r="M42" s="41">
        <f t="shared" si="4"/>
        <v>0</v>
      </c>
      <c r="N42" s="41">
        <f t="shared" si="4"/>
        <v>6.0999999999999979</v>
      </c>
      <c r="O42" s="41">
        <f t="shared" si="4"/>
        <v>5.8000000000000007</v>
      </c>
      <c r="P42" s="41">
        <f t="shared" si="4"/>
        <v>0</v>
      </c>
      <c r="Q42" s="41">
        <f t="shared" si="4"/>
        <v>6.2000000000000028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1296.2</v>
      </c>
      <c r="G43" s="26">
        <v>1220.3</v>
      </c>
      <c r="H43" s="40"/>
      <c r="I43" s="40">
        <v>1265.2</v>
      </c>
      <c r="J43" s="26">
        <v>1289.9000000000001</v>
      </c>
      <c r="K43" s="26">
        <v>1294.2</v>
      </c>
      <c r="L43" s="40"/>
      <c r="M43" s="26"/>
      <c r="N43" s="26">
        <v>1151.5999999999999</v>
      </c>
      <c r="O43" s="26">
        <v>1191.2</v>
      </c>
      <c r="P43" s="40"/>
      <c r="Q43" s="40">
        <v>1211.8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8232.2170900692854</v>
      </c>
      <c r="G44" s="42">
        <f t="shared" ref="G44:Q44" si="5">G42*G43/0.866</f>
        <v>8172.9099307159358</v>
      </c>
      <c r="H44" s="42">
        <f t="shared" si="5"/>
        <v>0</v>
      </c>
      <c r="I44" s="42">
        <f t="shared" si="5"/>
        <v>7597.0438799076146</v>
      </c>
      <c r="J44" s="42">
        <f t="shared" si="5"/>
        <v>8341.1547344110877</v>
      </c>
      <c r="K44" s="42">
        <f t="shared" si="5"/>
        <v>8219.5150115473498</v>
      </c>
      <c r="L44" s="42">
        <f t="shared" si="5"/>
        <v>0</v>
      </c>
      <c r="M44" s="42">
        <f t="shared" si="5"/>
        <v>0</v>
      </c>
      <c r="N44" s="42">
        <f t="shared" si="5"/>
        <v>8111.7321016166243</v>
      </c>
      <c r="O44" s="42">
        <f t="shared" si="5"/>
        <v>7978.0138568129341</v>
      </c>
      <c r="P44" s="42">
        <f t="shared" si="5"/>
        <v>0</v>
      </c>
      <c r="Q44" s="42">
        <f t="shared" si="5"/>
        <v>8675.7043879907669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0.47</v>
      </c>
      <c r="G45" s="26">
        <v>0.47</v>
      </c>
      <c r="H45" s="40"/>
      <c r="I45" s="40">
        <v>0.46</v>
      </c>
      <c r="J45" s="26">
        <v>0.47</v>
      </c>
      <c r="K45" s="26">
        <v>0.47</v>
      </c>
      <c r="L45" s="40"/>
      <c r="M45" s="40"/>
      <c r="N45" s="26">
        <v>0.47</v>
      </c>
      <c r="O45" s="26">
        <v>0.48</v>
      </c>
      <c r="P45" s="40"/>
      <c r="Q45" s="40">
        <v>0.48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20.100000000000001</v>
      </c>
      <c r="G46" s="26">
        <v>20.2</v>
      </c>
      <c r="H46" s="40"/>
      <c r="I46" s="40">
        <v>19.8</v>
      </c>
      <c r="J46" s="26">
        <v>20</v>
      </c>
      <c r="K46" s="26">
        <v>20.100000000000001</v>
      </c>
      <c r="L46" s="40"/>
      <c r="M46" s="40"/>
      <c r="N46" s="26">
        <v>20.100000000000001</v>
      </c>
      <c r="O46" s="26">
        <v>20.5</v>
      </c>
      <c r="P46" s="40"/>
      <c r="Q46" s="40">
        <v>20.399999999999999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212.2</v>
      </c>
      <c r="G47" s="26">
        <v>165.8</v>
      </c>
      <c r="H47" s="40"/>
      <c r="I47" s="40">
        <v>123.1</v>
      </c>
      <c r="J47" s="26">
        <v>211.3</v>
      </c>
      <c r="K47" s="26">
        <v>205.4</v>
      </c>
      <c r="L47" s="40"/>
      <c r="M47" s="40"/>
      <c r="N47" s="26">
        <v>153.4</v>
      </c>
      <c r="O47" s="26">
        <v>201</v>
      </c>
      <c r="P47" s="40"/>
      <c r="Q47" s="40">
        <v>200.6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69">
        <v>5.89</v>
      </c>
      <c r="F49" s="26">
        <v>5.19</v>
      </c>
      <c r="G49" s="26">
        <v>5.34</v>
      </c>
      <c r="H49" s="40"/>
      <c r="I49" s="40">
        <v>5.07</v>
      </c>
      <c r="J49" s="26">
        <v>5.2</v>
      </c>
      <c r="K49" s="26">
        <v>5.25</v>
      </c>
      <c r="L49" s="40"/>
      <c r="M49" s="40"/>
      <c r="N49" s="26">
        <v>4.7300000000000004</v>
      </c>
      <c r="O49" s="26">
        <v>4.82</v>
      </c>
      <c r="P49" s="40"/>
      <c r="Q49" s="40">
        <v>5.34</v>
      </c>
    </row>
    <row r="50" spans="2:17" ht="20.100000000000001" customHeight="1" x14ac:dyDescent="0.25">
      <c r="B50" s="110" t="s">
        <v>51</v>
      </c>
      <c r="C50" s="110"/>
      <c r="D50" s="110"/>
      <c r="E50" s="69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68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A1CF-AC6B-4C78-94D3-33ED62199403}">
  <dimension ref="B1:Q59"/>
  <sheetViews>
    <sheetView view="pageBreakPreview" zoomScale="85" zoomScaleNormal="60" zoomScaleSheetLayoutView="85" workbookViewId="0">
      <selection activeCell="P39" sqref="P39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71" t="s">
        <v>78</v>
      </c>
      <c r="E10" s="27"/>
      <c r="F10" s="37"/>
      <c r="G10" s="37" t="s">
        <v>99</v>
      </c>
      <c r="H10" s="37" t="s">
        <v>99</v>
      </c>
      <c r="I10" s="37" t="s">
        <v>99</v>
      </c>
      <c r="J10" s="37" t="s">
        <v>99</v>
      </c>
      <c r="K10" s="37" t="s">
        <v>99</v>
      </c>
      <c r="L10" s="39"/>
      <c r="M10" s="39"/>
      <c r="N10" s="37"/>
      <c r="O10" s="39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73.5</v>
      </c>
      <c r="H11" s="40">
        <v>73.2</v>
      </c>
      <c r="I11" s="40">
        <v>75.900000000000006</v>
      </c>
      <c r="J11" s="26">
        <v>76</v>
      </c>
      <c r="K11" s="26">
        <v>75.400000000000006</v>
      </c>
      <c r="L11" s="40"/>
      <c r="M11" s="40"/>
      <c r="N11" s="26"/>
      <c r="O11" s="26">
        <v>73.099999999999994</v>
      </c>
      <c r="P11" s="40">
        <v>80.099999999999994</v>
      </c>
      <c r="Q11" s="40">
        <v>78.2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0.6</v>
      </c>
      <c r="H12" s="40">
        <v>0</v>
      </c>
      <c r="I12" s="40">
        <v>0</v>
      </c>
      <c r="J12" s="26">
        <v>0</v>
      </c>
      <c r="K12" s="26">
        <v>0</v>
      </c>
      <c r="L12" s="40"/>
      <c r="M12" s="40"/>
      <c r="N12" s="26"/>
      <c r="O12" s="26">
        <v>0</v>
      </c>
      <c r="P12" s="40">
        <v>0.2</v>
      </c>
      <c r="Q12" s="40">
        <v>0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68.2</v>
      </c>
      <c r="H13" s="40">
        <v>69.599999999999994</v>
      </c>
      <c r="I13" s="40">
        <v>71.3</v>
      </c>
      <c r="J13" s="26">
        <v>71.7</v>
      </c>
      <c r="K13" s="26">
        <v>69</v>
      </c>
      <c r="L13" s="40"/>
      <c r="M13" s="40"/>
      <c r="N13" s="26"/>
      <c r="O13" s="26">
        <v>67.400000000000006</v>
      </c>
      <c r="P13" s="40">
        <v>76.7</v>
      </c>
      <c r="Q13" s="40">
        <v>73.5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67.900000000000006</v>
      </c>
      <c r="H14" s="40">
        <v>68.900000000000006</v>
      </c>
      <c r="I14" s="40">
        <v>71.400000000000006</v>
      </c>
      <c r="J14" s="26">
        <v>65</v>
      </c>
      <c r="K14" s="26">
        <v>69.599999999999994</v>
      </c>
      <c r="L14" s="40"/>
      <c r="M14" s="40"/>
      <c r="N14" s="26"/>
      <c r="O14" s="26">
        <v>76</v>
      </c>
      <c r="P14" s="40">
        <v>73.900000000000006</v>
      </c>
      <c r="Q14" s="40">
        <v>74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56.9</v>
      </c>
      <c r="H15" s="40">
        <v>62.4</v>
      </c>
      <c r="I15" s="40">
        <v>56.2</v>
      </c>
      <c r="J15" s="26">
        <v>42.7</v>
      </c>
      <c r="K15" s="26">
        <v>39.299999999999997</v>
      </c>
      <c r="L15" s="40"/>
      <c r="M15" s="40"/>
      <c r="N15" s="26"/>
      <c r="O15" s="26">
        <v>50.7</v>
      </c>
      <c r="P15" s="40">
        <v>46.5</v>
      </c>
      <c r="Q15" s="40">
        <v>45.2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/>
      <c r="I16" s="40">
        <v>6.6</v>
      </c>
      <c r="J16" s="26">
        <v>6.6</v>
      </c>
      <c r="K16" s="26">
        <v>6.6</v>
      </c>
      <c r="L16" s="40"/>
      <c r="M16" s="40"/>
      <c r="N16" s="26">
        <v>6.6</v>
      </c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118.2</v>
      </c>
      <c r="H17" s="40">
        <v>113</v>
      </c>
      <c r="I17" s="40">
        <v>117.2</v>
      </c>
      <c r="J17" s="26">
        <v>116.4</v>
      </c>
      <c r="K17" s="26">
        <v>117.8</v>
      </c>
      <c r="L17" s="40"/>
      <c r="M17" s="40"/>
      <c r="N17" s="26"/>
      <c r="O17" s="26">
        <v>117.5</v>
      </c>
      <c r="P17" s="40">
        <v>118</v>
      </c>
      <c r="Q17" s="40">
        <v>118.1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1159</v>
      </c>
      <c r="H18" s="40">
        <v>1153</v>
      </c>
      <c r="I18" s="40">
        <v>1186</v>
      </c>
      <c r="J18" s="26">
        <v>1194</v>
      </c>
      <c r="K18" s="26">
        <v>1191</v>
      </c>
      <c r="L18" s="40"/>
      <c r="M18" s="40"/>
      <c r="N18" s="26"/>
      <c r="O18" s="26">
        <v>1187</v>
      </c>
      <c r="P18" s="40">
        <v>1204</v>
      </c>
      <c r="Q18" s="40">
        <v>1192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46271.9</v>
      </c>
      <c r="H19" s="40">
        <v>47072.6</v>
      </c>
      <c r="I19" s="40">
        <v>47063.3</v>
      </c>
      <c r="J19" s="26">
        <v>44667.4</v>
      </c>
      <c r="K19" s="26">
        <v>44658.1</v>
      </c>
      <c r="L19" s="40"/>
      <c r="M19" s="40"/>
      <c r="N19" s="26"/>
      <c r="O19" s="26">
        <v>46296.4</v>
      </c>
      <c r="P19" s="40">
        <v>48199.8</v>
      </c>
      <c r="Q19" s="40">
        <v>48190.5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</v>
      </c>
      <c r="H22" s="40">
        <v>58.9</v>
      </c>
      <c r="I22" s="40">
        <v>59</v>
      </c>
      <c r="J22" s="26">
        <v>57.7</v>
      </c>
      <c r="K22" s="26">
        <v>58</v>
      </c>
      <c r="L22" s="40"/>
      <c r="M22" s="40"/>
      <c r="N22" s="26"/>
      <c r="O22" s="26">
        <v>58.6</v>
      </c>
      <c r="P22" s="40">
        <v>59.2</v>
      </c>
      <c r="Q22" s="40">
        <v>59.1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0.52</v>
      </c>
      <c r="H23" s="40">
        <v>0.49</v>
      </c>
      <c r="I23" s="40">
        <v>0.5</v>
      </c>
      <c r="J23" s="26">
        <v>0.57999999999999996</v>
      </c>
      <c r="K23" s="26">
        <v>0.59</v>
      </c>
      <c r="L23" s="40"/>
      <c r="M23" s="40"/>
      <c r="N23" s="26"/>
      <c r="O23" s="26">
        <v>0.48</v>
      </c>
      <c r="P23" s="40">
        <v>0.47</v>
      </c>
      <c r="Q23" s="40">
        <v>0.47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44.9</v>
      </c>
      <c r="H25" s="40">
        <v>45.1</v>
      </c>
      <c r="I25" s="40">
        <v>45</v>
      </c>
      <c r="J25" s="26">
        <v>45.1</v>
      </c>
      <c r="K25" s="26">
        <v>44.9</v>
      </c>
      <c r="L25" s="40"/>
      <c r="M25" s="40"/>
      <c r="N25" s="26"/>
      <c r="O25" s="26">
        <v>44.9</v>
      </c>
      <c r="P25" s="40">
        <v>44.8</v>
      </c>
      <c r="Q25" s="40">
        <v>45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0.26</v>
      </c>
      <c r="H26" s="40">
        <v>0.22</v>
      </c>
      <c r="I26" s="40">
        <v>0.22</v>
      </c>
      <c r="J26" s="26">
        <v>0.22</v>
      </c>
      <c r="K26" s="26">
        <v>0.26</v>
      </c>
      <c r="L26" s="40"/>
      <c r="M26" s="40"/>
      <c r="N26" s="26"/>
      <c r="O26" s="26">
        <v>0.23</v>
      </c>
      <c r="P26" s="40">
        <v>0.22</v>
      </c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</v>
      </c>
      <c r="H27" s="40">
        <v>4</v>
      </c>
      <c r="I27" s="40">
        <v>3.6</v>
      </c>
      <c r="J27" s="26">
        <v>4.3</v>
      </c>
      <c r="K27" s="26">
        <v>4.2</v>
      </c>
      <c r="L27" s="40"/>
      <c r="M27" s="40"/>
      <c r="N27" s="26"/>
      <c r="O27" s="26">
        <v>3.9</v>
      </c>
      <c r="P27" s="40">
        <v>4</v>
      </c>
      <c r="Q27" s="40">
        <v>3.5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3.6</v>
      </c>
      <c r="H28" s="40">
        <v>3.1</v>
      </c>
      <c r="I28" s="40">
        <v>2.7</v>
      </c>
      <c r="J28" s="26">
        <v>3.3</v>
      </c>
      <c r="K28" s="26">
        <v>3.2</v>
      </c>
      <c r="L28" s="40"/>
      <c r="M28" s="40"/>
      <c r="N28" s="26"/>
      <c r="O28" s="26">
        <v>2.8</v>
      </c>
      <c r="P28" s="40">
        <v>3.1</v>
      </c>
      <c r="Q28" s="40">
        <v>2.7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0.99999999999999956</v>
      </c>
      <c r="H29" s="41">
        <f t="shared" si="0"/>
        <v>2.1999999999999997</v>
      </c>
      <c r="I29" s="41">
        <f t="shared" si="0"/>
        <v>2.0999999999999996</v>
      </c>
      <c r="J29" s="41">
        <f t="shared" si="0"/>
        <v>0.90000000000000036</v>
      </c>
      <c r="K29" s="41">
        <f t="shared" si="0"/>
        <v>0.79999999999999982</v>
      </c>
      <c r="L29" s="41">
        <f t="shared" si="0"/>
        <v>0</v>
      </c>
      <c r="M29" s="41">
        <f t="shared" si="0"/>
        <v>0</v>
      </c>
      <c r="N29" s="41">
        <f t="shared" si="0"/>
        <v>0</v>
      </c>
      <c r="O29" s="41">
        <f t="shared" si="0"/>
        <v>1.2000000000000002</v>
      </c>
      <c r="P29" s="41">
        <f t="shared" si="0"/>
        <v>1.8000000000000003</v>
      </c>
      <c r="Q29" s="41">
        <f t="shared" si="0"/>
        <v>1.3999999999999995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646.4</v>
      </c>
      <c r="H30" s="40">
        <v>729</v>
      </c>
      <c r="I30" s="40">
        <v>638.9</v>
      </c>
      <c r="J30" s="26">
        <v>674.4</v>
      </c>
      <c r="K30" s="26">
        <v>648.6</v>
      </c>
      <c r="L30" s="40"/>
      <c r="M30" s="40"/>
      <c r="N30" s="26"/>
      <c r="O30" s="26">
        <v>636.4</v>
      </c>
      <c r="P30" s="40">
        <v>701.5</v>
      </c>
      <c r="Q30" s="40">
        <v>647.4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13.7</v>
      </c>
      <c r="H31" s="40">
        <v>13.2</v>
      </c>
      <c r="I31" s="40">
        <v>13.7</v>
      </c>
      <c r="J31" s="26">
        <v>13</v>
      </c>
      <c r="K31" s="26">
        <v>12.9</v>
      </c>
      <c r="L31" s="40"/>
      <c r="M31" s="40"/>
      <c r="N31" s="26"/>
      <c r="O31" s="26">
        <v>13.2</v>
      </c>
      <c r="P31" s="40">
        <v>13.1</v>
      </c>
      <c r="Q31" s="40">
        <v>12.7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4.5999999999999996</v>
      </c>
      <c r="H32" s="40">
        <v>5.3</v>
      </c>
      <c r="I32" s="40">
        <v>4.8</v>
      </c>
      <c r="J32" s="26">
        <v>4.2</v>
      </c>
      <c r="K32" s="26">
        <v>4</v>
      </c>
      <c r="L32" s="40"/>
      <c r="M32" s="40"/>
      <c r="N32" s="26"/>
      <c r="O32" s="26">
        <v>4</v>
      </c>
      <c r="P32" s="40">
        <v>4.9000000000000004</v>
      </c>
      <c r="Q32" s="40">
        <v>4.0999999999999996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9.1</v>
      </c>
      <c r="H33" s="41">
        <f t="shared" si="1"/>
        <v>7.8999999999999995</v>
      </c>
      <c r="I33" s="41">
        <f t="shared" si="1"/>
        <v>8.8999999999999986</v>
      </c>
      <c r="J33" s="41">
        <f t="shared" si="1"/>
        <v>8.8000000000000007</v>
      </c>
      <c r="K33" s="41">
        <f t="shared" si="1"/>
        <v>8.9</v>
      </c>
      <c r="L33" s="41">
        <f t="shared" si="1"/>
        <v>0</v>
      </c>
      <c r="M33" s="41"/>
      <c r="N33" s="41">
        <f t="shared" si="1"/>
        <v>0</v>
      </c>
      <c r="O33" s="41">
        <f t="shared" si="1"/>
        <v>9.1999999999999993</v>
      </c>
      <c r="P33" s="41">
        <f t="shared" si="1"/>
        <v>8.1999999999999993</v>
      </c>
      <c r="Q33" s="41">
        <f t="shared" si="1"/>
        <v>8.6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6792.4249422632793</v>
      </c>
      <c r="H34" s="42">
        <f t="shared" si="2"/>
        <v>6650.2309468822168</v>
      </c>
      <c r="I34" s="42">
        <f t="shared" si="2"/>
        <v>6566.0623556581977</v>
      </c>
      <c r="J34" s="42">
        <f t="shared" si="2"/>
        <v>6853.0254041570442</v>
      </c>
      <c r="K34" s="42">
        <f t="shared" si="2"/>
        <v>6665.7505773672065</v>
      </c>
      <c r="L34" s="42">
        <f t="shared" si="2"/>
        <v>0</v>
      </c>
      <c r="M34" s="42">
        <f t="shared" si="2"/>
        <v>0</v>
      </c>
      <c r="N34" s="42">
        <f t="shared" si="2"/>
        <v>0</v>
      </c>
      <c r="O34" s="42">
        <f t="shared" si="2"/>
        <v>6760.8314087759809</v>
      </c>
      <c r="P34" s="42">
        <f t="shared" si="2"/>
        <v>6642.3787528868352</v>
      </c>
      <c r="Q34" s="42">
        <f t="shared" si="2"/>
        <v>6429.1454965357962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0.82</v>
      </c>
      <c r="H35" s="40">
        <v>0.82</v>
      </c>
      <c r="I35" s="40">
        <v>0.85</v>
      </c>
      <c r="J35" s="26">
        <v>0.8</v>
      </c>
      <c r="K35" s="26">
        <v>0.83</v>
      </c>
      <c r="L35" s="40"/>
      <c r="M35" s="40"/>
      <c r="N35" s="26"/>
      <c r="O35" s="26">
        <v>0.83</v>
      </c>
      <c r="P35" s="40">
        <v>0.79</v>
      </c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</v>
      </c>
      <c r="H36" s="40">
        <v>35.5</v>
      </c>
      <c r="I36" s="40">
        <v>36.9</v>
      </c>
      <c r="J36" s="26">
        <v>34.799999999999997</v>
      </c>
      <c r="K36" s="26">
        <v>36.4</v>
      </c>
      <c r="L36" s="40"/>
      <c r="M36" s="40"/>
      <c r="N36" s="26"/>
      <c r="O36" s="26">
        <v>36.5</v>
      </c>
      <c r="P36" s="40">
        <v>35.1</v>
      </c>
      <c r="Q36" s="40">
        <v>36.1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36.4</v>
      </c>
      <c r="H37" s="40">
        <v>36.4</v>
      </c>
      <c r="I37" s="40">
        <v>37.9</v>
      </c>
      <c r="J37" s="26">
        <v>35.700000000000003</v>
      </c>
      <c r="K37" s="26">
        <v>37.1</v>
      </c>
      <c r="L37" s="40"/>
      <c r="M37" s="40"/>
      <c r="N37" s="26"/>
      <c r="O37" s="26">
        <v>36.700000000000003</v>
      </c>
      <c r="P37" s="40">
        <v>35.200000000000003</v>
      </c>
      <c r="Q37" s="40">
        <v>36.200000000000003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2.1000000000000014</v>
      </c>
      <c r="H38" s="41">
        <f t="shared" si="3"/>
        <v>4.3999999999999986</v>
      </c>
      <c r="I38" s="41">
        <f t="shared" si="3"/>
        <v>4.3999999999999986</v>
      </c>
      <c r="J38" s="41">
        <f t="shared" si="3"/>
        <v>2.9000000000000057</v>
      </c>
      <c r="K38" s="41">
        <f t="shared" si="3"/>
        <v>2.8999999999999986</v>
      </c>
      <c r="L38" s="41">
        <f t="shared" si="3"/>
        <v>0</v>
      </c>
      <c r="M38" s="41">
        <f t="shared" si="3"/>
        <v>0</v>
      </c>
      <c r="N38" s="41">
        <f t="shared" si="3"/>
        <v>0</v>
      </c>
      <c r="O38" s="41">
        <f t="shared" si="3"/>
        <v>2.9000000000000057</v>
      </c>
      <c r="P38" s="41">
        <f t="shared" si="3"/>
        <v>2.3000000000000043</v>
      </c>
      <c r="Q38" s="41">
        <f t="shared" si="3"/>
        <v>2.2000000000000028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28.7</v>
      </c>
      <c r="H40" s="40">
        <v>27</v>
      </c>
      <c r="I40" s="40">
        <v>28.6</v>
      </c>
      <c r="J40" s="26">
        <v>27.1</v>
      </c>
      <c r="K40" s="26">
        <v>28.7</v>
      </c>
      <c r="L40" s="40"/>
      <c r="M40" s="40"/>
      <c r="N40" s="26"/>
      <c r="O40" s="26">
        <v>28.5</v>
      </c>
      <c r="P40" s="40">
        <v>26.8</v>
      </c>
      <c r="Q40" s="40">
        <v>28.4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34.299999999999997</v>
      </c>
      <c r="H41" s="40">
        <v>32</v>
      </c>
      <c r="I41" s="40">
        <v>33.5</v>
      </c>
      <c r="J41" s="26">
        <v>32.799999999999997</v>
      </c>
      <c r="K41" s="26">
        <v>34.200000000000003</v>
      </c>
      <c r="L41" s="40"/>
      <c r="M41" s="40"/>
      <c r="N41" s="26"/>
      <c r="O41" s="26">
        <v>33.799999999999997</v>
      </c>
      <c r="P41" s="40">
        <v>32.9</v>
      </c>
      <c r="Q41" s="40">
        <v>34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5.5999999999999979</v>
      </c>
      <c r="H42" s="41">
        <f t="shared" si="4"/>
        <v>5</v>
      </c>
      <c r="I42" s="41">
        <f t="shared" si="4"/>
        <v>4.8999999999999986</v>
      </c>
      <c r="J42" s="41">
        <f t="shared" si="4"/>
        <v>5.6999999999999957</v>
      </c>
      <c r="K42" s="41">
        <f t="shared" si="4"/>
        <v>5.5000000000000036</v>
      </c>
      <c r="L42" s="41">
        <f t="shared" si="4"/>
        <v>0</v>
      </c>
      <c r="M42" s="41">
        <f t="shared" si="4"/>
        <v>0</v>
      </c>
      <c r="N42" s="41">
        <f t="shared" si="4"/>
        <v>0</v>
      </c>
      <c r="O42" s="41">
        <f t="shared" si="4"/>
        <v>5.2999999999999972</v>
      </c>
      <c r="P42" s="41">
        <f t="shared" si="4"/>
        <v>6.0999999999999979</v>
      </c>
      <c r="Q42" s="41">
        <f t="shared" si="4"/>
        <v>5.6000000000000014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1269.9000000000001</v>
      </c>
      <c r="H43" s="40">
        <v>1259.5999999999999</v>
      </c>
      <c r="I43" s="40">
        <v>1291.8</v>
      </c>
      <c r="J43" s="26">
        <v>1299.9000000000001</v>
      </c>
      <c r="K43" s="26">
        <v>1291.0999999999999</v>
      </c>
      <c r="L43" s="40"/>
      <c r="M43" s="26"/>
      <c r="N43" s="26"/>
      <c r="O43" s="26">
        <v>1093.0999999999999</v>
      </c>
      <c r="P43" s="40">
        <v>1213.0999999999999</v>
      </c>
      <c r="Q43" s="40">
        <v>1274.8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8211.8244803695125</v>
      </c>
      <c r="H44" s="42">
        <f t="shared" si="5"/>
        <v>7272.5173210161665</v>
      </c>
      <c r="I44" s="42">
        <f t="shared" si="5"/>
        <v>7309.2609699769027</v>
      </c>
      <c r="J44" s="42">
        <f t="shared" si="5"/>
        <v>8555.9237875288618</v>
      </c>
      <c r="K44" s="42">
        <f t="shared" si="5"/>
        <v>8199.8267898383419</v>
      </c>
      <c r="L44" s="42">
        <f t="shared" si="5"/>
        <v>0</v>
      </c>
      <c r="M44" s="42">
        <f t="shared" si="5"/>
        <v>0</v>
      </c>
      <c r="N44" s="42">
        <f t="shared" si="5"/>
        <v>0</v>
      </c>
      <c r="O44" s="42">
        <f t="shared" si="5"/>
        <v>6689.8729792147769</v>
      </c>
      <c r="P44" s="42">
        <f t="shared" si="5"/>
        <v>8544.930715935332</v>
      </c>
      <c r="Q44" s="42">
        <f t="shared" si="5"/>
        <v>8243.5103926097017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0.46</v>
      </c>
      <c r="H45" s="40">
        <v>0.45</v>
      </c>
      <c r="I45" s="40">
        <v>0.47</v>
      </c>
      <c r="J45" s="26">
        <v>0.45</v>
      </c>
      <c r="K45" s="26">
        <v>0.46</v>
      </c>
      <c r="L45" s="40"/>
      <c r="M45" s="40"/>
      <c r="N45" s="26"/>
      <c r="O45" s="26">
        <v>0.46</v>
      </c>
      <c r="P45" s="40">
        <v>0.45</v>
      </c>
      <c r="Q45" s="40">
        <v>0.45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19.7</v>
      </c>
      <c r="H46" s="40">
        <v>19</v>
      </c>
      <c r="I46" s="40">
        <v>20.100000000000001</v>
      </c>
      <c r="J46" s="26">
        <v>19</v>
      </c>
      <c r="K46" s="26">
        <v>19.5</v>
      </c>
      <c r="L46" s="40"/>
      <c r="M46" s="40"/>
      <c r="N46" s="26"/>
      <c r="O46" s="26">
        <v>19.399999999999999</v>
      </c>
      <c r="P46" s="40">
        <v>19</v>
      </c>
      <c r="Q46" s="40">
        <v>19.2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197.1</v>
      </c>
      <c r="H47" s="40">
        <v>118</v>
      </c>
      <c r="I47" s="40">
        <v>133</v>
      </c>
      <c r="J47" s="26">
        <v>195.9</v>
      </c>
      <c r="K47" s="26">
        <v>211.5</v>
      </c>
      <c r="L47" s="40"/>
      <c r="M47" s="40"/>
      <c r="N47" s="26"/>
      <c r="O47" s="26">
        <v>161.6</v>
      </c>
      <c r="P47" s="40">
        <v>188</v>
      </c>
      <c r="Q47" s="40">
        <v>193.2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71">
        <v>5.89</v>
      </c>
      <c r="F49" s="26"/>
      <c r="G49" s="26">
        <v>5.86</v>
      </c>
      <c r="H49" s="40">
        <v>5.09</v>
      </c>
      <c r="I49" s="40">
        <v>5.41</v>
      </c>
      <c r="J49" s="26">
        <v>5.47</v>
      </c>
      <c r="K49" s="26">
        <v>5.55</v>
      </c>
      <c r="L49" s="40"/>
      <c r="M49" s="40"/>
      <c r="N49" s="26"/>
      <c r="O49" s="26">
        <v>5.71</v>
      </c>
      <c r="P49" s="40">
        <v>5.05</v>
      </c>
      <c r="Q49" s="40">
        <v>5.5</v>
      </c>
    </row>
    <row r="50" spans="2:17" ht="20.100000000000001" customHeight="1" x14ac:dyDescent="0.25">
      <c r="B50" s="110" t="s">
        <v>51</v>
      </c>
      <c r="C50" s="110"/>
      <c r="D50" s="110"/>
      <c r="E50" s="71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70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7328-8142-4E70-9A90-04120F026D1B}">
  <dimension ref="B1:Q59"/>
  <sheetViews>
    <sheetView view="pageBreakPreview" zoomScale="85" zoomScaleNormal="60" zoomScaleSheetLayoutView="85" workbookViewId="0">
      <selection activeCell="M26" sqref="M26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73" t="s">
        <v>78</v>
      </c>
      <c r="E10" s="27"/>
      <c r="F10" s="37"/>
      <c r="G10" s="37" t="s">
        <v>99</v>
      </c>
      <c r="H10" s="37"/>
      <c r="I10" s="37" t="s">
        <v>99</v>
      </c>
      <c r="J10" s="37"/>
      <c r="K10" s="37" t="s">
        <v>99</v>
      </c>
      <c r="L10" s="39"/>
      <c r="M10" s="39"/>
      <c r="N10" s="37"/>
      <c r="O10" s="39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70.7</v>
      </c>
      <c r="H11" s="40"/>
      <c r="I11" s="40">
        <v>76</v>
      </c>
      <c r="J11" s="26"/>
      <c r="K11" s="26">
        <v>74.599999999999994</v>
      </c>
      <c r="L11" s="40"/>
      <c r="M11" s="40"/>
      <c r="N11" s="26"/>
      <c r="O11" s="26">
        <v>71.8</v>
      </c>
      <c r="P11" s="40"/>
      <c r="Q11" s="40">
        <v>80.099999999999994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0.3</v>
      </c>
      <c r="H12" s="40"/>
      <c r="I12" s="40">
        <v>0.4</v>
      </c>
      <c r="J12" s="26"/>
      <c r="K12" s="26">
        <v>0</v>
      </c>
      <c r="L12" s="40"/>
      <c r="M12" s="40"/>
      <c r="N12" s="26"/>
      <c r="O12" s="26">
        <v>0</v>
      </c>
      <c r="P12" s="40"/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64.099999999999994</v>
      </c>
      <c r="H13" s="40"/>
      <c r="I13" s="40">
        <v>70.8</v>
      </c>
      <c r="J13" s="26"/>
      <c r="K13" s="26">
        <v>69</v>
      </c>
      <c r="L13" s="40"/>
      <c r="M13" s="40"/>
      <c r="N13" s="26"/>
      <c r="O13" s="26">
        <v>65.900000000000006</v>
      </c>
      <c r="P13" s="40"/>
      <c r="Q13" s="40">
        <v>76.7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65.900000000000006</v>
      </c>
      <c r="H14" s="40"/>
      <c r="I14" s="40">
        <v>68.400000000000006</v>
      </c>
      <c r="J14" s="26"/>
      <c r="K14" s="26">
        <v>63.3</v>
      </c>
      <c r="L14" s="40"/>
      <c r="M14" s="40"/>
      <c r="N14" s="26"/>
      <c r="O14" s="26">
        <v>72.3</v>
      </c>
      <c r="P14" s="40"/>
      <c r="Q14" s="40">
        <v>72.8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42.8</v>
      </c>
      <c r="H15" s="40"/>
      <c r="I15" s="40">
        <v>52.9</v>
      </c>
      <c r="J15" s="26"/>
      <c r="K15" s="26">
        <v>39.6</v>
      </c>
      <c r="L15" s="40"/>
      <c r="M15" s="40"/>
      <c r="N15" s="26"/>
      <c r="O15" s="26">
        <v>56.1</v>
      </c>
      <c r="P15" s="40"/>
      <c r="Q15" s="40">
        <v>43.5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/>
      <c r="I16" s="26">
        <v>6.6</v>
      </c>
      <c r="J16" s="26"/>
      <c r="K16" s="26">
        <v>6.6</v>
      </c>
      <c r="L16" s="40"/>
      <c r="M16" s="40"/>
      <c r="N16" s="26"/>
      <c r="O16" s="26">
        <v>6.6</v>
      </c>
      <c r="P16" s="40"/>
      <c r="Q16" s="26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118.5</v>
      </c>
      <c r="H17" s="40"/>
      <c r="I17" s="40">
        <v>117.8</v>
      </c>
      <c r="J17" s="26"/>
      <c r="K17" s="26">
        <v>117.5</v>
      </c>
      <c r="L17" s="40"/>
      <c r="M17" s="40"/>
      <c r="N17" s="26"/>
      <c r="O17" s="26">
        <v>116.5</v>
      </c>
      <c r="P17" s="40"/>
      <c r="Q17" s="40">
        <v>119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1163</v>
      </c>
      <c r="H18" s="40"/>
      <c r="I18" s="40">
        <v>1189</v>
      </c>
      <c r="J18" s="26"/>
      <c r="K18" s="26">
        <v>1200</v>
      </c>
      <c r="L18" s="40"/>
      <c r="M18" s="40"/>
      <c r="N18" s="26"/>
      <c r="O18" s="26">
        <v>1205</v>
      </c>
      <c r="P18" s="40"/>
      <c r="Q18" s="40">
        <v>1226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46282</v>
      </c>
      <c r="H19" s="40"/>
      <c r="I19" s="40">
        <v>47082</v>
      </c>
      <c r="J19" s="26"/>
      <c r="K19" s="26">
        <v>44682</v>
      </c>
      <c r="L19" s="40"/>
      <c r="M19" s="40"/>
      <c r="N19" s="26"/>
      <c r="O19" s="26">
        <v>46307</v>
      </c>
      <c r="P19" s="40"/>
      <c r="Q19" s="40">
        <v>48215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58.2</v>
      </c>
      <c r="H22" s="40"/>
      <c r="I22" s="40">
        <v>59</v>
      </c>
      <c r="J22" s="26"/>
      <c r="K22" s="26">
        <v>57.9</v>
      </c>
      <c r="L22" s="40"/>
      <c r="M22" s="40"/>
      <c r="N22" s="26"/>
      <c r="O22" s="26">
        <v>58.7</v>
      </c>
      <c r="P22" s="40"/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0.53</v>
      </c>
      <c r="H23" s="40"/>
      <c r="I23" s="40">
        <v>0.5</v>
      </c>
      <c r="J23" s="26"/>
      <c r="K23" s="26">
        <v>0.59</v>
      </c>
      <c r="L23" s="40"/>
      <c r="M23" s="40"/>
      <c r="N23" s="26"/>
      <c r="O23" s="26">
        <v>0.5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44.7</v>
      </c>
      <c r="H25" s="40"/>
      <c r="I25" s="40">
        <v>45.1</v>
      </c>
      <c r="J25" s="26"/>
      <c r="K25" s="26">
        <v>44.9</v>
      </c>
      <c r="L25" s="40"/>
      <c r="M25" s="40"/>
      <c r="N25" s="26"/>
      <c r="O25" s="26">
        <v>45.1</v>
      </c>
      <c r="P25" s="40"/>
      <c r="Q25" s="40">
        <v>44.9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0.24</v>
      </c>
      <c r="H26" s="40"/>
      <c r="I26" s="40">
        <v>0.22</v>
      </c>
      <c r="J26" s="26"/>
      <c r="K26" s="26">
        <v>0.23</v>
      </c>
      <c r="L26" s="40"/>
      <c r="M26" s="40"/>
      <c r="N26" s="26"/>
      <c r="O26" s="26">
        <v>0.24</v>
      </c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5</v>
      </c>
      <c r="H27" s="40"/>
      <c r="I27" s="40">
        <v>4</v>
      </c>
      <c r="J27" s="26"/>
      <c r="K27" s="26">
        <v>4.4000000000000004</v>
      </c>
      <c r="L27" s="40"/>
      <c r="M27" s="40"/>
      <c r="N27" s="26"/>
      <c r="O27" s="26">
        <v>5.2</v>
      </c>
      <c r="P27" s="40"/>
      <c r="Q27" s="40">
        <v>4.2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4.2</v>
      </c>
      <c r="H28" s="40"/>
      <c r="I28" s="40">
        <v>2.9</v>
      </c>
      <c r="J28" s="26"/>
      <c r="K28" s="26">
        <v>3.5</v>
      </c>
      <c r="L28" s="40"/>
      <c r="M28" s="40"/>
      <c r="N28" s="26"/>
      <c r="O28" s="26">
        <v>4</v>
      </c>
      <c r="P28" s="40"/>
      <c r="Q28" s="40">
        <v>3.1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0.79999999999999982</v>
      </c>
      <c r="H29" s="41">
        <f t="shared" si="0"/>
        <v>0</v>
      </c>
      <c r="I29" s="41">
        <f t="shared" si="0"/>
        <v>2.1999999999999997</v>
      </c>
      <c r="J29" s="41">
        <f t="shared" si="0"/>
        <v>0</v>
      </c>
      <c r="K29" s="41">
        <f t="shared" si="0"/>
        <v>1.0999999999999996</v>
      </c>
      <c r="L29" s="41">
        <f t="shared" si="0"/>
        <v>0</v>
      </c>
      <c r="M29" s="41">
        <f t="shared" si="0"/>
        <v>0</v>
      </c>
      <c r="N29" s="41">
        <f t="shared" si="0"/>
        <v>0</v>
      </c>
      <c r="O29" s="41">
        <f t="shared" si="0"/>
        <v>1</v>
      </c>
      <c r="P29" s="41">
        <f t="shared" si="0"/>
        <v>0</v>
      </c>
      <c r="Q29" s="41">
        <f t="shared" si="0"/>
        <v>1.6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731.2</v>
      </c>
      <c r="H30" s="40"/>
      <c r="I30" s="40">
        <v>680.64</v>
      </c>
      <c r="J30" s="26"/>
      <c r="K30" s="26">
        <v>654.72</v>
      </c>
      <c r="L30" s="40"/>
      <c r="M30" s="40"/>
      <c r="N30" s="26"/>
      <c r="O30" s="26">
        <v>716.64</v>
      </c>
      <c r="P30" s="40"/>
      <c r="Q30" s="40">
        <v>652.08000000000004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12.9</v>
      </c>
      <c r="H31" s="40"/>
      <c r="I31" s="40">
        <v>13</v>
      </c>
      <c r="J31" s="26"/>
      <c r="K31" s="26">
        <v>13.5</v>
      </c>
      <c r="L31" s="40"/>
      <c r="M31" s="40"/>
      <c r="N31" s="26"/>
      <c r="O31" s="26">
        <v>13.1</v>
      </c>
      <c r="P31" s="40"/>
      <c r="Q31" s="40">
        <v>13.2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5</v>
      </c>
      <c r="H32" s="40"/>
      <c r="I32" s="40">
        <v>5.0999999999999996</v>
      </c>
      <c r="J32" s="26"/>
      <c r="K32" s="26">
        <v>4.5999999999999996</v>
      </c>
      <c r="L32" s="40"/>
      <c r="M32" s="40"/>
      <c r="N32" s="26"/>
      <c r="O32" s="26">
        <v>5</v>
      </c>
      <c r="P32" s="40"/>
      <c r="Q32" s="40">
        <v>4.7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7.9</v>
      </c>
      <c r="H33" s="41">
        <f t="shared" si="1"/>
        <v>0</v>
      </c>
      <c r="I33" s="41">
        <f t="shared" si="1"/>
        <v>7.9</v>
      </c>
      <c r="J33" s="41">
        <f t="shared" si="1"/>
        <v>0</v>
      </c>
      <c r="K33" s="41">
        <f t="shared" si="1"/>
        <v>8.9</v>
      </c>
      <c r="L33" s="41">
        <f t="shared" si="1"/>
        <v>0</v>
      </c>
      <c r="M33" s="41"/>
      <c r="N33" s="41">
        <f t="shared" si="1"/>
        <v>0</v>
      </c>
      <c r="O33" s="41">
        <f t="shared" si="1"/>
        <v>8.1</v>
      </c>
      <c r="P33" s="41">
        <f t="shared" si="1"/>
        <v>0</v>
      </c>
      <c r="Q33" s="41">
        <f t="shared" si="1"/>
        <v>8.5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6670.3002309468829</v>
      </c>
      <c r="H34" s="42">
        <f t="shared" si="2"/>
        <v>0</v>
      </c>
      <c r="I34" s="42">
        <f t="shared" si="2"/>
        <v>6209.0715935334883</v>
      </c>
      <c r="J34" s="42">
        <f t="shared" si="2"/>
        <v>0</v>
      </c>
      <c r="K34" s="42">
        <f t="shared" si="2"/>
        <v>6728.6466512702091</v>
      </c>
      <c r="L34" s="42">
        <f t="shared" si="2"/>
        <v>0</v>
      </c>
      <c r="M34" s="42">
        <f t="shared" si="2"/>
        <v>0</v>
      </c>
      <c r="N34" s="42">
        <f t="shared" si="2"/>
        <v>0</v>
      </c>
      <c r="O34" s="42">
        <f t="shared" si="2"/>
        <v>6702.9838337182446</v>
      </c>
      <c r="P34" s="42">
        <f t="shared" si="2"/>
        <v>0</v>
      </c>
      <c r="Q34" s="42">
        <f t="shared" si="2"/>
        <v>6400.3233256351041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0.82</v>
      </c>
      <c r="H35" s="40"/>
      <c r="I35" s="40">
        <v>0.85</v>
      </c>
      <c r="J35" s="26"/>
      <c r="K35" s="26">
        <v>0.84</v>
      </c>
      <c r="L35" s="40"/>
      <c r="M35" s="40"/>
      <c r="N35" s="26"/>
      <c r="O35" s="26">
        <v>0.84</v>
      </c>
      <c r="P35" s="40"/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36.6</v>
      </c>
      <c r="H36" s="40"/>
      <c r="I36" s="40">
        <v>37.200000000000003</v>
      </c>
      <c r="J36" s="26"/>
      <c r="K36" s="26">
        <v>36.799999999999997</v>
      </c>
      <c r="L36" s="40"/>
      <c r="M36" s="40"/>
      <c r="N36" s="26"/>
      <c r="O36" s="26">
        <v>37</v>
      </c>
      <c r="P36" s="40"/>
      <c r="Q36" s="40">
        <v>36.9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36.4</v>
      </c>
      <c r="H37" s="40"/>
      <c r="I37" s="40">
        <v>37.700000000000003</v>
      </c>
      <c r="J37" s="26"/>
      <c r="K37" s="26">
        <v>37.200000000000003</v>
      </c>
      <c r="L37" s="40"/>
      <c r="M37" s="40"/>
      <c r="N37" s="26"/>
      <c r="O37" s="26">
        <v>37</v>
      </c>
      <c r="P37" s="40"/>
      <c r="Q37" s="40">
        <v>36.5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2.7999999999999972</v>
      </c>
      <c r="H38" s="41">
        <f t="shared" si="3"/>
        <v>0</v>
      </c>
      <c r="I38" s="41">
        <f t="shared" si="3"/>
        <v>4.8000000000000043</v>
      </c>
      <c r="J38" s="41">
        <f t="shared" si="3"/>
        <v>0</v>
      </c>
      <c r="K38" s="41">
        <f t="shared" si="3"/>
        <v>3.7000000000000028</v>
      </c>
      <c r="L38" s="41">
        <f t="shared" si="3"/>
        <v>0</v>
      </c>
      <c r="M38" s="41">
        <f t="shared" si="3"/>
        <v>0</v>
      </c>
      <c r="N38" s="41">
        <f t="shared" si="3"/>
        <v>0</v>
      </c>
      <c r="O38" s="41">
        <f t="shared" si="3"/>
        <v>3.2000000000000028</v>
      </c>
      <c r="P38" s="41">
        <f t="shared" si="3"/>
        <v>0</v>
      </c>
      <c r="Q38" s="41">
        <f t="shared" si="3"/>
        <v>2.8999999999999986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28.3</v>
      </c>
      <c r="H40" s="40"/>
      <c r="I40" s="40">
        <v>28</v>
      </c>
      <c r="J40" s="26"/>
      <c r="K40" s="26">
        <v>28.1</v>
      </c>
      <c r="L40" s="40"/>
      <c r="M40" s="40"/>
      <c r="N40" s="26"/>
      <c r="O40" s="26">
        <v>27.9</v>
      </c>
      <c r="P40" s="40"/>
      <c r="Q40" s="40">
        <v>28.2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33.6</v>
      </c>
      <c r="H41" s="40"/>
      <c r="I41" s="40">
        <v>32.9</v>
      </c>
      <c r="J41" s="26"/>
      <c r="K41" s="26">
        <v>33.5</v>
      </c>
      <c r="L41" s="40"/>
      <c r="M41" s="40"/>
      <c r="N41" s="26"/>
      <c r="O41" s="26">
        <v>33.799999999999997</v>
      </c>
      <c r="P41" s="40"/>
      <c r="Q41" s="40">
        <v>33.6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5.3000000000000007</v>
      </c>
      <c r="H42" s="41">
        <f t="shared" si="4"/>
        <v>0</v>
      </c>
      <c r="I42" s="41">
        <f t="shared" si="4"/>
        <v>4.8999999999999986</v>
      </c>
      <c r="J42" s="41">
        <f t="shared" si="4"/>
        <v>0</v>
      </c>
      <c r="K42" s="41">
        <f t="shared" si="4"/>
        <v>5.3999999999999986</v>
      </c>
      <c r="L42" s="41">
        <f t="shared" si="4"/>
        <v>0</v>
      </c>
      <c r="M42" s="41">
        <f t="shared" si="4"/>
        <v>0</v>
      </c>
      <c r="N42" s="41">
        <f t="shared" si="4"/>
        <v>0</v>
      </c>
      <c r="O42" s="41">
        <f t="shared" si="4"/>
        <v>5.8999999999999986</v>
      </c>
      <c r="P42" s="41">
        <f t="shared" si="4"/>
        <v>0</v>
      </c>
      <c r="Q42" s="41">
        <f t="shared" si="4"/>
        <v>5.4000000000000021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1267.28</v>
      </c>
      <c r="H43" s="40"/>
      <c r="I43" s="40">
        <v>1301.72</v>
      </c>
      <c r="J43" s="26"/>
      <c r="K43" s="26">
        <v>1292.9000000000001</v>
      </c>
      <c r="L43" s="40"/>
      <c r="M43" s="26"/>
      <c r="N43" s="26"/>
      <c r="O43" s="26">
        <v>1086.68</v>
      </c>
      <c r="P43" s="40"/>
      <c r="Q43" s="40">
        <v>1269.24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7755.8706697459593</v>
      </c>
      <c r="H44" s="42">
        <f t="shared" si="5"/>
        <v>0</v>
      </c>
      <c r="I44" s="42">
        <f t="shared" si="5"/>
        <v>7365.3903002309444</v>
      </c>
      <c r="J44" s="42">
        <f t="shared" si="5"/>
        <v>0</v>
      </c>
      <c r="K44" s="42">
        <f t="shared" si="5"/>
        <v>8061.9630484988438</v>
      </c>
      <c r="L44" s="42">
        <f t="shared" si="5"/>
        <v>0</v>
      </c>
      <c r="M44" s="42">
        <f t="shared" si="5"/>
        <v>0</v>
      </c>
      <c r="N44" s="42">
        <f t="shared" si="5"/>
        <v>0</v>
      </c>
      <c r="O44" s="42">
        <f t="shared" si="5"/>
        <v>7403.4780600461872</v>
      </c>
      <c r="P44" s="42">
        <f t="shared" si="5"/>
        <v>0</v>
      </c>
      <c r="Q44" s="42">
        <f t="shared" si="5"/>
        <v>7914.4295612009264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0.47</v>
      </c>
      <c r="H45" s="40"/>
      <c r="I45" s="40">
        <v>0.47</v>
      </c>
      <c r="J45" s="26"/>
      <c r="K45" s="26">
        <v>0.46</v>
      </c>
      <c r="L45" s="40"/>
      <c r="M45" s="40"/>
      <c r="N45" s="26"/>
      <c r="O45" s="26">
        <v>0.48</v>
      </c>
      <c r="P45" s="40"/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20.7</v>
      </c>
      <c r="H46" s="40"/>
      <c r="I46" s="40">
        <v>20.2</v>
      </c>
      <c r="J46" s="26"/>
      <c r="K46" s="26">
        <v>20.100000000000001</v>
      </c>
      <c r="L46" s="40"/>
      <c r="M46" s="40"/>
      <c r="N46" s="26"/>
      <c r="O46" s="26">
        <v>20.5</v>
      </c>
      <c r="P46" s="40"/>
      <c r="Q46" s="40">
        <v>19.899999999999999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175.1</v>
      </c>
      <c r="H47" s="40"/>
      <c r="I47" s="40">
        <v>122.5</v>
      </c>
      <c r="J47" s="26"/>
      <c r="K47" s="26">
        <v>204.9</v>
      </c>
      <c r="L47" s="40"/>
      <c r="M47" s="40"/>
      <c r="N47" s="26"/>
      <c r="O47" s="26">
        <v>158.1</v>
      </c>
      <c r="P47" s="40"/>
      <c r="Q47" s="40">
        <v>201.6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73">
        <v>5.89</v>
      </c>
      <c r="F49" s="26"/>
      <c r="G49" s="26">
        <v>5.27</v>
      </c>
      <c r="H49" s="40"/>
      <c r="I49" s="40">
        <v>5.17</v>
      </c>
      <c r="J49" s="26"/>
      <c r="K49" s="26">
        <v>5.44</v>
      </c>
      <c r="L49" s="40"/>
      <c r="M49" s="40"/>
      <c r="N49" s="26"/>
      <c r="O49" s="26">
        <v>5.08</v>
      </c>
      <c r="P49" s="40"/>
      <c r="Q49" s="40">
        <v>5.26</v>
      </c>
    </row>
    <row r="50" spans="2:17" ht="20.100000000000001" customHeight="1" x14ac:dyDescent="0.25">
      <c r="B50" s="110" t="s">
        <v>51</v>
      </c>
      <c r="C50" s="110"/>
      <c r="D50" s="110"/>
      <c r="E50" s="73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72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1195-D87A-447A-BF3B-2021E7406650}">
  <dimension ref="B1:Q59"/>
  <sheetViews>
    <sheetView view="pageBreakPreview" topLeftCell="B28" zoomScale="85" zoomScaleNormal="60" zoomScaleSheetLayoutView="85" workbookViewId="0">
      <selection activeCell="J45" sqref="J45:J49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75" t="s">
        <v>78</v>
      </c>
      <c r="E10" s="27"/>
      <c r="F10" s="37"/>
      <c r="G10" s="37" t="s">
        <v>99</v>
      </c>
      <c r="H10" s="37" t="s">
        <v>99</v>
      </c>
      <c r="I10" s="37" t="s">
        <v>99</v>
      </c>
      <c r="J10" s="37" t="s">
        <v>99</v>
      </c>
      <c r="K10" s="37" t="s">
        <v>99</v>
      </c>
      <c r="L10" s="39"/>
      <c r="M10" s="39"/>
      <c r="N10" s="37"/>
      <c r="O10" s="39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70.099999999999994</v>
      </c>
      <c r="H11" s="40">
        <v>80.599999999999994</v>
      </c>
      <c r="I11" s="40">
        <v>79.7</v>
      </c>
      <c r="J11" s="26">
        <v>63.4</v>
      </c>
      <c r="K11" s="26">
        <v>75.2</v>
      </c>
      <c r="L11" s="40"/>
      <c r="M11" s="40"/>
      <c r="N11" s="26"/>
      <c r="O11" s="26">
        <v>77.099999999999994</v>
      </c>
      <c r="P11" s="40">
        <v>77.900000000000006</v>
      </c>
      <c r="Q11" s="40">
        <v>77.3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0.6</v>
      </c>
      <c r="H12" s="40">
        <v>0.2</v>
      </c>
      <c r="I12" s="40">
        <v>0.4</v>
      </c>
      <c r="J12" s="26">
        <v>0</v>
      </c>
      <c r="K12" s="26">
        <v>0</v>
      </c>
      <c r="L12" s="40"/>
      <c r="M12" s="40"/>
      <c r="N12" s="26"/>
      <c r="O12" s="26">
        <v>0</v>
      </c>
      <c r="P12" s="40">
        <v>0.3</v>
      </c>
      <c r="Q12" s="40">
        <v>0.3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64.8</v>
      </c>
      <c r="H13" s="40">
        <v>77.7</v>
      </c>
      <c r="I13" s="40">
        <v>75.400000000000006</v>
      </c>
      <c r="J13" s="26">
        <v>57.5</v>
      </c>
      <c r="K13" s="26">
        <v>70.900000000000006</v>
      </c>
      <c r="L13" s="40"/>
      <c r="M13" s="40"/>
      <c r="N13" s="26"/>
      <c r="O13" s="26">
        <v>71.900000000000006</v>
      </c>
      <c r="P13" s="40">
        <v>72.8</v>
      </c>
      <c r="Q13" s="40">
        <v>72.8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66.2</v>
      </c>
      <c r="H14" s="40">
        <v>61.9</v>
      </c>
      <c r="I14" s="40">
        <v>66.5</v>
      </c>
      <c r="J14" s="26">
        <v>59.6</v>
      </c>
      <c r="K14" s="26">
        <v>63.1</v>
      </c>
      <c r="L14" s="40"/>
      <c r="M14" s="40"/>
      <c r="N14" s="26"/>
      <c r="O14" s="26">
        <v>70.3</v>
      </c>
      <c r="P14" s="40">
        <v>67.400000000000006</v>
      </c>
      <c r="Q14" s="40">
        <v>72.2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45.3</v>
      </c>
      <c r="H15" s="40">
        <v>51.4</v>
      </c>
      <c r="I15" s="40">
        <v>51.7</v>
      </c>
      <c r="J15" s="26">
        <v>35</v>
      </c>
      <c r="K15" s="26">
        <v>37.299999999999997</v>
      </c>
      <c r="L15" s="40"/>
      <c r="M15" s="40"/>
      <c r="N15" s="26"/>
      <c r="O15" s="26">
        <v>56.1</v>
      </c>
      <c r="P15" s="40">
        <v>39.1</v>
      </c>
      <c r="Q15" s="40">
        <v>43.7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>
        <v>6.6</v>
      </c>
      <c r="I16" s="26">
        <v>6.6</v>
      </c>
      <c r="J16" s="26">
        <v>6.6</v>
      </c>
      <c r="K16" s="26">
        <v>6.6</v>
      </c>
      <c r="L16" s="40"/>
      <c r="M16" s="40"/>
      <c r="N16" s="26"/>
      <c r="O16" s="26">
        <v>6.6</v>
      </c>
      <c r="P16" s="40">
        <v>6.6</v>
      </c>
      <c r="Q16" s="26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116.3</v>
      </c>
      <c r="H17" s="40">
        <v>116.7</v>
      </c>
      <c r="I17" s="40">
        <v>117</v>
      </c>
      <c r="J17" s="26">
        <v>107.3</v>
      </c>
      <c r="K17" s="26">
        <v>118.1</v>
      </c>
      <c r="L17" s="40"/>
      <c r="M17" s="40"/>
      <c r="N17" s="26"/>
      <c r="O17" s="26">
        <v>117.8</v>
      </c>
      <c r="P17" s="40">
        <v>115.5</v>
      </c>
      <c r="Q17" s="40">
        <v>117.2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1151</v>
      </c>
      <c r="H18" s="40">
        <v>1187</v>
      </c>
      <c r="I18" s="40">
        <v>1203</v>
      </c>
      <c r="J18" s="26">
        <v>1098</v>
      </c>
      <c r="K18" s="26">
        <v>1213</v>
      </c>
      <c r="L18" s="40"/>
      <c r="M18" s="40"/>
      <c r="N18" s="26"/>
      <c r="O18" s="26">
        <v>1219</v>
      </c>
      <c r="P18" s="40">
        <v>1175</v>
      </c>
      <c r="Q18" s="40">
        <v>1209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46300.2</v>
      </c>
      <c r="H19" s="40">
        <v>47115.6</v>
      </c>
      <c r="I19" s="40">
        <v>47105.599999999999</v>
      </c>
      <c r="J19" s="26">
        <v>44702.1</v>
      </c>
      <c r="K19" s="26">
        <v>44692.1</v>
      </c>
      <c r="L19" s="40"/>
      <c r="M19" s="40"/>
      <c r="N19" s="26"/>
      <c r="O19" s="26">
        <v>46330.5</v>
      </c>
      <c r="P19" s="40">
        <v>48234.6</v>
      </c>
      <c r="Q19" s="40">
        <v>48224.6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</v>
      </c>
      <c r="H22" s="40">
        <v>58.7</v>
      </c>
      <c r="I22" s="40">
        <v>59.2</v>
      </c>
      <c r="J22" s="26">
        <v>57.9</v>
      </c>
      <c r="K22" s="26">
        <v>57.7</v>
      </c>
      <c r="L22" s="40"/>
      <c r="M22" s="40"/>
      <c r="N22" s="26"/>
      <c r="O22" s="26">
        <v>58.6</v>
      </c>
      <c r="P22" s="40">
        <v>59.2</v>
      </c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0.53</v>
      </c>
      <c r="H23" s="40">
        <v>0.48</v>
      </c>
      <c r="I23" s="40">
        <v>0.49</v>
      </c>
      <c r="J23" s="26">
        <v>0.59</v>
      </c>
      <c r="K23" s="26">
        <v>0.59</v>
      </c>
      <c r="L23" s="40"/>
      <c r="M23" s="40"/>
      <c r="N23" s="26"/>
      <c r="O23" s="26">
        <v>0.5</v>
      </c>
      <c r="P23" s="40">
        <v>0.47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45.1</v>
      </c>
      <c r="H25" s="40">
        <v>45.1</v>
      </c>
      <c r="I25" s="40">
        <v>45.1</v>
      </c>
      <c r="J25" s="26">
        <v>45.1</v>
      </c>
      <c r="K25" s="26">
        <v>44.9</v>
      </c>
      <c r="L25" s="40"/>
      <c r="M25" s="40"/>
      <c r="N25" s="26"/>
      <c r="O25" s="26">
        <v>45</v>
      </c>
      <c r="P25" s="40">
        <v>45</v>
      </c>
      <c r="Q25" s="40">
        <v>44.9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0.24</v>
      </c>
      <c r="H26" s="40">
        <v>0.21</v>
      </c>
      <c r="I26" s="40">
        <v>0.22</v>
      </c>
      <c r="J26" s="26">
        <v>0.23</v>
      </c>
      <c r="K26" s="26">
        <v>0.23</v>
      </c>
      <c r="L26" s="40"/>
      <c r="M26" s="40"/>
      <c r="N26" s="26"/>
      <c r="O26" s="26">
        <v>0.24</v>
      </c>
      <c r="P26" s="40">
        <v>0.23</v>
      </c>
      <c r="Q26" s="40">
        <v>0.24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4.8</v>
      </c>
      <c r="H27" s="40">
        <v>2.9</v>
      </c>
      <c r="I27" s="40">
        <v>3.5</v>
      </c>
      <c r="J27" s="26">
        <v>4.3</v>
      </c>
      <c r="K27" s="26">
        <v>4.2</v>
      </c>
      <c r="L27" s="40"/>
      <c r="M27" s="40"/>
      <c r="N27" s="26"/>
      <c r="O27" s="26">
        <v>4.2</v>
      </c>
      <c r="P27" s="40">
        <v>3.5</v>
      </c>
      <c r="Q27" s="40">
        <v>4.3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4.4000000000000004</v>
      </c>
      <c r="H28" s="40">
        <v>2</v>
      </c>
      <c r="I28" s="40">
        <v>2.7</v>
      </c>
      <c r="J28" s="26">
        <v>3.4</v>
      </c>
      <c r="K28" s="26">
        <v>3.6</v>
      </c>
      <c r="L28" s="40"/>
      <c r="M28" s="40"/>
      <c r="N28" s="26"/>
      <c r="O28" s="26">
        <v>3.7</v>
      </c>
      <c r="P28" s="40">
        <v>2.2999999999999998</v>
      </c>
      <c r="Q28" s="40">
        <v>3.4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0.59999999999999964</v>
      </c>
      <c r="H29" s="41">
        <f t="shared" si="0"/>
        <v>1.9</v>
      </c>
      <c r="I29" s="41">
        <f t="shared" si="0"/>
        <v>1.8999999999999995</v>
      </c>
      <c r="J29" s="41">
        <f t="shared" si="0"/>
        <v>0.69999999999999973</v>
      </c>
      <c r="K29" s="41">
        <f t="shared" si="0"/>
        <v>0.89999999999999991</v>
      </c>
      <c r="L29" s="41">
        <f t="shared" si="0"/>
        <v>0</v>
      </c>
      <c r="M29" s="41">
        <f t="shared" si="0"/>
        <v>0</v>
      </c>
      <c r="N29" s="41">
        <f t="shared" si="0"/>
        <v>0</v>
      </c>
      <c r="O29" s="41">
        <f t="shared" si="0"/>
        <v>0.39999999999999947</v>
      </c>
      <c r="P29" s="41">
        <f t="shared" si="0"/>
        <v>1.9000000000000004</v>
      </c>
      <c r="Q29" s="41">
        <f t="shared" si="0"/>
        <v>1.5000000000000004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730.96</v>
      </c>
      <c r="H30" s="40">
        <v>678.3</v>
      </c>
      <c r="I30" s="40">
        <v>661.92</v>
      </c>
      <c r="J30" s="26">
        <v>671.1</v>
      </c>
      <c r="K30" s="26">
        <v>655.76</v>
      </c>
      <c r="L30" s="40"/>
      <c r="M30" s="40"/>
      <c r="N30" s="26"/>
      <c r="O30" s="26">
        <v>638.55999999999995</v>
      </c>
      <c r="P30" s="40">
        <v>674.3</v>
      </c>
      <c r="Q30" s="40">
        <v>658.8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12.8</v>
      </c>
      <c r="H31" s="40">
        <v>12.2</v>
      </c>
      <c r="I31" s="40">
        <v>12.8</v>
      </c>
      <c r="J31" s="26">
        <v>12.1</v>
      </c>
      <c r="K31" s="26">
        <v>13.2</v>
      </c>
      <c r="L31" s="40"/>
      <c r="M31" s="40"/>
      <c r="N31" s="26"/>
      <c r="O31" s="26">
        <v>12.9</v>
      </c>
      <c r="P31" s="40">
        <v>12.4</v>
      </c>
      <c r="Q31" s="40">
        <v>13.2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5</v>
      </c>
      <c r="H32" s="40">
        <v>3.9</v>
      </c>
      <c r="I32" s="40">
        <v>4.5999999999999996</v>
      </c>
      <c r="J32" s="26">
        <v>4.0999999999999996</v>
      </c>
      <c r="K32" s="26">
        <v>4.5</v>
      </c>
      <c r="L32" s="40"/>
      <c r="M32" s="40"/>
      <c r="N32" s="26"/>
      <c r="O32" s="26">
        <v>4.0999999999999996</v>
      </c>
      <c r="P32" s="40">
        <v>4.2</v>
      </c>
      <c r="Q32" s="40">
        <v>4.9000000000000004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7.8000000000000007</v>
      </c>
      <c r="H33" s="41">
        <f t="shared" si="1"/>
        <v>8.2999999999999989</v>
      </c>
      <c r="I33" s="41">
        <f t="shared" si="1"/>
        <v>8.2000000000000011</v>
      </c>
      <c r="J33" s="41">
        <f t="shared" si="1"/>
        <v>8</v>
      </c>
      <c r="K33" s="41">
        <f t="shared" si="1"/>
        <v>8.6999999999999993</v>
      </c>
      <c r="L33" s="41">
        <f t="shared" si="1"/>
        <v>0</v>
      </c>
      <c r="M33" s="41"/>
      <c r="N33" s="41">
        <f t="shared" si="1"/>
        <v>0</v>
      </c>
      <c r="O33" s="41">
        <f t="shared" si="1"/>
        <v>8.8000000000000007</v>
      </c>
      <c r="P33" s="41">
        <f t="shared" si="1"/>
        <v>8.1999999999999993</v>
      </c>
      <c r="Q33" s="41">
        <f t="shared" si="1"/>
        <v>8.2999999999999989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6583.7043879907633</v>
      </c>
      <c r="H34" s="42">
        <f t="shared" si="2"/>
        <v>6501.0277136258646</v>
      </c>
      <c r="I34" s="42">
        <f t="shared" si="2"/>
        <v>6267.6027713625872</v>
      </c>
      <c r="J34" s="42">
        <f t="shared" si="2"/>
        <v>6199.5381062355664</v>
      </c>
      <c r="K34" s="42">
        <f t="shared" si="2"/>
        <v>6587.8891454965351</v>
      </c>
      <c r="L34" s="42">
        <f t="shared" si="2"/>
        <v>0</v>
      </c>
      <c r="M34" s="42">
        <f t="shared" si="2"/>
        <v>0</v>
      </c>
      <c r="N34" s="42">
        <f t="shared" si="2"/>
        <v>0</v>
      </c>
      <c r="O34" s="42">
        <f t="shared" si="2"/>
        <v>6488.8314087759809</v>
      </c>
      <c r="P34" s="42">
        <f t="shared" si="2"/>
        <v>6384.8267898383365</v>
      </c>
      <c r="Q34" s="42">
        <f t="shared" si="2"/>
        <v>6314.1339491916851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0.83</v>
      </c>
      <c r="H35" s="40">
        <v>0.84</v>
      </c>
      <c r="I35" s="40">
        <v>0.87</v>
      </c>
      <c r="J35" s="26">
        <v>0.81</v>
      </c>
      <c r="K35" s="26">
        <v>0.85</v>
      </c>
      <c r="L35" s="40"/>
      <c r="M35" s="40"/>
      <c r="N35" s="26"/>
      <c r="O35" s="26">
        <v>0.85</v>
      </c>
      <c r="P35" s="40">
        <v>0.83</v>
      </c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36.5</v>
      </c>
      <c r="H36" s="40">
        <v>36.5</v>
      </c>
      <c r="I36" s="40">
        <v>37.299999999999997</v>
      </c>
      <c r="J36" s="26">
        <v>35.4</v>
      </c>
      <c r="K36" s="26">
        <v>36.9</v>
      </c>
      <c r="L36" s="40"/>
      <c r="M36" s="40"/>
      <c r="N36" s="26"/>
      <c r="O36" s="26">
        <v>37</v>
      </c>
      <c r="P36" s="40">
        <v>35.9</v>
      </c>
      <c r="Q36" s="40">
        <v>36.9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36.9</v>
      </c>
      <c r="H37" s="40">
        <v>37.4</v>
      </c>
      <c r="I37" s="40">
        <v>38.299999999999997</v>
      </c>
      <c r="J37" s="26">
        <v>36.1</v>
      </c>
      <c r="K37" s="26">
        <v>37.6</v>
      </c>
      <c r="L37" s="40"/>
      <c r="M37" s="40"/>
      <c r="N37" s="26"/>
      <c r="O37" s="26">
        <v>37.5</v>
      </c>
      <c r="P37" s="40">
        <v>36</v>
      </c>
      <c r="Q37" s="40">
        <v>36.9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2.8999999999999986</v>
      </c>
      <c r="H38" s="41">
        <f t="shared" si="3"/>
        <v>4.2999999999999972</v>
      </c>
      <c r="I38" s="41">
        <f t="shared" si="3"/>
        <v>4.6999999999999957</v>
      </c>
      <c r="J38" s="41">
        <f t="shared" si="3"/>
        <v>2.8000000000000043</v>
      </c>
      <c r="K38" s="41">
        <f t="shared" si="3"/>
        <v>3.6000000000000014</v>
      </c>
      <c r="L38" s="41">
        <f t="shared" si="3"/>
        <v>0</v>
      </c>
      <c r="M38" s="41">
        <f t="shared" si="3"/>
        <v>0</v>
      </c>
      <c r="N38" s="41">
        <f t="shared" si="3"/>
        <v>0</v>
      </c>
      <c r="O38" s="41">
        <f t="shared" si="3"/>
        <v>3.1000000000000014</v>
      </c>
      <c r="P38" s="41">
        <f t="shared" si="3"/>
        <v>2.2000000000000028</v>
      </c>
      <c r="Q38" s="41">
        <f t="shared" si="3"/>
        <v>2.7999999999999972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28.7</v>
      </c>
      <c r="H40" s="40">
        <v>28.1</v>
      </c>
      <c r="I40" s="40">
        <v>28.6</v>
      </c>
      <c r="J40" s="26">
        <v>28.3</v>
      </c>
      <c r="K40" s="26">
        <v>28.6</v>
      </c>
      <c r="L40" s="40"/>
      <c r="M40" s="40"/>
      <c r="N40" s="26"/>
      <c r="O40" s="26">
        <v>28.6</v>
      </c>
      <c r="P40" s="40">
        <v>28</v>
      </c>
      <c r="Q40" s="40">
        <v>28.8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</v>
      </c>
      <c r="H41" s="40">
        <v>33.1</v>
      </c>
      <c r="I41" s="40">
        <v>33.6</v>
      </c>
      <c r="J41" s="26">
        <v>33.299999999999997</v>
      </c>
      <c r="K41" s="26">
        <v>34</v>
      </c>
      <c r="L41" s="40"/>
      <c r="M41" s="40"/>
      <c r="N41" s="26"/>
      <c r="O41" s="26">
        <v>34.4</v>
      </c>
      <c r="P41" s="40">
        <v>33.799999999999997</v>
      </c>
      <c r="Q41" s="40">
        <v>34.1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5.3000000000000007</v>
      </c>
      <c r="H42" s="41">
        <f t="shared" si="4"/>
        <v>5</v>
      </c>
      <c r="I42" s="41">
        <f t="shared" si="4"/>
        <v>5</v>
      </c>
      <c r="J42" s="41">
        <f t="shared" si="4"/>
        <v>4.9999999999999964</v>
      </c>
      <c r="K42" s="41">
        <f t="shared" si="4"/>
        <v>5.3999999999999986</v>
      </c>
      <c r="L42" s="41">
        <f t="shared" si="4"/>
        <v>0</v>
      </c>
      <c r="M42" s="41">
        <f t="shared" si="4"/>
        <v>0</v>
      </c>
      <c r="N42" s="41">
        <f t="shared" si="4"/>
        <v>0</v>
      </c>
      <c r="O42" s="41">
        <f t="shared" si="4"/>
        <v>5.7999999999999972</v>
      </c>
      <c r="P42" s="41">
        <f t="shared" si="4"/>
        <v>5.7999999999999972</v>
      </c>
      <c r="Q42" s="41">
        <f t="shared" si="4"/>
        <v>5.3000000000000007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1266.58</v>
      </c>
      <c r="H43" s="40">
        <v>1250.2</v>
      </c>
      <c r="I43" s="40">
        <v>1302.28</v>
      </c>
      <c r="J43" s="26">
        <v>1294.7</v>
      </c>
      <c r="K43" s="26">
        <v>1299.9000000000001</v>
      </c>
      <c r="L43" s="40"/>
      <c r="M43" s="26"/>
      <c r="N43" s="26"/>
      <c r="O43" s="26">
        <v>1089.48</v>
      </c>
      <c r="P43" s="40">
        <v>1214.4000000000001</v>
      </c>
      <c r="Q43" s="40">
        <v>1267.56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7751.5866050808327</v>
      </c>
      <c r="H44" s="42">
        <f t="shared" si="5"/>
        <v>7218.24480369515</v>
      </c>
      <c r="I44" s="42">
        <f t="shared" si="5"/>
        <v>7518.9376443418014</v>
      </c>
      <c r="J44" s="42">
        <f t="shared" si="5"/>
        <v>7475.1732101616581</v>
      </c>
      <c r="K44" s="42">
        <f t="shared" si="5"/>
        <v>8105.6120092378733</v>
      </c>
      <c r="L44" s="42">
        <f t="shared" si="5"/>
        <v>0</v>
      </c>
      <c r="M44" s="42">
        <f t="shared" si="5"/>
        <v>0</v>
      </c>
      <c r="N44" s="42">
        <f t="shared" si="5"/>
        <v>0</v>
      </c>
      <c r="O44" s="42">
        <f t="shared" si="5"/>
        <v>7296.7482678983797</v>
      </c>
      <c r="P44" s="42">
        <f t="shared" si="5"/>
        <v>8133.3949191685879</v>
      </c>
      <c r="Q44" s="42">
        <f t="shared" si="5"/>
        <v>7757.5842956120096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0.47</v>
      </c>
      <c r="H45" s="40">
        <v>0.45</v>
      </c>
      <c r="I45" s="40">
        <v>0.47</v>
      </c>
      <c r="J45" s="26">
        <v>0.46</v>
      </c>
      <c r="K45" s="26">
        <v>0.47</v>
      </c>
      <c r="L45" s="40"/>
      <c r="M45" s="40"/>
      <c r="N45" s="26"/>
      <c r="O45" s="26">
        <v>0.24</v>
      </c>
      <c r="P45" s="40">
        <v>0.46</v>
      </c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20.3</v>
      </c>
      <c r="H46" s="40">
        <v>18.899999999999999</v>
      </c>
      <c r="I46" s="40">
        <v>19.899999999999999</v>
      </c>
      <c r="J46" s="26">
        <v>19.7</v>
      </c>
      <c r="K46" s="26">
        <v>20.100000000000001</v>
      </c>
      <c r="L46" s="40"/>
      <c r="M46" s="40"/>
      <c r="N46" s="26"/>
      <c r="O46" s="26">
        <v>20</v>
      </c>
      <c r="P46" s="40">
        <v>19.399999999999999</v>
      </c>
      <c r="Q46" s="40">
        <v>20.3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178.6</v>
      </c>
      <c r="H47" s="40">
        <v>116</v>
      </c>
      <c r="I47" s="40">
        <v>122.4</v>
      </c>
      <c r="J47" s="26">
        <v>216.4</v>
      </c>
      <c r="K47" s="26">
        <v>213.9</v>
      </c>
      <c r="L47" s="40"/>
      <c r="M47" s="40"/>
      <c r="N47" s="26"/>
      <c r="O47" s="26">
        <v>163.1</v>
      </c>
      <c r="P47" s="40">
        <v>196.7</v>
      </c>
      <c r="Q47" s="40">
        <v>193.5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75">
        <v>5.89</v>
      </c>
      <c r="F49" s="26"/>
      <c r="G49" s="26">
        <v>5.22</v>
      </c>
      <c r="H49" s="40">
        <v>5.2</v>
      </c>
      <c r="I49" s="40">
        <v>5.27</v>
      </c>
      <c r="J49" s="26">
        <v>5.42</v>
      </c>
      <c r="K49" s="26">
        <v>5.39</v>
      </c>
      <c r="L49" s="40"/>
      <c r="M49" s="40"/>
      <c r="N49" s="26"/>
      <c r="O49" s="26">
        <v>5.51</v>
      </c>
      <c r="P49" s="40">
        <v>5.17</v>
      </c>
      <c r="Q49" s="40">
        <v>5.17</v>
      </c>
    </row>
    <row r="50" spans="2:17" ht="20.100000000000001" customHeight="1" x14ac:dyDescent="0.25">
      <c r="B50" s="110" t="s">
        <v>51</v>
      </c>
      <c r="C50" s="110"/>
      <c r="D50" s="110"/>
      <c r="E50" s="75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74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A76C-C3A0-40A9-BBBB-B7ADB7D23B9D}">
  <dimension ref="B1:Q59"/>
  <sheetViews>
    <sheetView view="pageBreakPreview" topLeftCell="B1" zoomScale="85" zoomScaleNormal="60" zoomScaleSheetLayoutView="85" workbookViewId="0">
      <selection activeCell="M26" sqref="M26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77" t="s">
        <v>78</v>
      </c>
      <c r="E10" s="27"/>
      <c r="F10" s="37" t="s">
        <v>99</v>
      </c>
      <c r="G10" s="37" t="s">
        <v>99</v>
      </c>
      <c r="H10" s="37"/>
      <c r="I10" s="37" t="s">
        <v>99</v>
      </c>
      <c r="J10" s="37" t="s">
        <v>99</v>
      </c>
      <c r="K10" s="37" t="s">
        <v>99</v>
      </c>
      <c r="L10" s="39"/>
      <c r="M10" s="39"/>
      <c r="N10" s="37" t="s">
        <v>99</v>
      </c>
      <c r="O10" s="39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72.599999999999994</v>
      </c>
      <c r="G11" s="26">
        <v>72.599999999999994</v>
      </c>
      <c r="H11" s="40"/>
      <c r="I11" s="40">
        <v>76.400000000000006</v>
      </c>
      <c r="J11" s="26">
        <v>74.7</v>
      </c>
      <c r="K11" s="26">
        <v>74.599999999999994</v>
      </c>
      <c r="L11" s="40"/>
      <c r="M11" s="40"/>
      <c r="N11" s="26">
        <v>76.7</v>
      </c>
      <c r="O11" s="26">
        <v>76.8</v>
      </c>
      <c r="P11" s="40"/>
      <c r="Q11" s="40">
        <v>78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0.3</v>
      </c>
      <c r="G12" s="26">
        <v>0.3</v>
      </c>
      <c r="H12" s="40"/>
      <c r="I12" s="40">
        <v>0</v>
      </c>
      <c r="J12" s="26">
        <v>0</v>
      </c>
      <c r="K12" s="26">
        <v>0</v>
      </c>
      <c r="L12" s="40"/>
      <c r="M12" s="40"/>
      <c r="N12" s="26">
        <v>0</v>
      </c>
      <c r="O12" s="26">
        <v>0</v>
      </c>
      <c r="P12" s="40"/>
      <c r="Q12" s="40">
        <v>0.3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67.400000000000006</v>
      </c>
      <c r="G13" s="26">
        <v>67.400000000000006</v>
      </c>
      <c r="H13" s="40"/>
      <c r="I13" s="40">
        <v>71.599999999999994</v>
      </c>
      <c r="J13" s="26">
        <v>68.8</v>
      </c>
      <c r="K13" s="26">
        <v>68.8</v>
      </c>
      <c r="L13" s="40"/>
      <c r="M13" s="40"/>
      <c r="N13" s="26">
        <v>72.099999999999994</v>
      </c>
      <c r="O13" s="26">
        <v>71.400000000000006</v>
      </c>
      <c r="P13" s="40"/>
      <c r="Q13" s="40">
        <v>73.2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70.599999999999994</v>
      </c>
      <c r="G14" s="26">
        <v>64.8</v>
      </c>
      <c r="H14" s="40"/>
      <c r="I14" s="40">
        <v>67.3</v>
      </c>
      <c r="J14" s="26">
        <v>63.8</v>
      </c>
      <c r="K14" s="26">
        <v>62.6</v>
      </c>
      <c r="L14" s="40"/>
      <c r="M14" s="40"/>
      <c r="N14" s="26">
        <v>74.099999999999994</v>
      </c>
      <c r="O14" s="26">
        <v>71.2</v>
      </c>
      <c r="P14" s="40"/>
      <c r="Q14" s="40">
        <v>72.8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63.9</v>
      </c>
      <c r="G15" s="26">
        <v>69</v>
      </c>
      <c r="H15" s="40"/>
      <c r="I15" s="40">
        <v>48.4</v>
      </c>
      <c r="J15" s="26">
        <v>40.299999999999997</v>
      </c>
      <c r="K15" s="26">
        <v>37.1</v>
      </c>
      <c r="L15" s="40"/>
      <c r="M15" s="40"/>
      <c r="N15" s="26">
        <v>68.3</v>
      </c>
      <c r="O15" s="26">
        <v>49.1</v>
      </c>
      <c r="P15" s="40"/>
      <c r="Q15" s="40">
        <v>42.5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/>
      <c r="I16" s="26">
        <v>6.6</v>
      </c>
      <c r="J16" s="26">
        <v>6.6</v>
      </c>
      <c r="K16" s="26">
        <v>6.6</v>
      </c>
      <c r="L16" s="40"/>
      <c r="M16" s="40"/>
      <c r="N16" s="26">
        <v>6.6</v>
      </c>
      <c r="O16" s="26">
        <v>6.6</v>
      </c>
      <c r="P16" s="40"/>
      <c r="Q16" s="26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118.8</v>
      </c>
      <c r="G17" s="26">
        <v>119.9</v>
      </c>
      <c r="H17" s="40"/>
      <c r="I17" s="40">
        <v>117.4</v>
      </c>
      <c r="J17" s="26">
        <v>117.8</v>
      </c>
      <c r="K17" s="26">
        <v>117.8</v>
      </c>
      <c r="L17" s="40"/>
      <c r="M17" s="40"/>
      <c r="N17" s="26">
        <v>118.8</v>
      </c>
      <c r="O17" s="26">
        <v>162.6</v>
      </c>
      <c r="P17" s="40"/>
      <c r="Q17" s="40">
        <v>119.3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1165</v>
      </c>
      <c r="G18" s="26">
        <v>1176</v>
      </c>
      <c r="H18" s="40"/>
      <c r="I18" s="40">
        <v>1191</v>
      </c>
      <c r="J18" s="26">
        <v>1189</v>
      </c>
      <c r="K18" s="26">
        <v>1202</v>
      </c>
      <c r="L18" s="40"/>
      <c r="M18" s="40"/>
      <c r="N18" s="26">
        <v>1213</v>
      </c>
      <c r="O18" s="26">
        <v>1227</v>
      </c>
      <c r="P18" s="40"/>
      <c r="Q18" s="40">
        <v>1213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46318</v>
      </c>
      <c r="G19" s="26">
        <v>46309.8</v>
      </c>
      <c r="H19" s="40"/>
      <c r="I19" s="40">
        <v>47127.9</v>
      </c>
      <c r="J19" s="26">
        <v>44724</v>
      </c>
      <c r="K19" s="26">
        <v>44715.9</v>
      </c>
      <c r="L19" s="40"/>
      <c r="M19" s="40"/>
      <c r="N19" s="26">
        <v>46349</v>
      </c>
      <c r="O19" s="26">
        <v>46340.2</v>
      </c>
      <c r="P19" s="40"/>
      <c r="Q19" s="40">
        <v>48248.5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58.4</v>
      </c>
      <c r="G22" s="26">
        <v>58.2</v>
      </c>
      <c r="H22" s="40"/>
      <c r="I22" s="40">
        <v>59.1</v>
      </c>
      <c r="J22" s="26">
        <v>57.9</v>
      </c>
      <c r="K22" s="26">
        <v>57.9</v>
      </c>
      <c r="L22" s="40"/>
      <c r="M22" s="40"/>
      <c r="N22" s="26">
        <v>58.6</v>
      </c>
      <c r="O22" s="26">
        <v>58.7</v>
      </c>
      <c r="P22" s="40"/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0.52</v>
      </c>
      <c r="G23" s="26">
        <v>0.53</v>
      </c>
      <c r="H23" s="40"/>
      <c r="I23" s="40">
        <v>0.5</v>
      </c>
      <c r="J23" s="26">
        <v>0.59</v>
      </c>
      <c r="K23" s="26">
        <v>0.59</v>
      </c>
      <c r="L23" s="40"/>
      <c r="M23" s="40"/>
      <c r="N23" s="26">
        <v>0.46</v>
      </c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45.2</v>
      </c>
      <c r="G25" s="26">
        <v>44.7</v>
      </c>
      <c r="H25" s="40"/>
      <c r="I25" s="40">
        <v>44.8</v>
      </c>
      <c r="J25" s="26">
        <v>44.9</v>
      </c>
      <c r="K25" s="26">
        <v>44.8</v>
      </c>
      <c r="L25" s="40"/>
      <c r="M25" s="40"/>
      <c r="N25" s="26">
        <v>45</v>
      </c>
      <c r="O25" s="26">
        <v>44.9</v>
      </c>
      <c r="P25" s="40"/>
      <c r="Q25" s="40">
        <v>45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0.23</v>
      </c>
      <c r="G26" s="26">
        <v>0.21</v>
      </c>
      <c r="H26" s="40"/>
      <c r="I26" s="40">
        <v>0.22</v>
      </c>
      <c r="J26" s="26">
        <v>0.23</v>
      </c>
      <c r="K26" s="26">
        <v>0.23</v>
      </c>
      <c r="L26" s="40"/>
      <c r="M26" s="40"/>
      <c r="N26" s="26">
        <v>0.23</v>
      </c>
      <c r="O26" s="26">
        <v>0.22</v>
      </c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4.5999999999999996</v>
      </c>
      <c r="G27" s="26">
        <v>4.9000000000000004</v>
      </c>
      <c r="H27" s="40"/>
      <c r="I27" s="40">
        <v>3.9</v>
      </c>
      <c r="J27" s="26">
        <v>4.2</v>
      </c>
      <c r="K27" s="26">
        <v>4.5999999999999996</v>
      </c>
      <c r="L27" s="40"/>
      <c r="M27" s="40"/>
      <c r="N27" s="26">
        <v>4.3</v>
      </c>
      <c r="O27" s="26">
        <v>4.3</v>
      </c>
      <c r="P27" s="40"/>
      <c r="Q27" s="40">
        <v>4.2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3.9</v>
      </c>
      <c r="G28" s="26">
        <v>4.3</v>
      </c>
      <c r="H28" s="40"/>
      <c r="I28" s="40">
        <v>3</v>
      </c>
      <c r="J28" s="26">
        <v>3.7</v>
      </c>
      <c r="K28" s="26">
        <v>3.7</v>
      </c>
      <c r="L28" s="40"/>
      <c r="M28" s="40"/>
      <c r="N28" s="26">
        <v>3.3</v>
      </c>
      <c r="O28" s="26">
        <v>3.2</v>
      </c>
      <c r="P28" s="40"/>
      <c r="Q28" s="40">
        <v>3.1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0.80000000000000027</v>
      </c>
      <c r="G29" s="41">
        <f t="shared" ref="G29:Q29" si="0">G32-G28</f>
        <v>0.79999999999999982</v>
      </c>
      <c r="H29" s="41">
        <f t="shared" si="0"/>
        <v>0</v>
      </c>
      <c r="I29" s="41">
        <f t="shared" si="0"/>
        <v>1.9000000000000004</v>
      </c>
      <c r="J29" s="41">
        <f t="shared" si="0"/>
        <v>1.0999999999999996</v>
      </c>
      <c r="K29" s="41">
        <f t="shared" si="0"/>
        <v>0.89999999999999947</v>
      </c>
      <c r="L29" s="41">
        <f t="shared" si="0"/>
        <v>0</v>
      </c>
      <c r="M29" s="41">
        <f t="shared" si="0"/>
        <v>0</v>
      </c>
      <c r="N29" s="41">
        <f t="shared" si="0"/>
        <v>1</v>
      </c>
      <c r="O29" s="41">
        <f t="shared" si="0"/>
        <v>1.0999999999999996</v>
      </c>
      <c r="P29" s="41">
        <f t="shared" si="0"/>
        <v>0</v>
      </c>
      <c r="Q29" s="41">
        <f t="shared" si="0"/>
        <v>1.9999999999999996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677.92</v>
      </c>
      <c r="G30" s="26">
        <v>737.36</v>
      </c>
      <c r="H30" s="40"/>
      <c r="I30" s="40">
        <v>662.08</v>
      </c>
      <c r="J30" s="26">
        <v>663.68</v>
      </c>
      <c r="K30" s="26">
        <v>650.24</v>
      </c>
      <c r="L30" s="40"/>
      <c r="M30" s="40"/>
      <c r="N30" s="26">
        <v>649.84</v>
      </c>
      <c r="O30" s="26">
        <v>654.16</v>
      </c>
      <c r="P30" s="40"/>
      <c r="Q30" s="40">
        <v>665.2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13.4</v>
      </c>
      <c r="G31" s="26">
        <v>13.1</v>
      </c>
      <c r="H31" s="40"/>
      <c r="I31" s="40">
        <v>13.2</v>
      </c>
      <c r="J31" s="26">
        <v>13.5</v>
      </c>
      <c r="K31" s="26">
        <v>13.4</v>
      </c>
      <c r="L31" s="40"/>
      <c r="M31" s="40"/>
      <c r="N31" s="26">
        <v>13.2</v>
      </c>
      <c r="O31" s="26">
        <v>13.2</v>
      </c>
      <c r="P31" s="40"/>
      <c r="Q31" s="40">
        <v>13.4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4.7</v>
      </c>
      <c r="G32" s="26">
        <v>5.0999999999999996</v>
      </c>
      <c r="H32" s="40"/>
      <c r="I32" s="40">
        <v>4.9000000000000004</v>
      </c>
      <c r="J32" s="26">
        <v>4.8</v>
      </c>
      <c r="K32" s="26">
        <v>4.5999999999999996</v>
      </c>
      <c r="L32" s="40"/>
      <c r="M32" s="40"/>
      <c r="N32" s="26">
        <v>4.3</v>
      </c>
      <c r="O32" s="26">
        <v>4.3</v>
      </c>
      <c r="P32" s="40"/>
      <c r="Q32" s="40">
        <v>5.0999999999999996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8.6999999999999993</v>
      </c>
      <c r="G33" s="41">
        <f t="shared" ref="G33:Q33" si="1">G31-G32</f>
        <v>8</v>
      </c>
      <c r="H33" s="41">
        <f t="shared" si="1"/>
        <v>0</v>
      </c>
      <c r="I33" s="41">
        <f t="shared" si="1"/>
        <v>8.2999999999999989</v>
      </c>
      <c r="J33" s="41">
        <f t="shared" si="1"/>
        <v>8.6999999999999993</v>
      </c>
      <c r="K33" s="41">
        <f t="shared" si="1"/>
        <v>8.8000000000000007</v>
      </c>
      <c r="L33" s="41">
        <f t="shared" si="1"/>
        <v>0</v>
      </c>
      <c r="M33" s="41"/>
      <c r="N33" s="41">
        <f t="shared" si="1"/>
        <v>8.8999999999999986</v>
      </c>
      <c r="O33" s="41">
        <f t="shared" si="1"/>
        <v>8.8999999999999986</v>
      </c>
      <c r="P33" s="41">
        <f t="shared" si="1"/>
        <v>0</v>
      </c>
      <c r="Q33" s="41">
        <f t="shared" si="1"/>
        <v>8.3000000000000007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6810.5127020785212</v>
      </c>
      <c r="G34" s="42">
        <f t="shared" ref="G34:Q34" si="2">(G33*G30)/0.866</f>
        <v>6811.6397228637416</v>
      </c>
      <c r="H34" s="42">
        <f t="shared" si="2"/>
        <v>0</v>
      </c>
      <c r="I34" s="42">
        <f t="shared" si="2"/>
        <v>6345.5704387990754</v>
      </c>
      <c r="J34" s="42">
        <f t="shared" si="2"/>
        <v>6667.4549653579661</v>
      </c>
      <c r="K34" s="42">
        <f t="shared" si="2"/>
        <v>6607.5196304849896</v>
      </c>
      <c r="L34" s="42">
        <f t="shared" si="2"/>
        <v>0</v>
      </c>
      <c r="M34" s="42">
        <f t="shared" si="2"/>
        <v>0</v>
      </c>
      <c r="N34" s="42">
        <f t="shared" si="2"/>
        <v>6678.4942263279436</v>
      </c>
      <c r="O34" s="42">
        <f t="shared" si="2"/>
        <v>6722.8914549653564</v>
      </c>
      <c r="P34" s="42">
        <f t="shared" si="2"/>
        <v>0</v>
      </c>
      <c r="Q34" s="42">
        <f t="shared" si="2"/>
        <v>6375.4734411085456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0.82</v>
      </c>
      <c r="G35" s="26">
        <v>0.83</v>
      </c>
      <c r="H35" s="40"/>
      <c r="I35" s="40">
        <v>0.86</v>
      </c>
      <c r="J35" s="26">
        <v>0.84</v>
      </c>
      <c r="K35" s="26">
        <v>0.85</v>
      </c>
      <c r="L35" s="40"/>
      <c r="M35" s="40"/>
      <c r="N35" s="26">
        <v>0.83</v>
      </c>
      <c r="O35" s="26">
        <v>0.85</v>
      </c>
      <c r="P35" s="40"/>
      <c r="Q35" s="40">
        <v>0.85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36.1</v>
      </c>
      <c r="G36" s="26">
        <v>36.700000000000003</v>
      </c>
      <c r="H36" s="40"/>
      <c r="I36" s="40">
        <v>37.299999999999997</v>
      </c>
      <c r="J36" s="26">
        <v>36.4</v>
      </c>
      <c r="K36" s="26">
        <v>36.799999999999997</v>
      </c>
      <c r="L36" s="40"/>
      <c r="M36" s="40"/>
      <c r="N36" s="26">
        <v>36.5</v>
      </c>
      <c r="O36" s="26">
        <v>37.1</v>
      </c>
      <c r="P36" s="40"/>
      <c r="Q36" s="40">
        <v>36.799999999999997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36.4</v>
      </c>
      <c r="G37" s="26">
        <v>37</v>
      </c>
      <c r="H37" s="40"/>
      <c r="I37" s="40">
        <v>38.200000000000003</v>
      </c>
      <c r="J37" s="26">
        <v>37.200000000000003</v>
      </c>
      <c r="K37" s="26">
        <v>37.6</v>
      </c>
      <c r="L37" s="40"/>
      <c r="M37" s="40"/>
      <c r="N37" s="26">
        <v>36.9</v>
      </c>
      <c r="O37" s="26">
        <v>37.5</v>
      </c>
      <c r="P37" s="40"/>
      <c r="Q37" s="40">
        <v>36.9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2.8999999999999986</v>
      </c>
      <c r="G38" s="41">
        <f t="shared" ref="G38:Q38" si="3">G37-G41</f>
        <v>2.2000000000000028</v>
      </c>
      <c r="H38" s="41">
        <f t="shared" si="3"/>
        <v>0</v>
      </c>
      <c r="I38" s="41">
        <f t="shared" si="3"/>
        <v>4.3000000000000043</v>
      </c>
      <c r="J38" s="41">
        <f t="shared" si="3"/>
        <v>3.7000000000000028</v>
      </c>
      <c r="K38" s="41">
        <f t="shared" si="3"/>
        <v>2.8999999999999986</v>
      </c>
      <c r="L38" s="41">
        <f t="shared" si="3"/>
        <v>0</v>
      </c>
      <c r="M38" s="41">
        <f t="shared" si="3"/>
        <v>0</v>
      </c>
      <c r="N38" s="41">
        <f t="shared" si="3"/>
        <v>3.2999999999999972</v>
      </c>
      <c r="O38" s="41">
        <f t="shared" si="3"/>
        <v>2.2999999999999972</v>
      </c>
      <c r="P38" s="41">
        <f t="shared" si="3"/>
        <v>0</v>
      </c>
      <c r="Q38" s="41">
        <f t="shared" si="3"/>
        <v>2.1999999999999957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28.3</v>
      </c>
      <c r="G40" s="26">
        <v>29.2</v>
      </c>
      <c r="H40" s="40"/>
      <c r="I40" s="40">
        <v>29</v>
      </c>
      <c r="J40" s="26">
        <v>28.2</v>
      </c>
      <c r="K40" s="26">
        <v>29.2</v>
      </c>
      <c r="L40" s="40"/>
      <c r="M40" s="40"/>
      <c r="N40" s="26">
        <v>28</v>
      </c>
      <c r="O40" s="26">
        <v>28.9</v>
      </c>
      <c r="P40" s="40"/>
      <c r="Q40" s="40">
        <v>29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33.5</v>
      </c>
      <c r="G41" s="26">
        <v>34.799999999999997</v>
      </c>
      <c r="H41" s="40"/>
      <c r="I41" s="40">
        <v>33.9</v>
      </c>
      <c r="J41" s="26">
        <v>33.5</v>
      </c>
      <c r="K41" s="26">
        <v>34.700000000000003</v>
      </c>
      <c r="L41" s="40"/>
      <c r="M41" s="40"/>
      <c r="N41" s="26">
        <v>33.6</v>
      </c>
      <c r="O41" s="26">
        <v>35.200000000000003</v>
      </c>
      <c r="P41" s="40"/>
      <c r="Q41" s="40">
        <v>34.700000000000003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5.1999999999999993</v>
      </c>
      <c r="G42" s="41">
        <f t="shared" ref="G42:Q42" si="4">G41-G40</f>
        <v>5.5999999999999979</v>
      </c>
      <c r="H42" s="41">
        <f t="shared" si="4"/>
        <v>0</v>
      </c>
      <c r="I42" s="41">
        <f t="shared" si="4"/>
        <v>4.8999999999999986</v>
      </c>
      <c r="J42" s="41">
        <f t="shared" si="4"/>
        <v>5.3000000000000007</v>
      </c>
      <c r="K42" s="41">
        <f t="shared" si="4"/>
        <v>5.5000000000000036</v>
      </c>
      <c r="L42" s="41">
        <f t="shared" si="4"/>
        <v>0</v>
      </c>
      <c r="M42" s="41">
        <f t="shared" si="4"/>
        <v>0</v>
      </c>
      <c r="N42" s="41">
        <f t="shared" si="4"/>
        <v>5.6000000000000014</v>
      </c>
      <c r="O42" s="41">
        <f t="shared" si="4"/>
        <v>6.3000000000000043</v>
      </c>
      <c r="P42" s="41">
        <f t="shared" si="4"/>
        <v>0</v>
      </c>
      <c r="Q42" s="41">
        <f t="shared" si="4"/>
        <v>5.7000000000000028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1295.98</v>
      </c>
      <c r="G43" s="26">
        <v>1269.52</v>
      </c>
      <c r="H43" s="40"/>
      <c r="I43" s="40">
        <v>1301.02</v>
      </c>
      <c r="J43" s="26">
        <v>1298.92</v>
      </c>
      <c r="K43" s="26">
        <v>1293.32</v>
      </c>
      <c r="L43" s="40"/>
      <c r="M43" s="26"/>
      <c r="N43" s="26">
        <v>1156.68</v>
      </c>
      <c r="O43" s="26">
        <v>1089.3399999999999</v>
      </c>
      <c r="P43" s="40"/>
      <c r="Q43" s="40">
        <v>1265.18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7781.866050808314</v>
      </c>
      <c r="G44" s="42">
        <f t="shared" ref="G44:Q44" si="5">G42*G43/0.866</f>
        <v>8209.3672055427214</v>
      </c>
      <c r="H44" s="42">
        <f t="shared" si="5"/>
        <v>0</v>
      </c>
      <c r="I44" s="42">
        <f t="shared" si="5"/>
        <v>7361.4295612009209</v>
      </c>
      <c r="J44" s="42">
        <f t="shared" si="5"/>
        <v>7949.5103926097017</v>
      </c>
      <c r="K44" s="42">
        <f t="shared" si="5"/>
        <v>8213.9260969976949</v>
      </c>
      <c r="L44" s="42">
        <f t="shared" si="5"/>
        <v>0</v>
      </c>
      <c r="M44" s="42">
        <f t="shared" si="5"/>
        <v>0</v>
      </c>
      <c r="N44" s="42">
        <f t="shared" si="5"/>
        <v>7479.6859122401875</v>
      </c>
      <c r="O44" s="42">
        <f t="shared" si="5"/>
        <v>7924.7598152424989</v>
      </c>
      <c r="P44" s="42">
        <f t="shared" si="5"/>
        <v>0</v>
      </c>
      <c r="Q44" s="42">
        <f t="shared" si="5"/>
        <v>8327.3972286374192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0.47</v>
      </c>
      <c r="G45" s="26">
        <v>0.47</v>
      </c>
      <c r="H45" s="40"/>
      <c r="I45" s="40">
        <v>0.47</v>
      </c>
      <c r="J45" s="26">
        <v>0.46</v>
      </c>
      <c r="K45" s="26">
        <v>0.47</v>
      </c>
      <c r="L45" s="40"/>
      <c r="M45" s="40"/>
      <c r="N45" s="26">
        <v>0.46</v>
      </c>
      <c r="O45" s="26">
        <v>0.47</v>
      </c>
      <c r="P45" s="40"/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19.899999999999999</v>
      </c>
      <c r="G46" s="26">
        <v>20.2</v>
      </c>
      <c r="H46" s="40"/>
      <c r="I46" s="40">
        <v>20</v>
      </c>
      <c r="J46" s="26">
        <v>19.7</v>
      </c>
      <c r="K46" s="26">
        <v>20.2</v>
      </c>
      <c r="L46" s="40"/>
      <c r="M46" s="40"/>
      <c r="N46" s="26">
        <v>19.7</v>
      </c>
      <c r="O46" s="26">
        <v>20.6</v>
      </c>
      <c r="P46" s="40"/>
      <c r="Q46" s="40">
        <v>20.2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195.9</v>
      </c>
      <c r="G47" s="26">
        <v>178.1</v>
      </c>
      <c r="H47" s="40"/>
      <c r="I47" s="40">
        <v>128.5</v>
      </c>
      <c r="J47" s="26">
        <v>204</v>
      </c>
      <c r="K47" s="26">
        <v>205.5</v>
      </c>
      <c r="L47" s="40"/>
      <c r="M47" s="40"/>
      <c r="N47" s="26">
        <v>159</v>
      </c>
      <c r="O47" s="26">
        <v>162.6</v>
      </c>
      <c r="P47" s="40"/>
      <c r="Q47" s="40">
        <v>202.1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77">
        <v>5.89</v>
      </c>
      <c r="F49" s="26">
        <v>5.56</v>
      </c>
      <c r="G49" s="26">
        <v>5.22</v>
      </c>
      <c r="H49" s="40"/>
      <c r="I49" s="40">
        <v>5.16</v>
      </c>
      <c r="J49" s="26">
        <v>5.49</v>
      </c>
      <c r="K49" s="26">
        <v>5.43</v>
      </c>
      <c r="L49" s="40"/>
      <c r="M49" s="40"/>
      <c r="N49" s="26">
        <v>5.71</v>
      </c>
      <c r="O49" s="26">
        <v>5.34</v>
      </c>
      <c r="P49" s="40"/>
      <c r="Q49" s="40">
        <v>5.24</v>
      </c>
    </row>
    <row r="50" spans="2:17" ht="20.100000000000001" customHeight="1" x14ac:dyDescent="0.25">
      <c r="B50" s="110" t="s">
        <v>51</v>
      </c>
      <c r="C50" s="110"/>
      <c r="D50" s="110"/>
      <c r="E50" s="77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76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970E-3EB0-46BC-BF81-8B85368765B2}">
  <dimension ref="B1:Q59"/>
  <sheetViews>
    <sheetView view="pageBreakPreview" topLeftCell="B7" zoomScale="85" zoomScaleNormal="60" zoomScaleSheetLayoutView="85" workbookViewId="0">
      <selection activeCell="P42" sqref="P42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79" t="s">
        <v>78</v>
      </c>
      <c r="E10" s="27"/>
      <c r="F10" s="37"/>
      <c r="G10" s="37" t="s">
        <v>99</v>
      </c>
      <c r="H10" s="39" t="s">
        <v>99</v>
      </c>
      <c r="I10" s="39" t="s">
        <v>99</v>
      </c>
      <c r="J10" s="37" t="s">
        <v>99</v>
      </c>
      <c r="K10" s="37" t="s">
        <v>99</v>
      </c>
      <c r="L10" s="39"/>
      <c r="M10" s="39"/>
      <c r="N10" s="37"/>
      <c r="O10" s="39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72.599999999999994</v>
      </c>
      <c r="H11" s="40">
        <v>77.400000000000006</v>
      </c>
      <c r="I11" s="40">
        <v>77.400000000000006</v>
      </c>
      <c r="J11" s="26">
        <v>73.2</v>
      </c>
      <c r="K11" s="26">
        <v>73.2</v>
      </c>
      <c r="L11" s="40"/>
      <c r="M11" s="40"/>
      <c r="N11" s="26"/>
      <c r="O11" s="26">
        <v>72.400000000000006</v>
      </c>
      <c r="P11" s="40">
        <v>78</v>
      </c>
      <c r="Q11" s="40">
        <v>77.900000000000006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0.3</v>
      </c>
      <c r="H12" s="40">
        <v>0</v>
      </c>
      <c r="I12" s="40">
        <v>0</v>
      </c>
      <c r="J12" s="26">
        <v>0</v>
      </c>
      <c r="K12" s="26">
        <v>0</v>
      </c>
      <c r="L12" s="40"/>
      <c r="M12" s="40"/>
      <c r="N12" s="26"/>
      <c r="O12" s="26">
        <v>0</v>
      </c>
      <c r="P12" s="40">
        <v>0.2</v>
      </c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67.400000000000006</v>
      </c>
      <c r="H13" s="40">
        <v>73.3</v>
      </c>
      <c r="I13" s="40">
        <v>73.2</v>
      </c>
      <c r="J13" s="26">
        <v>68.8</v>
      </c>
      <c r="K13" s="26">
        <v>68.8</v>
      </c>
      <c r="L13" s="40"/>
      <c r="M13" s="40"/>
      <c r="N13" s="26"/>
      <c r="O13" s="26">
        <v>69.099999999999994</v>
      </c>
      <c r="P13" s="40">
        <v>73.5</v>
      </c>
      <c r="Q13" s="40">
        <v>73.5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66.400000000000006</v>
      </c>
      <c r="H14" s="40">
        <v>65.599999999999994</v>
      </c>
      <c r="I14" s="40">
        <v>68.3</v>
      </c>
      <c r="J14" s="26">
        <v>61.6</v>
      </c>
      <c r="K14" s="26">
        <v>63.6</v>
      </c>
      <c r="L14" s="40"/>
      <c r="M14" s="40"/>
      <c r="N14" s="26"/>
      <c r="O14" s="26">
        <v>71.8</v>
      </c>
      <c r="P14" s="40">
        <v>70.8</v>
      </c>
      <c r="Q14" s="40">
        <v>72.8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60.4</v>
      </c>
      <c r="H15" s="40">
        <v>46.3</v>
      </c>
      <c r="I15" s="40">
        <v>48.7</v>
      </c>
      <c r="J15" s="26">
        <v>37.6</v>
      </c>
      <c r="K15" s="26">
        <v>39.6</v>
      </c>
      <c r="L15" s="40"/>
      <c r="M15" s="40"/>
      <c r="N15" s="26"/>
      <c r="O15" s="26">
        <v>48</v>
      </c>
      <c r="P15" s="40">
        <v>38.6</v>
      </c>
      <c r="Q15" s="40">
        <v>39.299999999999997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>
        <v>6.6</v>
      </c>
      <c r="I16" s="26">
        <v>6.6</v>
      </c>
      <c r="J16" s="26">
        <v>6.6</v>
      </c>
      <c r="K16" s="26">
        <v>6.6</v>
      </c>
      <c r="L16" s="40"/>
      <c r="M16" s="40"/>
      <c r="N16" s="26"/>
      <c r="O16" s="26">
        <v>6.6</v>
      </c>
      <c r="P16" s="40">
        <v>6.6</v>
      </c>
      <c r="Q16" s="26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117.8</v>
      </c>
      <c r="H17" s="40">
        <v>115.5</v>
      </c>
      <c r="I17" s="40">
        <v>117.1</v>
      </c>
      <c r="J17" s="26">
        <v>116.9</v>
      </c>
      <c r="K17" s="26">
        <v>116.1</v>
      </c>
      <c r="L17" s="40"/>
      <c r="M17" s="40"/>
      <c r="N17" s="26"/>
      <c r="O17" s="26">
        <v>116.4</v>
      </c>
      <c r="P17" s="40">
        <v>117.7</v>
      </c>
      <c r="Q17" s="40">
        <v>118.4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1167</v>
      </c>
      <c r="H18" s="40">
        <v>1172</v>
      </c>
      <c r="I18" s="40">
        <v>1192</v>
      </c>
      <c r="J18" s="26">
        <v>1179</v>
      </c>
      <c r="K18" s="26">
        <v>1183</v>
      </c>
      <c r="L18" s="40"/>
      <c r="M18" s="40"/>
      <c r="N18" s="26"/>
      <c r="O18" s="26">
        <v>1192</v>
      </c>
      <c r="P18" s="40">
        <v>1197</v>
      </c>
      <c r="Q18" s="40">
        <v>1210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46334.2</v>
      </c>
      <c r="H19" s="40">
        <v>47147</v>
      </c>
      <c r="I19" s="40">
        <v>47137.9</v>
      </c>
      <c r="J19" s="26">
        <v>44749.5</v>
      </c>
      <c r="K19" s="26">
        <v>44740.4</v>
      </c>
      <c r="L19" s="40"/>
      <c r="M19" s="40"/>
      <c r="N19" s="26"/>
      <c r="O19" s="26">
        <v>46364.6</v>
      </c>
      <c r="P19" s="40">
        <v>48267.7</v>
      </c>
      <c r="Q19" s="40">
        <v>48258.7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58.1</v>
      </c>
      <c r="H22" s="40">
        <v>59.2</v>
      </c>
      <c r="I22" s="40">
        <v>59.1</v>
      </c>
      <c r="J22" s="26">
        <v>57.7</v>
      </c>
      <c r="K22" s="26">
        <v>57.5</v>
      </c>
      <c r="L22" s="40"/>
      <c r="M22" s="40"/>
      <c r="N22" s="26"/>
      <c r="O22" s="26">
        <v>58.8</v>
      </c>
      <c r="P22" s="40">
        <v>59.3</v>
      </c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0.52</v>
      </c>
      <c r="H23" s="40">
        <v>0.49</v>
      </c>
      <c r="I23" s="40">
        <v>0.49</v>
      </c>
      <c r="J23" s="26">
        <v>0.59</v>
      </c>
      <c r="K23" s="26">
        <v>0.59</v>
      </c>
      <c r="L23" s="40"/>
      <c r="M23" s="40"/>
      <c r="N23" s="26"/>
      <c r="O23" s="26">
        <v>0.48</v>
      </c>
      <c r="P23" s="40">
        <v>0.48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44.5</v>
      </c>
      <c r="H25" s="40">
        <v>45.1</v>
      </c>
      <c r="I25" s="40">
        <v>44.9</v>
      </c>
      <c r="J25" s="26">
        <v>44.9</v>
      </c>
      <c r="K25" s="26">
        <v>45</v>
      </c>
      <c r="L25" s="40"/>
      <c r="M25" s="40"/>
      <c r="N25" s="26"/>
      <c r="O25" s="26">
        <v>44.9</v>
      </c>
      <c r="P25" s="40">
        <v>45.1</v>
      </c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0.23</v>
      </c>
      <c r="H26" s="40">
        <v>0.21</v>
      </c>
      <c r="I26" s="40">
        <v>0.22</v>
      </c>
      <c r="J26" s="26">
        <v>0.24</v>
      </c>
      <c r="K26" s="26">
        <v>0.23</v>
      </c>
      <c r="L26" s="40"/>
      <c r="M26" s="40"/>
      <c r="N26" s="26"/>
      <c r="O26" s="26">
        <v>0.22</v>
      </c>
      <c r="P26" s="40">
        <v>0.23</v>
      </c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4.5999999999999996</v>
      </c>
      <c r="H27" s="40">
        <v>3.2</v>
      </c>
      <c r="I27" s="40">
        <v>3.8</v>
      </c>
      <c r="J27" s="26">
        <v>4.0999999999999996</v>
      </c>
      <c r="K27" s="26">
        <v>4.3</v>
      </c>
      <c r="L27" s="40"/>
      <c r="M27" s="40"/>
      <c r="N27" s="26"/>
      <c r="O27" s="26">
        <v>4.5</v>
      </c>
      <c r="P27" s="40">
        <v>4</v>
      </c>
      <c r="Q27" s="40">
        <v>4.2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3.9</v>
      </c>
      <c r="H28" s="40">
        <v>2.4</v>
      </c>
      <c r="I28" s="40">
        <v>2.8</v>
      </c>
      <c r="J28" s="26">
        <v>3.4</v>
      </c>
      <c r="K28" s="26">
        <v>3.5</v>
      </c>
      <c r="L28" s="40"/>
      <c r="M28" s="40"/>
      <c r="N28" s="26"/>
      <c r="O28" s="26">
        <v>3.2</v>
      </c>
      <c r="P28" s="40">
        <v>3.5</v>
      </c>
      <c r="Q28" s="40">
        <v>3.1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/>
      <c r="G29" s="41">
        <f t="shared" ref="G29:Q29" si="0">G32-G28</f>
        <v>0.60000000000000009</v>
      </c>
      <c r="H29" s="41">
        <f t="shared" si="0"/>
        <v>2.0000000000000004</v>
      </c>
      <c r="I29" s="41">
        <f t="shared" si="0"/>
        <v>2.1000000000000005</v>
      </c>
      <c r="J29" s="41">
        <f t="shared" si="0"/>
        <v>1.1999999999999997</v>
      </c>
      <c r="K29" s="41">
        <f t="shared" si="0"/>
        <v>0.79999999999999982</v>
      </c>
      <c r="L29" s="41">
        <f t="shared" si="0"/>
        <v>0</v>
      </c>
      <c r="M29" s="41">
        <f t="shared" si="0"/>
        <v>0</v>
      </c>
      <c r="N29" s="41">
        <f t="shared" si="0"/>
        <v>0</v>
      </c>
      <c r="O29" s="41">
        <f t="shared" si="0"/>
        <v>1.3999999999999995</v>
      </c>
      <c r="P29" s="41">
        <f t="shared" si="0"/>
        <v>1.0999999999999996</v>
      </c>
      <c r="Q29" s="41">
        <f t="shared" si="0"/>
        <v>1.9999999999999996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661.5</v>
      </c>
      <c r="H30" s="40">
        <v>673.76</v>
      </c>
      <c r="I30" s="40">
        <v>662</v>
      </c>
      <c r="J30" s="26">
        <v>674.48</v>
      </c>
      <c r="K30" s="26">
        <v>651.74</v>
      </c>
      <c r="L30" s="40"/>
      <c r="M30" s="40"/>
      <c r="N30" s="26"/>
      <c r="O30" s="26">
        <v>652.6</v>
      </c>
      <c r="P30" s="40">
        <v>683.12</v>
      </c>
      <c r="Q30" s="40">
        <v>666.6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13.3</v>
      </c>
      <c r="H31" s="40">
        <v>12.3</v>
      </c>
      <c r="I31" s="40">
        <v>13.5</v>
      </c>
      <c r="J31" s="26">
        <v>12.9</v>
      </c>
      <c r="K31" s="26">
        <v>13.1</v>
      </c>
      <c r="L31" s="40"/>
      <c r="M31" s="40"/>
      <c r="N31" s="26"/>
      <c r="O31" s="26">
        <v>13.4</v>
      </c>
      <c r="P31" s="40">
        <v>12.5</v>
      </c>
      <c r="Q31" s="40">
        <v>13.5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4.5</v>
      </c>
      <c r="H32" s="40">
        <v>4.4000000000000004</v>
      </c>
      <c r="I32" s="40">
        <v>4.9000000000000004</v>
      </c>
      <c r="J32" s="26">
        <v>4.5999999999999996</v>
      </c>
      <c r="K32" s="26">
        <v>4.3</v>
      </c>
      <c r="L32" s="40"/>
      <c r="M32" s="40"/>
      <c r="N32" s="26"/>
      <c r="O32" s="26">
        <v>4.5999999999999996</v>
      </c>
      <c r="P32" s="40">
        <v>4.5999999999999996</v>
      </c>
      <c r="Q32" s="40">
        <v>5.0999999999999996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/>
      <c r="G33" s="41">
        <f t="shared" ref="G33:Q33" si="1">G31-G32</f>
        <v>8.8000000000000007</v>
      </c>
      <c r="H33" s="41">
        <f t="shared" si="1"/>
        <v>7.9</v>
      </c>
      <c r="I33" s="41">
        <f t="shared" si="1"/>
        <v>8.6</v>
      </c>
      <c r="J33" s="41">
        <f t="shared" si="1"/>
        <v>8.3000000000000007</v>
      </c>
      <c r="K33" s="41">
        <f t="shared" si="1"/>
        <v>8.8000000000000007</v>
      </c>
      <c r="L33" s="41">
        <f t="shared" si="1"/>
        <v>0</v>
      </c>
      <c r="M33" s="41">
        <f t="shared" si="1"/>
        <v>0</v>
      </c>
      <c r="N33" s="41">
        <f t="shared" si="1"/>
        <v>0</v>
      </c>
      <c r="O33" s="41">
        <f t="shared" si="1"/>
        <v>8.8000000000000007</v>
      </c>
      <c r="P33" s="41">
        <f t="shared" si="1"/>
        <v>7.9</v>
      </c>
      <c r="Q33" s="41">
        <f t="shared" si="1"/>
        <v>8.4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/>
      <c r="G34" s="42">
        <f t="shared" ref="G34:Q34" si="2">(G33*G30)/0.866</f>
        <v>6721.9399538106245</v>
      </c>
      <c r="H34" s="42">
        <f t="shared" si="2"/>
        <v>6146.3094688221709</v>
      </c>
      <c r="I34" s="42">
        <f t="shared" si="2"/>
        <v>6574.133949191686</v>
      </c>
      <c r="J34" s="42">
        <f t="shared" si="2"/>
        <v>6464.4157043879914</v>
      </c>
      <c r="K34" s="42">
        <f t="shared" si="2"/>
        <v>6622.7621247113175</v>
      </c>
      <c r="L34" s="42">
        <f t="shared" si="2"/>
        <v>0</v>
      </c>
      <c r="M34" s="42">
        <f t="shared" si="2"/>
        <v>0</v>
      </c>
      <c r="N34" s="42">
        <f t="shared" si="2"/>
        <v>0</v>
      </c>
      <c r="O34" s="42">
        <f t="shared" si="2"/>
        <v>6631.501154734412</v>
      </c>
      <c r="P34" s="42">
        <f t="shared" si="2"/>
        <v>6231.6951501154736</v>
      </c>
      <c r="Q34" s="42">
        <f t="shared" si="2"/>
        <v>6465.8660508083149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0.82</v>
      </c>
      <c r="H35" s="40">
        <v>0.86</v>
      </c>
      <c r="I35" s="40">
        <v>0.86</v>
      </c>
      <c r="J35" s="26">
        <v>0.85</v>
      </c>
      <c r="K35" s="26">
        <v>0.84</v>
      </c>
      <c r="L35" s="40"/>
      <c r="M35" s="40"/>
      <c r="N35" s="26"/>
      <c r="O35" s="26">
        <v>0.86</v>
      </c>
      <c r="P35" s="40">
        <v>0.83</v>
      </c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36.299999999999997</v>
      </c>
      <c r="H36" s="40">
        <v>37.1</v>
      </c>
      <c r="I36" s="40">
        <v>37.1</v>
      </c>
      <c r="J36" s="26">
        <v>36.700000000000003</v>
      </c>
      <c r="K36" s="26">
        <v>36.6</v>
      </c>
      <c r="L36" s="40"/>
      <c r="M36" s="40"/>
      <c r="N36" s="26"/>
      <c r="O36" s="26">
        <v>36.700000000000003</v>
      </c>
      <c r="P36" s="40">
        <v>36.799999999999997</v>
      </c>
      <c r="Q36" s="40">
        <v>36.5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36.5</v>
      </c>
      <c r="H37" s="40">
        <v>38.1</v>
      </c>
      <c r="I37" s="40">
        <v>37.9</v>
      </c>
      <c r="J37" s="26">
        <v>37.5</v>
      </c>
      <c r="K37" s="26">
        <v>37.299999999999997</v>
      </c>
      <c r="L37" s="40"/>
      <c r="M37" s="40"/>
      <c r="N37" s="26"/>
      <c r="O37" s="26">
        <v>37</v>
      </c>
      <c r="P37" s="40">
        <v>36.9</v>
      </c>
      <c r="Q37" s="40">
        <v>36.6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/>
      <c r="G38" s="41">
        <f t="shared" ref="G38:Q38" si="3">G37-G41</f>
        <v>2</v>
      </c>
      <c r="H38" s="41">
        <f t="shared" si="3"/>
        <v>4.6000000000000014</v>
      </c>
      <c r="I38" s="41">
        <f t="shared" si="3"/>
        <v>4.1999999999999957</v>
      </c>
      <c r="J38" s="41">
        <f t="shared" si="3"/>
        <v>3.6000000000000014</v>
      </c>
      <c r="K38" s="41">
        <f t="shared" si="3"/>
        <v>2.8999999999999986</v>
      </c>
      <c r="L38" s="41">
        <f t="shared" si="3"/>
        <v>0</v>
      </c>
      <c r="M38" s="41">
        <f t="shared" si="3"/>
        <v>0</v>
      </c>
      <c r="N38" s="41">
        <f t="shared" si="3"/>
        <v>0</v>
      </c>
      <c r="O38" s="41">
        <f t="shared" si="3"/>
        <v>2.2000000000000028</v>
      </c>
      <c r="P38" s="41">
        <f t="shared" si="3"/>
        <v>2.7999999999999972</v>
      </c>
      <c r="Q38" s="41">
        <f t="shared" si="3"/>
        <v>2.2000000000000028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28.9</v>
      </c>
      <c r="H40" s="40">
        <v>28.4</v>
      </c>
      <c r="I40" s="40">
        <v>28.8</v>
      </c>
      <c r="J40" s="26">
        <v>28.6</v>
      </c>
      <c r="K40" s="26">
        <v>28.9</v>
      </c>
      <c r="L40" s="40"/>
      <c r="M40" s="40"/>
      <c r="N40" s="26"/>
      <c r="O40" s="26">
        <v>28.6</v>
      </c>
      <c r="P40" s="40">
        <v>28.6</v>
      </c>
      <c r="Q40" s="40">
        <v>28.5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34.5</v>
      </c>
      <c r="H41" s="40">
        <v>33.5</v>
      </c>
      <c r="I41" s="40">
        <v>33.700000000000003</v>
      </c>
      <c r="J41" s="26">
        <v>33.9</v>
      </c>
      <c r="K41" s="26">
        <v>34.4</v>
      </c>
      <c r="L41" s="40"/>
      <c r="M41" s="40"/>
      <c r="N41" s="26"/>
      <c r="O41" s="26">
        <v>34.799999999999997</v>
      </c>
      <c r="P41" s="40">
        <v>34.1</v>
      </c>
      <c r="Q41" s="40">
        <v>34.4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/>
      <c r="G42" s="41">
        <f t="shared" ref="G42:Q42" si="4">G41-G40</f>
        <v>5.6000000000000014</v>
      </c>
      <c r="H42" s="41">
        <f t="shared" si="4"/>
        <v>5.1000000000000014</v>
      </c>
      <c r="I42" s="41">
        <f t="shared" si="4"/>
        <v>4.9000000000000021</v>
      </c>
      <c r="J42" s="41">
        <f t="shared" si="4"/>
        <v>5.2999999999999972</v>
      </c>
      <c r="K42" s="41">
        <f t="shared" si="4"/>
        <v>5.5</v>
      </c>
      <c r="L42" s="41">
        <f t="shared" si="4"/>
        <v>0</v>
      </c>
      <c r="M42" s="41">
        <f t="shared" si="4"/>
        <v>0</v>
      </c>
      <c r="N42" s="41">
        <f t="shared" si="4"/>
        <v>0</v>
      </c>
      <c r="O42" s="41">
        <f t="shared" si="4"/>
        <v>6.1999999999999957</v>
      </c>
      <c r="P42" s="41">
        <f t="shared" si="4"/>
        <v>5.5</v>
      </c>
      <c r="Q42" s="41">
        <f t="shared" si="4"/>
        <v>5.8999999999999986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1269.4000000000001</v>
      </c>
      <c r="H43" s="40">
        <v>1251.74</v>
      </c>
      <c r="I43" s="40">
        <v>1301</v>
      </c>
      <c r="J43" s="26">
        <v>1297.52</v>
      </c>
      <c r="K43" s="26">
        <v>1296.5999999999999</v>
      </c>
      <c r="L43" s="40"/>
      <c r="M43" s="26"/>
      <c r="N43" s="26"/>
      <c r="O43" s="26">
        <v>1091.7</v>
      </c>
      <c r="P43" s="40">
        <v>1217.02</v>
      </c>
      <c r="Q43" s="40">
        <v>1272.8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/>
      <c r="G44" s="42">
        <f t="shared" ref="G44:Q44" si="5">G42*G43/0.866</f>
        <v>8208.5912240184789</v>
      </c>
      <c r="H44" s="42">
        <f t="shared" si="5"/>
        <v>7371.6789838337199</v>
      </c>
      <c r="I44" s="42">
        <f t="shared" si="5"/>
        <v>7361.3163972286402</v>
      </c>
      <c r="J44" s="42">
        <f t="shared" si="5"/>
        <v>7940.9422632794412</v>
      </c>
      <c r="K44" s="42">
        <f t="shared" si="5"/>
        <v>8234.7575057736722</v>
      </c>
      <c r="L44" s="42">
        <f t="shared" si="5"/>
        <v>0</v>
      </c>
      <c r="M44" s="42">
        <f t="shared" si="5"/>
        <v>0</v>
      </c>
      <c r="N44" s="42">
        <f t="shared" si="5"/>
        <v>0</v>
      </c>
      <c r="O44" s="42">
        <f t="shared" si="5"/>
        <v>7815.8660508083085</v>
      </c>
      <c r="P44" s="42">
        <f t="shared" si="5"/>
        <v>7729.3418013856808</v>
      </c>
      <c r="Q44" s="42">
        <f t="shared" si="5"/>
        <v>8671.5011547344093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0.46</v>
      </c>
      <c r="H45" s="40">
        <v>0.47</v>
      </c>
      <c r="I45" s="40">
        <v>0.46</v>
      </c>
      <c r="J45" s="26">
        <v>0.46</v>
      </c>
      <c r="K45" s="26">
        <v>0.47</v>
      </c>
      <c r="L45" s="40"/>
      <c r="M45" s="40"/>
      <c r="N45" s="26"/>
      <c r="O45" s="26">
        <v>0.47</v>
      </c>
      <c r="P45" s="40">
        <v>0.47</v>
      </c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19.2</v>
      </c>
      <c r="H46" s="40">
        <v>19.8</v>
      </c>
      <c r="I46" s="40">
        <v>19.899999999999999</v>
      </c>
      <c r="J46" s="26">
        <v>19.899999999999999</v>
      </c>
      <c r="K46" s="26">
        <v>20.100000000000001</v>
      </c>
      <c r="L46" s="40"/>
      <c r="M46" s="40"/>
      <c r="N46" s="26"/>
      <c r="O46" s="26">
        <v>19.8</v>
      </c>
      <c r="P46" s="40">
        <v>20.100000000000001</v>
      </c>
      <c r="Q46" s="40">
        <v>20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133.19999999999999</v>
      </c>
      <c r="H47" s="40">
        <v>126.4</v>
      </c>
      <c r="I47" s="40">
        <v>136</v>
      </c>
      <c r="J47" s="26">
        <v>200.2</v>
      </c>
      <c r="K47" s="26">
        <v>203.5</v>
      </c>
      <c r="L47" s="40"/>
      <c r="M47" s="40"/>
      <c r="N47" s="26"/>
      <c r="O47" s="26">
        <v>167.5</v>
      </c>
      <c r="P47" s="40">
        <v>203.3</v>
      </c>
      <c r="Q47" s="40">
        <v>203.7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79">
        <v>5.89</v>
      </c>
      <c r="F49" s="26"/>
      <c r="G49" s="26">
        <v>5.61</v>
      </c>
      <c r="H49" s="40">
        <v>5.15</v>
      </c>
      <c r="I49" s="40">
        <v>5.24</v>
      </c>
      <c r="J49" s="26">
        <v>5.32</v>
      </c>
      <c r="K49" s="26">
        <v>5.52</v>
      </c>
      <c r="L49" s="40"/>
      <c r="M49" s="40"/>
      <c r="N49" s="26"/>
      <c r="O49" s="26">
        <v>5.45</v>
      </c>
      <c r="P49" s="40">
        <v>5.04</v>
      </c>
      <c r="Q49" s="40">
        <v>5.0999999999999996</v>
      </c>
    </row>
    <row r="50" spans="2:17" ht="20.100000000000001" customHeight="1" x14ac:dyDescent="0.25">
      <c r="B50" s="110" t="s">
        <v>51</v>
      </c>
      <c r="C50" s="110"/>
      <c r="D50" s="110"/>
      <c r="E50" s="79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78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8B12-1982-47E9-9DB8-81D811CDADDE}">
  <dimension ref="B1:Q59"/>
  <sheetViews>
    <sheetView view="pageBreakPreview" topLeftCell="B7" zoomScale="85" zoomScaleNormal="60" zoomScaleSheetLayoutView="85" workbookViewId="0">
      <selection activeCell="N49" sqref="N49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81" t="s">
        <v>78</v>
      </c>
      <c r="E10" s="27"/>
      <c r="F10" s="37" t="s">
        <v>99</v>
      </c>
      <c r="G10" s="37" t="s">
        <v>99</v>
      </c>
      <c r="H10" s="39" t="s">
        <v>99</v>
      </c>
      <c r="I10" s="39" t="s">
        <v>99</v>
      </c>
      <c r="J10" s="37"/>
      <c r="K10" s="37" t="s">
        <v>99</v>
      </c>
      <c r="L10" s="39"/>
      <c r="M10" s="39"/>
      <c r="N10" s="37" t="s">
        <v>99</v>
      </c>
      <c r="O10" s="39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71.400000000000006</v>
      </c>
      <c r="G11" s="26">
        <v>71.400000000000006</v>
      </c>
      <c r="H11" s="40">
        <v>77.400000000000006</v>
      </c>
      <c r="I11" s="40">
        <v>77.400000000000006</v>
      </c>
      <c r="J11" s="26"/>
      <c r="K11" s="26">
        <v>73.2</v>
      </c>
      <c r="L11" s="40"/>
      <c r="M11" s="40"/>
      <c r="N11" s="26">
        <v>76.3</v>
      </c>
      <c r="O11" s="26">
        <v>71.5</v>
      </c>
      <c r="P11" s="40"/>
      <c r="Q11" s="40">
        <v>78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0.6</v>
      </c>
      <c r="G12" s="26">
        <v>0.6</v>
      </c>
      <c r="H12" s="40">
        <v>0</v>
      </c>
      <c r="I12" s="40">
        <v>0</v>
      </c>
      <c r="J12" s="26"/>
      <c r="K12" s="26">
        <v>0</v>
      </c>
      <c r="L12" s="40"/>
      <c r="M12" s="40"/>
      <c r="N12" s="26">
        <v>0</v>
      </c>
      <c r="O12" s="26">
        <v>0</v>
      </c>
      <c r="P12" s="40"/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65.599999999999994</v>
      </c>
      <c r="G13" s="26">
        <v>65.599999999999994</v>
      </c>
      <c r="H13" s="40">
        <v>73.3</v>
      </c>
      <c r="I13" s="40">
        <v>73.3</v>
      </c>
      <c r="J13" s="26"/>
      <c r="K13" s="26">
        <v>68.8</v>
      </c>
      <c r="L13" s="40"/>
      <c r="M13" s="40"/>
      <c r="N13" s="26">
        <v>71.7</v>
      </c>
      <c r="O13" s="26">
        <v>66.099999999999994</v>
      </c>
      <c r="P13" s="40"/>
      <c r="Q13" s="40">
        <v>73.5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70.7</v>
      </c>
      <c r="G14" s="26">
        <v>68.5</v>
      </c>
      <c r="H14" s="40">
        <v>68.400000000000006</v>
      </c>
      <c r="I14" s="40">
        <v>69.400000000000006</v>
      </c>
      <c r="J14" s="26"/>
      <c r="K14" s="26">
        <v>63.7</v>
      </c>
      <c r="L14" s="40"/>
      <c r="M14" s="40"/>
      <c r="N14" s="26">
        <v>73</v>
      </c>
      <c r="O14" s="26">
        <v>72.900000000000006</v>
      </c>
      <c r="P14" s="40"/>
      <c r="Q14" s="40">
        <v>73.599999999999994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76.5</v>
      </c>
      <c r="G15" s="26">
        <v>67.2</v>
      </c>
      <c r="H15" s="40">
        <v>53.3</v>
      </c>
      <c r="I15" s="40">
        <v>49</v>
      </c>
      <c r="J15" s="26"/>
      <c r="K15" s="26">
        <v>37.5</v>
      </c>
      <c r="L15" s="40"/>
      <c r="M15" s="40"/>
      <c r="N15" s="26">
        <v>55</v>
      </c>
      <c r="O15" s="26">
        <v>43.1</v>
      </c>
      <c r="P15" s="40"/>
      <c r="Q15" s="40">
        <v>41.4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>
        <v>6.6</v>
      </c>
      <c r="I16" s="26">
        <v>6.6</v>
      </c>
      <c r="J16" s="26"/>
      <c r="K16" s="26">
        <v>6.6</v>
      </c>
      <c r="L16" s="40"/>
      <c r="M16" s="40"/>
      <c r="N16" s="26">
        <v>6.6</v>
      </c>
      <c r="O16" s="26">
        <v>6.6</v>
      </c>
      <c r="P16" s="40"/>
      <c r="Q16" s="26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116.9</v>
      </c>
      <c r="G17" s="26">
        <v>118.8</v>
      </c>
      <c r="H17" s="40">
        <v>116.4</v>
      </c>
      <c r="I17" s="40">
        <v>116.1</v>
      </c>
      <c r="J17" s="26"/>
      <c r="K17" s="26">
        <v>116.8</v>
      </c>
      <c r="L17" s="40"/>
      <c r="M17" s="40"/>
      <c r="N17" s="26">
        <v>119.1</v>
      </c>
      <c r="O17" s="26">
        <v>115.7</v>
      </c>
      <c r="P17" s="40"/>
      <c r="Q17" s="40">
        <v>117.7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1156</v>
      </c>
      <c r="G18" s="26">
        <v>1161</v>
      </c>
      <c r="H18" s="40">
        <v>1189</v>
      </c>
      <c r="I18" s="40">
        <v>1175</v>
      </c>
      <c r="J18" s="26"/>
      <c r="K18" s="26">
        <v>1184</v>
      </c>
      <c r="L18" s="40"/>
      <c r="M18" s="40"/>
      <c r="N18" s="26">
        <v>1218</v>
      </c>
      <c r="O18" s="26">
        <v>1178</v>
      </c>
      <c r="P18" s="40"/>
      <c r="Q18" s="40">
        <v>1197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46352.3</v>
      </c>
      <c r="G19" s="26">
        <v>46343.9</v>
      </c>
      <c r="H19" s="40">
        <v>47170</v>
      </c>
      <c r="I19" s="40">
        <v>47162</v>
      </c>
      <c r="J19" s="26"/>
      <c r="K19" s="26">
        <v>44764.5</v>
      </c>
      <c r="L19" s="40"/>
      <c r="M19" s="40"/>
      <c r="N19" s="26">
        <v>46506</v>
      </c>
      <c r="O19" s="26">
        <v>46374.400000000001</v>
      </c>
      <c r="P19" s="40"/>
      <c r="Q19" s="40">
        <v>48282.7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58.2</v>
      </c>
      <c r="G22" s="26">
        <v>58.5</v>
      </c>
      <c r="H22" s="40">
        <v>59.2</v>
      </c>
      <c r="I22" s="40">
        <v>59.3</v>
      </c>
      <c r="J22" s="26"/>
      <c r="K22" s="26">
        <v>57.9</v>
      </c>
      <c r="L22" s="40"/>
      <c r="M22" s="40"/>
      <c r="N22" s="26">
        <v>58.7</v>
      </c>
      <c r="O22" s="26">
        <v>58.7</v>
      </c>
      <c r="P22" s="40"/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0.53</v>
      </c>
      <c r="G23" s="26">
        <v>0.53</v>
      </c>
      <c r="H23" s="40">
        <v>0.49</v>
      </c>
      <c r="I23" s="40">
        <v>0.49</v>
      </c>
      <c r="J23" s="26"/>
      <c r="K23" s="26">
        <v>0.59</v>
      </c>
      <c r="L23" s="40"/>
      <c r="M23" s="40"/>
      <c r="N23" s="26">
        <v>0.48</v>
      </c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45.1</v>
      </c>
      <c r="G25" s="26">
        <v>44.9</v>
      </c>
      <c r="H25" s="40">
        <v>44.8</v>
      </c>
      <c r="I25" s="40">
        <v>44.8</v>
      </c>
      <c r="J25" s="26"/>
      <c r="K25" s="26">
        <v>45</v>
      </c>
      <c r="L25" s="40"/>
      <c r="M25" s="40"/>
      <c r="N25" s="26">
        <v>44.8</v>
      </c>
      <c r="O25" s="26">
        <v>45</v>
      </c>
      <c r="P25" s="40"/>
      <c r="Q25" s="40">
        <v>44.9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0.21</v>
      </c>
      <c r="G26" s="26">
        <v>0.23</v>
      </c>
      <c r="H26" s="40">
        <v>0.22</v>
      </c>
      <c r="I26" s="40">
        <v>0.22</v>
      </c>
      <c r="J26" s="26"/>
      <c r="K26" s="26">
        <v>0.23</v>
      </c>
      <c r="L26" s="40"/>
      <c r="M26" s="40"/>
      <c r="N26" s="26">
        <v>0.22</v>
      </c>
      <c r="O26" s="26">
        <v>0.23</v>
      </c>
      <c r="P26" s="40"/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4.7</v>
      </c>
      <c r="G27" s="26">
        <v>5</v>
      </c>
      <c r="H27" s="40">
        <v>3.7</v>
      </c>
      <c r="I27" s="40">
        <v>3.5</v>
      </c>
      <c r="J27" s="26"/>
      <c r="K27" s="26">
        <v>4.2</v>
      </c>
      <c r="L27" s="40"/>
      <c r="M27" s="40"/>
      <c r="N27" s="26">
        <v>4.5</v>
      </c>
      <c r="O27" s="26">
        <v>4.5999999999999996</v>
      </c>
      <c r="P27" s="40"/>
      <c r="Q27" s="40">
        <v>4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4.3</v>
      </c>
      <c r="G28" s="26">
        <v>4.5</v>
      </c>
      <c r="H28" s="40">
        <v>2.9</v>
      </c>
      <c r="I28" s="40">
        <v>2.7</v>
      </c>
      <c r="J28" s="26"/>
      <c r="K28" s="26">
        <v>3.4</v>
      </c>
      <c r="L28" s="40"/>
      <c r="M28" s="40"/>
      <c r="N28" s="26">
        <v>3.7</v>
      </c>
      <c r="O28" s="26">
        <v>3.5</v>
      </c>
      <c r="P28" s="40"/>
      <c r="Q28" s="40">
        <v>3.7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0.70000000000000018</v>
      </c>
      <c r="G29" s="41">
        <f t="shared" ref="G29:Q29" si="0">G32-G28</f>
        <v>0.90000000000000036</v>
      </c>
      <c r="H29" s="41">
        <f t="shared" si="0"/>
        <v>1.6999999999999997</v>
      </c>
      <c r="I29" s="41">
        <f t="shared" si="0"/>
        <v>2.3999999999999995</v>
      </c>
      <c r="J29" s="41">
        <f t="shared" si="0"/>
        <v>0</v>
      </c>
      <c r="K29" s="41">
        <f t="shared" si="0"/>
        <v>0.80000000000000027</v>
      </c>
      <c r="L29" s="41">
        <f t="shared" si="0"/>
        <v>0</v>
      </c>
      <c r="M29" s="41">
        <f t="shared" si="0"/>
        <v>0</v>
      </c>
      <c r="N29" s="41">
        <f t="shared" si="0"/>
        <v>0.5</v>
      </c>
      <c r="O29" s="41">
        <f t="shared" si="0"/>
        <v>1.2999999999999998</v>
      </c>
      <c r="P29" s="41">
        <f t="shared" si="0"/>
        <v>0</v>
      </c>
      <c r="Q29" s="41">
        <f t="shared" si="0"/>
        <v>1.2000000000000002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750.56</v>
      </c>
      <c r="G30" s="26">
        <v>731.1</v>
      </c>
      <c r="H30" s="40">
        <v>673.6</v>
      </c>
      <c r="I30" s="40">
        <v>652.4</v>
      </c>
      <c r="J30" s="26"/>
      <c r="K30" s="26">
        <v>657.5</v>
      </c>
      <c r="L30" s="40"/>
      <c r="M30" s="40"/>
      <c r="N30" s="26">
        <v>663.76</v>
      </c>
      <c r="O30" s="26">
        <v>648.5</v>
      </c>
      <c r="P30" s="40"/>
      <c r="Q30" s="40">
        <v>629.70000000000005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12.8</v>
      </c>
      <c r="G31" s="26">
        <v>13.5</v>
      </c>
      <c r="H31" s="40">
        <v>12.8</v>
      </c>
      <c r="I31" s="40">
        <v>13.6</v>
      </c>
      <c r="J31" s="26"/>
      <c r="K31" s="26">
        <v>12.9</v>
      </c>
      <c r="L31" s="40"/>
      <c r="M31" s="40"/>
      <c r="N31" s="26">
        <v>12.8</v>
      </c>
      <c r="O31" s="26">
        <v>13.6</v>
      </c>
      <c r="P31" s="40"/>
      <c r="Q31" s="40">
        <v>13.6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5</v>
      </c>
      <c r="G32" s="26">
        <v>5.4</v>
      </c>
      <c r="H32" s="40">
        <v>4.5999999999999996</v>
      </c>
      <c r="I32" s="40">
        <v>5.0999999999999996</v>
      </c>
      <c r="J32" s="26"/>
      <c r="K32" s="26">
        <v>4.2</v>
      </c>
      <c r="L32" s="40"/>
      <c r="M32" s="40"/>
      <c r="N32" s="26">
        <v>4.2</v>
      </c>
      <c r="O32" s="26">
        <v>4.8</v>
      </c>
      <c r="P32" s="40"/>
      <c r="Q32" s="40">
        <v>4.9000000000000004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7.8000000000000007</v>
      </c>
      <c r="G33" s="41">
        <f t="shared" ref="G33:Q33" si="1">G31-G32</f>
        <v>8.1</v>
      </c>
      <c r="H33" s="41">
        <f t="shared" si="1"/>
        <v>8.2000000000000011</v>
      </c>
      <c r="I33" s="41">
        <f t="shared" si="1"/>
        <v>8.5</v>
      </c>
      <c r="J33" s="41">
        <f t="shared" si="1"/>
        <v>0</v>
      </c>
      <c r="K33" s="41">
        <f t="shared" si="1"/>
        <v>8.6999999999999993</v>
      </c>
      <c r="L33" s="41">
        <f t="shared" si="1"/>
        <v>0</v>
      </c>
      <c r="M33" s="41">
        <f t="shared" si="1"/>
        <v>0</v>
      </c>
      <c r="N33" s="41">
        <f t="shared" si="1"/>
        <v>8.6000000000000014</v>
      </c>
      <c r="O33" s="41">
        <f t="shared" si="1"/>
        <v>8.8000000000000007</v>
      </c>
      <c r="P33" s="41">
        <f t="shared" si="1"/>
        <v>0</v>
      </c>
      <c r="Q33" s="41">
        <f t="shared" si="1"/>
        <v>8.6999999999999993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(33*30)/0.866</f>
        <v>1143.1870669745958</v>
      </c>
      <c r="G34" s="42">
        <f t="shared" ref="G34:Q34" si="2">(G33*G30)/0.866</f>
        <v>6838.233256351039</v>
      </c>
      <c r="H34" s="42">
        <f t="shared" si="2"/>
        <v>6378.1986143187087</v>
      </c>
      <c r="I34" s="42">
        <f t="shared" si="2"/>
        <v>6403.4642032332558</v>
      </c>
      <c r="J34" s="42">
        <f t="shared" si="2"/>
        <v>0</v>
      </c>
      <c r="K34" s="42">
        <f t="shared" si="2"/>
        <v>6605.3695150115464</v>
      </c>
      <c r="L34" s="42">
        <f t="shared" si="2"/>
        <v>0</v>
      </c>
      <c r="M34" s="42">
        <f t="shared" si="2"/>
        <v>0</v>
      </c>
      <c r="N34" s="42">
        <f t="shared" si="2"/>
        <v>6591.6120092378769</v>
      </c>
      <c r="O34" s="42">
        <f t="shared" si="2"/>
        <v>6589.8383371824484</v>
      </c>
      <c r="P34" s="42">
        <f t="shared" si="2"/>
        <v>0</v>
      </c>
      <c r="Q34" s="42">
        <f t="shared" si="2"/>
        <v>6326.0854503464207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0.81</v>
      </c>
      <c r="G35" s="26">
        <v>0.82</v>
      </c>
      <c r="H35" s="40">
        <v>0.85</v>
      </c>
      <c r="I35" s="40">
        <v>0.85</v>
      </c>
      <c r="J35" s="26"/>
      <c r="K35" s="26">
        <v>0.84</v>
      </c>
      <c r="L35" s="40"/>
      <c r="M35" s="40"/>
      <c r="N35" s="26">
        <v>0.82</v>
      </c>
      <c r="O35" s="26">
        <v>0.83</v>
      </c>
      <c r="P35" s="40"/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35.9</v>
      </c>
      <c r="G36" s="26">
        <v>36.299999999999997</v>
      </c>
      <c r="H36" s="40">
        <v>36.700000000000003</v>
      </c>
      <c r="I36" s="40">
        <v>36.9</v>
      </c>
      <c r="J36" s="26"/>
      <c r="K36" s="26">
        <v>36.6</v>
      </c>
      <c r="L36" s="40"/>
      <c r="M36" s="40"/>
      <c r="N36" s="26">
        <v>36.299999999999997</v>
      </c>
      <c r="O36" s="26">
        <v>36.700000000000003</v>
      </c>
      <c r="P36" s="40"/>
      <c r="Q36" s="40">
        <v>36.5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36.4</v>
      </c>
      <c r="G37" s="26">
        <v>36.700000000000003</v>
      </c>
      <c r="H37" s="40">
        <v>37.700000000000003</v>
      </c>
      <c r="I37" s="40">
        <v>37.9</v>
      </c>
      <c r="J37" s="26"/>
      <c r="K37" s="26">
        <v>37.299999999999997</v>
      </c>
      <c r="L37" s="40"/>
      <c r="M37" s="40"/>
      <c r="N37" s="26">
        <v>36.799999999999997</v>
      </c>
      <c r="O37" s="26">
        <v>37.1</v>
      </c>
      <c r="P37" s="40"/>
      <c r="Q37" s="40">
        <v>36.6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2.2999999999999972</v>
      </c>
      <c r="G38" s="41">
        <f t="shared" ref="G38:P38" si="3">G37-G41</f>
        <v>2</v>
      </c>
      <c r="H38" s="41">
        <f>H37-H41</f>
        <v>4.4000000000000057</v>
      </c>
      <c r="I38" s="41">
        <f t="shared" si="3"/>
        <v>4.1999999999999957</v>
      </c>
      <c r="J38" s="41">
        <f t="shared" si="3"/>
        <v>0</v>
      </c>
      <c r="K38" s="41">
        <f t="shared" si="3"/>
        <v>2.8999999999999986</v>
      </c>
      <c r="L38" s="41">
        <f t="shared" si="3"/>
        <v>0</v>
      </c>
      <c r="M38" s="41">
        <f t="shared" si="3"/>
        <v>0</v>
      </c>
      <c r="N38" s="41">
        <f t="shared" si="3"/>
        <v>2.5</v>
      </c>
      <c r="O38" s="41">
        <f t="shared" si="3"/>
        <v>2.3000000000000043</v>
      </c>
      <c r="P38" s="41">
        <f t="shared" si="3"/>
        <v>0</v>
      </c>
      <c r="Q38" s="41">
        <f>Q37-Q41</f>
        <v>2.1000000000000014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28.6</v>
      </c>
      <c r="G40" s="26">
        <v>28.8</v>
      </c>
      <c r="H40" s="40">
        <v>28.3</v>
      </c>
      <c r="I40" s="40">
        <v>28.7</v>
      </c>
      <c r="J40" s="26"/>
      <c r="K40" s="26">
        <v>28.9</v>
      </c>
      <c r="L40" s="40"/>
      <c r="M40" s="40"/>
      <c r="N40" s="26">
        <v>28.2</v>
      </c>
      <c r="O40" s="26">
        <v>28.7</v>
      </c>
      <c r="P40" s="40"/>
      <c r="Q40" s="40">
        <v>28.6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34.1</v>
      </c>
      <c r="G41" s="26">
        <v>34.700000000000003</v>
      </c>
      <c r="H41" s="40">
        <v>33.299999999999997</v>
      </c>
      <c r="I41" s="40">
        <v>33.700000000000003</v>
      </c>
      <c r="J41" s="26"/>
      <c r="K41" s="26">
        <v>34.4</v>
      </c>
      <c r="L41" s="40"/>
      <c r="M41" s="40"/>
      <c r="N41" s="26">
        <v>34.299999999999997</v>
      </c>
      <c r="O41" s="26">
        <v>34.799999999999997</v>
      </c>
      <c r="P41" s="40"/>
      <c r="Q41" s="40">
        <v>34.5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F40-F41</f>
        <v>-5.5</v>
      </c>
      <c r="G42" s="41">
        <f t="shared" ref="G42:Q42" si="4">G41-G40</f>
        <v>5.9000000000000021</v>
      </c>
      <c r="H42" s="41">
        <f t="shared" si="4"/>
        <v>4.9999999999999964</v>
      </c>
      <c r="I42" s="41">
        <f t="shared" si="4"/>
        <v>5.0000000000000036</v>
      </c>
      <c r="J42" s="41">
        <f t="shared" si="4"/>
        <v>0</v>
      </c>
      <c r="K42" s="41">
        <f t="shared" si="4"/>
        <v>5.5</v>
      </c>
      <c r="L42" s="41">
        <f t="shared" si="4"/>
        <v>0</v>
      </c>
      <c r="M42" s="41">
        <f t="shared" si="4"/>
        <v>0</v>
      </c>
      <c r="N42" s="41">
        <f t="shared" si="4"/>
        <v>6.0999999999999979</v>
      </c>
      <c r="O42" s="41">
        <f t="shared" si="4"/>
        <v>6.0999999999999979</v>
      </c>
      <c r="P42" s="41">
        <f t="shared" si="4"/>
        <v>0</v>
      </c>
      <c r="Q42" s="41">
        <f t="shared" si="4"/>
        <v>5.8999999999999986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1283.94</v>
      </c>
      <c r="G43" s="26">
        <v>1266.4000000000001</v>
      </c>
      <c r="H43" s="40">
        <v>1303.1199999999999</v>
      </c>
      <c r="I43" s="40">
        <v>1300</v>
      </c>
      <c r="J43" s="26"/>
      <c r="K43" s="26">
        <v>1296.5</v>
      </c>
      <c r="L43" s="40"/>
      <c r="M43" s="26"/>
      <c r="N43" s="26">
        <v>1111.3</v>
      </c>
      <c r="O43" s="26">
        <v>1087.5999999999999</v>
      </c>
      <c r="P43" s="40"/>
      <c r="Q43" s="40">
        <v>1264.9000000000001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-8154.3533487297927</v>
      </c>
      <c r="G44" s="42">
        <f t="shared" ref="G44:Q44" si="5">G42*G43/0.866</f>
        <v>8627.8983833718285</v>
      </c>
      <c r="H44" s="42">
        <f t="shared" si="5"/>
        <v>7523.7875288683545</v>
      </c>
      <c r="I44" s="42">
        <f t="shared" si="5"/>
        <v>7505.7736720554321</v>
      </c>
      <c r="J44" s="42">
        <f t="shared" si="5"/>
        <v>0</v>
      </c>
      <c r="K44" s="42">
        <f t="shared" si="5"/>
        <v>8234.122401847575</v>
      </c>
      <c r="L44" s="42">
        <f t="shared" si="5"/>
        <v>0</v>
      </c>
      <c r="M44" s="42">
        <f t="shared" si="5"/>
        <v>0</v>
      </c>
      <c r="N44" s="42">
        <f t="shared" si="5"/>
        <v>7827.863741339489</v>
      </c>
      <c r="O44" s="42">
        <f t="shared" si="5"/>
        <v>7660.9237875288645</v>
      </c>
      <c r="P44" s="42">
        <f t="shared" si="5"/>
        <v>0</v>
      </c>
      <c r="Q44" s="42">
        <f t="shared" si="5"/>
        <v>8617.6789838337172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0.47</v>
      </c>
      <c r="G45" s="26">
        <v>0.47</v>
      </c>
      <c r="H45" s="40">
        <v>0.47</v>
      </c>
      <c r="I45" s="40">
        <v>0.47</v>
      </c>
      <c r="J45" s="26"/>
      <c r="K45" s="26">
        <v>0.46</v>
      </c>
      <c r="L45" s="40"/>
      <c r="M45" s="40"/>
      <c r="N45" s="26">
        <v>0.46</v>
      </c>
      <c r="O45" s="26">
        <v>0.47</v>
      </c>
      <c r="P45" s="40"/>
      <c r="Q45" s="40">
        <v>0.46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20.2</v>
      </c>
      <c r="G46" s="26">
        <v>20.3</v>
      </c>
      <c r="H46" s="40">
        <v>19.8</v>
      </c>
      <c r="I46" s="40">
        <v>19.899999999999999</v>
      </c>
      <c r="J46" s="26"/>
      <c r="K46" s="26">
        <v>19.7</v>
      </c>
      <c r="L46" s="40"/>
      <c r="M46" s="40"/>
      <c r="N46" s="26">
        <v>19.7</v>
      </c>
      <c r="O46" s="26">
        <v>20.2</v>
      </c>
      <c r="P46" s="40"/>
      <c r="Q46" s="40">
        <v>19.899999999999999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221.3</v>
      </c>
      <c r="G47" s="26">
        <v>174.6</v>
      </c>
      <c r="H47" s="40">
        <v>120</v>
      </c>
      <c r="I47" s="40">
        <v>128.4</v>
      </c>
      <c r="J47" s="26"/>
      <c r="K47" s="26">
        <v>201.8</v>
      </c>
      <c r="L47" s="40"/>
      <c r="M47" s="40"/>
      <c r="N47" s="26">
        <v>149.69999999999999</v>
      </c>
      <c r="O47" s="26">
        <v>160.1</v>
      </c>
      <c r="P47" s="40"/>
      <c r="Q47" s="40">
        <v>189.5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81">
        <v>5.89</v>
      </c>
      <c r="F49" s="26">
        <v>5.56</v>
      </c>
      <c r="G49" s="26">
        <v>5.15</v>
      </c>
      <c r="H49" s="40">
        <v>5.26</v>
      </c>
      <c r="I49" s="40">
        <v>5.34</v>
      </c>
      <c r="J49" s="26"/>
      <c r="K49" s="26">
        <v>5.44</v>
      </c>
      <c r="L49" s="40"/>
      <c r="M49" s="40"/>
      <c r="N49" s="26">
        <v>5.63</v>
      </c>
      <c r="O49" s="26">
        <v>5.63</v>
      </c>
      <c r="P49" s="40"/>
      <c r="Q49" s="40">
        <v>5.41</v>
      </c>
    </row>
    <row r="50" spans="2:17" ht="20.100000000000001" customHeight="1" x14ac:dyDescent="0.25">
      <c r="B50" s="110" t="s">
        <v>51</v>
      </c>
      <c r="C50" s="110"/>
      <c r="D50" s="110"/>
      <c r="E50" s="81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80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3DD1-8EEB-415C-8D92-4017990D8F50}">
  <dimension ref="B1:Q59"/>
  <sheetViews>
    <sheetView view="pageBreakPreview" topLeftCell="A22" zoomScale="85" zoomScaleNormal="60" zoomScaleSheetLayoutView="85" workbookViewId="0">
      <selection activeCell="L45" sqref="L45:L49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83" t="s">
        <v>78</v>
      </c>
      <c r="E10" s="27"/>
      <c r="F10" s="37" t="s">
        <v>99</v>
      </c>
      <c r="G10" s="37" t="s">
        <v>99</v>
      </c>
      <c r="H10" s="39" t="s">
        <v>99</v>
      </c>
      <c r="I10" s="39" t="s">
        <v>99</v>
      </c>
      <c r="J10" s="37" t="s">
        <v>99</v>
      </c>
      <c r="K10" s="37" t="s">
        <v>99</v>
      </c>
      <c r="L10" s="39" t="s">
        <v>99</v>
      </c>
      <c r="M10" s="39" t="s">
        <v>99</v>
      </c>
      <c r="N10" s="37" t="s">
        <v>99</v>
      </c>
      <c r="O10" s="39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71.400000000000006</v>
      </c>
      <c r="H11" s="40">
        <v>80.8</v>
      </c>
      <c r="I11" s="40">
        <v>76.2</v>
      </c>
      <c r="J11" s="26">
        <v>73.3</v>
      </c>
      <c r="K11" s="26">
        <v>74.099999999999994</v>
      </c>
      <c r="L11" s="40">
        <v>75.099999999999994</v>
      </c>
      <c r="M11" s="40">
        <v>73.5</v>
      </c>
      <c r="N11" s="26"/>
      <c r="O11" s="26">
        <v>76.099999999999994</v>
      </c>
      <c r="P11" s="40"/>
      <c r="Q11" s="40">
        <v>79.7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0.7</v>
      </c>
      <c r="H12" s="40">
        <v>0</v>
      </c>
      <c r="I12" s="40">
        <v>0</v>
      </c>
      <c r="J12" s="26">
        <v>0</v>
      </c>
      <c r="K12" s="26">
        <v>0</v>
      </c>
      <c r="L12" s="40">
        <v>0.1</v>
      </c>
      <c r="M12" s="40">
        <v>0.1</v>
      </c>
      <c r="N12" s="26"/>
      <c r="O12" s="26">
        <v>0</v>
      </c>
      <c r="P12" s="40"/>
      <c r="Q12" s="40">
        <v>0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65.599999999999994</v>
      </c>
      <c r="H13" s="40">
        <v>76.8</v>
      </c>
      <c r="I13" s="40">
        <v>72.099999999999994</v>
      </c>
      <c r="J13" s="26">
        <v>68.5</v>
      </c>
      <c r="K13" s="26">
        <v>69.599999999999994</v>
      </c>
      <c r="L13" s="40">
        <v>69.3</v>
      </c>
      <c r="M13" s="40">
        <v>69.400000000000006</v>
      </c>
      <c r="N13" s="26"/>
      <c r="O13" s="26">
        <v>71.599999999999994</v>
      </c>
      <c r="P13" s="40"/>
      <c r="Q13" s="40">
        <v>75.400000000000006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65.400000000000006</v>
      </c>
      <c r="H14" s="40">
        <v>67.8</v>
      </c>
      <c r="I14" s="40">
        <v>66.599999999999994</v>
      </c>
      <c r="J14" s="26">
        <v>62</v>
      </c>
      <c r="K14" s="26">
        <v>62.1</v>
      </c>
      <c r="L14" s="40">
        <v>63</v>
      </c>
      <c r="M14" s="40">
        <v>64.3</v>
      </c>
      <c r="N14" s="26"/>
      <c r="O14" s="26">
        <v>71.2</v>
      </c>
      <c r="P14" s="40"/>
      <c r="Q14" s="40">
        <v>72.400000000000006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75.2</v>
      </c>
      <c r="H15" s="40">
        <v>50.1</v>
      </c>
      <c r="I15" s="40">
        <v>48.3</v>
      </c>
      <c r="J15" s="26">
        <v>38.700000000000003</v>
      </c>
      <c r="K15" s="26">
        <v>39.4</v>
      </c>
      <c r="L15" s="40">
        <v>30.6</v>
      </c>
      <c r="M15" s="40">
        <v>30.4</v>
      </c>
      <c r="N15" s="26"/>
      <c r="O15" s="26">
        <v>40.700000000000003</v>
      </c>
      <c r="P15" s="40"/>
      <c r="Q15" s="40">
        <v>40.1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>
        <v>6.6</v>
      </c>
      <c r="I16" s="26">
        <v>6.6</v>
      </c>
      <c r="J16" s="26">
        <v>6.6</v>
      </c>
      <c r="K16" s="26">
        <v>6.6</v>
      </c>
      <c r="L16" s="26">
        <v>6.6</v>
      </c>
      <c r="M16" s="26">
        <v>6.6</v>
      </c>
      <c r="N16" s="26">
        <v>6.6</v>
      </c>
      <c r="O16" s="26">
        <v>6.6</v>
      </c>
      <c r="P16" s="26">
        <v>6.6</v>
      </c>
      <c r="Q16" s="26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116.9</v>
      </c>
      <c r="H17" s="40">
        <v>118.5</v>
      </c>
      <c r="I17" s="40">
        <v>114.5</v>
      </c>
      <c r="J17" s="26">
        <v>116.6</v>
      </c>
      <c r="K17" s="26">
        <v>115.4</v>
      </c>
      <c r="L17" s="40">
        <v>116.7</v>
      </c>
      <c r="M17" s="40">
        <v>116.3</v>
      </c>
      <c r="N17" s="26"/>
      <c r="O17" s="26">
        <v>118.2</v>
      </c>
      <c r="P17" s="40"/>
      <c r="Q17" s="40">
        <v>118.8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1153</v>
      </c>
      <c r="H18" s="40">
        <v>1206</v>
      </c>
      <c r="I18" s="40">
        <v>1165</v>
      </c>
      <c r="J18" s="26">
        <v>1198</v>
      </c>
      <c r="K18" s="26">
        <v>1186</v>
      </c>
      <c r="L18" s="40">
        <v>1190</v>
      </c>
      <c r="M18" s="40">
        <v>1184</v>
      </c>
      <c r="N18" s="26"/>
      <c r="O18" s="26">
        <v>1208</v>
      </c>
      <c r="P18" s="40"/>
      <c r="Q18" s="40">
        <v>1210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3528</v>
      </c>
      <c r="H19" s="40">
        <v>47186</v>
      </c>
      <c r="I19" s="40">
        <v>3535</v>
      </c>
      <c r="J19" s="26">
        <v>44782.2</v>
      </c>
      <c r="K19" s="26">
        <v>3225</v>
      </c>
      <c r="L19" s="40">
        <v>47077</v>
      </c>
      <c r="M19" s="40">
        <v>3310</v>
      </c>
      <c r="N19" s="26"/>
      <c r="O19" s="26">
        <v>3179</v>
      </c>
      <c r="P19" s="40"/>
      <c r="Q19" s="40">
        <v>3394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58.4</v>
      </c>
      <c r="H22" s="40">
        <v>59.2</v>
      </c>
      <c r="I22" s="40">
        <v>59.2</v>
      </c>
      <c r="J22" s="26">
        <v>57.5</v>
      </c>
      <c r="K22" s="26">
        <v>57.5</v>
      </c>
      <c r="L22" s="40">
        <v>57.5</v>
      </c>
      <c r="M22" s="40">
        <v>57.5</v>
      </c>
      <c r="N22" s="26"/>
      <c r="O22" s="26">
        <v>58.7</v>
      </c>
      <c r="P22" s="40"/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0.52</v>
      </c>
      <c r="H23" s="40">
        <v>0.49</v>
      </c>
      <c r="I23" s="40">
        <v>0.49</v>
      </c>
      <c r="J23" s="26">
        <v>0.59</v>
      </c>
      <c r="K23" s="26">
        <v>0.59</v>
      </c>
      <c r="L23" s="40">
        <v>0.52</v>
      </c>
      <c r="M23" s="40">
        <v>0.52</v>
      </c>
      <c r="N23" s="26"/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46.7</v>
      </c>
      <c r="H25" s="40">
        <v>45</v>
      </c>
      <c r="I25" s="40">
        <v>44.9</v>
      </c>
      <c r="J25" s="26">
        <v>44.9</v>
      </c>
      <c r="K25" s="26">
        <v>45.1</v>
      </c>
      <c r="L25" s="40">
        <v>45</v>
      </c>
      <c r="M25" s="40">
        <v>44.9</v>
      </c>
      <c r="N25" s="26"/>
      <c r="O25" s="26">
        <v>44.8</v>
      </c>
      <c r="P25" s="40"/>
      <c r="Q25" s="40">
        <v>45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0.28000000000000003</v>
      </c>
      <c r="H26" s="40">
        <v>0.22</v>
      </c>
      <c r="I26" s="40">
        <v>0.22</v>
      </c>
      <c r="J26" s="26">
        <v>0.23</v>
      </c>
      <c r="K26" s="26">
        <v>0.22</v>
      </c>
      <c r="L26" s="40">
        <v>0.22</v>
      </c>
      <c r="M26" s="40">
        <v>0.22</v>
      </c>
      <c r="N26" s="26"/>
      <c r="O26" s="26">
        <v>0.22</v>
      </c>
      <c r="P26" s="40"/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4.4000000000000004</v>
      </c>
      <c r="H27" s="40">
        <v>3.5</v>
      </c>
      <c r="I27" s="40">
        <v>3.4</v>
      </c>
      <c r="J27" s="26">
        <v>4.7</v>
      </c>
      <c r="K27" s="26">
        <v>4.3</v>
      </c>
      <c r="L27" s="40">
        <v>4</v>
      </c>
      <c r="M27" s="40">
        <v>3.9</v>
      </c>
      <c r="N27" s="26"/>
      <c r="O27" s="26">
        <v>4.0999999999999996</v>
      </c>
      <c r="P27" s="40"/>
      <c r="Q27" s="40">
        <v>3.9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4.0999999999999996</v>
      </c>
      <c r="H28" s="40">
        <v>2.6</v>
      </c>
      <c r="I28" s="40">
        <v>2.6</v>
      </c>
      <c r="J28" s="26">
        <v>3.7</v>
      </c>
      <c r="K28" s="26">
        <v>3.3</v>
      </c>
      <c r="L28" s="40">
        <v>3.4</v>
      </c>
      <c r="M28" s="40">
        <v>2.9</v>
      </c>
      <c r="N28" s="26"/>
      <c r="O28" s="26">
        <v>2.5</v>
      </c>
      <c r="P28" s="40"/>
      <c r="Q28" s="40">
        <v>3.9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0.90000000000000036</v>
      </c>
      <c r="H29" s="41">
        <f t="shared" si="0"/>
        <v>2.3000000000000003</v>
      </c>
      <c r="I29" s="41">
        <f t="shared" si="0"/>
        <v>2.1999999999999997</v>
      </c>
      <c r="J29" s="41">
        <f t="shared" si="0"/>
        <v>0.79999999999999982</v>
      </c>
      <c r="K29" s="41">
        <f t="shared" si="0"/>
        <v>0.70000000000000018</v>
      </c>
      <c r="L29" s="41">
        <f t="shared" si="0"/>
        <v>0.80000000000000027</v>
      </c>
      <c r="M29" s="41">
        <f t="shared" si="0"/>
        <v>1.3000000000000003</v>
      </c>
      <c r="N29" s="41">
        <f t="shared" si="0"/>
        <v>0</v>
      </c>
      <c r="O29" s="41">
        <f t="shared" si="0"/>
        <v>1.7000000000000002</v>
      </c>
      <c r="P29" s="41">
        <f t="shared" si="0"/>
        <v>0</v>
      </c>
      <c r="Q29" s="41">
        <f t="shared" si="0"/>
        <v>0.80000000000000027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719</v>
      </c>
      <c r="H30" s="40">
        <v>678.5</v>
      </c>
      <c r="I30" s="40">
        <v>654.70000000000005</v>
      </c>
      <c r="J30" s="26">
        <v>673.03</v>
      </c>
      <c r="K30" s="26">
        <v>655.73</v>
      </c>
      <c r="L30" s="40">
        <v>648.4</v>
      </c>
      <c r="M30" s="40">
        <v>636</v>
      </c>
      <c r="N30" s="26"/>
      <c r="O30" s="26">
        <v>641.70000000000005</v>
      </c>
      <c r="P30" s="40"/>
      <c r="Q30" s="40">
        <v>648.6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13.2</v>
      </c>
      <c r="H31" s="40">
        <v>13.1</v>
      </c>
      <c r="I31" s="40">
        <v>13</v>
      </c>
      <c r="J31" s="26">
        <v>13</v>
      </c>
      <c r="K31" s="26">
        <v>12.8</v>
      </c>
      <c r="L31" s="40">
        <v>13</v>
      </c>
      <c r="M31" s="40">
        <v>13.1</v>
      </c>
      <c r="N31" s="26"/>
      <c r="O31" s="26">
        <v>13.2</v>
      </c>
      <c r="P31" s="40"/>
      <c r="Q31" s="40">
        <v>13.5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5</v>
      </c>
      <c r="H32" s="40">
        <v>4.9000000000000004</v>
      </c>
      <c r="I32" s="40">
        <v>4.8</v>
      </c>
      <c r="J32" s="26">
        <v>4.5</v>
      </c>
      <c r="K32" s="26">
        <v>4</v>
      </c>
      <c r="L32" s="40">
        <v>4.2</v>
      </c>
      <c r="M32" s="40">
        <v>4.2</v>
      </c>
      <c r="N32" s="26"/>
      <c r="O32" s="26">
        <v>4.2</v>
      </c>
      <c r="P32" s="40"/>
      <c r="Q32" s="40">
        <v>4.7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8.1999999999999993</v>
      </c>
      <c r="H33" s="41">
        <f t="shared" si="1"/>
        <v>8.1999999999999993</v>
      </c>
      <c r="I33" s="41">
        <f t="shared" si="1"/>
        <v>8.1999999999999993</v>
      </c>
      <c r="J33" s="41">
        <f t="shared" si="1"/>
        <v>8.5</v>
      </c>
      <c r="K33" s="41">
        <f t="shared" si="1"/>
        <v>8.8000000000000007</v>
      </c>
      <c r="L33" s="41">
        <f t="shared" si="1"/>
        <v>8.8000000000000007</v>
      </c>
      <c r="M33" s="41">
        <f t="shared" si="1"/>
        <v>8.8999999999999986</v>
      </c>
      <c r="N33" s="41">
        <f t="shared" si="1"/>
        <v>0</v>
      </c>
      <c r="O33" s="41">
        <f t="shared" si="1"/>
        <v>9</v>
      </c>
      <c r="P33" s="41">
        <f t="shared" si="1"/>
        <v>0</v>
      </c>
      <c r="Q33" s="41">
        <f t="shared" si="1"/>
        <v>8.8000000000000007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6808.0831408775975</v>
      </c>
      <c r="H34" s="42">
        <f t="shared" si="2"/>
        <v>6424.5958429561197</v>
      </c>
      <c r="I34" s="42">
        <f t="shared" si="2"/>
        <v>6199.2378752886834</v>
      </c>
      <c r="J34" s="42">
        <f t="shared" si="2"/>
        <v>6605.9526558891457</v>
      </c>
      <c r="K34" s="42">
        <f t="shared" si="2"/>
        <v>6663.3071593533496</v>
      </c>
      <c r="L34" s="42">
        <f t="shared" si="2"/>
        <v>6588.822170900693</v>
      </c>
      <c r="M34" s="42">
        <f t="shared" si="2"/>
        <v>6536.2586605080814</v>
      </c>
      <c r="N34" s="42">
        <f t="shared" si="2"/>
        <v>0</v>
      </c>
      <c r="O34" s="42">
        <f t="shared" si="2"/>
        <v>6668.9376443418014</v>
      </c>
      <c r="P34" s="42">
        <f t="shared" si="2"/>
        <v>0</v>
      </c>
      <c r="Q34" s="42">
        <f t="shared" si="2"/>
        <v>6590.8545034642038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0.82</v>
      </c>
      <c r="H35" s="40">
        <v>0.87</v>
      </c>
      <c r="I35" s="40">
        <v>0.85</v>
      </c>
      <c r="J35" s="26">
        <v>0.85</v>
      </c>
      <c r="K35" s="26">
        <v>0.84</v>
      </c>
      <c r="L35" s="40">
        <v>0.85</v>
      </c>
      <c r="M35" s="40">
        <v>0.84</v>
      </c>
      <c r="N35" s="26"/>
      <c r="O35" s="26">
        <v>0.83</v>
      </c>
      <c r="P35" s="40"/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36.299999999999997</v>
      </c>
      <c r="H36" s="40">
        <v>37.5</v>
      </c>
      <c r="I36" s="40">
        <v>36.799999999999997</v>
      </c>
      <c r="J36" s="26">
        <v>36.9</v>
      </c>
      <c r="K36" s="26">
        <v>36.5</v>
      </c>
      <c r="L36" s="40">
        <v>37.4</v>
      </c>
      <c r="M36" s="40">
        <v>37</v>
      </c>
      <c r="N36" s="26"/>
      <c r="O36" s="26">
        <v>36.799999999999997</v>
      </c>
      <c r="P36" s="40"/>
      <c r="Q36" s="40">
        <v>36.5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36.6</v>
      </c>
      <c r="H37" s="40">
        <v>38.4</v>
      </c>
      <c r="I37" s="40">
        <v>37.700000000000003</v>
      </c>
      <c r="J37" s="26">
        <v>37.6</v>
      </c>
      <c r="K37" s="26">
        <v>37.200000000000003</v>
      </c>
      <c r="L37" s="40">
        <v>37.9</v>
      </c>
      <c r="M37" s="40">
        <v>37.5</v>
      </c>
      <c r="N37" s="26"/>
      <c r="O37" s="26">
        <v>37.1</v>
      </c>
      <c r="P37" s="40"/>
      <c r="Q37" s="40">
        <v>36.700000000000003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P38" si="3">G37-G41</f>
        <v>2</v>
      </c>
      <c r="H38" s="41">
        <f>H37-H41</f>
        <v>4.3999999999999986</v>
      </c>
      <c r="I38" s="41">
        <f t="shared" si="3"/>
        <v>4.1000000000000014</v>
      </c>
      <c r="J38" s="41">
        <f t="shared" si="3"/>
        <v>2.8000000000000043</v>
      </c>
      <c r="K38" s="41">
        <f t="shared" si="3"/>
        <v>2.8000000000000043</v>
      </c>
      <c r="L38" s="41">
        <f t="shared" si="3"/>
        <v>3.5</v>
      </c>
      <c r="M38" s="41">
        <f t="shared" si="3"/>
        <v>3.5</v>
      </c>
      <c r="N38" s="41">
        <f t="shared" si="3"/>
        <v>0</v>
      </c>
      <c r="O38" s="41">
        <f t="shared" si="3"/>
        <v>2.2000000000000028</v>
      </c>
      <c r="P38" s="41">
        <f t="shared" si="3"/>
        <v>0</v>
      </c>
      <c r="Q38" s="41">
        <f>Q37-Q41</f>
        <v>2.3000000000000043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</v>
      </c>
      <c r="H40" s="40">
        <v>29.2</v>
      </c>
      <c r="I40" s="40">
        <v>28.7</v>
      </c>
      <c r="J40" s="26">
        <v>29.3</v>
      </c>
      <c r="K40" s="26">
        <v>28.9</v>
      </c>
      <c r="L40" s="40">
        <v>29</v>
      </c>
      <c r="M40" s="40">
        <v>28.7</v>
      </c>
      <c r="N40" s="26"/>
      <c r="O40" s="26">
        <v>28.6</v>
      </c>
      <c r="P40" s="40"/>
      <c r="Q40" s="40">
        <v>28.7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34.6</v>
      </c>
      <c r="H41" s="40">
        <v>34</v>
      </c>
      <c r="I41" s="40">
        <v>33.6</v>
      </c>
      <c r="J41" s="26">
        <v>34.799999999999997</v>
      </c>
      <c r="K41" s="26">
        <v>34.4</v>
      </c>
      <c r="L41" s="40">
        <v>34.4</v>
      </c>
      <c r="M41" s="40">
        <v>34</v>
      </c>
      <c r="N41" s="26"/>
      <c r="O41" s="26">
        <v>34.9</v>
      </c>
      <c r="P41" s="40"/>
      <c r="Q41" s="40">
        <v>34.4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F40-F41</f>
        <v>0</v>
      </c>
      <c r="G42" s="41">
        <f t="shared" ref="G42:Q42" si="4">G41-G40</f>
        <v>6.6000000000000014</v>
      </c>
      <c r="H42" s="41">
        <f t="shared" si="4"/>
        <v>4.8000000000000007</v>
      </c>
      <c r="I42" s="41">
        <f t="shared" si="4"/>
        <v>4.9000000000000021</v>
      </c>
      <c r="J42" s="41">
        <f t="shared" si="4"/>
        <v>5.4999999999999964</v>
      </c>
      <c r="K42" s="41">
        <f t="shared" si="4"/>
        <v>5.5</v>
      </c>
      <c r="L42" s="41">
        <f t="shared" si="4"/>
        <v>5.3999999999999986</v>
      </c>
      <c r="M42" s="41">
        <f t="shared" si="4"/>
        <v>5.3000000000000007</v>
      </c>
      <c r="N42" s="41">
        <f t="shared" si="4"/>
        <v>0</v>
      </c>
      <c r="O42" s="41">
        <f t="shared" si="4"/>
        <v>6.2999999999999972</v>
      </c>
      <c r="P42" s="41">
        <f t="shared" si="4"/>
        <v>0</v>
      </c>
      <c r="Q42" s="41">
        <f t="shared" si="4"/>
        <v>5.6999999999999993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1260.3</v>
      </c>
      <c r="H43" s="40">
        <v>1278.8</v>
      </c>
      <c r="I43" s="40">
        <v>1302.5</v>
      </c>
      <c r="J43" s="26">
        <v>1301.4000000000001</v>
      </c>
      <c r="K43" s="26">
        <v>1299.3</v>
      </c>
      <c r="L43" s="40">
        <v>1236.8</v>
      </c>
      <c r="M43" s="26">
        <v>1262.4000000000001</v>
      </c>
      <c r="N43" s="26"/>
      <c r="O43" s="26">
        <v>1084.8</v>
      </c>
      <c r="P43" s="40"/>
      <c r="Q43" s="40">
        <v>1264.8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9605.0577367205551</v>
      </c>
      <c r="H44" s="42">
        <f t="shared" si="5"/>
        <v>7088.0369515011553</v>
      </c>
      <c r="I44" s="42">
        <f t="shared" si="5"/>
        <v>7369.803695150119</v>
      </c>
      <c r="J44" s="42">
        <f t="shared" si="5"/>
        <v>8265.2424942263242</v>
      </c>
      <c r="K44" s="42">
        <f t="shared" si="5"/>
        <v>8251.9053117782914</v>
      </c>
      <c r="L44" s="42">
        <f t="shared" si="5"/>
        <v>7712.1478060046175</v>
      </c>
      <c r="M44" s="42">
        <f t="shared" si="5"/>
        <v>7726.0046189376453</v>
      </c>
      <c r="N44" s="42">
        <f t="shared" si="5"/>
        <v>0</v>
      </c>
      <c r="O44" s="42">
        <f t="shared" si="5"/>
        <v>7891.7321016166252</v>
      </c>
      <c r="P44" s="42">
        <f t="shared" si="5"/>
        <v>0</v>
      </c>
      <c r="Q44" s="42">
        <f t="shared" si="5"/>
        <v>8324.8960739030008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0.47</v>
      </c>
      <c r="H45" s="40">
        <v>0.47</v>
      </c>
      <c r="I45" s="40">
        <v>0.46</v>
      </c>
      <c r="J45" s="26">
        <v>0.48</v>
      </c>
      <c r="K45" s="26">
        <v>0.47</v>
      </c>
      <c r="L45" s="40">
        <v>0.47</v>
      </c>
      <c r="M45" s="40">
        <v>0.47</v>
      </c>
      <c r="N45" s="26"/>
      <c r="O45" s="26">
        <v>0.46</v>
      </c>
      <c r="P45" s="40"/>
      <c r="Q45" s="40">
        <v>0.46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20.2</v>
      </c>
      <c r="H46" s="40">
        <v>20</v>
      </c>
      <c r="I46" s="40">
        <v>19.7</v>
      </c>
      <c r="J46" s="26">
        <v>20.3</v>
      </c>
      <c r="K46" s="26">
        <v>20</v>
      </c>
      <c r="L46" s="40">
        <v>20.5</v>
      </c>
      <c r="M46" s="40">
        <v>20.100000000000001</v>
      </c>
      <c r="N46" s="26"/>
      <c r="O46" s="26">
        <v>19.7</v>
      </c>
      <c r="P46" s="40"/>
      <c r="Q46" s="40">
        <v>19.899999999999999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213.2</v>
      </c>
      <c r="H47" s="40">
        <v>113.3</v>
      </c>
      <c r="I47" s="40">
        <v>133.5</v>
      </c>
      <c r="J47" s="26">
        <v>208.6</v>
      </c>
      <c r="K47" s="26">
        <v>202.5</v>
      </c>
      <c r="L47" s="40">
        <v>216.9</v>
      </c>
      <c r="M47" s="40">
        <v>212.1</v>
      </c>
      <c r="N47" s="26"/>
      <c r="O47" s="26">
        <v>159.69999999999999</v>
      </c>
      <c r="P47" s="40"/>
      <c r="Q47" s="40">
        <v>205.2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83">
        <v>5.89</v>
      </c>
      <c r="F49" s="26"/>
      <c r="G49" s="26">
        <v>5.21</v>
      </c>
      <c r="H49" s="40">
        <v>5.13</v>
      </c>
      <c r="I49" s="40">
        <v>5.33</v>
      </c>
      <c r="J49" s="26">
        <v>5.28</v>
      </c>
      <c r="K49" s="26">
        <v>5.48</v>
      </c>
      <c r="L49" s="40">
        <v>5.47</v>
      </c>
      <c r="M49" s="40">
        <v>5.62</v>
      </c>
      <c r="N49" s="26"/>
      <c r="O49" s="26">
        <v>5.47</v>
      </c>
      <c r="P49" s="40"/>
      <c r="Q49" s="40">
        <v>5.37</v>
      </c>
    </row>
    <row r="50" spans="2:17" ht="20.100000000000001" customHeight="1" x14ac:dyDescent="0.25">
      <c r="B50" s="110" t="s">
        <v>51</v>
      </c>
      <c r="C50" s="110"/>
      <c r="D50" s="110"/>
      <c r="E50" s="83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82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8CCA-835C-442A-BB6A-2EA77202F994}">
  <dimension ref="B1:Q59"/>
  <sheetViews>
    <sheetView view="pageBreakPreview" zoomScale="85" zoomScaleNormal="60" zoomScaleSheetLayoutView="85" workbookViewId="0">
      <selection activeCell="P16" sqref="P16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85" t="s">
        <v>78</v>
      </c>
      <c r="E10" s="27"/>
      <c r="F10" s="37" t="s">
        <v>99</v>
      </c>
      <c r="G10" s="37" t="s">
        <v>99</v>
      </c>
      <c r="H10" s="39" t="s">
        <v>99</v>
      </c>
      <c r="I10" s="39" t="s">
        <v>99</v>
      </c>
      <c r="J10" s="37" t="s">
        <v>99</v>
      </c>
      <c r="K10" s="37" t="s">
        <v>99</v>
      </c>
      <c r="L10" s="39" t="s">
        <v>99</v>
      </c>
      <c r="M10" s="39" t="s">
        <v>99</v>
      </c>
      <c r="N10" s="37" t="s">
        <v>99</v>
      </c>
      <c r="O10" s="39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71.5</v>
      </c>
      <c r="H11" s="40">
        <v>83.9</v>
      </c>
      <c r="I11" s="40">
        <v>76.099999999999994</v>
      </c>
      <c r="J11" s="26"/>
      <c r="K11" s="26">
        <v>74.2</v>
      </c>
      <c r="L11" s="40"/>
      <c r="M11" s="40">
        <v>73.5</v>
      </c>
      <c r="N11" s="26">
        <v>74.099999999999994</v>
      </c>
      <c r="O11" s="26">
        <v>76.099999999999994</v>
      </c>
      <c r="P11" s="40"/>
      <c r="Q11" s="40">
        <v>79.7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0.6</v>
      </c>
      <c r="H12" s="40">
        <v>0</v>
      </c>
      <c r="I12" s="40">
        <v>0</v>
      </c>
      <c r="J12" s="26"/>
      <c r="K12" s="26">
        <v>0</v>
      </c>
      <c r="L12" s="40"/>
      <c r="M12" s="40">
        <v>0</v>
      </c>
      <c r="N12" s="26">
        <v>0</v>
      </c>
      <c r="O12" s="26">
        <v>0</v>
      </c>
      <c r="P12" s="40"/>
      <c r="Q12" s="40">
        <v>0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64.900000000000006</v>
      </c>
      <c r="H13" s="40">
        <v>81</v>
      </c>
      <c r="I13" s="40">
        <v>72.3</v>
      </c>
      <c r="J13" s="26"/>
      <c r="K13" s="26">
        <v>69.3</v>
      </c>
      <c r="L13" s="40"/>
      <c r="M13" s="40">
        <v>69.400000000000006</v>
      </c>
      <c r="N13" s="26">
        <v>68.7</v>
      </c>
      <c r="O13" s="26">
        <v>71.599999999999994</v>
      </c>
      <c r="P13" s="40"/>
      <c r="Q13" s="40">
        <v>75.400000000000006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65.3</v>
      </c>
      <c r="H14" s="40">
        <v>68.3</v>
      </c>
      <c r="I14" s="40">
        <v>65.900000000000006</v>
      </c>
      <c r="J14" s="26"/>
      <c r="K14" s="26">
        <v>62.3</v>
      </c>
      <c r="L14" s="40"/>
      <c r="M14" s="40">
        <v>64.3</v>
      </c>
      <c r="N14" s="26">
        <v>73</v>
      </c>
      <c r="O14" s="26">
        <v>71.2</v>
      </c>
      <c r="P14" s="40"/>
      <c r="Q14" s="40">
        <v>72.400000000000006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75.3</v>
      </c>
      <c r="H15" s="40">
        <v>60.5</v>
      </c>
      <c r="I15" s="40">
        <v>48.5</v>
      </c>
      <c r="J15" s="26"/>
      <c r="K15" s="26">
        <v>40.1</v>
      </c>
      <c r="L15" s="40"/>
      <c r="M15" s="40">
        <v>31.5</v>
      </c>
      <c r="N15" s="26">
        <v>58.5</v>
      </c>
      <c r="O15" s="26">
        <v>40.700000000000003</v>
      </c>
      <c r="P15" s="40"/>
      <c r="Q15" s="40">
        <v>40.1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>
        <v>6.6</v>
      </c>
      <c r="I16" s="40">
        <v>6.6</v>
      </c>
      <c r="J16" s="26"/>
      <c r="K16" s="26">
        <v>6.6</v>
      </c>
      <c r="L16" s="40"/>
      <c r="M16" s="40">
        <v>6.6</v>
      </c>
      <c r="N16" s="26">
        <v>6.6</v>
      </c>
      <c r="O16" s="26">
        <v>6.6</v>
      </c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115.9</v>
      </c>
      <c r="H17" s="40">
        <v>117.8</v>
      </c>
      <c r="I17" s="40">
        <v>114.3</v>
      </c>
      <c r="J17" s="26"/>
      <c r="K17" s="26">
        <v>115.4</v>
      </c>
      <c r="L17" s="40"/>
      <c r="M17" s="40">
        <v>116.3</v>
      </c>
      <c r="N17" s="26">
        <v>114.7</v>
      </c>
      <c r="O17" s="26">
        <v>118.2</v>
      </c>
      <c r="P17" s="40"/>
      <c r="Q17" s="40">
        <v>118.8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1156</v>
      </c>
      <c r="H18" s="40">
        <v>1200</v>
      </c>
      <c r="I18" s="40">
        <v>1160</v>
      </c>
      <c r="J18" s="26"/>
      <c r="K18" s="26">
        <v>1186</v>
      </c>
      <c r="L18" s="40"/>
      <c r="M18" s="40">
        <v>1179</v>
      </c>
      <c r="N18" s="26">
        <v>1172</v>
      </c>
      <c r="O18" s="26">
        <v>1208</v>
      </c>
      <c r="P18" s="40"/>
      <c r="Q18" s="40">
        <v>1210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46385.3</v>
      </c>
      <c r="H19" s="40">
        <v>47209.5</v>
      </c>
      <c r="I19" s="40">
        <v>47207.7</v>
      </c>
      <c r="J19" s="26"/>
      <c r="K19" s="26">
        <v>44799.6</v>
      </c>
      <c r="L19" s="40"/>
      <c r="M19" s="40">
        <v>47100.3</v>
      </c>
      <c r="N19" s="26">
        <v>46417.599999999999</v>
      </c>
      <c r="O19" s="26">
        <v>46415.8</v>
      </c>
      <c r="P19" s="40"/>
      <c r="Q19" s="40">
        <v>48309.9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58.4</v>
      </c>
      <c r="H22" s="40">
        <v>59.1</v>
      </c>
      <c r="I22" s="40">
        <v>59.2</v>
      </c>
      <c r="J22" s="26"/>
      <c r="K22" s="26">
        <v>57.6</v>
      </c>
      <c r="L22" s="40"/>
      <c r="M22" s="40">
        <v>57.6</v>
      </c>
      <c r="N22" s="26">
        <v>58.4</v>
      </c>
      <c r="O22" s="26">
        <v>58.7</v>
      </c>
      <c r="P22" s="40"/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0.51</v>
      </c>
      <c r="H23" s="40">
        <v>0.48</v>
      </c>
      <c r="I23" s="40">
        <v>0.49</v>
      </c>
      <c r="J23" s="26"/>
      <c r="K23" s="26">
        <v>0.59</v>
      </c>
      <c r="L23" s="40"/>
      <c r="M23" s="40">
        <v>0.52</v>
      </c>
      <c r="N23" s="26">
        <v>0.48</v>
      </c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46.6</v>
      </c>
      <c r="H25" s="40">
        <v>45</v>
      </c>
      <c r="I25" s="40">
        <v>44.9</v>
      </c>
      <c r="J25" s="26"/>
      <c r="K25" s="26">
        <v>45</v>
      </c>
      <c r="L25" s="40"/>
      <c r="M25" s="40">
        <v>44.9</v>
      </c>
      <c r="N25" s="26">
        <v>45</v>
      </c>
      <c r="O25" s="26">
        <v>44.8</v>
      </c>
      <c r="P25" s="40"/>
      <c r="Q25" s="40">
        <v>45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0.28000000000000003</v>
      </c>
      <c r="H26" s="40">
        <v>0.21</v>
      </c>
      <c r="I26" s="40">
        <v>0.22</v>
      </c>
      <c r="J26" s="26"/>
      <c r="K26" s="26">
        <v>0.22</v>
      </c>
      <c r="L26" s="40"/>
      <c r="M26" s="40">
        <v>0.22</v>
      </c>
      <c r="N26" s="26">
        <v>0.22</v>
      </c>
      <c r="O26" s="26">
        <v>0.22</v>
      </c>
      <c r="P26" s="40"/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4.4000000000000004</v>
      </c>
      <c r="H27" s="40">
        <v>2.9</v>
      </c>
      <c r="I27" s="40">
        <v>3.4</v>
      </c>
      <c r="J27" s="26"/>
      <c r="K27" s="26">
        <v>4.3</v>
      </c>
      <c r="L27" s="40"/>
      <c r="M27" s="40">
        <v>3.9</v>
      </c>
      <c r="N27" s="26">
        <v>4.2</v>
      </c>
      <c r="O27" s="26">
        <v>4.0999999999999996</v>
      </c>
      <c r="P27" s="40"/>
      <c r="Q27" s="40">
        <v>3.9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4.0999999999999996</v>
      </c>
      <c r="H28" s="40">
        <v>1.9</v>
      </c>
      <c r="I28" s="40">
        <v>2.6</v>
      </c>
      <c r="J28" s="26"/>
      <c r="K28" s="26">
        <v>3.3</v>
      </c>
      <c r="L28" s="40"/>
      <c r="M28" s="40">
        <v>2.9</v>
      </c>
      <c r="N28" s="26">
        <v>3.6</v>
      </c>
      <c r="O28" s="26">
        <v>2.5</v>
      </c>
      <c r="P28" s="40"/>
      <c r="Q28" s="40">
        <v>3.9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0.90000000000000036</v>
      </c>
      <c r="H29" s="41">
        <f t="shared" si="0"/>
        <v>2.6999999999999997</v>
      </c>
      <c r="I29" s="41">
        <f t="shared" si="0"/>
        <v>2.1999999999999997</v>
      </c>
      <c r="J29" s="41">
        <f t="shared" si="0"/>
        <v>0</v>
      </c>
      <c r="K29" s="41">
        <f t="shared" si="0"/>
        <v>0.70000000000000018</v>
      </c>
      <c r="L29" s="41">
        <f t="shared" si="0"/>
        <v>0</v>
      </c>
      <c r="M29" s="41">
        <f t="shared" si="0"/>
        <v>1.3000000000000003</v>
      </c>
      <c r="N29" s="41">
        <f t="shared" si="0"/>
        <v>0.80000000000000027</v>
      </c>
      <c r="O29" s="41">
        <f t="shared" si="0"/>
        <v>1.7000000000000002</v>
      </c>
      <c r="P29" s="41">
        <f t="shared" si="0"/>
        <v>0</v>
      </c>
      <c r="Q29" s="41">
        <f t="shared" si="0"/>
        <v>0.80000000000000027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711.3</v>
      </c>
      <c r="H30" s="40">
        <v>682.5</v>
      </c>
      <c r="I30" s="40">
        <v>654.70000000000005</v>
      </c>
      <c r="J30" s="26"/>
      <c r="K30" s="26">
        <v>655.73</v>
      </c>
      <c r="L30" s="40"/>
      <c r="M30" s="40">
        <v>636</v>
      </c>
      <c r="N30" s="26">
        <v>680.6</v>
      </c>
      <c r="O30" s="26">
        <v>641.70000000000005</v>
      </c>
      <c r="P30" s="40"/>
      <c r="Q30" s="40">
        <v>648.6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12.9</v>
      </c>
      <c r="H31" s="40">
        <v>13.2</v>
      </c>
      <c r="I31" s="40">
        <v>13</v>
      </c>
      <c r="J31" s="26"/>
      <c r="K31" s="26">
        <v>12.8</v>
      </c>
      <c r="L31" s="40"/>
      <c r="M31" s="40">
        <v>13.1</v>
      </c>
      <c r="N31" s="26">
        <v>13.2</v>
      </c>
      <c r="O31" s="26">
        <v>13.2</v>
      </c>
      <c r="P31" s="40"/>
      <c r="Q31" s="40">
        <v>13.5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5</v>
      </c>
      <c r="H32" s="40">
        <v>4.5999999999999996</v>
      </c>
      <c r="I32" s="40">
        <v>4.8</v>
      </c>
      <c r="J32" s="26"/>
      <c r="K32" s="26">
        <v>4</v>
      </c>
      <c r="L32" s="40"/>
      <c r="M32" s="40">
        <v>4.2</v>
      </c>
      <c r="N32" s="26">
        <v>4.4000000000000004</v>
      </c>
      <c r="O32" s="26">
        <v>4.2</v>
      </c>
      <c r="P32" s="40"/>
      <c r="Q32" s="40">
        <v>4.7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7.9</v>
      </c>
      <c r="H33" s="41">
        <f t="shared" si="1"/>
        <v>8.6</v>
      </c>
      <c r="I33" s="41">
        <f t="shared" si="1"/>
        <v>8.1999999999999993</v>
      </c>
      <c r="J33" s="41">
        <f t="shared" si="1"/>
        <v>0</v>
      </c>
      <c r="K33" s="41">
        <f t="shared" si="1"/>
        <v>8.8000000000000007</v>
      </c>
      <c r="L33" s="41">
        <f t="shared" si="1"/>
        <v>0</v>
      </c>
      <c r="M33" s="41">
        <f t="shared" si="1"/>
        <v>8.8999999999999986</v>
      </c>
      <c r="N33" s="41">
        <f t="shared" si="1"/>
        <v>8.7999999999999989</v>
      </c>
      <c r="O33" s="41">
        <f t="shared" si="1"/>
        <v>9</v>
      </c>
      <c r="P33" s="41">
        <f t="shared" si="1"/>
        <v>0</v>
      </c>
      <c r="Q33" s="41">
        <f t="shared" si="1"/>
        <v>8.8000000000000007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6488.7644341801379</v>
      </c>
      <c r="H34" s="42">
        <f t="shared" si="2"/>
        <v>6777.7136258660512</v>
      </c>
      <c r="I34" s="42">
        <f t="shared" si="2"/>
        <v>6199.2378752886834</v>
      </c>
      <c r="J34" s="42">
        <f t="shared" si="2"/>
        <v>0</v>
      </c>
      <c r="K34" s="42">
        <f t="shared" si="2"/>
        <v>6663.3071593533496</v>
      </c>
      <c r="L34" s="42">
        <f t="shared" si="2"/>
        <v>0</v>
      </c>
      <c r="M34" s="42">
        <f t="shared" si="2"/>
        <v>6536.2586605080814</v>
      </c>
      <c r="N34" s="42">
        <f t="shared" si="2"/>
        <v>6916.0277136258655</v>
      </c>
      <c r="O34" s="42">
        <f t="shared" si="2"/>
        <v>6668.9376443418014</v>
      </c>
      <c r="P34" s="42">
        <f t="shared" si="2"/>
        <v>0</v>
      </c>
      <c r="Q34" s="42">
        <f t="shared" si="2"/>
        <v>6590.8545034642038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0.82</v>
      </c>
      <c r="H35" s="40">
        <v>0.81</v>
      </c>
      <c r="I35" s="40">
        <v>0.85</v>
      </c>
      <c r="J35" s="26"/>
      <c r="K35" s="26">
        <v>0.84</v>
      </c>
      <c r="L35" s="40"/>
      <c r="M35" s="40">
        <v>0.84</v>
      </c>
      <c r="N35" s="26">
        <v>0.79</v>
      </c>
      <c r="O35" s="26">
        <v>0.8</v>
      </c>
      <c r="P35" s="40"/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36.299999999999997</v>
      </c>
      <c r="H36" s="40">
        <v>35.1</v>
      </c>
      <c r="I36" s="40">
        <v>36.799999999999997</v>
      </c>
      <c r="J36" s="26"/>
      <c r="K36" s="26">
        <v>36.5</v>
      </c>
      <c r="L36" s="40"/>
      <c r="M36" s="40">
        <v>37</v>
      </c>
      <c r="N36" s="26">
        <v>34.5</v>
      </c>
      <c r="O36" s="26">
        <v>36.799999999999997</v>
      </c>
      <c r="P36" s="40"/>
      <c r="Q36" s="40">
        <v>36.5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36.6</v>
      </c>
      <c r="H37" s="40">
        <v>36.1</v>
      </c>
      <c r="I37" s="40">
        <v>37.700000000000003</v>
      </c>
      <c r="J37" s="26"/>
      <c r="K37" s="26">
        <v>37.200000000000003</v>
      </c>
      <c r="L37" s="40"/>
      <c r="M37" s="40">
        <v>37.5</v>
      </c>
      <c r="N37" s="26">
        <v>35</v>
      </c>
      <c r="O37" s="26">
        <v>37.1</v>
      </c>
      <c r="P37" s="40"/>
      <c r="Q37" s="40">
        <v>36.700000000000003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P38" si="3">G37-G41</f>
        <v>2</v>
      </c>
      <c r="H38" s="41">
        <f>H37-H41</f>
        <v>4.6000000000000014</v>
      </c>
      <c r="I38" s="41">
        <f t="shared" si="3"/>
        <v>4.1000000000000014</v>
      </c>
      <c r="J38" s="41">
        <f t="shared" si="3"/>
        <v>0</v>
      </c>
      <c r="K38" s="41">
        <f t="shared" si="3"/>
        <v>2.8000000000000043</v>
      </c>
      <c r="L38" s="41">
        <f t="shared" si="3"/>
        <v>0</v>
      </c>
      <c r="M38" s="41">
        <f t="shared" si="3"/>
        <v>3.5</v>
      </c>
      <c r="N38" s="41">
        <f t="shared" si="3"/>
        <v>2.5</v>
      </c>
      <c r="O38" s="41">
        <f t="shared" si="3"/>
        <v>2.2000000000000028</v>
      </c>
      <c r="P38" s="41">
        <f t="shared" si="3"/>
        <v>0</v>
      </c>
      <c r="Q38" s="41">
        <f>Q37-Q41</f>
        <v>2.3000000000000043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28.9</v>
      </c>
      <c r="H40" s="40">
        <v>26.7</v>
      </c>
      <c r="I40" s="40">
        <v>28.7</v>
      </c>
      <c r="J40" s="26"/>
      <c r="K40" s="26">
        <v>28.9</v>
      </c>
      <c r="L40" s="40"/>
      <c r="M40" s="40">
        <v>28.7</v>
      </c>
      <c r="N40" s="26">
        <v>26.6</v>
      </c>
      <c r="O40" s="26">
        <v>28.6</v>
      </c>
      <c r="P40" s="40"/>
      <c r="Q40" s="40">
        <v>28.7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34.6</v>
      </c>
      <c r="H41" s="40">
        <v>31.5</v>
      </c>
      <c r="I41" s="40">
        <v>33.6</v>
      </c>
      <c r="J41" s="26"/>
      <c r="K41" s="26">
        <v>34.4</v>
      </c>
      <c r="L41" s="40"/>
      <c r="M41" s="40">
        <v>34</v>
      </c>
      <c r="N41" s="26">
        <v>32.5</v>
      </c>
      <c r="O41" s="26">
        <v>34.9</v>
      </c>
      <c r="P41" s="40"/>
      <c r="Q41" s="40">
        <v>34.4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F40-F41</f>
        <v>0</v>
      </c>
      <c r="G42" s="41">
        <f t="shared" ref="G42:Q42" si="4">G41-G40</f>
        <v>5.7000000000000028</v>
      </c>
      <c r="H42" s="41">
        <f t="shared" si="4"/>
        <v>4.8000000000000007</v>
      </c>
      <c r="I42" s="41">
        <f t="shared" si="4"/>
        <v>4.9000000000000021</v>
      </c>
      <c r="J42" s="41">
        <f t="shared" si="4"/>
        <v>0</v>
      </c>
      <c r="K42" s="41">
        <f t="shared" si="4"/>
        <v>5.5</v>
      </c>
      <c r="L42" s="41">
        <f t="shared" si="4"/>
        <v>0</v>
      </c>
      <c r="M42" s="41">
        <f t="shared" si="4"/>
        <v>5.3000000000000007</v>
      </c>
      <c r="N42" s="41">
        <f t="shared" si="4"/>
        <v>5.8999999999999986</v>
      </c>
      <c r="O42" s="41">
        <f t="shared" si="4"/>
        <v>6.2999999999999972</v>
      </c>
      <c r="P42" s="41">
        <f t="shared" si="4"/>
        <v>0</v>
      </c>
      <c r="Q42" s="41">
        <f t="shared" si="4"/>
        <v>5.6999999999999993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1260.3</v>
      </c>
      <c r="H43" s="40">
        <v>1299.5</v>
      </c>
      <c r="I43" s="40">
        <v>1302.5</v>
      </c>
      <c r="J43" s="26"/>
      <c r="K43" s="26">
        <v>1299.3</v>
      </c>
      <c r="L43" s="40"/>
      <c r="M43" s="26">
        <v>1262.4000000000001</v>
      </c>
      <c r="N43" s="26">
        <v>1177.5999999999999</v>
      </c>
      <c r="O43" s="26">
        <v>1084.8</v>
      </c>
      <c r="P43" s="40"/>
      <c r="Q43" s="40">
        <v>1264.8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8295.2771362586645</v>
      </c>
      <c r="H44" s="42">
        <f t="shared" si="5"/>
        <v>7202.7713625866063</v>
      </c>
      <c r="I44" s="42">
        <f t="shared" si="5"/>
        <v>7369.803695150119</v>
      </c>
      <c r="J44" s="42">
        <f t="shared" si="5"/>
        <v>0</v>
      </c>
      <c r="K44" s="42">
        <f t="shared" si="5"/>
        <v>8251.9053117782914</v>
      </c>
      <c r="L44" s="42">
        <f t="shared" si="5"/>
        <v>0</v>
      </c>
      <c r="M44" s="42">
        <f t="shared" si="5"/>
        <v>7726.0046189376453</v>
      </c>
      <c r="N44" s="42">
        <f t="shared" si="5"/>
        <v>8022.9099307159322</v>
      </c>
      <c r="O44" s="42">
        <f t="shared" si="5"/>
        <v>7891.7321016166252</v>
      </c>
      <c r="P44" s="42">
        <f t="shared" si="5"/>
        <v>0</v>
      </c>
      <c r="Q44" s="42">
        <f t="shared" si="5"/>
        <v>8324.8960739030008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0.47</v>
      </c>
      <c r="H45" s="40">
        <v>0.43</v>
      </c>
      <c r="I45" s="40">
        <v>0.46</v>
      </c>
      <c r="J45" s="26"/>
      <c r="K45" s="26">
        <v>0.47</v>
      </c>
      <c r="L45" s="40"/>
      <c r="M45" s="40">
        <v>0.47</v>
      </c>
      <c r="N45" s="26">
        <v>0.44</v>
      </c>
      <c r="O45" s="26">
        <v>0.46</v>
      </c>
      <c r="P45" s="40"/>
      <c r="Q45" s="40">
        <v>0.46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20.2</v>
      </c>
      <c r="H46" s="40">
        <v>17.899999999999999</v>
      </c>
      <c r="I46" s="40">
        <v>19.7</v>
      </c>
      <c r="J46" s="26"/>
      <c r="K46" s="26">
        <v>20</v>
      </c>
      <c r="L46" s="40"/>
      <c r="M46" s="40">
        <v>20.100000000000001</v>
      </c>
      <c r="N46" s="26">
        <v>18.600000000000001</v>
      </c>
      <c r="O46" s="26">
        <v>19.7</v>
      </c>
      <c r="P46" s="40"/>
      <c r="Q46" s="40">
        <v>19.899999999999999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213.2</v>
      </c>
      <c r="H47" s="40">
        <v>113.7</v>
      </c>
      <c r="I47" s="40">
        <v>133.5</v>
      </c>
      <c r="J47" s="26"/>
      <c r="K47" s="26">
        <v>202.5</v>
      </c>
      <c r="L47" s="40"/>
      <c r="M47" s="40">
        <v>212.1</v>
      </c>
      <c r="N47" s="26">
        <v>160.4</v>
      </c>
      <c r="O47" s="26">
        <v>159.69999999999999</v>
      </c>
      <c r="P47" s="40"/>
      <c r="Q47" s="40">
        <v>205.2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85">
        <v>5.89</v>
      </c>
      <c r="F49" s="26"/>
      <c r="G49" s="26">
        <v>5.2</v>
      </c>
      <c r="H49" s="40">
        <v>5.24</v>
      </c>
      <c r="I49" s="40">
        <v>5.33</v>
      </c>
      <c r="J49" s="26"/>
      <c r="K49" s="26">
        <v>5.48</v>
      </c>
      <c r="L49" s="40"/>
      <c r="M49" s="40">
        <v>5.62</v>
      </c>
      <c r="N49" s="26">
        <v>5.53</v>
      </c>
      <c r="O49" s="26">
        <v>5.47</v>
      </c>
      <c r="P49" s="40"/>
      <c r="Q49" s="40">
        <v>5.37</v>
      </c>
    </row>
    <row r="50" spans="2:17" ht="20.100000000000001" customHeight="1" x14ac:dyDescent="0.25">
      <c r="B50" s="110" t="s">
        <v>51</v>
      </c>
      <c r="C50" s="110"/>
      <c r="D50" s="110"/>
      <c r="E50" s="85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84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CC93-A4C4-4DF7-B5CE-E337B12C97AD}">
  <dimension ref="B1:Q59"/>
  <sheetViews>
    <sheetView view="pageBreakPreview" topLeftCell="A4" zoomScale="85" zoomScaleNormal="60" zoomScaleSheetLayoutView="85" workbookViewId="0">
      <selection activeCell="D7" sqref="D7:Q7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3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87" t="s">
        <v>78</v>
      </c>
      <c r="E10" s="27"/>
      <c r="F10" s="37" t="s">
        <v>99</v>
      </c>
      <c r="G10" s="37" t="s">
        <v>99</v>
      </c>
      <c r="H10" s="39" t="s">
        <v>99</v>
      </c>
      <c r="I10" s="39" t="s">
        <v>99</v>
      </c>
      <c r="J10" s="37" t="s">
        <v>99</v>
      </c>
      <c r="K10" s="37" t="s">
        <v>99</v>
      </c>
      <c r="L10" s="39" t="s">
        <v>99</v>
      </c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70.2</v>
      </c>
      <c r="G11" s="26">
        <v>70.2</v>
      </c>
      <c r="H11" s="40"/>
      <c r="I11" s="40">
        <v>83.9</v>
      </c>
      <c r="J11" s="26"/>
      <c r="K11" s="26">
        <v>73.099999999999994</v>
      </c>
      <c r="L11" s="40"/>
      <c r="M11" s="40">
        <v>72.3</v>
      </c>
      <c r="N11" s="26"/>
      <c r="O11" s="26">
        <v>72.3</v>
      </c>
      <c r="P11" s="40">
        <v>79.2</v>
      </c>
      <c r="Q11" s="40">
        <v>79.099999999999994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</v>
      </c>
      <c r="G12" s="26">
        <v>0</v>
      </c>
      <c r="H12" s="40"/>
      <c r="I12" s="40">
        <v>0</v>
      </c>
      <c r="J12" s="26"/>
      <c r="K12" s="26">
        <v>0</v>
      </c>
      <c r="L12" s="40"/>
      <c r="M12" s="40">
        <v>0.1</v>
      </c>
      <c r="N12" s="26"/>
      <c r="O12" s="26">
        <v>0</v>
      </c>
      <c r="P12" s="40">
        <v>0.2</v>
      </c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64.8</v>
      </c>
      <c r="G13" s="26">
        <v>64.8</v>
      </c>
      <c r="H13" s="40"/>
      <c r="I13" s="40">
        <v>80.900000000000006</v>
      </c>
      <c r="J13" s="26"/>
      <c r="K13" s="26">
        <v>67.8</v>
      </c>
      <c r="L13" s="40"/>
      <c r="M13" s="40">
        <v>68.099999999999994</v>
      </c>
      <c r="N13" s="26"/>
      <c r="O13" s="26">
        <v>67.3</v>
      </c>
      <c r="P13" s="40">
        <v>74.8</v>
      </c>
      <c r="Q13" s="40">
        <v>74.8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66</v>
      </c>
      <c r="G14" s="26">
        <v>64.599999999999994</v>
      </c>
      <c r="H14" s="40"/>
      <c r="I14" s="40">
        <v>66.099999999999994</v>
      </c>
      <c r="J14" s="26"/>
      <c r="K14" s="26">
        <v>62.6</v>
      </c>
      <c r="L14" s="40"/>
      <c r="M14" s="40">
        <v>66.099999999999994</v>
      </c>
      <c r="N14" s="26"/>
      <c r="O14" s="26">
        <v>70.599999999999994</v>
      </c>
      <c r="P14" s="40">
        <v>72.3</v>
      </c>
      <c r="Q14" s="40">
        <v>71.7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72.099999999999994</v>
      </c>
      <c r="G15" s="26">
        <v>53.1</v>
      </c>
      <c r="H15" s="40"/>
      <c r="I15" s="40">
        <v>50</v>
      </c>
      <c r="J15" s="26"/>
      <c r="K15" s="26">
        <v>39.200000000000003</v>
      </c>
      <c r="L15" s="40"/>
      <c r="M15" s="40">
        <v>30.9</v>
      </c>
      <c r="N15" s="26"/>
      <c r="O15" s="26">
        <v>40.700000000000003</v>
      </c>
      <c r="P15" s="40">
        <v>39.1</v>
      </c>
      <c r="Q15" s="40">
        <v>42.4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/>
      <c r="I16" s="40">
        <v>6.6</v>
      </c>
      <c r="J16" s="26"/>
      <c r="K16" s="26">
        <v>6.6</v>
      </c>
      <c r="L16" s="40"/>
      <c r="M16" s="40">
        <v>6.6</v>
      </c>
      <c r="N16" s="26"/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116.9</v>
      </c>
      <c r="G17" s="26">
        <v>117.8</v>
      </c>
      <c r="H17" s="40"/>
      <c r="I17" s="40">
        <v>120.6</v>
      </c>
      <c r="J17" s="26"/>
      <c r="K17" s="26">
        <v>116.6</v>
      </c>
      <c r="L17" s="40"/>
      <c r="M17" s="40">
        <v>118.1</v>
      </c>
      <c r="N17" s="26"/>
      <c r="O17" s="26">
        <v>117.2</v>
      </c>
      <c r="P17" s="40">
        <v>119.1</v>
      </c>
      <c r="Q17" s="40">
        <v>120.6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1146</v>
      </c>
      <c r="G18" s="26">
        <v>1150</v>
      </c>
      <c r="H18" s="40"/>
      <c r="I18" s="40">
        <v>1218</v>
      </c>
      <c r="J18" s="26"/>
      <c r="K18" s="26">
        <v>1183</v>
      </c>
      <c r="L18" s="40"/>
      <c r="M18" s="40">
        <v>1191</v>
      </c>
      <c r="N18" s="26"/>
      <c r="O18" s="26">
        <v>1185</v>
      </c>
      <c r="P18" s="40">
        <v>1213</v>
      </c>
      <c r="Q18" s="40">
        <v>1215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46395.5</v>
      </c>
      <c r="G19" s="26">
        <v>46386.9</v>
      </c>
      <c r="H19" s="40"/>
      <c r="I19" s="40">
        <v>47223.6</v>
      </c>
      <c r="J19" s="26"/>
      <c r="K19" s="26">
        <v>44801.1</v>
      </c>
      <c r="L19" s="40"/>
      <c r="M19" s="40">
        <v>47106</v>
      </c>
      <c r="N19" s="26"/>
      <c r="O19" s="26">
        <v>46431.7</v>
      </c>
      <c r="P19" s="40">
        <v>48320.800000000003</v>
      </c>
      <c r="Q19" s="40">
        <v>48311.6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58.4</v>
      </c>
      <c r="G22" s="26">
        <v>58</v>
      </c>
      <c r="H22" s="40"/>
      <c r="I22" s="40">
        <v>59.2</v>
      </c>
      <c r="J22" s="26"/>
      <c r="K22" s="26">
        <v>57.6</v>
      </c>
      <c r="L22" s="40"/>
      <c r="M22" s="40">
        <v>57.6</v>
      </c>
      <c r="N22" s="26"/>
      <c r="O22" s="26">
        <v>58.7</v>
      </c>
      <c r="P22" s="40">
        <v>59.3</v>
      </c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0.52</v>
      </c>
      <c r="G23" s="26">
        <v>0.53</v>
      </c>
      <c r="H23" s="40"/>
      <c r="I23" s="40">
        <v>0.49</v>
      </c>
      <c r="J23" s="26"/>
      <c r="K23" s="26">
        <v>0.59</v>
      </c>
      <c r="L23" s="40"/>
      <c r="M23" s="40">
        <v>0.52</v>
      </c>
      <c r="N23" s="26"/>
      <c r="O23" s="26">
        <v>0.48</v>
      </c>
      <c r="P23" s="40">
        <v>0.48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45.4</v>
      </c>
      <c r="G25" s="26">
        <v>44.9</v>
      </c>
      <c r="H25" s="40"/>
      <c r="I25" s="40">
        <v>45.1</v>
      </c>
      <c r="J25" s="26"/>
      <c r="K25" s="26">
        <v>44.9</v>
      </c>
      <c r="L25" s="40"/>
      <c r="M25" s="40">
        <v>45</v>
      </c>
      <c r="N25" s="26"/>
      <c r="O25" s="26">
        <v>44.8</v>
      </c>
      <c r="P25" s="40">
        <v>45</v>
      </c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0.23</v>
      </c>
      <c r="G26" s="26">
        <v>0.28000000000000003</v>
      </c>
      <c r="H26" s="40"/>
      <c r="I26" s="40">
        <v>0.21</v>
      </c>
      <c r="J26" s="26"/>
      <c r="K26" s="26">
        <v>0.23</v>
      </c>
      <c r="L26" s="40"/>
      <c r="M26" s="40">
        <v>0.22</v>
      </c>
      <c r="N26" s="26"/>
      <c r="O26" s="26">
        <v>0.22</v>
      </c>
      <c r="P26" s="40">
        <v>0.22</v>
      </c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4.5</v>
      </c>
      <c r="G27" s="26">
        <v>4.4000000000000004</v>
      </c>
      <c r="H27" s="40"/>
      <c r="I27" s="40">
        <v>2.9</v>
      </c>
      <c r="J27" s="26"/>
      <c r="K27" s="26">
        <v>4.0999999999999996</v>
      </c>
      <c r="L27" s="40"/>
      <c r="M27" s="40">
        <v>4.4000000000000004</v>
      </c>
      <c r="N27" s="26"/>
      <c r="O27" s="26">
        <v>4.4000000000000004</v>
      </c>
      <c r="P27" s="40">
        <v>4.2</v>
      </c>
      <c r="Q27" s="40">
        <v>4.0999999999999996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4.2</v>
      </c>
      <c r="G28" s="26">
        <v>4</v>
      </c>
      <c r="H28" s="40"/>
      <c r="I28" s="40">
        <v>2.1</v>
      </c>
      <c r="J28" s="26"/>
      <c r="K28" s="26">
        <v>3.4</v>
      </c>
      <c r="L28" s="40"/>
      <c r="M28" s="40">
        <v>2.9</v>
      </c>
      <c r="N28" s="26"/>
      <c r="O28" s="26">
        <v>3.2</v>
      </c>
      <c r="P28" s="40">
        <v>3.2</v>
      </c>
      <c r="Q28" s="40">
        <v>3.2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1.0999999999999996</v>
      </c>
      <c r="G29" s="41">
        <f t="shared" ref="G29:Q29" si="0">G32-G28</f>
        <v>1</v>
      </c>
      <c r="H29" s="41">
        <f t="shared" si="0"/>
        <v>0</v>
      </c>
      <c r="I29" s="41">
        <f t="shared" si="0"/>
        <v>2.4</v>
      </c>
      <c r="J29" s="41">
        <f t="shared" si="0"/>
        <v>0</v>
      </c>
      <c r="K29" s="41">
        <f t="shared" si="0"/>
        <v>1.3000000000000003</v>
      </c>
      <c r="L29" s="41">
        <f t="shared" si="0"/>
        <v>0</v>
      </c>
      <c r="M29" s="41">
        <f t="shared" si="0"/>
        <v>0.70000000000000018</v>
      </c>
      <c r="N29" s="41"/>
      <c r="O29" s="41">
        <f t="shared" si="0"/>
        <v>1.2000000000000002</v>
      </c>
      <c r="P29" s="41">
        <f t="shared" si="0"/>
        <v>1.7000000000000002</v>
      </c>
      <c r="Q29" s="41">
        <f t="shared" si="0"/>
        <v>1.7000000000000002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764.6</v>
      </c>
      <c r="G30" s="26">
        <v>731.2</v>
      </c>
      <c r="H30" s="40"/>
      <c r="I30" s="40">
        <v>649.12</v>
      </c>
      <c r="J30" s="26"/>
      <c r="K30" s="26">
        <v>637.91999999999996</v>
      </c>
      <c r="L30" s="40"/>
      <c r="M30" s="40">
        <v>646.32000000000005</v>
      </c>
      <c r="N30" s="26"/>
      <c r="O30" s="26">
        <v>644</v>
      </c>
      <c r="P30" s="40">
        <v>685.8</v>
      </c>
      <c r="Q30" s="40">
        <v>653.28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13</v>
      </c>
      <c r="G31" s="26">
        <v>12.8</v>
      </c>
      <c r="H31" s="40"/>
      <c r="I31" s="40">
        <v>13</v>
      </c>
      <c r="J31" s="26"/>
      <c r="K31" s="26">
        <v>13.6</v>
      </c>
      <c r="L31" s="40"/>
      <c r="M31" s="40">
        <v>12.4</v>
      </c>
      <c r="N31" s="26"/>
      <c r="O31" s="26">
        <v>13</v>
      </c>
      <c r="P31" s="40">
        <v>13.2</v>
      </c>
      <c r="Q31" s="40">
        <v>13.2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5.3</v>
      </c>
      <c r="G32" s="26">
        <v>5</v>
      </c>
      <c r="H32" s="40"/>
      <c r="I32" s="40">
        <v>4.5</v>
      </c>
      <c r="J32" s="26"/>
      <c r="K32" s="26">
        <v>4.7</v>
      </c>
      <c r="L32" s="40"/>
      <c r="M32" s="40">
        <v>3.6</v>
      </c>
      <c r="N32" s="26"/>
      <c r="O32" s="26">
        <v>4.4000000000000004</v>
      </c>
      <c r="P32" s="40">
        <v>4.9000000000000004</v>
      </c>
      <c r="Q32" s="40">
        <v>4.9000000000000004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7.7</v>
      </c>
      <c r="G33" s="41">
        <f t="shared" ref="G33:Q33" si="1">G31-G32</f>
        <v>7.8000000000000007</v>
      </c>
      <c r="H33" s="41">
        <f t="shared" si="1"/>
        <v>0</v>
      </c>
      <c r="I33" s="41">
        <f t="shared" si="1"/>
        <v>8.5</v>
      </c>
      <c r="J33" s="41">
        <f t="shared" si="1"/>
        <v>0</v>
      </c>
      <c r="K33" s="41">
        <f t="shared" si="1"/>
        <v>8.8999999999999986</v>
      </c>
      <c r="L33" s="41">
        <f t="shared" si="1"/>
        <v>0</v>
      </c>
      <c r="M33" s="41">
        <f t="shared" si="1"/>
        <v>8.8000000000000007</v>
      </c>
      <c r="N33" s="41">
        <f t="shared" si="1"/>
        <v>0</v>
      </c>
      <c r="O33" s="41">
        <f t="shared" si="1"/>
        <v>8.6</v>
      </c>
      <c r="P33" s="41">
        <f t="shared" si="1"/>
        <v>8.2999999999999989</v>
      </c>
      <c r="Q33" s="41">
        <f t="shared" si="1"/>
        <v>8.2999999999999989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6798.4064665127025</v>
      </c>
      <c r="G34" s="42">
        <f t="shared" ref="G34:Q34" si="2">(G33*G30)/0.866</f>
        <v>6585.8660508083149</v>
      </c>
      <c r="H34" s="42">
        <f t="shared" si="2"/>
        <v>0</v>
      </c>
      <c r="I34" s="42">
        <f t="shared" si="2"/>
        <v>6371.2702078521943</v>
      </c>
      <c r="J34" s="42">
        <f t="shared" si="2"/>
        <v>0</v>
      </c>
      <c r="K34" s="42">
        <f t="shared" si="2"/>
        <v>6555.9907621247094</v>
      </c>
      <c r="L34" s="42">
        <f t="shared" si="2"/>
        <v>0</v>
      </c>
      <c r="M34" s="42">
        <f t="shared" si="2"/>
        <v>6567.6859122401856</v>
      </c>
      <c r="N34" s="42">
        <f t="shared" si="2"/>
        <v>0</v>
      </c>
      <c r="O34" s="42">
        <f t="shared" si="2"/>
        <v>6395.3810623556583</v>
      </c>
      <c r="P34" s="42">
        <f t="shared" si="2"/>
        <v>6572.909930715934</v>
      </c>
      <c r="Q34" s="42">
        <f t="shared" si="2"/>
        <v>6261.2286374133937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0.83</v>
      </c>
      <c r="G35" s="26">
        <v>0.83</v>
      </c>
      <c r="H35" s="40"/>
      <c r="I35" s="40">
        <v>0.87</v>
      </c>
      <c r="J35" s="26"/>
      <c r="K35" s="26">
        <v>0.85</v>
      </c>
      <c r="L35" s="40"/>
      <c r="M35" s="40">
        <v>0.85</v>
      </c>
      <c r="N35" s="26"/>
      <c r="O35" s="26">
        <v>0.84</v>
      </c>
      <c r="P35" s="40">
        <v>0.83</v>
      </c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36.700000000000003</v>
      </c>
      <c r="G36" s="26">
        <v>36.299999999999997</v>
      </c>
      <c r="H36" s="40"/>
      <c r="I36" s="40">
        <v>37.1</v>
      </c>
      <c r="J36" s="26"/>
      <c r="K36" s="26">
        <v>36.700000000000003</v>
      </c>
      <c r="L36" s="40"/>
      <c r="M36" s="40">
        <v>37.4</v>
      </c>
      <c r="N36" s="26"/>
      <c r="O36" s="26">
        <v>36.9</v>
      </c>
      <c r="P36" s="40">
        <v>37</v>
      </c>
      <c r="Q36" s="40">
        <v>36.700000000000003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37.1</v>
      </c>
      <c r="G37" s="26">
        <v>36.799999999999997</v>
      </c>
      <c r="H37" s="40"/>
      <c r="I37" s="40">
        <v>38.200000000000003</v>
      </c>
      <c r="J37" s="26"/>
      <c r="K37" s="26">
        <v>37.4</v>
      </c>
      <c r="L37" s="40"/>
      <c r="M37" s="40">
        <v>37.5</v>
      </c>
      <c r="N37" s="26"/>
      <c r="O37" s="26">
        <v>37.200000000000003</v>
      </c>
      <c r="P37" s="40">
        <v>37.1</v>
      </c>
      <c r="Q37" s="40">
        <v>36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</v>
      </c>
      <c r="G38" s="41">
        <f t="shared" ref="G38:Q38" si="3">G37-G41</f>
        <v>2.7999999999999972</v>
      </c>
      <c r="H38" s="41">
        <f t="shared" si="3"/>
        <v>0</v>
      </c>
      <c r="I38" s="41">
        <f t="shared" si="3"/>
        <v>4.7000000000000028</v>
      </c>
      <c r="J38" s="41">
        <f t="shared" si="3"/>
        <v>0</v>
      </c>
      <c r="K38" s="41">
        <f t="shared" si="3"/>
        <v>3.6999999999999957</v>
      </c>
      <c r="L38" s="41">
        <f t="shared" si="3"/>
        <v>0</v>
      </c>
      <c r="M38" s="41">
        <f t="shared" si="3"/>
        <v>4.2000000000000028</v>
      </c>
      <c r="N38" s="41">
        <f t="shared" si="3"/>
        <v>0</v>
      </c>
      <c r="O38" s="41">
        <f t="shared" si="3"/>
        <v>3</v>
      </c>
      <c r="P38" s="41">
        <f t="shared" si="3"/>
        <v>2.3000000000000043</v>
      </c>
      <c r="Q38" s="41">
        <f t="shared" si="3"/>
        <v>2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29.1</v>
      </c>
      <c r="G40" s="26">
        <v>28.7</v>
      </c>
      <c r="H40" s="40"/>
      <c r="I40" s="40">
        <v>28.3</v>
      </c>
      <c r="J40" s="26"/>
      <c r="K40" s="26">
        <v>28.4</v>
      </c>
      <c r="L40" s="40"/>
      <c r="M40" s="40">
        <v>28.2</v>
      </c>
      <c r="N40" s="26"/>
      <c r="O40" s="26">
        <v>28.4</v>
      </c>
      <c r="P40" s="40">
        <v>29</v>
      </c>
      <c r="Q40" s="40">
        <v>28.7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35.1</v>
      </c>
      <c r="G41" s="26">
        <v>34</v>
      </c>
      <c r="H41" s="40"/>
      <c r="I41" s="40">
        <v>33.5</v>
      </c>
      <c r="J41" s="26"/>
      <c r="K41" s="26">
        <v>33.700000000000003</v>
      </c>
      <c r="L41" s="40"/>
      <c r="M41" s="40">
        <v>33.299999999999997</v>
      </c>
      <c r="N41" s="26"/>
      <c r="O41" s="26">
        <v>34.200000000000003</v>
      </c>
      <c r="P41" s="40">
        <v>34.799999999999997</v>
      </c>
      <c r="Q41" s="40">
        <v>34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6</v>
      </c>
      <c r="G42" s="41">
        <f t="shared" ref="G42:Q42" si="4">G41-G40</f>
        <v>5.3000000000000007</v>
      </c>
      <c r="H42" s="41">
        <f t="shared" si="4"/>
        <v>0</v>
      </c>
      <c r="I42" s="41">
        <f t="shared" si="4"/>
        <v>5.1999999999999993</v>
      </c>
      <c r="J42" s="41">
        <f t="shared" si="4"/>
        <v>0</v>
      </c>
      <c r="K42" s="41">
        <f t="shared" si="4"/>
        <v>5.3000000000000043</v>
      </c>
      <c r="L42" s="41">
        <f t="shared" si="4"/>
        <v>0</v>
      </c>
      <c r="M42" s="41">
        <f t="shared" si="4"/>
        <v>5.0999999999999979</v>
      </c>
      <c r="N42" s="41">
        <f t="shared" si="4"/>
        <v>0</v>
      </c>
      <c r="O42" s="41">
        <f t="shared" si="4"/>
        <v>5.8000000000000043</v>
      </c>
      <c r="P42" s="41">
        <f t="shared" si="4"/>
        <v>5.7999999999999972</v>
      </c>
      <c r="Q42" s="41">
        <f t="shared" si="4"/>
        <v>5.3000000000000007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1208.5</v>
      </c>
      <c r="G43" s="26">
        <v>1260.42</v>
      </c>
      <c r="H43" s="40"/>
      <c r="I43" s="40">
        <v>1300.32</v>
      </c>
      <c r="J43" s="26"/>
      <c r="K43" s="26">
        <v>1292.2</v>
      </c>
      <c r="L43" s="40"/>
      <c r="M43" s="26">
        <v>1258.8800000000001</v>
      </c>
      <c r="N43" s="26"/>
      <c r="O43" s="26">
        <v>1079.82</v>
      </c>
      <c r="P43" s="40">
        <v>1215.3</v>
      </c>
      <c r="Q43" s="40">
        <v>1265.32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8372.9792147806002</v>
      </c>
      <c r="G44" s="42">
        <f t="shared" ref="G44:Q44" si="5">G42*G43/0.866</f>
        <v>7713.8868360277156</v>
      </c>
      <c r="H44" s="42">
        <f t="shared" si="5"/>
        <v>0</v>
      </c>
      <c r="I44" s="42">
        <f t="shared" si="5"/>
        <v>7807.9260969976895</v>
      </c>
      <c r="J44" s="42">
        <f t="shared" si="5"/>
        <v>0</v>
      </c>
      <c r="K44" s="42">
        <f t="shared" si="5"/>
        <v>7908.3833718244869</v>
      </c>
      <c r="L44" s="42">
        <f t="shared" si="5"/>
        <v>0</v>
      </c>
      <c r="M44" s="42">
        <f t="shared" si="5"/>
        <v>7413.7274826789817</v>
      </c>
      <c r="N44" s="42">
        <f t="shared" si="5"/>
        <v>0</v>
      </c>
      <c r="O44" s="42">
        <f t="shared" si="5"/>
        <v>7232.050808314093</v>
      </c>
      <c r="P44" s="42">
        <f t="shared" si="5"/>
        <v>8139.4226327944525</v>
      </c>
      <c r="Q44" s="42">
        <f t="shared" si="5"/>
        <v>7743.8752886836037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0.48</v>
      </c>
      <c r="G45" s="26">
        <v>0.47</v>
      </c>
      <c r="H45" s="40"/>
      <c r="I45" s="40">
        <v>0.46</v>
      </c>
      <c r="J45" s="26"/>
      <c r="K45" s="26">
        <v>0.47</v>
      </c>
      <c r="L45" s="40"/>
      <c r="M45" s="40">
        <v>0.48</v>
      </c>
      <c r="N45" s="26"/>
      <c r="O45" s="26">
        <v>0.47</v>
      </c>
      <c r="P45" s="40">
        <v>0.47</v>
      </c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20.5</v>
      </c>
      <c r="G46" s="26">
        <v>20.399999999999999</v>
      </c>
      <c r="H46" s="40"/>
      <c r="I46" s="40">
        <v>19.5</v>
      </c>
      <c r="J46" s="26"/>
      <c r="K46" s="26">
        <v>19.899999999999999</v>
      </c>
      <c r="L46" s="40"/>
      <c r="M46" s="40">
        <v>20.5</v>
      </c>
      <c r="N46" s="26"/>
      <c r="O46" s="26">
        <v>20.100000000000001</v>
      </c>
      <c r="P46" s="40">
        <v>20.2</v>
      </c>
      <c r="Q46" s="40">
        <v>20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227</v>
      </c>
      <c r="G47" s="26">
        <v>228.9</v>
      </c>
      <c r="H47" s="40"/>
      <c r="I47" s="40">
        <v>126.9</v>
      </c>
      <c r="J47" s="26"/>
      <c r="K47" s="26">
        <v>200.1</v>
      </c>
      <c r="L47" s="40"/>
      <c r="M47" s="40">
        <v>212.9</v>
      </c>
      <c r="N47" s="26"/>
      <c r="O47" s="26">
        <v>159.19999999999999</v>
      </c>
      <c r="P47" s="40">
        <v>201.6</v>
      </c>
      <c r="Q47" s="40">
        <v>199.7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87">
        <v>5.89</v>
      </c>
      <c r="F49" s="26">
        <v>5.01</v>
      </c>
      <c r="G49" s="26">
        <v>5.13</v>
      </c>
      <c r="H49" s="40"/>
      <c r="I49" s="40">
        <v>5.31</v>
      </c>
      <c r="J49" s="26"/>
      <c r="K49" s="26">
        <v>5.67</v>
      </c>
      <c r="L49" s="40"/>
      <c r="M49" s="40">
        <v>5.39</v>
      </c>
      <c r="N49" s="26"/>
      <c r="O49" s="26">
        <v>5.54</v>
      </c>
      <c r="P49" s="40">
        <v>5.03</v>
      </c>
      <c r="Q49" s="40">
        <v>5.14</v>
      </c>
    </row>
    <row r="50" spans="2:17" ht="20.100000000000001" customHeight="1" x14ac:dyDescent="0.25">
      <c r="B50" s="110" t="s">
        <v>51</v>
      </c>
      <c r="C50" s="110"/>
      <c r="D50" s="110"/>
      <c r="E50" s="87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86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C2EB-26ED-4189-A2FC-FF37C281D8C2}">
  <dimension ref="B1:Q59"/>
  <sheetViews>
    <sheetView view="pageBreakPreview" topLeftCell="A2" zoomScale="85" zoomScaleNormal="60" zoomScaleSheetLayoutView="85" workbookViewId="0">
      <selection activeCell="P27" sqref="P27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89" t="s">
        <v>78</v>
      </c>
      <c r="E10" s="27"/>
      <c r="F10" s="37"/>
      <c r="G10" s="37" t="s">
        <v>99</v>
      </c>
      <c r="H10" s="39"/>
      <c r="I10" s="39" t="s">
        <v>99</v>
      </c>
      <c r="J10" s="37"/>
      <c r="K10" s="37" t="s">
        <v>99</v>
      </c>
      <c r="L10" s="39"/>
      <c r="M10" s="39" t="s">
        <v>99</v>
      </c>
      <c r="N10" s="37"/>
      <c r="O10" s="37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70.2</v>
      </c>
      <c r="H11" s="40"/>
      <c r="I11" s="40">
        <v>74.099999999999994</v>
      </c>
      <c r="J11" s="26"/>
      <c r="K11" s="26">
        <v>72.400000000000006</v>
      </c>
      <c r="L11" s="40"/>
      <c r="M11" s="40">
        <v>73.3</v>
      </c>
      <c r="N11" s="26"/>
      <c r="O11" s="26">
        <v>73.7</v>
      </c>
      <c r="P11" s="40"/>
      <c r="Q11" s="40">
        <v>78.900000000000006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0.2</v>
      </c>
      <c r="H12" s="40"/>
      <c r="I12" s="40">
        <v>0</v>
      </c>
      <c r="J12" s="26"/>
      <c r="K12" s="26">
        <v>0</v>
      </c>
      <c r="L12" s="40"/>
      <c r="M12" s="40">
        <v>0.2</v>
      </c>
      <c r="N12" s="26"/>
      <c r="O12" s="26">
        <v>0</v>
      </c>
      <c r="P12" s="40"/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64.8</v>
      </c>
      <c r="H13" s="40"/>
      <c r="I13" s="40">
        <v>68.400000000000006</v>
      </c>
      <c r="J13" s="26"/>
      <c r="K13" s="26">
        <v>66.8</v>
      </c>
      <c r="L13" s="40"/>
      <c r="M13" s="40">
        <v>67.5</v>
      </c>
      <c r="N13" s="26"/>
      <c r="O13" s="26">
        <v>67.900000000000006</v>
      </c>
      <c r="P13" s="40"/>
      <c r="Q13" s="40">
        <v>75.099999999999994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66.3</v>
      </c>
      <c r="H14" s="40"/>
      <c r="I14" s="40">
        <v>68.7</v>
      </c>
      <c r="J14" s="26"/>
      <c r="K14" s="26">
        <v>63.6</v>
      </c>
      <c r="L14" s="40"/>
      <c r="M14" s="40">
        <v>64.400000000000006</v>
      </c>
      <c r="N14" s="26"/>
      <c r="O14" s="26">
        <v>72.3</v>
      </c>
      <c r="P14" s="40"/>
      <c r="Q14" s="40">
        <v>73.400000000000006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74.7</v>
      </c>
      <c r="H15" s="40"/>
      <c r="I15" s="40">
        <v>47.5</v>
      </c>
      <c r="J15" s="26"/>
      <c r="K15" s="26">
        <v>35.700000000000003</v>
      </c>
      <c r="L15" s="40"/>
      <c r="M15" s="40">
        <v>32.1</v>
      </c>
      <c r="N15" s="26"/>
      <c r="O15" s="26">
        <v>45.3</v>
      </c>
      <c r="P15" s="40"/>
      <c r="Q15" s="40">
        <v>38.799999999999997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/>
      <c r="I16" s="40">
        <v>6.6</v>
      </c>
      <c r="J16" s="26"/>
      <c r="K16" s="26">
        <v>6.6</v>
      </c>
      <c r="L16" s="40"/>
      <c r="M16" s="40">
        <v>6.6</v>
      </c>
      <c r="N16" s="26"/>
      <c r="O16" s="26">
        <v>6.6</v>
      </c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117.6</v>
      </c>
      <c r="H17" s="40"/>
      <c r="I17" s="40">
        <v>115.3</v>
      </c>
      <c r="J17" s="26"/>
      <c r="K17" s="26">
        <v>116.3</v>
      </c>
      <c r="L17" s="40"/>
      <c r="M17" s="40">
        <v>116.6</v>
      </c>
      <c r="N17" s="26"/>
      <c r="O17" s="26">
        <v>117.8</v>
      </c>
      <c r="P17" s="40"/>
      <c r="Q17" s="40">
        <v>119.8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1153</v>
      </c>
      <c r="H18" s="40"/>
      <c r="I18" s="40">
        <v>1172</v>
      </c>
      <c r="J18" s="26"/>
      <c r="K18" s="26">
        <v>1188</v>
      </c>
      <c r="L18" s="40"/>
      <c r="M18" s="40">
        <v>1188</v>
      </c>
      <c r="N18" s="26"/>
      <c r="O18" s="26">
        <v>1195</v>
      </c>
      <c r="P18" s="40"/>
      <c r="Q18" s="40">
        <v>1214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46411</v>
      </c>
      <c r="H19" s="40"/>
      <c r="I19" s="40">
        <v>47233</v>
      </c>
      <c r="J19" s="26"/>
      <c r="K19" s="26">
        <v>44810</v>
      </c>
      <c r="L19" s="40"/>
      <c r="M19" s="40">
        <v>47115</v>
      </c>
      <c r="N19" s="26"/>
      <c r="O19" s="26">
        <v>46446</v>
      </c>
      <c r="P19" s="40"/>
      <c r="Q19" s="40">
        <v>48335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58.2</v>
      </c>
      <c r="H22" s="40"/>
      <c r="I22" s="40">
        <v>59.2</v>
      </c>
      <c r="J22" s="26"/>
      <c r="K22" s="26">
        <v>57.7</v>
      </c>
      <c r="L22" s="40"/>
      <c r="M22" s="40">
        <v>57.7</v>
      </c>
      <c r="N22" s="26"/>
      <c r="O22" s="26">
        <v>58.8</v>
      </c>
      <c r="P22" s="40"/>
      <c r="Q22" s="40">
        <v>59.6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0.53</v>
      </c>
      <c r="H23" s="40"/>
      <c r="I23" s="40">
        <v>0.5</v>
      </c>
      <c r="J23" s="26"/>
      <c r="K23" s="26">
        <v>0.57999999999999996</v>
      </c>
      <c r="L23" s="40"/>
      <c r="M23" s="40">
        <v>0.57999999999999996</v>
      </c>
      <c r="N23" s="26"/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45.1</v>
      </c>
      <c r="H25" s="40"/>
      <c r="I25" s="40">
        <v>45</v>
      </c>
      <c r="J25" s="26"/>
      <c r="K25" s="26">
        <v>44.6</v>
      </c>
      <c r="L25" s="40"/>
      <c r="M25" s="40">
        <v>44.6</v>
      </c>
      <c r="N25" s="26"/>
      <c r="O25" s="26">
        <v>44.6</v>
      </c>
      <c r="P25" s="40"/>
      <c r="Q25" s="40">
        <v>44.9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0.24</v>
      </c>
      <c r="H26" s="40"/>
      <c r="I26" s="40">
        <v>0.22</v>
      </c>
      <c r="J26" s="26"/>
      <c r="K26" s="26">
        <v>0.23</v>
      </c>
      <c r="L26" s="40"/>
      <c r="M26" s="40">
        <v>0.22</v>
      </c>
      <c r="N26" s="26"/>
      <c r="O26" s="26">
        <v>0.22</v>
      </c>
      <c r="P26" s="40"/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4.5999999999999996</v>
      </c>
      <c r="H27" s="40"/>
      <c r="I27" s="40">
        <v>4</v>
      </c>
      <c r="J27" s="26"/>
      <c r="K27" s="26">
        <v>4.5999999999999996</v>
      </c>
      <c r="L27" s="40"/>
      <c r="M27" s="40">
        <v>4.3</v>
      </c>
      <c r="N27" s="26"/>
      <c r="O27" s="26">
        <v>4.3</v>
      </c>
      <c r="P27" s="40"/>
      <c r="Q27" s="40">
        <v>4.0999999999999996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3.9</v>
      </c>
      <c r="H28" s="40"/>
      <c r="I28" s="40">
        <v>2.9</v>
      </c>
      <c r="J28" s="26"/>
      <c r="K28" s="26">
        <v>3.5</v>
      </c>
      <c r="L28" s="40"/>
      <c r="M28" s="40">
        <v>2.9</v>
      </c>
      <c r="N28" s="26"/>
      <c r="O28" s="26">
        <v>2.9</v>
      </c>
      <c r="P28" s="40"/>
      <c r="Q28" s="40">
        <v>3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0.50000000000000044</v>
      </c>
      <c r="H29" s="41">
        <f t="shared" si="0"/>
        <v>0</v>
      </c>
      <c r="I29" s="41">
        <f t="shared" si="0"/>
        <v>1.6</v>
      </c>
      <c r="J29" s="41">
        <f t="shared" si="0"/>
        <v>0</v>
      </c>
      <c r="K29" s="41">
        <f t="shared" si="0"/>
        <v>1.0999999999999996</v>
      </c>
      <c r="L29" s="41">
        <f t="shared" si="0"/>
        <v>0</v>
      </c>
      <c r="M29" s="41">
        <f t="shared" si="0"/>
        <v>1</v>
      </c>
      <c r="N29" s="41"/>
      <c r="O29" s="41">
        <f t="shared" si="0"/>
        <v>1.1000000000000001</v>
      </c>
      <c r="P29" s="41">
        <f t="shared" si="0"/>
        <v>0</v>
      </c>
      <c r="Q29" s="41">
        <f t="shared" si="0"/>
        <v>1.5999999999999996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674.72</v>
      </c>
      <c r="H30" s="40"/>
      <c r="I30" s="40">
        <v>641.91999999999996</v>
      </c>
      <c r="J30" s="26"/>
      <c r="K30" s="26">
        <v>642.55999999999995</v>
      </c>
      <c r="L30" s="40"/>
      <c r="M30" s="40">
        <v>643.28</v>
      </c>
      <c r="N30" s="26"/>
      <c r="O30" s="26">
        <v>635.44000000000005</v>
      </c>
      <c r="P30" s="40"/>
      <c r="Q30" s="40">
        <v>647.6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12.7</v>
      </c>
      <c r="H31" s="40"/>
      <c r="I31" s="40">
        <v>12.8</v>
      </c>
      <c r="J31" s="26"/>
      <c r="K31" s="26">
        <v>131.30000000000001</v>
      </c>
      <c r="L31" s="40"/>
      <c r="M31" s="40">
        <v>12.8</v>
      </c>
      <c r="N31" s="26"/>
      <c r="O31" s="26">
        <v>12.5</v>
      </c>
      <c r="P31" s="40"/>
      <c r="Q31" s="40">
        <v>12.9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4.4000000000000004</v>
      </c>
      <c r="H32" s="40"/>
      <c r="I32" s="40">
        <v>4.5</v>
      </c>
      <c r="J32" s="26"/>
      <c r="K32" s="26">
        <v>4.5999999999999996</v>
      </c>
      <c r="L32" s="40"/>
      <c r="M32" s="40">
        <v>3.9</v>
      </c>
      <c r="N32" s="26"/>
      <c r="O32" s="26">
        <v>4</v>
      </c>
      <c r="P32" s="40"/>
      <c r="Q32" s="40">
        <v>4.5999999999999996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8.2999999999999989</v>
      </c>
      <c r="H33" s="41">
        <f t="shared" si="1"/>
        <v>0</v>
      </c>
      <c r="I33" s="41">
        <f t="shared" si="1"/>
        <v>8.3000000000000007</v>
      </c>
      <c r="J33" s="41">
        <f t="shared" si="1"/>
        <v>0</v>
      </c>
      <c r="K33" s="41">
        <f t="shared" si="1"/>
        <v>126.70000000000002</v>
      </c>
      <c r="L33" s="41">
        <f t="shared" si="1"/>
        <v>0</v>
      </c>
      <c r="M33" s="41">
        <f t="shared" si="1"/>
        <v>8.9</v>
      </c>
      <c r="N33" s="41">
        <f t="shared" si="1"/>
        <v>0</v>
      </c>
      <c r="O33" s="41">
        <f t="shared" si="1"/>
        <v>8.5</v>
      </c>
      <c r="P33" s="41">
        <f t="shared" si="1"/>
        <v>0</v>
      </c>
      <c r="Q33" s="41">
        <f t="shared" si="1"/>
        <v>8.3000000000000007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6466.7159353348725</v>
      </c>
      <c r="H34" s="42">
        <f t="shared" si="2"/>
        <v>0</v>
      </c>
      <c r="I34" s="42">
        <f t="shared" si="2"/>
        <v>6152.3510392609696</v>
      </c>
      <c r="J34" s="42">
        <f t="shared" si="2"/>
        <v>0</v>
      </c>
      <c r="K34" s="42">
        <f t="shared" si="2"/>
        <v>94009.644341801381</v>
      </c>
      <c r="L34" s="42">
        <f t="shared" si="2"/>
        <v>0</v>
      </c>
      <c r="M34" s="42">
        <f t="shared" si="2"/>
        <v>6611.0762124711318</v>
      </c>
      <c r="N34" s="42">
        <f t="shared" si="2"/>
        <v>0</v>
      </c>
      <c r="O34" s="42">
        <f t="shared" si="2"/>
        <v>6236.9976905311787</v>
      </c>
      <c r="P34" s="42">
        <f t="shared" si="2"/>
        <v>0</v>
      </c>
      <c r="Q34" s="42">
        <f t="shared" si="2"/>
        <v>6206.789838337183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0.84</v>
      </c>
      <c r="H35" s="40"/>
      <c r="I35" s="40">
        <v>0.87</v>
      </c>
      <c r="J35" s="26"/>
      <c r="K35" s="26">
        <v>0.85</v>
      </c>
      <c r="L35" s="40"/>
      <c r="M35" s="40">
        <v>0.86</v>
      </c>
      <c r="N35" s="26"/>
      <c r="O35" s="26">
        <v>0.85</v>
      </c>
      <c r="P35" s="40"/>
      <c r="Q35" s="40">
        <v>0.84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36.9</v>
      </c>
      <c r="H36" s="40"/>
      <c r="I36" s="40">
        <v>37.5</v>
      </c>
      <c r="J36" s="26"/>
      <c r="K36" s="26">
        <v>37</v>
      </c>
      <c r="L36" s="40"/>
      <c r="M36" s="40">
        <v>37.700000000000003</v>
      </c>
      <c r="N36" s="26"/>
      <c r="O36" s="26">
        <v>37.200000000000003</v>
      </c>
      <c r="P36" s="40"/>
      <c r="Q36" s="40">
        <v>37.1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37</v>
      </c>
      <c r="H37" s="40"/>
      <c r="I37" s="40">
        <v>38.200000000000003</v>
      </c>
      <c r="J37" s="26"/>
      <c r="K37" s="26">
        <v>37.700000000000003</v>
      </c>
      <c r="L37" s="40"/>
      <c r="M37" s="40">
        <v>37.9</v>
      </c>
      <c r="N37" s="26"/>
      <c r="O37" s="26">
        <v>37.4</v>
      </c>
      <c r="P37" s="40"/>
      <c r="Q37" s="40">
        <v>37.1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2.7999999999999972</v>
      </c>
      <c r="H38" s="41">
        <f t="shared" si="3"/>
        <v>0</v>
      </c>
      <c r="I38" s="41">
        <f t="shared" si="3"/>
        <v>4.6000000000000014</v>
      </c>
      <c r="J38" s="41">
        <f t="shared" si="3"/>
        <v>0</v>
      </c>
      <c r="K38" s="41">
        <f t="shared" si="3"/>
        <v>3.6000000000000014</v>
      </c>
      <c r="L38" s="41">
        <f t="shared" si="3"/>
        <v>0</v>
      </c>
      <c r="M38" s="41">
        <f t="shared" si="3"/>
        <v>4.1999999999999957</v>
      </c>
      <c r="N38" s="41">
        <f t="shared" si="3"/>
        <v>0</v>
      </c>
      <c r="O38" s="41">
        <f t="shared" si="3"/>
        <v>3</v>
      </c>
      <c r="P38" s="41">
        <f t="shared" si="3"/>
        <v>0</v>
      </c>
      <c r="Q38" s="41">
        <f t="shared" si="3"/>
        <v>2.8000000000000043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29</v>
      </c>
      <c r="H40" s="40"/>
      <c r="I40" s="40">
        <v>28.8</v>
      </c>
      <c r="J40" s="26"/>
      <c r="K40" s="26">
        <v>28.8</v>
      </c>
      <c r="L40" s="40"/>
      <c r="M40" s="40">
        <v>28.6</v>
      </c>
      <c r="N40" s="26"/>
      <c r="O40" s="26">
        <v>28.8</v>
      </c>
      <c r="P40" s="40"/>
      <c r="Q40" s="40">
        <v>29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34.200000000000003</v>
      </c>
      <c r="H41" s="40"/>
      <c r="I41" s="40">
        <v>33.6</v>
      </c>
      <c r="J41" s="26"/>
      <c r="K41" s="26">
        <v>34.1</v>
      </c>
      <c r="L41" s="40"/>
      <c r="M41" s="40">
        <v>33.700000000000003</v>
      </c>
      <c r="N41" s="26"/>
      <c r="O41" s="26">
        <v>34.4</v>
      </c>
      <c r="P41" s="40"/>
      <c r="Q41" s="40">
        <v>34.299999999999997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5.2000000000000028</v>
      </c>
      <c r="H42" s="41">
        <f t="shared" si="4"/>
        <v>0</v>
      </c>
      <c r="I42" s="41">
        <f t="shared" si="4"/>
        <v>4.8000000000000007</v>
      </c>
      <c r="J42" s="41">
        <f t="shared" si="4"/>
        <v>0</v>
      </c>
      <c r="K42" s="41">
        <f t="shared" si="4"/>
        <v>5.3000000000000007</v>
      </c>
      <c r="L42" s="41">
        <f t="shared" si="4"/>
        <v>0</v>
      </c>
      <c r="M42" s="41">
        <f t="shared" si="4"/>
        <v>5.1000000000000014</v>
      </c>
      <c r="N42" s="41">
        <f t="shared" si="4"/>
        <v>0</v>
      </c>
      <c r="O42" s="41">
        <f t="shared" si="4"/>
        <v>5.5999999999999979</v>
      </c>
      <c r="P42" s="41">
        <f t="shared" si="4"/>
        <v>0</v>
      </c>
      <c r="Q42" s="41">
        <f t="shared" si="4"/>
        <v>5.2999999999999972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1257.76</v>
      </c>
      <c r="H43" s="40"/>
      <c r="I43" s="40">
        <v>1301.72</v>
      </c>
      <c r="J43" s="26"/>
      <c r="K43" s="26">
        <v>1299.05</v>
      </c>
      <c r="L43" s="40"/>
      <c r="M43" s="26">
        <v>1258.8800000000001</v>
      </c>
      <c r="N43" s="26"/>
      <c r="O43" s="26">
        <v>1080.6600000000001</v>
      </c>
      <c r="P43" s="40"/>
      <c r="Q43" s="40">
        <v>1261.26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7552.3695150115518</v>
      </c>
      <c r="H44" s="42">
        <f t="shared" si="5"/>
        <v>0</v>
      </c>
      <c r="I44" s="42">
        <f t="shared" si="5"/>
        <v>7215.0762124711327</v>
      </c>
      <c r="J44" s="42">
        <f t="shared" si="5"/>
        <v>0</v>
      </c>
      <c r="K44" s="42">
        <f t="shared" si="5"/>
        <v>7950.3060046189394</v>
      </c>
      <c r="L44" s="42">
        <f t="shared" si="5"/>
        <v>0</v>
      </c>
      <c r="M44" s="42">
        <f t="shared" si="5"/>
        <v>7413.7274826789862</v>
      </c>
      <c r="N44" s="42">
        <f t="shared" si="5"/>
        <v>0</v>
      </c>
      <c r="O44" s="42">
        <f t="shared" si="5"/>
        <v>6988.1016166281734</v>
      </c>
      <c r="P44" s="42">
        <f t="shared" si="5"/>
        <v>0</v>
      </c>
      <c r="Q44" s="42">
        <f t="shared" si="5"/>
        <v>7719.0277136258619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0.48</v>
      </c>
      <c r="H45" s="40"/>
      <c r="I45" s="40">
        <v>0.48</v>
      </c>
      <c r="J45" s="26"/>
      <c r="K45" s="26">
        <v>0.48</v>
      </c>
      <c r="L45" s="40"/>
      <c r="M45" s="40">
        <v>0.48</v>
      </c>
      <c r="N45" s="26"/>
      <c r="O45" s="26">
        <v>0.47</v>
      </c>
      <c r="P45" s="40"/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20.5</v>
      </c>
      <c r="H46" s="40"/>
      <c r="I46" s="40">
        <v>20.5</v>
      </c>
      <c r="J46" s="26"/>
      <c r="K46" s="26">
        <v>20.5</v>
      </c>
      <c r="L46" s="40"/>
      <c r="M46" s="40">
        <v>20</v>
      </c>
      <c r="N46" s="26"/>
      <c r="O46" s="26">
        <v>20.2</v>
      </c>
      <c r="P46" s="40"/>
      <c r="Q46" s="40">
        <v>20.100000000000001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235.1</v>
      </c>
      <c r="H47" s="40"/>
      <c r="I47" s="40">
        <v>125</v>
      </c>
      <c r="J47" s="26"/>
      <c r="K47" s="26">
        <v>207.1</v>
      </c>
      <c r="L47" s="40"/>
      <c r="M47" s="40">
        <v>216.5</v>
      </c>
      <c r="N47" s="26"/>
      <c r="O47" s="26">
        <v>157.5</v>
      </c>
      <c r="P47" s="40"/>
      <c r="Q47" s="40">
        <v>199.3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89">
        <v>5.89</v>
      </c>
      <c r="F49" s="26"/>
      <c r="G49" s="26">
        <v>5.29</v>
      </c>
      <c r="H49" s="40"/>
      <c r="I49" s="40">
        <v>5.2</v>
      </c>
      <c r="J49" s="26"/>
      <c r="K49" s="26">
        <v>5.5</v>
      </c>
      <c r="L49" s="40"/>
      <c r="M49" s="40">
        <v>5.46</v>
      </c>
      <c r="N49" s="26"/>
      <c r="O49" s="26">
        <v>5.35</v>
      </c>
      <c r="P49" s="40"/>
      <c r="Q49" s="40">
        <v>5.05</v>
      </c>
    </row>
    <row r="50" spans="2:17" ht="20.100000000000001" customHeight="1" x14ac:dyDescent="0.25">
      <c r="B50" s="110" t="s">
        <v>51</v>
      </c>
      <c r="C50" s="110"/>
      <c r="D50" s="110"/>
      <c r="E50" s="89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88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BCD-5332-465C-AFAA-1E780F3877C6}">
  <dimension ref="B1:Q59"/>
  <sheetViews>
    <sheetView view="pageBreakPreview" zoomScale="85" zoomScaleNormal="60" zoomScaleSheetLayoutView="85" workbookViewId="0">
      <selection activeCell="H38" sqref="H38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91" t="s">
        <v>78</v>
      </c>
      <c r="E10" s="27"/>
      <c r="F10" s="37"/>
      <c r="G10" s="37" t="s">
        <v>99</v>
      </c>
      <c r="H10" s="39" t="s">
        <v>99</v>
      </c>
      <c r="I10" s="39" t="s">
        <v>99</v>
      </c>
      <c r="J10" s="37" t="s">
        <v>99</v>
      </c>
      <c r="K10" s="37" t="s">
        <v>99</v>
      </c>
      <c r="L10" s="39"/>
      <c r="M10" s="39" t="s">
        <v>99</v>
      </c>
      <c r="N10" s="37" t="s">
        <v>99</v>
      </c>
      <c r="O10" s="37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68.900000000000006</v>
      </c>
      <c r="H11" s="40">
        <v>77.900000000000006</v>
      </c>
      <c r="I11" s="40">
        <v>77.900000000000006</v>
      </c>
      <c r="J11" s="26">
        <v>72.400000000000006</v>
      </c>
      <c r="K11" s="26">
        <v>72.400000000000006</v>
      </c>
      <c r="L11" s="40"/>
      <c r="M11" s="40">
        <v>72.400000000000006</v>
      </c>
      <c r="N11" s="26">
        <v>71.2</v>
      </c>
      <c r="O11" s="26">
        <v>72.2</v>
      </c>
      <c r="P11" s="40"/>
      <c r="Q11" s="40">
        <v>77.099999999999994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0.3</v>
      </c>
      <c r="H12" s="40">
        <v>0</v>
      </c>
      <c r="I12" s="40">
        <v>0</v>
      </c>
      <c r="J12" s="26">
        <v>0</v>
      </c>
      <c r="K12" s="26">
        <v>0</v>
      </c>
      <c r="L12" s="40"/>
      <c r="M12" s="40">
        <v>0.2</v>
      </c>
      <c r="N12" s="26">
        <v>0</v>
      </c>
      <c r="O12" s="26">
        <v>0</v>
      </c>
      <c r="P12" s="40"/>
      <c r="Q12" s="40">
        <v>72.2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62.8</v>
      </c>
      <c r="H13" s="40">
        <v>73.900000000000006</v>
      </c>
      <c r="I13" s="40">
        <v>74.2</v>
      </c>
      <c r="J13" s="26">
        <v>67.2</v>
      </c>
      <c r="K13" s="26">
        <v>67.2</v>
      </c>
      <c r="L13" s="40"/>
      <c r="M13" s="40">
        <v>69.2</v>
      </c>
      <c r="N13" s="26">
        <v>66.900000000000006</v>
      </c>
      <c r="O13" s="26">
        <v>67.099999999999994</v>
      </c>
      <c r="P13" s="40"/>
      <c r="Q13" s="40">
        <v>72.3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66.400000000000006</v>
      </c>
      <c r="H14" s="40">
        <v>66.5</v>
      </c>
      <c r="I14" s="40">
        <v>67.5</v>
      </c>
      <c r="J14" s="26">
        <v>62.5</v>
      </c>
      <c r="K14" s="26">
        <v>64.2</v>
      </c>
      <c r="L14" s="40"/>
      <c r="M14" s="40">
        <v>64.3</v>
      </c>
      <c r="N14" s="26">
        <v>70.900000000000006</v>
      </c>
      <c r="O14" s="26">
        <v>71.400000000000006</v>
      </c>
      <c r="P14" s="40"/>
      <c r="Q14" s="40">
        <v>38.1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73.2</v>
      </c>
      <c r="H15" s="40">
        <v>46.1</v>
      </c>
      <c r="I15" s="40">
        <v>46.6</v>
      </c>
      <c r="J15" s="26">
        <v>39.200000000000003</v>
      </c>
      <c r="K15" s="26">
        <v>36</v>
      </c>
      <c r="L15" s="40"/>
      <c r="M15" s="40">
        <v>29.7</v>
      </c>
      <c r="N15" s="26">
        <v>45.7</v>
      </c>
      <c r="O15" s="26">
        <v>45.3</v>
      </c>
      <c r="P15" s="40"/>
      <c r="Q15" s="40">
        <v>38.799999999999997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>
        <v>6.6</v>
      </c>
      <c r="I16" s="40">
        <v>6.6</v>
      </c>
      <c r="J16" s="26">
        <v>6.6</v>
      </c>
      <c r="K16" s="26">
        <v>6.6</v>
      </c>
      <c r="L16" s="40"/>
      <c r="M16" s="40">
        <v>6.6</v>
      </c>
      <c r="N16" s="26">
        <v>6.6</v>
      </c>
      <c r="O16" s="26">
        <v>6.6</v>
      </c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117.2</v>
      </c>
      <c r="H17" s="40">
        <v>116</v>
      </c>
      <c r="I17" s="40">
        <v>116.6</v>
      </c>
      <c r="J17" s="26">
        <v>115.6</v>
      </c>
      <c r="K17" s="26">
        <v>117</v>
      </c>
      <c r="L17" s="40"/>
      <c r="M17" s="40">
        <v>117.4</v>
      </c>
      <c r="N17" s="26">
        <v>114.9</v>
      </c>
      <c r="O17" s="26">
        <v>116.7</v>
      </c>
      <c r="P17" s="40"/>
      <c r="Q17" s="40">
        <v>118.5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1157</v>
      </c>
      <c r="H18" s="40">
        <v>1188</v>
      </c>
      <c r="I18" s="40">
        <v>1185</v>
      </c>
      <c r="J18" s="26">
        <v>1192</v>
      </c>
      <c r="K18" s="26">
        <v>1196</v>
      </c>
      <c r="L18" s="40"/>
      <c r="M18" s="40">
        <v>1192</v>
      </c>
      <c r="N18" s="26">
        <v>1178</v>
      </c>
      <c r="O18" s="26">
        <v>1189</v>
      </c>
      <c r="P18" s="40"/>
      <c r="Q18" s="40">
        <v>1206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46424.2</v>
      </c>
      <c r="H19" s="40">
        <v>47268.1</v>
      </c>
      <c r="I19" s="40">
        <v>47257.3</v>
      </c>
      <c r="J19" s="26">
        <v>44830</v>
      </c>
      <c r="K19" s="26">
        <v>44820.5</v>
      </c>
      <c r="L19" s="40"/>
      <c r="M19" s="40">
        <v>47139.7</v>
      </c>
      <c r="N19" s="26">
        <v>46471.9</v>
      </c>
      <c r="O19" s="26">
        <v>46462.400000000001</v>
      </c>
      <c r="P19" s="40"/>
      <c r="Q19" s="40">
        <v>48345.599999999999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58.1</v>
      </c>
      <c r="H22" s="40">
        <v>59.1</v>
      </c>
      <c r="I22" s="40">
        <v>59.2</v>
      </c>
      <c r="J22" s="26">
        <v>57.5</v>
      </c>
      <c r="K22" s="26">
        <v>57.7</v>
      </c>
      <c r="L22" s="40"/>
      <c r="M22" s="40">
        <v>57.6</v>
      </c>
      <c r="N22" s="26">
        <v>53.8</v>
      </c>
      <c r="O22" s="26">
        <v>45.1</v>
      </c>
      <c r="P22" s="40"/>
      <c r="Q22" s="40">
        <v>59.6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0.53</v>
      </c>
      <c r="H23" s="40">
        <v>0.49</v>
      </c>
      <c r="I23" s="40">
        <v>0.49</v>
      </c>
      <c r="J23" s="26">
        <v>0.48</v>
      </c>
      <c r="K23" s="26">
        <v>0.59</v>
      </c>
      <c r="L23" s="40"/>
      <c r="M23" s="40">
        <v>0.52</v>
      </c>
      <c r="N23" s="26">
        <v>0.48</v>
      </c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44.5</v>
      </c>
      <c r="H25" s="40">
        <v>45.2</v>
      </c>
      <c r="I25" s="40">
        <v>45.1</v>
      </c>
      <c r="J25" s="26">
        <v>44.9</v>
      </c>
      <c r="K25" s="26">
        <v>44.8</v>
      </c>
      <c r="L25" s="40"/>
      <c r="M25" s="40">
        <v>44.9</v>
      </c>
      <c r="N25" s="26">
        <v>44.9</v>
      </c>
      <c r="O25" s="26">
        <v>45.1</v>
      </c>
      <c r="P25" s="40"/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0.24</v>
      </c>
      <c r="H26" s="40">
        <v>0.22</v>
      </c>
      <c r="I26" s="40">
        <v>0.22</v>
      </c>
      <c r="J26" s="26">
        <v>0.23</v>
      </c>
      <c r="K26" s="26">
        <v>0.23</v>
      </c>
      <c r="L26" s="40"/>
      <c r="M26" s="40">
        <v>0.22</v>
      </c>
      <c r="N26" s="26">
        <v>0.22</v>
      </c>
      <c r="O26" s="26">
        <v>0.22</v>
      </c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4.9000000000000004</v>
      </c>
      <c r="H27" s="40">
        <v>3.5</v>
      </c>
      <c r="I27" s="40">
        <v>3.3</v>
      </c>
      <c r="J27" s="26">
        <v>4.7</v>
      </c>
      <c r="K27" s="26">
        <v>4.4000000000000004</v>
      </c>
      <c r="L27" s="40"/>
      <c r="M27" s="40">
        <v>4.0999999999999996</v>
      </c>
      <c r="N27" s="26">
        <v>4.3</v>
      </c>
      <c r="O27" s="26">
        <v>4.3</v>
      </c>
      <c r="P27" s="40"/>
      <c r="Q27" s="40">
        <v>4.3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4.5</v>
      </c>
      <c r="H28" s="40">
        <v>2.7</v>
      </c>
      <c r="I28" s="40">
        <v>2.5</v>
      </c>
      <c r="J28" s="26">
        <v>3.8</v>
      </c>
      <c r="K28" s="26">
        <v>3.5</v>
      </c>
      <c r="L28" s="40"/>
      <c r="M28" s="40">
        <v>2.9</v>
      </c>
      <c r="N28" s="26">
        <v>3.3</v>
      </c>
      <c r="O28" s="26">
        <v>3.2</v>
      </c>
      <c r="P28" s="40"/>
      <c r="Q28" s="40">
        <v>3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0.70000000000000018</v>
      </c>
      <c r="H29" s="41">
        <f t="shared" si="0"/>
        <v>2.0999999999999996</v>
      </c>
      <c r="I29" s="41">
        <f t="shared" si="0"/>
        <v>2.2999999999999998</v>
      </c>
      <c r="J29" s="41">
        <f t="shared" si="0"/>
        <v>0.70000000000000018</v>
      </c>
      <c r="K29" s="41">
        <f t="shared" si="0"/>
        <v>1.2000000000000002</v>
      </c>
      <c r="L29" s="41">
        <f t="shared" si="0"/>
        <v>0</v>
      </c>
      <c r="M29" s="41">
        <f t="shared" si="0"/>
        <v>1.1000000000000001</v>
      </c>
      <c r="N29" s="41">
        <f>N32-N28</f>
        <v>1.2999999999999998</v>
      </c>
      <c r="O29" s="41">
        <f t="shared" si="0"/>
        <v>1.2000000000000002</v>
      </c>
      <c r="P29" s="41">
        <f t="shared" si="0"/>
        <v>0</v>
      </c>
      <c r="Q29" s="41">
        <f t="shared" si="0"/>
        <v>2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718</v>
      </c>
      <c r="H30" s="40">
        <v>678.2</v>
      </c>
      <c r="I30" s="40">
        <v>642.16</v>
      </c>
      <c r="J30" s="26">
        <v>674.8</v>
      </c>
      <c r="K30" s="26">
        <v>646.64</v>
      </c>
      <c r="L30" s="40"/>
      <c r="M30" s="40">
        <v>645.67999999999995</v>
      </c>
      <c r="N30" s="26">
        <v>669.7</v>
      </c>
      <c r="O30" s="26">
        <v>633.12</v>
      </c>
      <c r="P30" s="40"/>
      <c r="Q30" s="40">
        <v>647.36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13.1</v>
      </c>
      <c r="H31" s="40">
        <v>13.1</v>
      </c>
      <c r="I31" s="40">
        <v>13.2</v>
      </c>
      <c r="J31" s="26">
        <v>13</v>
      </c>
      <c r="K31" s="26">
        <v>13.4</v>
      </c>
      <c r="L31" s="40"/>
      <c r="M31" s="40">
        <v>12.8</v>
      </c>
      <c r="N31" s="26">
        <v>13</v>
      </c>
      <c r="O31" s="26">
        <v>13.2</v>
      </c>
      <c r="P31" s="40"/>
      <c r="Q31" s="40">
        <v>13.4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5.2</v>
      </c>
      <c r="H32" s="40">
        <v>4.8</v>
      </c>
      <c r="I32" s="40">
        <v>4.8</v>
      </c>
      <c r="J32" s="26">
        <v>4.5</v>
      </c>
      <c r="K32" s="26">
        <v>4.7</v>
      </c>
      <c r="L32" s="40"/>
      <c r="M32" s="40">
        <v>4</v>
      </c>
      <c r="N32" s="26">
        <v>4.5999999999999996</v>
      </c>
      <c r="O32" s="26">
        <v>4.4000000000000004</v>
      </c>
      <c r="P32" s="40"/>
      <c r="Q32" s="40">
        <v>5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7.8999999999999995</v>
      </c>
      <c r="H33" s="41">
        <f t="shared" si="1"/>
        <v>8.3000000000000007</v>
      </c>
      <c r="I33" s="41">
        <f t="shared" si="1"/>
        <v>8.3999999999999986</v>
      </c>
      <c r="J33" s="41">
        <f t="shared" si="1"/>
        <v>8.5</v>
      </c>
      <c r="K33" s="41">
        <f t="shared" si="1"/>
        <v>8.6999999999999993</v>
      </c>
      <c r="L33" s="41">
        <f t="shared" si="1"/>
        <v>0</v>
      </c>
      <c r="M33" s="41">
        <f t="shared" si="1"/>
        <v>8.8000000000000007</v>
      </c>
      <c r="N33" s="41">
        <f t="shared" si="1"/>
        <v>8.4</v>
      </c>
      <c r="O33" s="41">
        <f t="shared" si="1"/>
        <v>8.7999999999999989</v>
      </c>
      <c r="P33" s="41">
        <f t="shared" si="1"/>
        <v>0</v>
      </c>
      <c r="Q33" s="41">
        <f t="shared" si="1"/>
        <v>8.4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6549.8845265588916</v>
      </c>
      <c r="H34" s="42">
        <f t="shared" si="2"/>
        <v>6500.069284064667</v>
      </c>
      <c r="I34" s="42">
        <f t="shared" si="2"/>
        <v>6228.8036951501135</v>
      </c>
      <c r="J34" s="42">
        <f t="shared" si="2"/>
        <v>6623.3256351039254</v>
      </c>
      <c r="K34" s="42">
        <f t="shared" si="2"/>
        <v>6496.2678983833712</v>
      </c>
      <c r="L34" s="42">
        <f t="shared" si="2"/>
        <v>0</v>
      </c>
      <c r="M34" s="42">
        <f t="shared" si="2"/>
        <v>6561.1824480369523</v>
      </c>
      <c r="N34" s="42">
        <f t="shared" si="2"/>
        <v>6495.9353348729801</v>
      </c>
      <c r="O34" s="42">
        <f t="shared" si="2"/>
        <v>6433.5519630484978</v>
      </c>
      <c r="P34" s="42">
        <f t="shared" si="2"/>
        <v>0</v>
      </c>
      <c r="Q34" s="42">
        <f t="shared" si="2"/>
        <v>6279.2424942263287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0.84</v>
      </c>
      <c r="H35" s="40">
        <v>0.87</v>
      </c>
      <c r="I35" s="40">
        <v>0.87</v>
      </c>
      <c r="J35" s="26">
        <v>0.86</v>
      </c>
      <c r="K35" s="26">
        <v>0.85</v>
      </c>
      <c r="L35" s="40"/>
      <c r="M35" s="40">
        <v>0.86</v>
      </c>
      <c r="N35" s="26">
        <v>0.87</v>
      </c>
      <c r="O35" s="26">
        <v>0.85</v>
      </c>
      <c r="P35" s="40"/>
      <c r="Q35" s="40">
        <v>0.84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36.9</v>
      </c>
      <c r="H36" s="40">
        <v>37.6</v>
      </c>
      <c r="I36" s="40">
        <v>37.299999999999997</v>
      </c>
      <c r="J36" s="26">
        <v>37.299999999999997</v>
      </c>
      <c r="K36" s="26">
        <v>37</v>
      </c>
      <c r="L36" s="40"/>
      <c r="M36" s="40">
        <v>37.700000000000003</v>
      </c>
      <c r="N36" s="26">
        <v>37.1</v>
      </c>
      <c r="O36" s="26">
        <v>37.200000000000003</v>
      </c>
      <c r="P36" s="40"/>
      <c r="Q36" s="40">
        <v>37.200000000000003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37.1</v>
      </c>
      <c r="H37" s="40">
        <v>38.5</v>
      </c>
      <c r="I37" s="40">
        <v>30.3</v>
      </c>
      <c r="J37" s="26">
        <v>38</v>
      </c>
      <c r="K37" s="26">
        <v>37.700000000000003</v>
      </c>
      <c r="L37" s="40"/>
      <c r="M37" s="40">
        <v>38</v>
      </c>
      <c r="N37" s="26">
        <v>37.4</v>
      </c>
      <c r="O37" s="26">
        <v>37.6</v>
      </c>
      <c r="P37" s="40"/>
      <c r="Q37" s="40">
        <v>37.1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2.8000000000000043</v>
      </c>
      <c r="H38" s="41">
        <f t="shared" si="3"/>
        <v>4.2000000000000028</v>
      </c>
      <c r="I38" s="41">
        <f t="shared" si="3"/>
        <v>-3.3000000000000007</v>
      </c>
      <c r="J38" s="41">
        <f t="shared" si="3"/>
        <v>2.7999999999999972</v>
      </c>
      <c r="K38" s="41">
        <f t="shared" si="3"/>
        <v>3.6000000000000014</v>
      </c>
      <c r="L38" s="41">
        <f t="shared" si="3"/>
        <v>0</v>
      </c>
      <c r="M38" s="41">
        <f t="shared" si="3"/>
        <v>4.2000000000000028</v>
      </c>
      <c r="N38" s="41">
        <f t="shared" si="3"/>
        <v>2.1999999999999957</v>
      </c>
      <c r="O38" s="41">
        <f t="shared" si="3"/>
        <v>3</v>
      </c>
      <c r="P38" s="41">
        <f t="shared" si="3"/>
        <v>0</v>
      </c>
      <c r="Q38" s="41">
        <f t="shared" si="3"/>
        <v>2.8000000000000043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29</v>
      </c>
      <c r="H40" s="40">
        <v>29.6</v>
      </c>
      <c r="I40" s="40">
        <v>28.7</v>
      </c>
      <c r="J40" s="26">
        <v>29.7</v>
      </c>
      <c r="K40" s="26">
        <v>28.8</v>
      </c>
      <c r="L40" s="40"/>
      <c r="M40" s="40">
        <v>28.6</v>
      </c>
      <c r="N40" s="26">
        <v>29.4</v>
      </c>
      <c r="O40" s="26">
        <v>28.8</v>
      </c>
      <c r="P40" s="40"/>
      <c r="Q40" s="40">
        <v>29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34.299999999999997</v>
      </c>
      <c r="H41" s="40">
        <v>34.299999999999997</v>
      </c>
      <c r="I41" s="40">
        <v>33.6</v>
      </c>
      <c r="J41" s="26">
        <v>35.200000000000003</v>
      </c>
      <c r="K41" s="26">
        <v>34.1</v>
      </c>
      <c r="L41" s="40"/>
      <c r="M41" s="40">
        <v>33.799999999999997</v>
      </c>
      <c r="N41" s="26">
        <v>35.200000000000003</v>
      </c>
      <c r="O41" s="26">
        <v>34.6</v>
      </c>
      <c r="P41" s="40"/>
      <c r="Q41" s="40">
        <v>34.299999999999997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5.2999999999999972</v>
      </c>
      <c r="H42" s="41">
        <f t="shared" si="4"/>
        <v>4.6999999999999957</v>
      </c>
      <c r="I42" s="41">
        <f t="shared" si="4"/>
        <v>4.9000000000000021</v>
      </c>
      <c r="J42" s="41">
        <f t="shared" si="4"/>
        <v>5.5000000000000036</v>
      </c>
      <c r="K42" s="41">
        <f t="shared" si="4"/>
        <v>5.3000000000000007</v>
      </c>
      <c r="L42" s="41">
        <f t="shared" si="4"/>
        <v>0</v>
      </c>
      <c r="M42" s="41">
        <f t="shared" si="4"/>
        <v>5.1999999999999957</v>
      </c>
      <c r="N42" s="41">
        <f t="shared" si="4"/>
        <v>5.8000000000000043</v>
      </c>
      <c r="O42" s="41">
        <f t="shared" si="4"/>
        <v>5.8000000000000007</v>
      </c>
      <c r="P42" s="41">
        <f t="shared" si="4"/>
        <v>0</v>
      </c>
      <c r="Q42" s="41">
        <f t="shared" si="4"/>
        <v>5.2999999999999972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1259.72</v>
      </c>
      <c r="H43" s="40">
        <v>1309.4000000000001</v>
      </c>
      <c r="I43" s="40">
        <v>1301.3</v>
      </c>
      <c r="J43" s="26">
        <v>1289.4000000000001</v>
      </c>
      <c r="K43" s="26">
        <v>1295.98</v>
      </c>
      <c r="L43" s="40"/>
      <c r="M43" s="26">
        <v>1258.8800000000001</v>
      </c>
      <c r="N43" s="26">
        <v>1161.7</v>
      </c>
      <c r="O43" s="26">
        <v>1083.74</v>
      </c>
      <c r="P43" s="40"/>
      <c r="Q43" s="40">
        <v>1258.32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7709.6027713625826</v>
      </c>
      <c r="H44" s="42">
        <f t="shared" si="5"/>
        <v>7106.4434180138505</v>
      </c>
      <c r="I44" s="42">
        <f t="shared" si="5"/>
        <v>7363.013856812936</v>
      </c>
      <c r="J44" s="42">
        <f t="shared" si="5"/>
        <v>8189.0300230946941</v>
      </c>
      <c r="K44" s="42">
        <f t="shared" si="5"/>
        <v>7931.5173210161674</v>
      </c>
      <c r="L44" s="42">
        <f t="shared" si="5"/>
        <v>0</v>
      </c>
      <c r="M44" s="42">
        <f t="shared" si="5"/>
        <v>7559.0946882217031</v>
      </c>
      <c r="N44" s="42">
        <f t="shared" si="5"/>
        <v>7780.4387990762189</v>
      </c>
      <c r="O44" s="42">
        <f t="shared" si="5"/>
        <v>7258.3048498845274</v>
      </c>
      <c r="P44" s="42">
        <f t="shared" si="5"/>
        <v>0</v>
      </c>
      <c r="Q44" s="42">
        <f t="shared" si="5"/>
        <v>7701.0346420323276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0.48</v>
      </c>
      <c r="H45" s="40">
        <v>0.47</v>
      </c>
      <c r="I45" s="40">
        <v>0.47</v>
      </c>
      <c r="J45" s="26">
        <v>0.48</v>
      </c>
      <c r="K45" s="26">
        <v>0.47</v>
      </c>
      <c r="L45" s="40"/>
      <c r="M45" s="40">
        <v>0.48</v>
      </c>
      <c r="N45" s="26">
        <v>0.47</v>
      </c>
      <c r="O45" s="26">
        <v>0.48</v>
      </c>
      <c r="P45" s="40"/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20.5</v>
      </c>
      <c r="H46" s="40">
        <v>20.2</v>
      </c>
      <c r="I46" s="40">
        <v>20.2</v>
      </c>
      <c r="J46" s="26">
        <v>20.5</v>
      </c>
      <c r="K46" s="26">
        <v>20.2</v>
      </c>
      <c r="L46" s="40"/>
      <c r="M46" s="40">
        <v>20.6</v>
      </c>
      <c r="N46" s="26">
        <v>20.3</v>
      </c>
      <c r="O46" s="26">
        <v>20.5</v>
      </c>
      <c r="P46" s="40"/>
      <c r="Q46" s="40">
        <v>20.399999999999999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191.5</v>
      </c>
      <c r="H47" s="40">
        <v>122.5</v>
      </c>
      <c r="I47" s="40">
        <v>124.7</v>
      </c>
      <c r="J47" s="26">
        <v>200.9</v>
      </c>
      <c r="K47" s="26">
        <v>204</v>
      </c>
      <c r="L47" s="40"/>
      <c r="M47" s="40">
        <v>215.2</v>
      </c>
      <c r="N47" s="26">
        <v>158.9</v>
      </c>
      <c r="O47" s="26">
        <v>164.9</v>
      </c>
      <c r="P47" s="40"/>
      <c r="Q47" s="40">
        <v>205.1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91">
        <v>5.89</v>
      </c>
      <c r="F49" s="26"/>
      <c r="G49" s="26">
        <v>5.21</v>
      </c>
      <c r="H49" s="40">
        <v>5.14</v>
      </c>
      <c r="I49" s="40">
        <v>5.36</v>
      </c>
      <c r="J49" s="26">
        <v>5.25</v>
      </c>
      <c r="K49" s="26">
        <v>5.45</v>
      </c>
      <c r="L49" s="40"/>
      <c r="M49" s="40">
        <v>5.4</v>
      </c>
      <c r="N49" s="26">
        <v>5.27</v>
      </c>
      <c r="O49" s="26">
        <v>5.63</v>
      </c>
      <c r="P49" s="40"/>
      <c r="Q49" s="40">
        <v>5.21</v>
      </c>
    </row>
    <row r="50" spans="2:17" ht="20.100000000000001" customHeight="1" x14ac:dyDescent="0.25">
      <c r="B50" s="110" t="s">
        <v>51</v>
      </c>
      <c r="C50" s="110"/>
      <c r="D50" s="110"/>
      <c r="E50" s="91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90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F97E-8B16-41BB-8556-21A1FA33BE91}">
  <dimension ref="B1:Q59"/>
  <sheetViews>
    <sheetView view="pageBreakPreview" topLeftCell="B5" zoomScale="85" zoomScaleNormal="60" zoomScaleSheetLayoutView="85" workbookViewId="0">
      <selection activeCell="N40" sqref="N40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93" t="s">
        <v>78</v>
      </c>
      <c r="E10" s="27"/>
      <c r="F10" s="37"/>
      <c r="G10" s="37" t="s">
        <v>99</v>
      </c>
      <c r="H10" s="39" t="s">
        <v>99</v>
      </c>
      <c r="I10" s="39" t="s">
        <v>99</v>
      </c>
      <c r="J10" s="37" t="s">
        <v>99</v>
      </c>
      <c r="K10" s="37" t="s">
        <v>99</v>
      </c>
      <c r="L10" s="39" t="s">
        <v>99</v>
      </c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/>
      <c r="H11" s="40"/>
      <c r="I11" s="40">
        <v>76.099999999999994</v>
      </c>
      <c r="J11" s="26">
        <v>70.7</v>
      </c>
      <c r="K11" s="26">
        <v>72.5</v>
      </c>
      <c r="L11" s="40">
        <v>76.3</v>
      </c>
      <c r="M11" s="40">
        <v>72.599999999999994</v>
      </c>
      <c r="N11" s="26"/>
      <c r="O11" s="26">
        <v>71.099999999999994</v>
      </c>
      <c r="P11" s="40">
        <v>79.099999999999994</v>
      </c>
      <c r="Q11" s="40">
        <v>79.099999999999994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/>
      <c r="H12" s="40"/>
      <c r="I12" s="40">
        <v>0</v>
      </c>
      <c r="J12" s="26">
        <v>0</v>
      </c>
      <c r="K12" s="26">
        <v>0</v>
      </c>
      <c r="L12" s="40">
        <v>0.1</v>
      </c>
      <c r="M12" s="40">
        <v>0.2</v>
      </c>
      <c r="N12" s="26"/>
      <c r="O12" s="26">
        <v>0</v>
      </c>
      <c r="P12" s="40">
        <v>0.2</v>
      </c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/>
      <c r="H13" s="40"/>
      <c r="I13" s="40">
        <v>71.099999999999994</v>
      </c>
      <c r="J13" s="26">
        <v>67</v>
      </c>
      <c r="K13" s="26">
        <v>67.2</v>
      </c>
      <c r="L13" s="40">
        <v>71.8</v>
      </c>
      <c r="M13" s="40">
        <v>39.6</v>
      </c>
      <c r="N13" s="26"/>
      <c r="O13" s="26">
        <v>67.3</v>
      </c>
      <c r="P13" s="40">
        <v>75.2</v>
      </c>
      <c r="Q13" s="40">
        <v>74.900000000000006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/>
      <c r="H14" s="40"/>
      <c r="I14" s="40">
        <v>69.3</v>
      </c>
      <c r="J14" s="26">
        <v>61.5</v>
      </c>
      <c r="K14" s="26">
        <v>63.1</v>
      </c>
      <c r="L14" s="40">
        <v>63.7</v>
      </c>
      <c r="M14" s="40">
        <v>64.400000000000006</v>
      </c>
      <c r="N14" s="26"/>
      <c r="O14" s="26">
        <v>73.3</v>
      </c>
      <c r="P14" s="40">
        <v>69.3</v>
      </c>
      <c r="Q14" s="40">
        <v>72.3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/>
      <c r="H15" s="40"/>
      <c r="I15" s="40">
        <v>50.1</v>
      </c>
      <c r="J15" s="26">
        <v>39.5</v>
      </c>
      <c r="K15" s="26">
        <v>38</v>
      </c>
      <c r="L15" s="40">
        <v>36.799999999999997</v>
      </c>
      <c r="M15" s="40">
        <v>32.1</v>
      </c>
      <c r="N15" s="26"/>
      <c r="O15" s="26">
        <v>50.4</v>
      </c>
      <c r="P15" s="40">
        <v>39.5</v>
      </c>
      <c r="Q15" s="40">
        <v>41.6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/>
      <c r="H16" s="40"/>
      <c r="I16" s="40">
        <v>6.6</v>
      </c>
      <c r="J16" s="26">
        <v>6.6</v>
      </c>
      <c r="K16" s="26">
        <v>6.6</v>
      </c>
      <c r="L16" s="40">
        <v>6.6</v>
      </c>
      <c r="M16" s="40">
        <v>6.6</v>
      </c>
      <c r="N16" s="26"/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/>
      <c r="H17" s="40"/>
      <c r="I17" s="40">
        <v>117.9</v>
      </c>
      <c r="J17" s="26">
        <v>113.5</v>
      </c>
      <c r="K17" s="26">
        <v>117.1</v>
      </c>
      <c r="L17" s="40">
        <v>118.6</v>
      </c>
      <c r="M17" s="40">
        <v>117.5</v>
      </c>
      <c r="N17" s="26"/>
      <c r="O17" s="26">
        <v>117.8</v>
      </c>
      <c r="P17" s="40">
        <v>116.7</v>
      </c>
      <c r="Q17" s="40">
        <v>120.2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/>
      <c r="H18" s="40"/>
      <c r="I18" s="40">
        <v>1198</v>
      </c>
      <c r="J18" s="26">
        <v>1159</v>
      </c>
      <c r="K18" s="26">
        <v>1179</v>
      </c>
      <c r="L18" s="40">
        <v>1208</v>
      </c>
      <c r="M18" s="40">
        <v>1196</v>
      </c>
      <c r="N18" s="26"/>
      <c r="O18" s="26">
        <v>1200</v>
      </c>
      <c r="P18" s="40">
        <v>1188</v>
      </c>
      <c r="Q18" s="40">
        <v>1219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/>
      <c r="H19" s="40"/>
      <c r="I19" s="40">
        <v>47279</v>
      </c>
      <c r="J19" s="26">
        <v>44853.9</v>
      </c>
      <c r="K19" s="26">
        <v>44844.4</v>
      </c>
      <c r="L19" s="40">
        <v>47158.7</v>
      </c>
      <c r="M19" s="40">
        <v>47149</v>
      </c>
      <c r="N19" s="26"/>
      <c r="O19" s="26">
        <v>46486</v>
      </c>
      <c r="P19" s="40">
        <v>48364.9</v>
      </c>
      <c r="Q19" s="40">
        <v>48355.3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/>
      <c r="H22" s="40"/>
      <c r="I22" s="40">
        <v>59.1</v>
      </c>
      <c r="J22" s="26">
        <v>57.8</v>
      </c>
      <c r="K22" s="26">
        <v>57.4</v>
      </c>
      <c r="L22" s="40">
        <v>57.3</v>
      </c>
      <c r="M22" s="40">
        <v>57.6</v>
      </c>
      <c r="N22" s="26"/>
      <c r="O22" s="26">
        <v>58.7</v>
      </c>
      <c r="P22" s="40">
        <v>59.3</v>
      </c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/>
      <c r="H23" s="40"/>
      <c r="I23" s="40">
        <v>0.5</v>
      </c>
      <c r="J23" s="26">
        <v>0.57999999999999996</v>
      </c>
      <c r="K23" s="26">
        <v>0.59</v>
      </c>
      <c r="L23" s="40">
        <v>0.52</v>
      </c>
      <c r="M23" s="40">
        <v>0.52</v>
      </c>
      <c r="N23" s="26"/>
      <c r="O23" s="26">
        <v>0.48</v>
      </c>
      <c r="P23" s="40">
        <v>0.47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/>
      <c r="H25" s="40"/>
      <c r="I25" s="26">
        <v>45</v>
      </c>
      <c r="J25" s="26">
        <v>45.3</v>
      </c>
      <c r="K25" s="26">
        <v>45</v>
      </c>
      <c r="L25" s="40">
        <v>45</v>
      </c>
      <c r="M25" s="40">
        <v>44</v>
      </c>
      <c r="N25" s="26"/>
      <c r="O25" s="26">
        <v>44.8</v>
      </c>
      <c r="P25" s="40">
        <v>45</v>
      </c>
      <c r="Q25" s="40">
        <v>45.1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/>
      <c r="H26" s="40"/>
      <c r="I26" s="26">
        <v>0.22</v>
      </c>
      <c r="J26" s="26">
        <v>0.22</v>
      </c>
      <c r="K26" s="26">
        <v>0.23</v>
      </c>
      <c r="L26" s="40">
        <v>0.22</v>
      </c>
      <c r="M26" s="40">
        <v>0.22</v>
      </c>
      <c r="N26" s="26"/>
      <c r="O26" s="26">
        <v>0.28000000000000003</v>
      </c>
      <c r="P26" s="40">
        <v>0.22</v>
      </c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/>
      <c r="H27" s="40"/>
      <c r="I27" s="26">
        <v>4.2</v>
      </c>
      <c r="J27" s="26">
        <v>4.0999999999999996</v>
      </c>
      <c r="K27" s="26">
        <v>4.0999999999999996</v>
      </c>
      <c r="L27" s="40">
        <v>4.2</v>
      </c>
      <c r="M27" s="40">
        <v>4.0999999999999996</v>
      </c>
      <c r="N27" s="26"/>
      <c r="O27" s="26">
        <v>4.9000000000000004</v>
      </c>
      <c r="P27" s="40">
        <v>3.5</v>
      </c>
      <c r="Q27" s="40">
        <v>4.0999999999999996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/>
      <c r="H28" s="40"/>
      <c r="I28" s="26">
        <v>3.2</v>
      </c>
      <c r="J28" s="26">
        <v>3.1</v>
      </c>
      <c r="K28" s="26">
        <v>3.5</v>
      </c>
      <c r="L28" s="40">
        <v>3.2</v>
      </c>
      <c r="M28" s="40">
        <v>3</v>
      </c>
      <c r="N28" s="26"/>
      <c r="O28" s="26">
        <v>3.1</v>
      </c>
      <c r="P28" s="40">
        <v>2.7</v>
      </c>
      <c r="Q28" s="40">
        <v>3.2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/>
      <c r="H29" s="41">
        <f t="shared" ref="H29:Q29" si="0">H32-H28</f>
        <v>0</v>
      </c>
      <c r="I29" s="41">
        <f t="shared" si="0"/>
        <v>1.8999999999999995</v>
      </c>
      <c r="J29" s="41">
        <f t="shared" si="0"/>
        <v>0.79999999999999982</v>
      </c>
      <c r="K29" s="41">
        <f t="shared" si="0"/>
        <v>1.2999999999999998</v>
      </c>
      <c r="L29" s="41">
        <f t="shared" si="0"/>
        <v>1.2999999999999998</v>
      </c>
      <c r="M29" s="41">
        <f t="shared" si="0"/>
        <v>1</v>
      </c>
      <c r="N29" s="41">
        <f>N32-N28</f>
        <v>0</v>
      </c>
      <c r="O29" s="41">
        <f t="shared" si="0"/>
        <v>1.9</v>
      </c>
      <c r="P29" s="41">
        <f t="shared" si="0"/>
        <v>1.5999999999999996</v>
      </c>
      <c r="Q29" s="41">
        <f t="shared" si="0"/>
        <v>1.7999999999999998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/>
      <c r="H30" s="40"/>
      <c r="I30" s="26">
        <v>661.28</v>
      </c>
      <c r="J30" s="26">
        <v>670.1</v>
      </c>
      <c r="K30" s="26">
        <v>641.67999999999995</v>
      </c>
      <c r="L30" s="40">
        <v>745.6</v>
      </c>
      <c r="M30" s="40">
        <v>632.79999999999995</v>
      </c>
      <c r="N30" s="26"/>
      <c r="O30" s="26">
        <v>652.72</v>
      </c>
      <c r="P30" s="40">
        <v>671.4</v>
      </c>
      <c r="Q30" s="40">
        <v>627.91999999999996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/>
      <c r="H31" s="40"/>
      <c r="I31" s="26">
        <v>13.5</v>
      </c>
      <c r="J31" s="26">
        <v>12.4</v>
      </c>
      <c r="K31" s="26">
        <v>13.6</v>
      </c>
      <c r="L31" s="40">
        <v>12.5</v>
      </c>
      <c r="M31" s="40">
        <v>13.1</v>
      </c>
      <c r="N31" s="26"/>
      <c r="O31" s="26">
        <v>13.6</v>
      </c>
      <c r="P31" s="40">
        <v>12.5</v>
      </c>
      <c r="Q31" s="40">
        <v>13.8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/>
      <c r="H32" s="40"/>
      <c r="I32" s="26">
        <v>5.0999999999999996</v>
      </c>
      <c r="J32" s="26">
        <v>3.9</v>
      </c>
      <c r="K32" s="26">
        <v>4.8</v>
      </c>
      <c r="L32" s="40">
        <v>4.5</v>
      </c>
      <c r="M32" s="40">
        <v>4</v>
      </c>
      <c r="N32" s="26"/>
      <c r="O32" s="26">
        <v>5</v>
      </c>
      <c r="P32" s="40">
        <v>4.3</v>
      </c>
      <c r="Q32" s="40">
        <v>5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0</v>
      </c>
      <c r="H33" s="41">
        <f t="shared" si="1"/>
        <v>0</v>
      </c>
      <c r="I33" s="41">
        <f t="shared" si="1"/>
        <v>8.4</v>
      </c>
      <c r="J33" s="41">
        <f t="shared" si="1"/>
        <v>8.5</v>
      </c>
      <c r="K33" s="41">
        <f t="shared" si="1"/>
        <v>8.8000000000000007</v>
      </c>
      <c r="L33" s="41">
        <f t="shared" si="1"/>
        <v>8</v>
      </c>
      <c r="M33" s="41">
        <f t="shared" si="1"/>
        <v>9.1</v>
      </c>
      <c r="N33" s="41">
        <f t="shared" si="1"/>
        <v>0</v>
      </c>
      <c r="O33" s="41">
        <f t="shared" si="1"/>
        <v>8.6</v>
      </c>
      <c r="P33" s="41">
        <f t="shared" si="1"/>
        <v>8.1999999999999993</v>
      </c>
      <c r="Q33" s="41">
        <f t="shared" si="1"/>
        <v>8.8000000000000007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0</v>
      </c>
      <c r="H34" s="42">
        <f t="shared" si="2"/>
        <v>0</v>
      </c>
      <c r="I34" s="42">
        <f t="shared" si="2"/>
        <v>6414.2632794457277</v>
      </c>
      <c r="J34" s="42">
        <f t="shared" si="2"/>
        <v>6577.1939953810625</v>
      </c>
      <c r="K34" s="42">
        <f t="shared" si="2"/>
        <v>6520.5357967667433</v>
      </c>
      <c r="L34" s="42">
        <f t="shared" si="2"/>
        <v>6887.7598152424944</v>
      </c>
      <c r="M34" s="42">
        <f t="shared" si="2"/>
        <v>6649.5150115473434</v>
      </c>
      <c r="N34" s="42">
        <f t="shared" si="2"/>
        <v>0</v>
      </c>
      <c r="O34" s="42">
        <f t="shared" si="2"/>
        <v>6481.976905311778</v>
      </c>
      <c r="P34" s="42">
        <f t="shared" si="2"/>
        <v>6357.3672055427251</v>
      </c>
      <c r="Q34" s="42">
        <f t="shared" si="2"/>
        <v>6380.711316397229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/>
      <c r="H35" s="40"/>
      <c r="I35" s="26">
        <v>0.87</v>
      </c>
      <c r="J35" s="26">
        <v>0.81</v>
      </c>
      <c r="K35" s="26">
        <v>0.85</v>
      </c>
      <c r="L35" s="40">
        <v>0.84</v>
      </c>
      <c r="M35" s="40">
        <v>0.86</v>
      </c>
      <c r="N35" s="26"/>
      <c r="O35" s="26">
        <v>0.85</v>
      </c>
      <c r="P35" s="40">
        <v>0.8</v>
      </c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/>
      <c r="H36" s="40"/>
      <c r="I36" s="26">
        <v>37.700000000000003</v>
      </c>
      <c r="J36" s="26">
        <v>35.5</v>
      </c>
      <c r="K36" s="26">
        <v>37.1</v>
      </c>
      <c r="L36" s="40">
        <v>36.6</v>
      </c>
      <c r="M36" s="40">
        <v>37.6</v>
      </c>
      <c r="N36" s="26"/>
      <c r="O36" s="26">
        <v>37.299999999999997</v>
      </c>
      <c r="P36" s="40">
        <v>35.799999999999997</v>
      </c>
      <c r="Q36" s="40">
        <v>37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/>
      <c r="H37" s="40"/>
      <c r="I37" s="26">
        <v>38.6</v>
      </c>
      <c r="J37" s="26">
        <v>36.299999999999997</v>
      </c>
      <c r="K37" s="26">
        <v>37.700000000000003</v>
      </c>
      <c r="L37" s="40">
        <v>37.200000000000003</v>
      </c>
      <c r="M37" s="40">
        <v>38</v>
      </c>
      <c r="N37" s="26"/>
      <c r="O37" s="26">
        <v>37.6</v>
      </c>
      <c r="P37" s="40">
        <v>35.9</v>
      </c>
      <c r="Q37" s="40">
        <v>37.1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0</v>
      </c>
      <c r="H38" s="41">
        <f t="shared" si="3"/>
        <v>0</v>
      </c>
      <c r="I38" s="41">
        <f t="shared" si="3"/>
        <v>4.3000000000000043</v>
      </c>
      <c r="J38" s="41">
        <f t="shared" si="3"/>
        <v>2.8999999999999986</v>
      </c>
      <c r="K38" s="41">
        <f t="shared" si="3"/>
        <v>2.7000000000000028</v>
      </c>
      <c r="L38" s="41">
        <f t="shared" si="3"/>
        <v>3.7000000000000028</v>
      </c>
      <c r="M38" s="41">
        <f t="shared" si="3"/>
        <v>3.5</v>
      </c>
      <c r="N38" s="41">
        <f t="shared" si="3"/>
        <v>0</v>
      </c>
      <c r="O38" s="41">
        <f t="shared" si="3"/>
        <v>2.2000000000000028</v>
      </c>
      <c r="P38" s="41">
        <f t="shared" si="3"/>
        <v>2.1999999999999957</v>
      </c>
      <c r="Q38" s="41">
        <f t="shared" si="3"/>
        <v>2.2000000000000028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/>
      <c r="H40" s="40"/>
      <c r="I40" s="26">
        <v>29.4</v>
      </c>
      <c r="J40" s="26">
        <v>28</v>
      </c>
      <c r="K40" s="26">
        <v>29.5</v>
      </c>
      <c r="L40" s="40">
        <v>28</v>
      </c>
      <c r="M40" s="40">
        <v>29.3</v>
      </c>
      <c r="N40" s="26"/>
      <c r="O40" s="26">
        <v>29.2</v>
      </c>
      <c r="P40" s="40">
        <v>27.8</v>
      </c>
      <c r="Q40" s="40">
        <v>29.2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/>
      <c r="H41" s="40"/>
      <c r="I41" s="26">
        <v>34.299999999999997</v>
      </c>
      <c r="J41" s="26">
        <v>33.4</v>
      </c>
      <c r="K41" s="26">
        <v>35</v>
      </c>
      <c r="L41" s="40">
        <v>33.5</v>
      </c>
      <c r="M41" s="40">
        <v>34.5</v>
      </c>
      <c r="N41" s="26"/>
      <c r="O41" s="26">
        <v>35.4</v>
      </c>
      <c r="P41" s="40">
        <v>33.700000000000003</v>
      </c>
      <c r="Q41" s="40">
        <v>34.9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0</v>
      </c>
      <c r="H42" s="41">
        <f t="shared" si="4"/>
        <v>0</v>
      </c>
      <c r="I42" s="41">
        <f t="shared" si="4"/>
        <v>4.8999999999999986</v>
      </c>
      <c r="J42" s="41">
        <f t="shared" si="4"/>
        <v>5.3999999999999986</v>
      </c>
      <c r="K42" s="41">
        <f t="shared" si="4"/>
        <v>5.5</v>
      </c>
      <c r="L42" s="41">
        <f t="shared" si="4"/>
        <v>5.5</v>
      </c>
      <c r="M42" s="41">
        <f t="shared" si="4"/>
        <v>5.1999999999999993</v>
      </c>
      <c r="N42" s="41">
        <f t="shared" si="4"/>
        <v>0</v>
      </c>
      <c r="O42" s="41">
        <f t="shared" si="4"/>
        <v>6.1999999999999993</v>
      </c>
      <c r="P42" s="41">
        <f t="shared" si="4"/>
        <v>5.9000000000000021</v>
      </c>
      <c r="Q42" s="41">
        <f t="shared" si="4"/>
        <v>5.6999999999999993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/>
      <c r="H43" s="40"/>
      <c r="I43" s="26">
        <v>1300.46</v>
      </c>
      <c r="J43" s="26">
        <v>1295.0999999999999</v>
      </c>
      <c r="K43" s="26">
        <v>1295.1400000000001</v>
      </c>
      <c r="L43" s="40">
        <v>1237</v>
      </c>
      <c r="M43" s="26">
        <v>1283.6600000000001</v>
      </c>
      <c r="N43" s="26"/>
      <c r="O43" s="26">
        <v>1101.8</v>
      </c>
      <c r="P43" s="40">
        <v>1234.5999999999999</v>
      </c>
      <c r="Q43" s="40">
        <v>1278.06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0</v>
      </c>
      <c r="H44" s="42">
        <f t="shared" si="5"/>
        <v>0</v>
      </c>
      <c r="I44" s="42">
        <f t="shared" si="5"/>
        <v>7358.2609699769027</v>
      </c>
      <c r="J44" s="42">
        <f t="shared" si="5"/>
        <v>8075.6812933025376</v>
      </c>
      <c r="K44" s="42">
        <f t="shared" si="5"/>
        <v>8225.4849884526557</v>
      </c>
      <c r="L44" s="42">
        <f t="shared" si="5"/>
        <v>7856.2355658198612</v>
      </c>
      <c r="M44" s="42">
        <f t="shared" si="5"/>
        <v>7707.8891454965351</v>
      </c>
      <c r="N44" s="42">
        <f t="shared" si="5"/>
        <v>0</v>
      </c>
      <c r="O44" s="42">
        <f t="shared" si="5"/>
        <v>7888.1755196304839</v>
      </c>
      <c r="P44" s="42">
        <f t="shared" si="5"/>
        <v>8411.2471131639741</v>
      </c>
      <c r="Q44" s="42">
        <f t="shared" si="5"/>
        <v>8412.1732101616617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/>
      <c r="H45" s="40"/>
      <c r="I45" s="26">
        <v>0.48</v>
      </c>
      <c r="J45" s="26">
        <v>0.45</v>
      </c>
      <c r="K45" s="26">
        <v>0.47</v>
      </c>
      <c r="L45" s="40">
        <v>0.47</v>
      </c>
      <c r="M45" s="40">
        <v>0.48</v>
      </c>
      <c r="N45" s="26"/>
      <c r="O45" s="26">
        <v>0.48</v>
      </c>
      <c r="P45" s="40">
        <v>0.45</v>
      </c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/>
      <c r="H46" s="40"/>
      <c r="I46" s="26">
        <v>20.6</v>
      </c>
      <c r="J46" s="26">
        <v>19.100000000000001</v>
      </c>
      <c r="K46" s="26">
        <v>20.2</v>
      </c>
      <c r="L46" s="40">
        <v>20</v>
      </c>
      <c r="M46" s="40">
        <v>20.5</v>
      </c>
      <c r="N46" s="26"/>
      <c r="O46" s="26">
        <v>20.399999999999999</v>
      </c>
      <c r="P46" s="40">
        <v>19.2</v>
      </c>
      <c r="Q46" s="40">
        <v>20.2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/>
      <c r="H47" s="40"/>
      <c r="I47" s="26">
        <v>119.9</v>
      </c>
      <c r="J47" s="26">
        <v>192.9</v>
      </c>
      <c r="K47" s="26">
        <v>207.3</v>
      </c>
      <c r="L47" s="40">
        <v>206.8</v>
      </c>
      <c r="M47" s="40">
        <v>214.8</v>
      </c>
      <c r="N47" s="26"/>
      <c r="O47" s="26">
        <v>156.1</v>
      </c>
      <c r="P47" s="40">
        <v>198.1</v>
      </c>
      <c r="Q47" s="40">
        <v>193.2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26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93">
        <v>5.89</v>
      </c>
      <c r="F49" s="26"/>
      <c r="G49" s="26">
        <v>5.28</v>
      </c>
      <c r="H49" s="40"/>
      <c r="I49" s="26">
        <v>5.28</v>
      </c>
      <c r="J49" s="26">
        <v>5.44</v>
      </c>
      <c r="K49" s="26">
        <v>5.54</v>
      </c>
      <c r="L49" s="40">
        <v>4.93</v>
      </c>
      <c r="M49" s="40">
        <v>5.41</v>
      </c>
      <c r="N49" s="26"/>
      <c r="O49" s="26">
        <v>5.39</v>
      </c>
      <c r="P49" s="40">
        <v>5.0999999999999996</v>
      </c>
      <c r="Q49" s="40">
        <v>5.29</v>
      </c>
    </row>
    <row r="50" spans="2:17" ht="20.100000000000001" customHeight="1" x14ac:dyDescent="0.25">
      <c r="B50" s="110" t="s">
        <v>51</v>
      </c>
      <c r="C50" s="110"/>
      <c r="D50" s="110"/>
      <c r="E50" s="93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92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7695-13B8-4971-A8E6-57E51DC7B663}">
  <dimension ref="B1:Q59"/>
  <sheetViews>
    <sheetView view="pageBreakPreview" topLeftCell="B4" zoomScale="85" zoomScaleNormal="60" zoomScaleSheetLayoutView="85" workbookViewId="0">
      <selection activeCell="O55" sqref="O55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95" t="s">
        <v>78</v>
      </c>
      <c r="E10" s="27"/>
      <c r="F10" s="37"/>
      <c r="G10" s="37"/>
      <c r="H10" s="39"/>
      <c r="I10" s="39" t="s">
        <v>99</v>
      </c>
      <c r="J10" s="37" t="s">
        <v>99</v>
      </c>
      <c r="K10" s="37" t="s">
        <v>99</v>
      </c>
      <c r="L10" s="39"/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/>
      <c r="H11" s="40"/>
      <c r="I11" s="40">
        <v>74.900000000000006</v>
      </c>
      <c r="J11" s="26">
        <v>74.2</v>
      </c>
      <c r="K11" s="26">
        <v>74.2</v>
      </c>
      <c r="L11" s="40"/>
      <c r="M11" s="40">
        <v>71.7</v>
      </c>
      <c r="N11" s="26">
        <v>74.400000000000006</v>
      </c>
      <c r="O11" s="26">
        <v>74.3</v>
      </c>
      <c r="P11" s="40">
        <v>79.099999999999994</v>
      </c>
      <c r="Q11" s="40">
        <v>79.099999999999994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/>
      <c r="H12" s="40"/>
      <c r="I12" s="40">
        <v>0</v>
      </c>
      <c r="J12" s="26">
        <v>0</v>
      </c>
      <c r="K12" s="26">
        <v>0</v>
      </c>
      <c r="L12" s="40"/>
      <c r="M12" s="40">
        <v>0.2</v>
      </c>
      <c r="N12" s="26">
        <v>0</v>
      </c>
      <c r="O12" s="26">
        <v>0</v>
      </c>
      <c r="P12" s="40">
        <v>0.2</v>
      </c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/>
      <c r="H13" s="40"/>
      <c r="I13" s="40">
        <v>70.5</v>
      </c>
      <c r="J13" s="26">
        <v>68.5</v>
      </c>
      <c r="K13" s="26">
        <v>68.2</v>
      </c>
      <c r="L13" s="40"/>
      <c r="M13" s="40">
        <v>68.7</v>
      </c>
      <c r="N13" s="26">
        <v>69.900000000000006</v>
      </c>
      <c r="O13" s="26">
        <v>69.8</v>
      </c>
      <c r="P13" s="40">
        <v>75.099999999999994</v>
      </c>
      <c r="Q13" s="40">
        <v>74.900000000000006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/>
      <c r="H14" s="40"/>
      <c r="I14" s="40">
        <v>67.900000000000006</v>
      </c>
      <c r="J14" s="26">
        <v>61</v>
      </c>
      <c r="K14" s="26">
        <v>63.1</v>
      </c>
      <c r="L14" s="40"/>
      <c r="M14" s="40">
        <v>64.7</v>
      </c>
      <c r="N14" s="26">
        <v>68.8</v>
      </c>
      <c r="O14" s="26">
        <v>72.3</v>
      </c>
      <c r="P14" s="40">
        <v>69.900000000000006</v>
      </c>
      <c r="Q14" s="40">
        <v>73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/>
      <c r="H15" s="40"/>
      <c r="I15" s="40">
        <v>50.9</v>
      </c>
      <c r="J15" s="26">
        <v>36.799999999999997</v>
      </c>
      <c r="K15" s="26">
        <v>36.799999999999997</v>
      </c>
      <c r="L15" s="40"/>
      <c r="M15" s="40">
        <v>30.6</v>
      </c>
      <c r="N15" s="26">
        <v>48.4</v>
      </c>
      <c r="O15" s="26">
        <v>47.2</v>
      </c>
      <c r="P15" s="40">
        <v>38.1</v>
      </c>
      <c r="Q15" s="40">
        <v>40.5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/>
      <c r="H16" s="40"/>
      <c r="I16" s="40">
        <v>6.6</v>
      </c>
      <c r="J16" s="26">
        <v>6.6</v>
      </c>
      <c r="K16" s="26">
        <v>6.6</v>
      </c>
      <c r="L16" s="40"/>
      <c r="M16" s="40">
        <v>6.6</v>
      </c>
      <c r="N16" s="26">
        <v>6.6</v>
      </c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/>
      <c r="H17" s="40"/>
      <c r="I17" s="40">
        <v>117</v>
      </c>
      <c r="J17" s="26">
        <v>117.5</v>
      </c>
      <c r="K17" s="26">
        <v>118</v>
      </c>
      <c r="L17" s="40"/>
      <c r="M17" s="40">
        <v>115.8</v>
      </c>
      <c r="N17" s="26">
        <v>116.6</v>
      </c>
      <c r="O17" s="26">
        <v>118.6</v>
      </c>
      <c r="P17" s="40">
        <v>117.8</v>
      </c>
      <c r="Q17" s="40">
        <v>119.6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/>
      <c r="H18" s="40"/>
      <c r="I18" s="40">
        <v>1183</v>
      </c>
      <c r="J18" s="26">
        <v>1197</v>
      </c>
      <c r="K18" s="26">
        <v>1191</v>
      </c>
      <c r="L18" s="40"/>
      <c r="M18" s="40">
        <v>1180</v>
      </c>
      <c r="N18" s="26">
        <v>1192</v>
      </c>
      <c r="O18" s="26">
        <v>1210</v>
      </c>
      <c r="P18" s="40">
        <v>1194</v>
      </c>
      <c r="Q18" s="40">
        <v>1216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/>
      <c r="H19" s="40"/>
      <c r="I19" s="40">
        <v>47288.6</v>
      </c>
      <c r="J19" s="26">
        <v>44877.599999999999</v>
      </c>
      <c r="K19" s="26">
        <v>44868.4</v>
      </c>
      <c r="L19" s="40"/>
      <c r="M19" s="40">
        <v>47173.2</v>
      </c>
      <c r="N19" s="26">
        <v>46505.1</v>
      </c>
      <c r="O19" s="26">
        <v>46496</v>
      </c>
      <c r="P19" s="40">
        <v>48388.5</v>
      </c>
      <c r="Q19" s="40">
        <v>48379.4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/>
      <c r="H22" s="40"/>
      <c r="I22" s="40">
        <v>59.2</v>
      </c>
      <c r="J22" s="26">
        <v>57.9</v>
      </c>
      <c r="K22" s="26">
        <v>57.5</v>
      </c>
      <c r="L22" s="40"/>
      <c r="M22" s="40">
        <v>57.5</v>
      </c>
      <c r="N22" s="26">
        <v>58.7</v>
      </c>
      <c r="O22" s="26">
        <v>58.9</v>
      </c>
      <c r="P22" s="40">
        <v>59.2</v>
      </c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/>
      <c r="H23" s="40"/>
      <c r="I23" s="40">
        <v>0.5</v>
      </c>
      <c r="J23" s="26">
        <v>0.59</v>
      </c>
      <c r="K23" s="26">
        <v>0.59</v>
      </c>
      <c r="L23" s="40"/>
      <c r="M23" s="40">
        <v>0.52</v>
      </c>
      <c r="N23" s="26">
        <v>0.48</v>
      </c>
      <c r="O23" s="26">
        <v>0.48</v>
      </c>
      <c r="P23" s="40">
        <v>0.47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/>
      <c r="H25" s="40"/>
      <c r="I25" s="26">
        <v>45.1</v>
      </c>
      <c r="J25" s="26">
        <v>45</v>
      </c>
      <c r="K25" s="26">
        <v>45</v>
      </c>
      <c r="L25" s="40"/>
      <c r="M25" s="40">
        <v>45.1</v>
      </c>
      <c r="N25" s="26">
        <v>44.9</v>
      </c>
      <c r="O25" s="26">
        <v>44.9</v>
      </c>
      <c r="P25" s="40">
        <v>45.2</v>
      </c>
      <c r="Q25" s="40">
        <v>45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/>
      <c r="H26" s="40"/>
      <c r="I26" s="26">
        <v>0.22</v>
      </c>
      <c r="J26" s="26">
        <v>0.24</v>
      </c>
      <c r="K26" s="26">
        <v>0.22</v>
      </c>
      <c r="L26" s="40"/>
      <c r="M26" s="40">
        <v>0.22</v>
      </c>
      <c r="N26" s="26">
        <v>0.22</v>
      </c>
      <c r="O26" s="26">
        <v>0.23</v>
      </c>
      <c r="P26" s="40">
        <v>0.23</v>
      </c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/>
      <c r="H27" s="40"/>
      <c r="I27" s="26">
        <v>3.9</v>
      </c>
      <c r="J27" s="26">
        <v>4.3</v>
      </c>
      <c r="K27" s="26">
        <v>4.0999999999999996</v>
      </c>
      <c r="L27" s="40"/>
      <c r="M27" s="40">
        <v>4.0999999999999996</v>
      </c>
      <c r="N27" s="26">
        <v>4.0999999999999996</v>
      </c>
      <c r="O27" s="26">
        <v>4.5999999999999996</v>
      </c>
      <c r="P27" s="40">
        <v>3.5</v>
      </c>
      <c r="Q27" s="40">
        <v>4.4000000000000004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/>
      <c r="H28" s="40"/>
      <c r="I28" s="26">
        <v>3.2</v>
      </c>
      <c r="J28" s="26">
        <v>3.4</v>
      </c>
      <c r="K28" s="26">
        <v>3.4</v>
      </c>
      <c r="L28" s="40"/>
      <c r="M28" s="40">
        <v>3.6</v>
      </c>
      <c r="N28" s="26">
        <v>3.5</v>
      </c>
      <c r="O28" s="26">
        <v>3.5</v>
      </c>
      <c r="P28" s="40">
        <v>3.3</v>
      </c>
      <c r="Q28" s="40">
        <v>3.3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</v>
      </c>
      <c r="H29" s="41">
        <f t="shared" si="0"/>
        <v>0</v>
      </c>
      <c r="I29" s="41">
        <f t="shared" si="0"/>
        <v>2.0999999999999996</v>
      </c>
      <c r="J29" s="41">
        <f t="shared" si="0"/>
        <v>1.0000000000000004</v>
      </c>
      <c r="K29" s="41">
        <f t="shared" si="0"/>
        <v>1.4</v>
      </c>
      <c r="L29" s="41">
        <f t="shared" si="0"/>
        <v>0</v>
      </c>
      <c r="M29" s="41">
        <f t="shared" si="0"/>
        <v>0.69999999999999973</v>
      </c>
      <c r="N29" s="41">
        <f t="shared" si="0"/>
        <v>0.5</v>
      </c>
      <c r="O29" s="41">
        <f t="shared" si="0"/>
        <v>1.2999999999999998</v>
      </c>
      <c r="P29" s="41">
        <f t="shared" si="0"/>
        <v>1.1000000000000005</v>
      </c>
      <c r="Q29" s="41">
        <f t="shared" si="0"/>
        <v>1.9000000000000004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/>
      <c r="H30" s="40"/>
      <c r="I30" s="26">
        <v>667.1</v>
      </c>
      <c r="J30" s="26">
        <v>672.72</v>
      </c>
      <c r="K30" s="26">
        <v>645.32000000000005</v>
      </c>
      <c r="L30" s="40"/>
      <c r="M30" s="40">
        <v>642.6</v>
      </c>
      <c r="N30" s="26">
        <v>666.24</v>
      </c>
      <c r="O30" s="26">
        <v>655.8</v>
      </c>
      <c r="P30" s="40">
        <v>649.6</v>
      </c>
      <c r="Q30" s="40">
        <v>662.9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/>
      <c r="H31" s="40"/>
      <c r="I31" s="26">
        <v>13.5</v>
      </c>
      <c r="J31" s="26">
        <v>12.9</v>
      </c>
      <c r="K31" s="26">
        <v>13.6</v>
      </c>
      <c r="L31" s="40"/>
      <c r="M31" s="40">
        <v>13.3</v>
      </c>
      <c r="N31" s="26">
        <v>12.3</v>
      </c>
      <c r="O31" s="26">
        <v>13.6</v>
      </c>
      <c r="P31" s="40">
        <v>12.5</v>
      </c>
      <c r="Q31" s="40">
        <v>13.7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/>
      <c r="H32" s="40"/>
      <c r="I32" s="26">
        <v>5.3</v>
      </c>
      <c r="J32" s="26">
        <v>4.4000000000000004</v>
      </c>
      <c r="K32" s="26">
        <v>4.8</v>
      </c>
      <c r="L32" s="40"/>
      <c r="M32" s="40">
        <v>4.3</v>
      </c>
      <c r="N32" s="26">
        <v>4</v>
      </c>
      <c r="O32" s="26">
        <v>4.8</v>
      </c>
      <c r="P32" s="40">
        <v>4.4000000000000004</v>
      </c>
      <c r="Q32" s="40">
        <v>5.2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0</v>
      </c>
      <c r="H33" s="41">
        <f t="shared" si="1"/>
        <v>0</v>
      </c>
      <c r="I33" s="41">
        <f t="shared" si="1"/>
        <v>8.1999999999999993</v>
      </c>
      <c r="J33" s="41">
        <f t="shared" si="1"/>
        <v>8.5</v>
      </c>
      <c r="K33" s="41">
        <f t="shared" si="1"/>
        <v>8.8000000000000007</v>
      </c>
      <c r="L33" s="41">
        <f t="shared" si="1"/>
        <v>0</v>
      </c>
      <c r="M33" s="41">
        <f t="shared" si="1"/>
        <v>9</v>
      </c>
      <c r="N33" s="41">
        <f t="shared" si="1"/>
        <v>8.3000000000000007</v>
      </c>
      <c r="O33" s="41">
        <f t="shared" si="1"/>
        <v>8.8000000000000007</v>
      </c>
      <c r="P33" s="41">
        <f t="shared" si="1"/>
        <v>8.1</v>
      </c>
      <c r="Q33" s="41">
        <f t="shared" si="1"/>
        <v>8.5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0</v>
      </c>
      <c r="H34" s="42">
        <f t="shared" si="2"/>
        <v>0</v>
      </c>
      <c r="I34" s="42">
        <f t="shared" si="2"/>
        <v>6316.6512702078517</v>
      </c>
      <c r="J34" s="42">
        <f t="shared" si="2"/>
        <v>6602.9099307159349</v>
      </c>
      <c r="K34" s="42">
        <f t="shared" si="2"/>
        <v>6557.5242494226341</v>
      </c>
      <c r="L34" s="42">
        <f t="shared" si="2"/>
        <v>0</v>
      </c>
      <c r="M34" s="42">
        <f t="shared" si="2"/>
        <v>6678.2909930715941</v>
      </c>
      <c r="N34" s="42">
        <f t="shared" si="2"/>
        <v>6385.4411085450347</v>
      </c>
      <c r="O34" s="42">
        <f t="shared" si="2"/>
        <v>6664.0184757505776</v>
      </c>
      <c r="P34" s="42">
        <f t="shared" si="2"/>
        <v>6075.9353348729792</v>
      </c>
      <c r="Q34" s="42">
        <f t="shared" si="2"/>
        <v>6506.5242494226322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/>
      <c r="H35" s="40"/>
      <c r="I35" s="26">
        <v>0.87</v>
      </c>
      <c r="J35" s="26">
        <v>0.86</v>
      </c>
      <c r="K35" s="26">
        <v>0.85</v>
      </c>
      <c r="L35" s="40"/>
      <c r="M35" s="40">
        <v>0.85</v>
      </c>
      <c r="N35" s="26">
        <v>0.84</v>
      </c>
      <c r="O35" s="26">
        <v>0.84</v>
      </c>
      <c r="P35" s="40">
        <v>0.84</v>
      </c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/>
      <c r="H36" s="40"/>
      <c r="I36" s="26">
        <v>37.299999999999997</v>
      </c>
      <c r="J36" s="26">
        <v>36.799999999999997</v>
      </c>
      <c r="K36" s="26">
        <v>37.1</v>
      </c>
      <c r="L36" s="40"/>
      <c r="M36" s="40">
        <v>37.299999999999997</v>
      </c>
      <c r="N36" s="26">
        <v>36.799999999999997</v>
      </c>
      <c r="O36" s="26">
        <v>37.1</v>
      </c>
      <c r="P36" s="40">
        <v>36.700000000000003</v>
      </c>
      <c r="Q36" s="40">
        <v>37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/>
      <c r="H37" s="40"/>
      <c r="I37" s="26">
        <v>38.299999999999997</v>
      </c>
      <c r="J37" s="26">
        <v>37.9</v>
      </c>
      <c r="K37" s="26">
        <v>37.700000000000003</v>
      </c>
      <c r="L37" s="40"/>
      <c r="M37" s="40">
        <v>37.799999999999997</v>
      </c>
      <c r="N37" s="26">
        <v>37.4</v>
      </c>
      <c r="O37" s="26">
        <v>37.4</v>
      </c>
      <c r="P37" s="40">
        <v>37</v>
      </c>
      <c r="Q37" s="40">
        <v>37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0</v>
      </c>
      <c r="H38" s="41">
        <f t="shared" si="3"/>
        <v>0</v>
      </c>
      <c r="I38" s="41">
        <f t="shared" si="3"/>
        <v>4.1999999999999957</v>
      </c>
      <c r="J38" s="41">
        <f t="shared" si="3"/>
        <v>3.6000000000000014</v>
      </c>
      <c r="K38" s="41">
        <f t="shared" si="3"/>
        <v>2.7000000000000028</v>
      </c>
      <c r="L38" s="41">
        <f t="shared" si="3"/>
        <v>0</v>
      </c>
      <c r="M38" s="41">
        <f t="shared" si="3"/>
        <v>3.5999999999999943</v>
      </c>
      <c r="N38" s="41">
        <f t="shared" si="3"/>
        <v>3.1000000000000014</v>
      </c>
      <c r="O38" s="41">
        <f t="shared" si="3"/>
        <v>2.1999999999999957</v>
      </c>
      <c r="P38" s="41">
        <f t="shared" si="3"/>
        <v>2.7000000000000028</v>
      </c>
      <c r="Q38" s="41">
        <f t="shared" si="3"/>
        <v>2.2999999999999972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/>
      <c r="H40" s="40"/>
      <c r="I40" s="26">
        <v>29.2</v>
      </c>
      <c r="J40" s="26">
        <v>29</v>
      </c>
      <c r="K40" s="26">
        <v>29.5</v>
      </c>
      <c r="L40" s="40"/>
      <c r="M40" s="40">
        <v>29.2</v>
      </c>
      <c r="N40" s="26">
        <v>29.8</v>
      </c>
      <c r="O40" s="26">
        <v>28.9</v>
      </c>
      <c r="P40" s="40">
        <v>29.1</v>
      </c>
      <c r="Q40" s="40">
        <v>29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/>
      <c r="H41" s="40"/>
      <c r="I41" s="26">
        <v>34.1</v>
      </c>
      <c r="J41" s="26">
        <v>34.299999999999997</v>
      </c>
      <c r="K41" s="26">
        <v>35</v>
      </c>
      <c r="L41" s="40"/>
      <c r="M41" s="40">
        <v>34.200000000000003</v>
      </c>
      <c r="N41" s="26">
        <v>34.299999999999997</v>
      </c>
      <c r="O41" s="26">
        <v>35.200000000000003</v>
      </c>
      <c r="P41" s="40">
        <v>34.299999999999997</v>
      </c>
      <c r="Q41" s="40">
        <v>34.700000000000003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0</v>
      </c>
      <c r="H42" s="41">
        <f t="shared" si="4"/>
        <v>0</v>
      </c>
      <c r="I42" s="41">
        <f t="shared" si="4"/>
        <v>4.9000000000000021</v>
      </c>
      <c r="J42" s="41">
        <f t="shared" si="4"/>
        <v>5.2999999999999972</v>
      </c>
      <c r="K42" s="41">
        <f t="shared" si="4"/>
        <v>5.5</v>
      </c>
      <c r="L42" s="41">
        <f t="shared" si="4"/>
        <v>0</v>
      </c>
      <c r="M42" s="41">
        <f t="shared" si="4"/>
        <v>5.0000000000000036</v>
      </c>
      <c r="N42" s="41">
        <f t="shared" si="4"/>
        <v>4.4999999999999964</v>
      </c>
      <c r="O42" s="41">
        <f t="shared" si="4"/>
        <v>6.3000000000000043</v>
      </c>
      <c r="P42" s="41">
        <f t="shared" si="4"/>
        <v>5.1999999999999957</v>
      </c>
      <c r="Q42" s="41">
        <f t="shared" si="4"/>
        <v>5.7000000000000028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/>
      <c r="H43" s="40"/>
      <c r="I43" s="26">
        <v>1301</v>
      </c>
      <c r="J43" s="26">
        <v>1292.76</v>
      </c>
      <c r="K43" s="26">
        <v>1298.4000000000001</v>
      </c>
      <c r="L43" s="40"/>
      <c r="M43" s="26">
        <v>1276.8</v>
      </c>
      <c r="N43" s="26">
        <v>1150.3800000000001</v>
      </c>
      <c r="O43" s="26">
        <v>1105.9000000000001</v>
      </c>
      <c r="P43" s="40">
        <v>1260</v>
      </c>
      <c r="Q43" s="40">
        <v>1273.3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0</v>
      </c>
      <c r="H44" s="42">
        <f t="shared" si="5"/>
        <v>0</v>
      </c>
      <c r="I44" s="42">
        <f t="shared" si="5"/>
        <v>7361.3163972286402</v>
      </c>
      <c r="J44" s="42">
        <f t="shared" si="5"/>
        <v>7911.8106235565774</v>
      </c>
      <c r="K44" s="42">
        <f t="shared" si="5"/>
        <v>8246.189376443419</v>
      </c>
      <c r="L44" s="42">
        <f t="shared" si="5"/>
        <v>0</v>
      </c>
      <c r="M44" s="42">
        <f t="shared" si="5"/>
        <v>7371.8244803695206</v>
      </c>
      <c r="N44" s="42">
        <f t="shared" si="5"/>
        <v>5977.7251732101577</v>
      </c>
      <c r="O44" s="42">
        <f t="shared" si="5"/>
        <v>8045.2309468822232</v>
      </c>
      <c r="P44" s="42">
        <f t="shared" si="5"/>
        <v>7565.8198614318644</v>
      </c>
      <c r="Q44" s="42">
        <f t="shared" si="5"/>
        <v>8380.8429561200956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/>
      <c r="H45" s="40"/>
      <c r="I45" s="26">
        <v>0.47</v>
      </c>
      <c r="J45" s="26">
        <v>0.46</v>
      </c>
      <c r="K45" s="26">
        <v>0.47</v>
      </c>
      <c r="L45" s="40"/>
      <c r="M45" s="40">
        <v>0.47</v>
      </c>
      <c r="N45" s="26">
        <v>0.46</v>
      </c>
      <c r="O45" s="26">
        <v>0.47</v>
      </c>
      <c r="P45" s="40">
        <v>0.46</v>
      </c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/>
      <c r="H46" s="40"/>
      <c r="I46" s="26">
        <v>20.399999999999999</v>
      </c>
      <c r="J46" s="26">
        <v>19.8</v>
      </c>
      <c r="K46" s="26">
        <v>19.899999999999999</v>
      </c>
      <c r="L46" s="40"/>
      <c r="M46" s="40">
        <v>20.5</v>
      </c>
      <c r="N46" s="26">
        <v>19.8</v>
      </c>
      <c r="O46" s="26">
        <v>20.2</v>
      </c>
      <c r="P46" s="40">
        <v>19.7</v>
      </c>
      <c r="Q46" s="40">
        <v>20.2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/>
      <c r="H47" s="40"/>
      <c r="I47" s="26">
        <v>124.3</v>
      </c>
      <c r="J47" s="26">
        <v>213.2</v>
      </c>
      <c r="K47" s="26">
        <v>212.7</v>
      </c>
      <c r="L47" s="40"/>
      <c r="M47" s="40">
        <v>212.9</v>
      </c>
      <c r="N47" s="26">
        <v>160.19999999999999</v>
      </c>
      <c r="O47" s="26">
        <v>163.30000000000001</v>
      </c>
      <c r="P47" s="40">
        <v>198.1</v>
      </c>
      <c r="Q47" s="40">
        <v>208.1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26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95">
        <v>5.89</v>
      </c>
      <c r="F49" s="26"/>
      <c r="G49" s="26">
        <v>5.28</v>
      </c>
      <c r="H49" s="40"/>
      <c r="I49" s="26">
        <v>5.21</v>
      </c>
      <c r="J49" s="26">
        <v>5.25</v>
      </c>
      <c r="K49" s="26">
        <v>5.52</v>
      </c>
      <c r="L49" s="40"/>
      <c r="M49" s="40">
        <v>5.6</v>
      </c>
      <c r="N49" s="26">
        <v>5.23</v>
      </c>
      <c r="O49" s="26">
        <v>5.39</v>
      </c>
      <c r="P49" s="40">
        <v>5.26</v>
      </c>
      <c r="Q49" s="40">
        <v>5.26</v>
      </c>
    </row>
    <row r="50" spans="2:17" ht="20.100000000000001" customHeight="1" x14ac:dyDescent="0.25">
      <c r="B50" s="110" t="s">
        <v>51</v>
      </c>
      <c r="C50" s="110"/>
      <c r="D50" s="110"/>
      <c r="E50" s="95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94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8BB1-F3B2-46F6-8BA6-E2B2BAACEE41}">
  <dimension ref="B1:Q59"/>
  <sheetViews>
    <sheetView view="pageBreakPreview" zoomScale="85" zoomScaleNormal="60" zoomScaleSheetLayoutView="85" workbookViewId="0">
      <selection activeCell="P50" sqref="P50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97" t="s">
        <v>78</v>
      </c>
      <c r="E10" s="27"/>
      <c r="F10" s="37"/>
      <c r="G10" s="37"/>
      <c r="H10" s="39" t="s">
        <v>99</v>
      </c>
      <c r="I10" s="39" t="s">
        <v>99</v>
      </c>
      <c r="J10" s="37"/>
      <c r="K10" s="37" t="s">
        <v>99</v>
      </c>
      <c r="L10" s="39"/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/>
      <c r="H11" s="40">
        <v>74.400000000000006</v>
      </c>
      <c r="I11" s="40">
        <v>77.7</v>
      </c>
      <c r="J11" s="26"/>
      <c r="K11" s="26">
        <v>74.3</v>
      </c>
      <c r="L11" s="40"/>
      <c r="M11" s="40">
        <v>72.8</v>
      </c>
      <c r="N11" s="26">
        <v>74.400000000000006</v>
      </c>
      <c r="O11" s="26">
        <v>74.400000000000006</v>
      </c>
      <c r="P11" s="40">
        <v>79.099999999999994</v>
      </c>
      <c r="Q11" s="40">
        <v>79.099999999999994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/>
      <c r="H12" s="40">
        <v>0</v>
      </c>
      <c r="I12" s="40">
        <v>0</v>
      </c>
      <c r="J12" s="26"/>
      <c r="K12" s="26">
        <v>0</v>
      </c>
      <c r="L12" s="40"/>
      <c r="M12" s="40">
        <v>0.1</v>
      </c>
      <c r="N12" s="26">
        <v>0</v>
      </c>
      <c r="O12" s="26">
        <v>0</v>
      </c>
      <c r="P12" s="40">
        <v>0.2</v>
      </c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/>
      <c r="H13" s="40">
        <v>71.400000000000006</v>
      </c>
      <c r="I13" s="40">
        <v>73.2</v>
      </c>
      <c r="J13" s="26"/>
      <c r="K13" s="26">
        <v>68.5</v>
      </c>
      <c r="L13" s="40"/>
      <c r="M13" s="40">
        <v>67.900000000000006</v>
      </c>
      <c r="N13" s="26">
        <v>69.900000000000006</v>
      </c>
      <c r="O13" s="26">
        <v>69.3</v>
      </c>
      <c r="P13" s="40">
        <v>75.099999999999994</v>
      </c>
      <c r="Q13" s="40">
        <v>74.900000000000006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/>
      <c r="H14" s="40">
        <v>68.900000000000006</v>
      </c>
      <c r="I14" s="40">
        <v>66.5</v>
      </c>
      <c r="J14" s="26"/>
      <c r="K14" s="26">
        <v>62.7</v>
      </c>
      <c r="L14" s="40"/>
      <c r="M14" s="40">
        <v>65.8</v>
      </c>
      <c r="N14" s="26">
        <v>73</v>
      </c>
      <c r="O14" s="26">
        <v>70.400000000000006</v>
      </c>
      <c r="P14" s="40">
        <v>73.8</v>
      </c>
      <c r="Q14" s="40">
        <v>71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/>
      <c r="H15" s="40">
        <v>71.400000000000006</v>
      </c>
      <c r="I15" s="40">
        <v>47.5</v>
      </c>
      <c r="J15" s="26"/>
      <c r="K15" s="26">
        <v>38.299999999999997</v>
      </c>
      <c r="L15" s="40"/>
      <c r="M15" s="40">
        <v>31.5</v>
      </c>
      <c r="N15" s="26">
        <v>45.7</v>
      </c>
      <c r="O15" s="26">
        <v>46.1</v>
      </c>
      <c r="P15" s="40">
        <v>38.700000000000003</v>
      </c>
      <c r="Q15" s="40">
        <v>41.8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/>
      <c r="H16" s="40">
        <v>6.6</v>
      </c>
      <c r="I16" s="40">
        <v>6.6</v>
      </c>
      <c r="J16" s="26"/>
      <c r="K16" s="26">
        <v>6.6</v>
      </c>
      <c r="L16" s="40"/>
      <c r="M16" s="40">
        <v>6.6</v>
      </c>
      <c r="N16" s="26">
        <v>6.6</v>
      </c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/>
      <c r="H17" s="40">
        <v>117.1</v>
      </c>
      <c r="I17" s="40">
        <v>117</v>
      </c>
      <c r="J17" s="26"/>
      <c r="K17" s="26">
        <v>118.1</v>
      </c>
      <c r="L17" s="40"/>
      <c r="M17" s="40">
        <v>117.4</v>
      </c>
      <c r="N17" s="26">
        <v>119.2</v>
      </c>
      <c r="O17" s="26">
        <v>117.1</v>
      </c>
      <c r="P17" s="40">
        <v>119.6</v>
      </c>
      <c r="Q17" s="40">
        <v>118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/>
      <c r="H18" s="40">
        <v>1180</v>
      </c>
      <c r="I18" s="40">
        <v>1186</v>
      </c>
      <c r="J18" s="26"/>
      <c r="K18" s="26">
        <v>1190</v>
      </c>
      <c r="L18" s="40"/>
      <c r="M18" s="40">
        <v>1198</v>
      </c>
      <c r="N18" s="26">
        <v>1212</v>
      </c>
      <c r="O18" s="26">
        <v>1197</v>
      </c>
      <c r="P18" s="40">
        <v>1218</v>
      </c>
      <c r="Q18" s="40">
        <v>1199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/>
      <c r="H19" s="40">
        <v>47307</v>
      </c>
      <c r="I19" s="40">
        <v>47297.8</v>
      </c>
      <c r="J19" s="26"/>
      <c r="K19" s="26">
        <v>44891.8</v>
      </c>
      <c r="L19" s="40"/>
      <c r="M19" s="40">
        <v>47184.1</v>
      </c>
      <c r="N19" s="26">
        <v>46529</v>
      </c>
      <c r="O19" s="26">
        <v>46519.4</v>
      </c>
      <c r="P19" s="40">
        <v>48412</v>
      </c>
      <c r="Q19" s="40">
        <v>48402.8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/>
      <c r="H22" s="40">
        <v>59.3</v>
      </c>
      <c r="I22" s="40">
        <v>59.2</v>
      </c>
      <c r="J22" s="26"/>
      <c r="K22" s="26">
        <v>57.8</v>
      </c>
      <c r="L22" s="40"/>
      <c r="M22" s="40">
        <v>57.4</v>
      </c>
      <c r="N22" s="26">
        <v>58.9</v>
      </c>
      <c r="O22" s="26">
        <v>58.5</v>
      </c>
      <c r="P22" s="40">
        <v>59.7</v>
      </c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/>
      <c r="H23" s="40">
        <v>0.5</v>
      </c>
      <c r="I23" s="40">
        <v>0.49</v>
      </c>
      <c r="J23" s="26"/>
      <c r="K23" s="26">
        <v>0.59</v>
      </c>
      <c r="L23" s="40"/>
      <c r="M23" s="40">
        <v>0.53</v>
      </c>
      <c r="N23" s="26">
        <v>0.48</v>
      </c>
      <c r="O23" s="26">
        <v>0.48</v>
      </c>
      <c r="P23" s="40">
        <v>0.48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/>
      <c r="H25" s="40">
        <v>44.8</v>
      </c>
      <c r="I25" s="26">
        <v>45</v>
      </c>
      <c r="J25" s="26"/>
      <c r="K25" s="26">
        <v>44.8</v>
      </c>
      <c r="L25" s="40"/>
      <c r="M25" s="40">
        <v>44</v>
      </c>
      <c r="N25" s="26">
        <v>45.6</v>
      </c>
      <c r="O25" s="26">
        <v>45</v>
      </c>
      <c r="P25" s="40">
        <v>45.1</v>
      </c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/>
      <c r="H26" s="40">
        <v>0.22</v>
      </c>
      <c r="I26" s="26">
        <v>0.22</v>
      </c>
      <c r="J26" s="26"/>
      <c r="K26" s="26">
        <v>0.23</v>
      </c>
      <c r="L26" s="40"/>
      <c r="M26" s="40">
        <v>0.23</v>
      </c>
      <c r="N26" s="26">
        <v>0.23</v>
      </c>
      <c r="O26" s="26">
        <v>0.22</v>
      </c>
      <c r="P26" s="40">
        <v>0.22</v>
      </c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/>
      <c r="H27" s="40">
        <v>3.9</v>
      </c>
      <c r="I27" s="26">
        <v>3.6</v>
      </c>
      <c r="J27" s="26"/>
      <c r="K27" s="26">
        <v>4.2</v>
      </c>
      <c r="L27" s="40"/>
      <c r="M27" s="40">
        <v>4.8</v>
      </c>
      <c r="N27" s="26">
        <v>4.5</v>
      </c>
      <c r="O27" s="26">
        <v>4.4000000000000004</v>
      </c>
      <c r="P27" s="40">
        <v>4.0999999999999996</v>
      </c>
      <c r="Q27" s="40">
        <v>3.8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/>
      <c r="H28" s="40">
        <v>3.1</v>
      </c>
      <c r="I28" s="26">
        <v>2.8</v>
      </c>
      <c r="J28" s="26"/>
      <c r="K28" s="26">
        <v>3.6</v>
      </c>
      <c r="L28" s="40"/>
      <c r="M28" s="40">
        <v>3.7</v>
      </c>
      <c r="N28" s="26">
        <v>3.7</v>
      </c>
      <c r="O28" s="26">
        <v>3.6</v>
      </c>
      <c r="P28" s="40">
        <v>3.2</v>
      </c>
      <c r="Q28" s="40">
        <v>3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</v>
      </c>
      <c r="H29" s="41">
        <f t="shared" si="0"/>
        <v>1.9999999999999996</v>
      </c>
      <c r="I29" s="41">
        <f t="shared" si="0"/>
        <v>2.1000000000000005</v>
      </c>
      <c r="J29" s="41">
        <f t="shared" si="0"/>
        <v>0</v>
      </c>
      <c r="K29" s="41">
        <f t="shared" si="0"/>
        <v>0.80000000000000027</v>
      </c>
      <c r="L29" s="41">
        <f t="shared" si="0"/>
        <v>0</v>
      </c>
      <c r="M29" s="41">
        <f t="shared" si="0"/>
        <v>1.3999999999999995</v>
      </c>
      <c r="N29" s="41">
        <f t="shared" si="0"/>
        <v>0.89999999999999947</v>
      </c>
      <c r="O29" s="41">
        <f t="shared" si="0"/>
        <v>0.80000000000000027</v>
      </c>
      <c r="P29" s="41">
        <f t="shared" si="0"/>
        <v>1.7999999999999998</v>
      </c>
      <c r="Q29" s="41">
        <f t="shared" si="0"/>
        <v>1.5999999999999996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/>
      <c r="H30" s="40">
        <v>673.76</v>
      </c>
      <c r="I30" s="26">
        <v>658.9</v>
      </c>
      <c r="J30" s="26"/>
      <c r="K30" s="26">
        <v>647.1</v>
      </c>
      <c r="L30" s="40"/>
      <c r="M30" s="40">
        <v>696.9</v>
      </c>
      <c r="N30" s="26">
        <v>664.76</v>
      </c>
      <c r="O30" s="26">
        <v>648.1</v>
      </c>
      <c r="P30" s="40">
        <v>647.52</v>
      </c>
      <c r="Q30" s="40">
        <v>638.1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/>
      <c r="H31" s="40">
        <v>13.1</v>
      </c>
      <c r="I31" s="26">
        <v>13.3</v>
      </c>
      <c r="J31" s="26"/>
      <c r="K31" s="26">
        <v>13.3</v>
      </c>
      <c r="L31" s="40"/>
      <c r="M31" s="40">
        <v>13.4</v>
      </c>
      <c r="N31" s="26">
        <v>13.1</v>
      </c>
      <c r="O31" s="26">
        <v>13.4</v>
      </c>
      <c r="P31" s="40">
        <v>13.3</v>
      </c>
      <c r="Q31" s="40">
        <v>13.4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/>
      <c r="H32" s="40">
        <v>5.0999999999999996</v>
      </c>
      <c r="I32" s="26">
        <v>4.9000000000000004</v>
      </c>
      <c r="J32" s="26"/>
      <c r="K32" s="26">
        <v>4.4000000000000004</v>
      </c>
      <c r="L32" s="40"/>
      <c r="M32" s="40">
        <v>5.0999999999999996</v>
      </c>
      <c r="N32" s="26">
        <v>4.5999999999999996</v>
      </c>
      <c r="O32" s="26">
        <v>4.4000000000000004</v>
      </c>
      <c r="P32" s="40">
        <v>5</v>
      </c>
      <c r="Q32" s="40">
        <v>4.5999999999999996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0</v>
      </c>
      <c r="H33" s="41">
        <f t="shared" si="1"/>
        <v>8</v>
      </c>
      <c r="I33" s="41">
        <f t="shared" si="1"/>
        <v>8.4</v>
      </c>
      <c r="J33" s="41">
        <f t="shared" si="1"/>
        <v>0</v>
      </c>
      <c r="K33" s="41">
        <f t="shared" si="1"/>
        <v>8.9</v>
      </c>
      <c r="L33" s="41">
        <f t="shared" si="1"/>
        <v>0</v>
      </c>
      <c r="M33" s="41">
        <f t="shared" si="1"/>
        <v>8.3000000000000007</v>
      </c>
      <c r="N33" s="41">
        <f t="shared" si="1"/>
        <v>8.5</v>
      </c>
      <c r="O33" s="41">
        <f t="shared" si="1"/>
        <v>9</v>
      </c>
      <c r="P33" s="41">
        <f t="shared" si="1"/>
        <v>8.3000000000000007</v>
      </c>
      <c r="Q33" s="41">
        <f t="shared" si="1"/>
        <v>8.8000000000000007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0</v>
      </c>
      <c r="H34" s="42">
        <f t="shared" si="2"/>
        <v>6224.110854503464</v>
      </c>
      <c r="I34" s="42">
        <f t="shared" si="2"/>
        <v>6391.177829099307</v>
      </c>
      <c r="J34" s="42">
        <f t="shared" si="2"/>
        <v>0</v>
      </c>
      <c r="K34" s="42">
        <f t="shared" si="2"/>
        <v>6650.3348729792151</v>
      </c>
      <c r="L34" s="42">
        <f t="shared" si="2"/>
        <v>0</v>
      </c>
      <c r="M34" s="42">
        <f t="shared" si="2"/>
        <v>6679.2956120092385</v>
      </c>
      <c r="N34" s="42">
        <f t="shared" si="2"/>
        <v>6524.7806004618942</v>
      </c>
      <c r="O34" s="42">
        <f t="shared" si="2"/>
        <v>6735.4503464203244</v>
      </c>
      <c r="P34" s="42">
        <f t="shared" si="2"/>
        <v>6206.023094688222</v>
      </c>
      <c r="Q34" s="42">
        <f t="shared" si="2"/>
        <v>6484.1570438799081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/>
      <c r="H35" s="40">
        <v>0.88</v>
      </c>
      <c r="I35" s="26">
        <v>0.86</v>
      </c>
      <c r="J35" s="26"/>
      <c r="K35" s="26">
        <v>0.85</v>
      </c>
      <c r="L35" s="40"/>
      <c r="M35" s="40">
        <v>0.86</v>
      </c>
      <c r="N35" s="26">
        <v>0.85</v>
      </c>
      <c r="O35" s="26">
        <v>0.82</v>
      </c>
      <c r="P35" s="40">
        <v>0.81</v>
      </c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/>
      <c r="H36" s="40">
        <v>38</v>
      </c>
      <c r="I36" s="26">
        <v>37.299999999999997</v>
      </c>
      <c r="J36" s="26"/>
      <c r="K36" s="26">
        <v>36.799999999999997</v>
      </c>
      <c r="L36" s="40"/>
      <c r="M36" s="40">
        <v>37.5</v>
      </c>
      <c r="N36" s="26">
        <v>37.5</v>
      </c>
      <c r="O36" s="26">
        <v>37.1</v>
      </c>
      <c r="P36" s="40">
        <v>37.299999999999997</v>
      </c>
      <c r="Q36" s="40">
        <v>36.700000000000003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/>
      <c r="H37" s="40">
        <v>38.799999999999997</v>
      </c>
      <c r="I37" s="26">
        <v>38.299999999999997</v>
      </c>
      <c r="J37" s="26"/>
      <c r="K37" s="26">
        <v>37.6</v>
      </c>
      <c r="L37" s="40"/>
      <c r="M37" s="40">
        <v>38</v>
      </c>
      <c r="N37" s="26">
        <v>37.799999999999997</v>
      </c>
      <c r="O37" s="26">
        <v>37.4</v>
      </c>
      <c r="P37" s="40">
        <v>37.4</v>
      </c>
      <c r="Q37" s="40">
        <v>36.799999999999997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0</v>
      </c>
      <c r="H38" s="41">
        <f t="shared" si="3"/>
        <v>4</v>
      </c>
      <c r="I38" s="41">
        <f t="shared" si="3"/>
        <v>4.2999999999999972</v>
      </c>
      <c r="J38" s="41">
        <f t="shared" si="3"/>
        <v>0</v>
      </c>
      <c r="K38" s="41">
        <f t="shared" si="3"/>
        <v>2.8000000000000043</v>
      </c>
      <c r="L38" s="41">
        <f t="shared" si="3"/>
        <v>0</v>
      </c>
      <c r="M38" s="41">
        <f t="shared" si="3"/>
        <v>3.6000000000000014</v>
      </c>
      <c r="N38" s="41">
        <f t="shared" si="3"/>
        <v>2.1999999999999957</v>
      </c>
      <c r="O38" s="41">
        <f t="shared" si="3"/>
        <v>2.2999999999999972</v>
      </c>
      <c r="P38" s="41">
        <f t="shared" si="3"/>
        <v>2.2999999999999972</v>
      </c>
      <c r="Q38" s="41">
        <f t="shared" si="3"/>
        <v>2.1999999999999957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/>
      <c r="H40" s="40">
        <v>29.8</v>
      </c>
      <c r="I40" s="26">
        <v>29.2</v>
      </c>
      <c r="J40" s="26"/>
      <c r="K40" s="26">
        <v>29.2</v>
      </c>
      <c r="L40" s="40"/>
      <c r="M40" s="40">
        <v>29.1</v>
      </c>
      <c r="N40" s="26">
        <v>29.5</v>
      </c>
      <c r="O40" s="26">
        <v>29.1</v>
      </c>
      <c r="P40" s="40">
        <v>29.5</v>
      </c>
      <c r="Q40" s="40">
        <v>29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/>
      <c r="H41" s="40">
        <v>34.799999999999997</v>
      </c>
      <c r="I41" s="26">
        <v>34</v>
      </c>
      <c r="J41" s="26"/>
      <c r="K41" s="26">
        <v>34.799999999999997</v>
      </c>
      <c r="L41" s="40"/>
      <c r="M41" s="40">
        <v>34.4</v>
      </c>
      <c r="N41" s="26">
        <v>35.6</v>
      </c>
      <c r="O41" s="26">
        <v>35.1</v>
      </c>
      <c r="P41" s="40">
        <v>35.1</v>
      </c>
      <c r="Q41" s="40">
        <v>34.6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0</v>
      </c>
      <c r="H42" s="41">
        <f t="shared" si="4"/>
        <v>4.9999999999999964</v>
      </c>
      <c r="I42" s="41">
        <f t="shared" si="4"/>
        <v>4.8000000000000007</v>
      </c>
      <c r="J42" s="41">
        <f t="shared" si="4"/>
        <v>0</v>
      </c>
      <c r="K42" s="41">
        <f t="shared" si="4"/>
        <v>5.5999999999999979</v>
      </c>
      <c r="L42" s="41">
        <f t="shared" si="4"/>
        <v>0</v>
      </c>
      <c r="M42" s="41">
        <f t="shared" si="4"/>
        <v>5.2999999999999972</v>
      </c>
      <c r="N42" s="41">
        <f t="shared" si="4"/>
        <v>6.1000000000000014</v>
      </c>
      <c r="O42" s="41">
        <f t="shared" si="4"/>
        <v>6</v>
      </c>
      <c r="P42" s="41">
        <f t="shared" si="4"/>
        <v>5.6000000000000014</v>
      </c>
      <c r="Q42" s="41">
        <f t="shared" si="4"/>
        <v>5.6000000000000014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/>
      <c r="H43" s="40">
        <v>1299.06</v>
      </c>
      <c r="I43" s="26">
        <v>1298</v>
      </c>
      <c r="J43" s="26"/>
      <c r="K43" s="26">
        <v>1308.7</v>
      </c>
      <c r="L43" s="40"/>
      <c r="M43" s="26">
        <v>1277.2</v>
      </c>
      <c r="N43" s="26">
        <v>1116.6400000000001</v>
      </c>
      <c r="O43" s="26">
        <v>1103.5999999999999</v>
      </c>
      <c r="P43" s="40">
        <v>1292.76</v>
      </c>
      <c r="Q43" s="40">
        <v>1280.2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0</v>
      </c>
      <c r="H44" s="42">
        <f t="shared" si="5"/>
        <v>7500.3464203233198</v>
      </c>
      <c r="I44" s="42">
        <f t="shared" si="5"/>
        <v>7194.4572748267901</v>
      </c>
      <c r="J44" s="42">
        <f t="shared" si="5"/>
        <v>0</v>
      </c>
      <c r="K44" s="42">
        <f t="shared" si="5"/>
        <v>8462.7251732101595</v>
      </c>
      <c r="L44" s="42">
        <f t="shared" si="5"/>
        <v>0</v>
      </c>
      <c r="M44" s="42">
        <f t="shared" si="5"/>
        <v>7816.5819861431828</v>
      </c>
      <c r="N44" s="42">
        <f t="shared" si="5"/>
        <v>7865.4780600461927</v>
      </c>
      <c r="O44" s="42">
        <f t="shared" si="5"/>
        <v>7646.1893764434171</v>
      </c>
      <c r="P44" s="42">
        <f t="shared" si="5"/>
        <v>8359.6489607390322</v>
      </c>
      <c r="Q44" s="42">
        <f t="shared" si="5"/>
        <v>8278.4295612009264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/>
      <c r="H45" s="40">
        <v>0.48</v>
      </c>
      <c r="I45" s="26">
        <v>0.47</v>
      </c>
      <c r="J45" s="26"/>
      <c r="K45" s="26">
        <v>0.47</v>
      </c>
      <c r="L45" s="40"/>
      <c r="M45" s="40">
        <v>0.49</v>
      </c>
      <c r="N45" s="26">
        <v>0.48</v>
      </c>
      <c r="O45" s="26">
        <v>0.47</v>
      </c>
      <c r="P45" s="40">
        <v>0.47</v>
      </c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/>
      <c r="H46" s="40">
        <v>20.7</v>
      </c>
      <c r="I46" s="26">
        <v>20.100000000000001</v>
      </c>
      <c r="J46" s="26"/>
      <c r="K46" s="26">
        <v>20.100000000000001</v>
      </c>
      <c r="L46" s="40"/>
      <c r="M46" s="40">
        <v>20.9</v>
      </c>
      <c r="N46" s="26">
        <v>20.399999999999999</v>
      </c>
      <c r="O46" s="26">
        <v>20</v>
      </c>
      <c r="P46" s="40">
        <v>20.3</v>
      </c>
      <c r="Q46" s="40">
        <v>19.899999999999999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/>
      <c r="H47" s="40">
        <v>128.4</v>
      </c>
      <c r="I47" s="26">
        <v>127.4</v>
      </c>
      <c r="J47" s="26"/>
      <c r="K47" s="26">
        <v>201.3</v>
      </c>
      <c r="L47" s="40"/>
      <c r="M47" s="40">
        <v>209.6</v>
      </c>
      <c r="N47" s="26">
        <v>160.4</v>
      </c>
      <c r="O47" s="26">
        <v>164.4</v>
      </c>
      <c r="P47" s="40">
        <v>202.7</v>
      </c>
      <c r="Q47" s="40">
        <v>201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26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97">
        <v>5.89</v>
      </c>
      <c r="F49" s="26"/>
      <c r="G49" s="26"/>
      <c r="H49" s="40">
        <v>4.92</v>
      </c>
      <c r="I49" s="26">
        <v>5.33</v>
      </c>
      <c r="J49" s="26"/>
      <c r="K49" s="26">
        <v>5.52</v>
      </c>
      <c r="L49" s="40"/>
      <c r="M49" s="40">
        <v>5.18</v>
      </c>
      <c r="N49" s="26">
        <v>5.19</v>
      </c>
      <c r="O49" s="26">
        <v>5.52</v>
      </c>
      <c r="P49" s="40">
        <v>5.07</v>
      </c>
      <c r="Q49" s="40">
        <v>5.44</v>
      </c>
    </row>
    <row r="50" spans="2:17" ht="20.100000000000001" customHeight="1" x14ac:dyDescent="0.25">
      <c r="B50" s="110" t="s">
        <v>51</v>
      </c>
      <c r="C50" s="110"/>
      <c r="D50" s="110"/>
      <c r="E50" s="97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96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9D0D-2534-4772-AA62-E24C004623E9}">
  <dimension ref="B1:Q59"/>
  <sheetViews>
    <sheetView view="pageBreakPreview" zoomScale="85" zoomScaleNormal="60" zoomScaleSheetLayoutView="85" workbookViewId="0">
      <selection activeCell="L50" sqref="L50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99" t="s">
        <v>78</v>
      </c>
      <c r="E10" s="27"/>
      <c r="F10" s="37"/>
      <c r="G10" s="37"/>
      <c r="H10" s="39" t="s">
        <v>99</v>
      </c>
      <c r="I10" s="39" t="s">
        <v>99</v>
      </c>
      <c r="J10" s="37" t="s">
        <v>99</v>
      </c>
      <c r="K10" s="37" t="s">
        <v>99</v>
      </c>
      <c r="L10" s="39" t="s">
        <v>99</v>
      </c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/>
      <c r="H11" s="40">
        <v>80.7</v>
      </c>
      <c r="I11" s="40">
        <v>80.7</v>
      </c>
      <c r="J11" s="26">
        <v>70.7</v>
      </c>
      <c r="K11" s="26">
        <v>72.8</v>
      </c>
      <c r="L11" s="40">
        <v>75.8</v>
      </c>
      <c r="M11" s="40">
        <v>73</v>
      </c>
      <c r="N11" s="26"/>
      <c r="O11" s="26">
        <v>74.400000000000006</v>
      </c>
      <c r="P11" s="40"/>
      <c r="Q11" s="40">
        <v>79.099999999999994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/>
      <c r="H12" s="40">
        <v>0</v>
      </c>
      <c r="I12" s="40">
        <v>0</v>
      </c>
      <c r="J12" s="26">
        <v>0</v>
      </c>
      <c r="K12" s="26">
        <v>0</v>
      </c>
      <c r="L12" s="40">
        <v>0.1</v>
      </c>
      <c r="M12" s="40">
        <v>0.1</v>
      </c>
      <c r="N12" s="26"/>
      <c r="O12" s="26">
        <v>0</v>
      </c>
      <c r="P12" s="40"/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/>
      <c r="H13" s="40">
        <v>76.400000000000006</v>
      </c>
      <c r="I13" s="40">
        <v>76.3</v>
      </c>
      <c r="J13" s="26">
        <v>67.599999999999994</v>
      </c>
      <c r="K13" s="26">
        <v>67.599999999999994</v>
      </c>
      <c r="L13" s="40">
        <v>70.2</v>
      </c>
      <c r="M13" s="40">
        <v>70.5</v>
      </c>
      <c r="N13" s="26"/>
      <c r="O13" s="26">
        <v>69.8</v>
      </c>
      <c r="P13" s="40"/>
      <c r="Q13" s="40">
        <v>75.099999999999994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/>
      <c r="H14" s="40">
        <v>70.8</v>
      </c>
      <c r="I14" s="40">
        <v>68.7</v>
      </c>
      <c r="J14" s="26">
        <v>63.3</v>
      </c>
      <c r="K14" s="26">
        <v>63.8</v>
      </c>
      <c r="L14" s="40">
        <v>64.8</v>
      </c>
      <c r="M14" s="40">
        <v>64.900000000000006</v>
      </c>
      <c r="N14" s="26"/>
      <c r="O14" s="26">
        <v>73</v>
      </c>
      <c r="P14" s="40"/>
      <c r="Q14" s="40">
        <v>73.900000000000006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/>
      <c r="H15" s="40">
        <v>48.6</v>
      </c>
      <c r="I15" s="40">
        <v>51.3</v>
      </c>
      <c r="J15" s="26">
        <v>35.9</v>
      </c>
      <c r="K15" s="26">
        <v>40</v>
      </c>
      <c r="L15" s="40">
        <v>32.299999999999997</v>
      </c>
      <c r="M15" s="40">
        <v>32.299999999999997</v>
      </c>
      <c r="N15" s="26"/>
      <c r="O15" s="26">
        <v>52.3</v>
      </c>
      <c r="P15" s="40"/>
      <c r="Q15" s="40">
        <v>39.299999999999997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/>
      <c r="H16" s="40">
        <v>6.6</v>
      </c>
      <c r="I16" s="40">
        <v>6.6</v>
      </c>
      <c r="J16" s="26">
        <v>6.6</v>
      </c>
      <c r="K16" s="26">
        <v>6.6</v>
      </c>
      <c r="L16" s="40">
        <v>6.6</v>
      </c>
      <c r="M16" s="40">
        <v>6.6</v>
      </c>
      <c r="N16" s="26">
        <v>6.6</v>
      </c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/>
      <c r="H17" s="40">
        <v>120.5</v>
      </c>
      <c r="I17" s="40">
        <v>119.4</v>
      </c>
      <c r="J17" s="26">
        <v>115.9</v>
      </c>
      <c r="K17" s="26">
        <v>116.5</v>
      </c>
      <c r="L17" s="40">
        <v>116.3</v>
      </c>
      <c r="M17" s="40">
        <v>116.1</v>
      </c>
      <c r="N17" s="26"/>
      <c r="O17" s="26">
        <v>118</v>
      </c>
      <c r="P17" s="40"/>
      <c r="Q17" s="40">
        <v>118.4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/>
      <c r="H18" s="40">
        <v>1219</v>
      </c>
      <c r="I18" s="40">
        <v>1202</v>
      </c>
      <c r="J18" s="26">
        <v>1183</v>
      </c>
      <c r="K18" s="26">
        <v>1178</v>
      </c>
      <c r="L18" s="40">
        <v>1195</v>
      </c>
      <c r="M18" s="40">
        <v>1187</v>
      </c>
      <c r="N18" s="26"/>
      <c r="O18" s="26">
        <v>1201</v>
      </c>
      <c r="P18" s="40"/>
      <c r="Q18" s="40">
        <v>1202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/>
      <c r="H19" s="40">
        <v>47331</v>
      </c>
      <c r="I19" s="40">
        <v>47446.2</v>
      </c>
      <c r="J19" s="26">
        <v>44911.6</v>
      </c>
      <c r="K19" s="26">
        <v>449903.8</v>
      </c>
      <c r="L19" s="40">
        <v>47203.1</v>
      </c>
      <c r="M19" s="40">
        <v>47195.3</v>
      </c>
      <c r="N19" s="26"/>
      <c r="O19" s="26">
        <v>46544.800000000003</v>
      </c>
      <c r="P19" s="40"/>
      <c r="Q19" s="40">
        <v>48428.2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/>
      <c r="H22" s="40">
        <v>59.2</v>
      </c>
      <c r="I22" s="40">
        <v>59.5</v>
      </c>
      <c r="J22" s="26">
        <v>58</v>
      </c>
      <c r="K22" s="26">
        <v>57.5</v>
      </c>
      <c r="L22" s="40">
        <v>57.2</v>
      </c>
      <c r="M22" s="40">
        <v>57.4</v>
      </c>
      <c r="N22" s="26"/>
      <c r="O22" s="26">
        <v>58.8</v>
      </c>
      <c r="P22" s="40"/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/>
      <c r="H23" s="40">
        <v>0.49</v>
      </c>
      <c r="I23" s="40">
        <v>0.49</v>
      </c>
      <c r="J23" s="26">
        <v>0.59</v>
      </c>
      <c r="K23" s="26">
        <v>0.59</v>
      </c>
      <c r="L23" s="40">
        <v>0.52</v>
      </c>
      <c r="M23" s="40">
        <v>0.52</v>
      </c>
      <c r="N23" s="26"/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/>
      <c r="H25" s="40">
        <v>45.1</v>
      </c>
      <c r="I25" s="26">
        <v>44.8</v>
      </c>
      <c r="J25" s="26">
        <v>44.9</v>
      </c>
      <c r="K25" s="26">
        <v>45</v>
      </c>
      <c r="L25" s="40">
        <v>45</v>
      </c>
      <c r="M25" s="40">
        <v>45</v>
      </c>
      <c r="N25" s="26"/>
      <c r="O25" s="26">
        <v>44.9</v>
      </c>
      <c r="P25" s="40"/>
      <c r="Q25" s="40">
        <v>45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/>
      <c r="H26" s="40">
        <v>0.22</v>
      </c>
      <c r="I26" s="26">
        <v>0.22</v>
      </c>
      <c r="J26" s="26">
        <v>0.23</v>
      </c>
      <c r="K26" s="26">
        <v>0.23</v>
      </c>
      <c r="L26" s="40">
        <v>0.22</v>
      </c>
      <c r="M26" s="40">
        <v>0.22</v>
      </c>
      <c r="N26" s="26"/>
      <c r="O26" s="26">
        <v>0.23</v>
      </c>
      <c r="P26" s="40"/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/>
      <c r="H27" s="40">
        <v>3.7</v>
      </c>
      <c r="I27" s="26">
        <v>3.4</v>
      </c>
      <c r="J27" s="26">
        <v>4.5</v>
      </c>
      <c r="K27" s="26">
        <v>4.4000000000000004</v>
      </c>
      <c r="L27" s="40">
        <v>4</v>
      </c>
      <c r="M27" s="40">
        <v>4.0999999999999996</v>
      </c>
      <c r="N27" s="26"/>
      <c r="O27" s="26">
        <v>4.4000000000000004</v>
      </c>
      <c r="P27" s="40"/>
      <c r="Q27" s="40">
        <v>4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/>
      <c r="H28" s="40">
        <v>2.9</v>
      </c>
      <c r="I28" s="26">
        <v>2.6</v>
      </c>
      <c r="J28" s="26">
        <v>3.5</v>
      </c>
      <c r="K28" s="26">
        <v>3.7</v>
      </c>
      <c r="L28" s="40">
        <v>2.9</v>
      </c>
      <c r="M28" s="40">
        <v>2.9</v>
      </c>
      <c r="N28" s="26"/>
      <c r="O28" s="26">
        <v>3.1</v>
      </c>
      <c r="P28" s="40"/>
      <c r="Q28" s="40">
        <v>3.2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</v>
      </c>
      <c r="H29" s="41">
        <f t="shared" si="0"/>
        <v>2.3000000000000003</v>
      </c>
      <c r="I29" s="41">
        <f t="shared" si="0"/>
        <v>2.4999999999999996</v>
      </c>
      <c r="J29" s="41">
        <f t="shared" si="0"/>
        <v>0.79999999999999982</v>
      </c>
      <c r="K29" s="41">
        <f t="shared" si="0"/>
        <v>0.59999999999999964</v>
      </c>
      <c r="L29" s="41">
        <f t="shared" si="0"/>
        <v>1.3000000000000003</v>
      </c>
      <c r="M29" s="41">
        <f t="shared" si="0"/>
        <v>1.4</v>
      </c>
      <c r="N29" s="41">
        <f t="shared" si="0"/>
        <v>0</v>
      </c>
      <c r="O29" s="41">
        <f t="shared" si="0"/>
        <v>1.6</v>
      </c>
      <c r="P29" s="41">
        <f t="shared" si="0"/>
        <v>0</v>
      </c>
      <c r="Q29" s="41">
        <f t="shared" si="0"/>
        <v>1.7000000000000002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/>
      <c r="H30" s="40">
        <v>629.9</v>
      </c>
      <c r="I30" s="26">
        <v>660</v>
      </c>
      <c r="J30" s="26">
        <v>632.1</v>
      </c>
      <c r="K30" s="26">
        <v>643.96</v>
      </c>
      <c r="L30" s="40">
        <v>646.20000000000005</v>
      </c>
      <c r="M30" s="40">
        <v>632.79999999999995</v>
      </c>
      <c r="N30" s="26"/>
      <c r="O30" s="26">
        <v>651.20000000000005</v>
      </c>
      <c r="P30" s="40"/>
      <c r="Q30" s="40">
        <v>636.20000000000005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/>
      <c r="H31" s="40">
        <v>14.2</v>
      </c>
      <c r="I31" s="26">
        <v>13.5</v>
      </c>
      <c r="J31" s="26">
        <v>13.2</v>
      </c>
      <c r="K31" s="26">
        <v>13.3</v>
      </c>
      <c r="L31" s="40">
        <v>13.1</v>
      </c>
      <c r="M31" s="40">
        <v>13.3</v>
      </c>
      <c r="N31" s="26"/>
      <c r="O31" s="26">
        <v>13.6</v>
      </c>
      <c r="P31" s="40"/>
      <c r="Q31" s="40">
        <v>13.8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/>
      <c r="H32" s="40">
        <v>5.2</v>
      </c>
      <c r="I32" s="26">
        <v>5.0999999999999996</v>
      </c>
      <c r="J32" s="26">
        <v>4.3</v>
      </c>
      <c r="K32" s="26">
        <v>4.3</v>
      </c>
      <c r="L32" s="40">
        <v>4.2</v>
      </c>
      <c r="M32" s="40">
        <v>4.3</v>
      </c>
      <c r="N32" s="26"/>
      <c r="O32" s="26">
        <v>4.7</v>
      </c>
      <c r="P32" s="40"/>
      <c r="Q32" s="40">
        <v>4.9000000000000004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0</v>
      </c>
      <c r="H33" s="41">
        <f t="shared" si="1"/>
        <v>9</v>
      </c>
      <c r="I33" s="41">
        <f t="shared" si="1"/>
        <v>8.4</v>
      </c>
      <c r="J33" s="41">
        <f t="shared" si="1"/>
        <v>8.8999999999999986</v>
      </c>
      <c r="K33" s="41">
        <f t="shared" si="1"/>
        <v>9</v>
      </c>
      <c r="L33" s="41">
        <f t="shared" si="1"/>
        <v>8.8999999999999986</v>
      </c>
      <c r="M33" s="41">
        <f t="shared" si="1"/>
        <v>9</v>
      </c>
      <c r="N33" s="41">
        <f t="shared" si="1"/>
        <v>0</v>
      </c>
      <c r="O33" s="41">
        <f t="shared" si="1"/>
        <v>8.8999999999999986</v>
      </c>
      <c r="P33" s="41">
        <f t="shared" si="1"/>
        <v>0</v>
      </c>
      <c r="Q33" s="41">
        <f t="shared" si="1"/>
        <v>8.9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0</v>
      </c>
      <c r="H34" s="42">
        <f t="shared" si="2"/>
        <v>6546.3048498845255</v>
      </c>
      <c r="I34" s="42">
        <f t="shared" si="2"/>
        <v>6401.8475750577372</v>
      </c>
      <c r="J34" s="42">
        <f t="shared" si="2"/>
        <v>6496.177829099307</v>
      </c>
      <c r="K34" s="42">
        <f t="shared" si="2"/>
        <v>6692.4249422632802</v>
      </c>
      <c r="L34" s="42">
        <f t="shared" si="2"/>
        <v>6641.0854503464197</v>
      </c>
      <c r="M34" s="42">
        <f t="shared" si="2"/>
        <v>6576.4434180138569</v>
      </c>
      <c r="N34" s="42">
        <f t="shared" si="2"/>
        <v>0</v>
      </c>
      <c r="O34" s="42">
        <f t="shared" si="2"/>
        <v>6692.4711316397224</v>
      </c>
      <c r="P34" s="42">
        <f t="shared" si="2"/>
        <v>0</v>
      </c>
      <c r="Q34" s="42">
        <f t="shared" si="2"/>
        <v>6538.3140877598153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/>
      <c r="H35" s="40">
        <v>0.87</v>
      </c>
      <c r="I35" s="26">
        <v>0.86</v>
      </c>
      <c r="J35" s="26">
        <v>0.84</v>
      </c>
      <c r="K35" s="26">
        <v>0.84</v>
      </c>
      <c r="L35" s="40">
        <v>0.81</v>
      </c>
      <c r="M35" s="40">
        <v>0.81</v>
      </c>
      <c r="N35" s="26"/>
      <c r="O35" s="26">
        <v>0.86</v>
      </c>
      <c r="P35" s="40"/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/>
      <c r="H36" s="40">
        <v>37.200000000000003</v>
      </c>
      <c r="I36" s="26">
        <v>37.1</v>
      </c>
      <c r="J36" s="26">
        <v>36.5</v>
      </c>
      <c r="K36" s="26">
        <v>36.6</v>
      </c>
      <c r="L36" s="40">
        <v>37</v>
      </c>
      <c r="M36" s="40">
        <v>37.1</v>
      </c>
      <c r="N36" s="26"/>
      <c r="O36" s="26">
        <v>36.6</v>
      </c>
      <c r="P36" s="40"/>
      <c r="Q36" s="40">
        <v>36.4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/>
      <c r="H37" s="40">
        <v>38.4</v>
      </c>
      <c r="I37" s="26">
        <v>38.1</v>
      </c>
      <c r="J37" s="26">
        <v>37.200000000000003</v>
      </c>
      <c r="K37" s="26">
        <v>37.299999999999997</v>
      </c>
      <c r="L37" s="40">
        <v>37.4</v>
      </c>
      <c r="M37" s="40">
        <v>37.5</v>
      </c>
      <c r="N37" s="26"/>
      <c r="O37" s="26">
        <v>37</v>
      </c>
      <c r="P37" s="40"/>
      <c r="Q37" s="40">
        <v>36.5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0</v>
      </c>
      <c r="H38" s="41">
        <f t="shared" si="3"/>
        <v>4.6000000000000014</v>
      </c>
      <c r="I38" s="41">
        <f t="shared" si="3"/>
        <v>4.2000000000000028</v>
      </c>
      <c r="J38" s="41">
        <f t="shared" si="3"/>
        <v>2.7000000000000028</v>
      </c>
      <c r="K38" s="41">
        <f t="shared" si="3"/>
        <v>2.7999999999999972</v>
      </c>
      <c r="L38" s="41">
        <f t="shared" si="3"/>
        <v>3.5</v>
      </c>
      <c r="M38" s="41">
        <f t="shared" si="3"/>
        <v>3.6000000000000014</v>
      </c>
      <c r="N38" s="41">
        <f t="shared" si="3"/>
        <v>0</v>
      </c>
      <c r="O38" s="41">
        <f t="shared" si="3"/>
        <v>2.2000000000000028</v>
      </c>
      <c r="P38" s="41">
        <f t="shared" si="3"/>
        <v>0</v>
      </c>
      <c r="Q38" s="41">
        <f t="shared" si="3"/>
        <v>2.2999999999999972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/>
      <c r="H40" s="40">
        <v>29</v>
      </c>
      <c r="I40" s="26">
        <v>28.8</v>
      </c>
      <c r="J40" s="26">
        <v>28.8</v>
      </c>
      <c r="K40" s="26">
        <v>29</v>
      </c>
      <c r="L40" s="40">
        <v>28.6</v>
      </c>
      <c r="M40" s="40">
        <v>28.9</v>
      </c>
      <c r="N40" s="26"/>
      <c r="O40" s="26">
        <v>28.6</v>
      </c>
      <c r="P40" s="40"/>
      <c r="Q40" s="40">
        <v>28.6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/>
      <c r="H41" s="40">
        <v>33.799999999999997</v>
      </c>
      <c r="I41" s="26">
        <v>33.9</v>
      </c>
      <c r="J41" s="26">
        <v>34.5</v>
      </c>
      <c r="K41" s="26">
        <v>34.5</v>
      </c>
      <c r="L41" s="40">
        <v>33.9</v>
      </c>
      <c r="M41" s="40">
        <v>33.9</v>
      </c>
      <c r="N41" s="26"/>
      <c r="O41" s="26">
        <v>34.799999999999997</v>
      </c>
      <c r="P41" s="40"/>
      <c r="Q41" s="40">
        <v>34.200000000000003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0</v>
      </c>
      <c r="H42" s="41">
        <f t="shared" si="4"/>
        <v>4.7999999999999972</v>
      </c>
      <c r="I42" s="41">
        <f t="shared" si="4"/>
        <v>5.0999999999999979</v>
      </c>
      <c r="J42" s="41">
        <f t="shared" si="4"/>
        <v>5.6999999999999993</v>
      </c>
      <c r="K42" s="41">
        <f t="shared" si="4"/>
        <v>5.5</v>
      </c>
      <c r="L42" s="41">
        <f t="shared" si="4"/>
        <v>5.2999999999999972</v>
      </c>
      <c r="M42" s="41">
        <f t="shared" si="4"/>
        <v>5</v>
      </c>
      <c r="N42" s="41">
        <f t="shared" si="4"/>
        <v>0</v>
      </c>
      <c r="O42" s="41">
        <f t="shared" si="4"/>
        <v>6.1999999999999957</v>
      </c>
      <c r="P42" s="41">
        <f t="shared" si="4"/>
        <v>0</v>
      </c>
      <c r="Q42" s="41">
        <f t="shared" si="4"/>
        <v>5.6000000000000014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/>
      <c r="H43" s="40">
        <v>1233.7</v>
      </c>
      <c r="I43" s="26">
        <v>1301.3</v>
      </c>
      <c r="J43" s="26">
        <v>1261.2</v>
      </c>
      <c r="K43" s="26">
        <v>1296.5999999999999</v>
      </c>
      <c r="L43" s="40">
        <v>1255.7</v>
      </c>
      <c r="M43" s="26">
        <v>1294.0999999999999</v>
      </c>
      <c r="N43" s="26"/>
      <c r="O43" s="26">
        <v>1118.0999999999999</v>
      </c>
      <c r="P43" s="40"/>
      <c r="Q43" s="40">
        <v>1297.9000000000001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0</v>
      </c>
      <c r="H44" s="42">
        <f t="shared" si="5"/>
        <v>6838.0600461893728</v>
      </c>
      <c r="I44" s="42">
        <f t="shared" si="5"/>
        <v>7663.5450346420293</v>
      </c>
      <c r="J44" s="42">
        <f t="shared" si="5"/>
        <v>8301.2009237875282</v>
      </c>
      <c r="K44" s="42">
        <f t="shared" si="5"/>
        <v>8234.7575057736722</v>
      </c>
      <c r="L44" s="42">
        <f t="shared" si="5"/>
        <v>7684.9999999999964</v>
      </c>
      <c r="M44" s="42">
        <f t="shared" si="5"/>
        <v>7471.7090069284068</v>
      </c>
      <c r="N44" s="42">
        <f t="shared" si="5"/>
        <v>0</v>
      </c>
      <c r="O44" s="42">
        <f t="shared" si="5"/>
        <v>8004.8729792147751</v>
      </c>
      <c r="P44" s="42">
        <f t="shared" si="5"/>
        <v>0</v>
      </c>
      <c r="Q44" s="42">
        <f t="shared" si="5"/>
        <v>8392.8868360277174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/>
      <c r="H45" s="40">
        <v>0.47</v>
      </c>
      <c r="I45" s="26">
        <v>0.46</v>
      </c>
      <c r="J45" s="26">
        <v>0.46</v>
      </c>
      <c r="K45" s="26">
        <v>47</v>
      </c>
      <c r="L45" s="40">
        <v>0.47</v>
      </c>
      <c r="M45" s="40">
        <v>0.47</v>
      </c>
      <c r="N45" s="26"/>
      <c r="O45" s="26">
        <v>0.47</v>
      </c>
      <c r="P45" s="40"/>
      <c r="Q45" s="40">
        <v>0.46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/>
      <c r="H46" s="40">
        <v>20.100000000000001</v>
      </c>
      <c r="I46" s="26">
        <v>19.899999999999999</v>
      </c>
      <c r="J46" s="26">
        <v>19.5</v>
      </c>
      <c r="K46" s="26">
        <v>20.100000000000001</v>
      </c>
      <c r="L46" s="40">
        <v>20.100000000000001</v>
      </c>
      <c r="M46" s="40">
        <v>20.100000000000001</v>
      </c>
      <c r="N46" s="26"/>
      <c r="O46" s="26">
        <v>20</v>
      </c>
      <c r="P46" s="40"/>
      <c r="Q46" s="40">
        <v>19.8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/>
      <c r="H47" s="40">
        <v>126.9</v>
      </c>
      <c r="I47" s="26">
        <v>124.1</v>
      </c>
      <c r="J47" s="26">
        <v>211.4</v>
      </c>
      <c r="K47" s="26">
        <v>200.2</v>
      </c>
      <c r="L47" s="40">
        <v>203.6</v>
      </c>
      <c r="M47" s="40">
        <v>210.6</v>
      </c>
      <c r="N47" s="26"/>
      <c r="O47" s="26">
        <v>161.30000000000001</v>
      </c>
      <c r="P47" s="40"/>
      <c r="Q47" s="40">
        <v>203.3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26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99">
        <v>5.89</v>
      </c>
      <c r="F49" s="26"/>
      <c r="G49" s="26"/>
      <c r="H49" s="40">
        <v>5.55</v>
      </c>
      <c r="I49" s="26">
        <v>5.2</v>
      </c>
      <c r="J49" s="26">
        <v>5.57</v>
      </c>
      <c r="K49" s="26">
        <v>5.62</v>
      </c>
      <c r="L49" s="40">
        <v>5.57</v>
      </c>
      <c r="M49" s="40">
        <v>5.62</v>
      </c>
      <c r="N49" s="26"/>
      <c r="O49" s="26">
        <v>5.5</v>
      </c>
      <c r="P49" s="40"/>
      <c r="Q49" s="40">
        <v>5.53</v>
      </c>
    </row>
    <row r="50" spans="2:17" ht="20.100000000000001" customHeight="1" x14ac:dyDescent="0.25">
      <c r="B50" s="110" t="s">
        <v>51</v>
      </c>
      <c r="C50" s="110"/>
      <c r="D50" s="110"/>
      <c r="E50" s="99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98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00AD-A7CB-439E-8FD2-3CCF932A752A}">
  <dimension ref="B1:Q59"/>
  <sheetViews>
    <sheetView view="pageBreakPreview" topLeftCell="C4" zoomScale="85" zoomScaleNormal="60" zoomScaleSheetLayoutView="85" workbookViewId="0">
      <selection activeCell="N37" sqref="N37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2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101" t="s">
        <v>78</v>
      </c>
      <c r="E10" s="27"/>
      <c r="F10" s="37" t="s">
        <v>99</v>
      </c>
      <c r="G10" s="37" t="s">
        <v>99</v>
      </c>
      <c r="H10" s="39"/>
      <c r="I10" s="39" t="s">
        <v>99</v>
      </c>
      <c r="J10" s="37"/>
      <c r="K10" s="37" t="s">
        <v>99</v>
      </c>
      <c r="L10" s="39"/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72.599999999999994</v>
      </c>
      <c r="G11" s="26">
        <v>72.5</v>
      </c>
      <c r="H11" s="40"/>
      <c r="I11" s="40">
        <v>80.8</v>
      </c>
      <c r="J11" s="26"/>
      <c r="K11" s="26">
        <v>75.5</v>
      </c>
      <c r="L11" s="40"/>
      <c r="M11" s="40">
        <v>73</v>
      </c>
      <c r="N11" s="26">
        <v>76.099999999999994</v>
      </c>
      <c r="O11" s="26">
        <v>74.400000000000006</v>
      </c>
      <c r="P11" s="40">
        <v>77.7</v>
      </c>
      <c r="Q11" s="40">
        <v>79.099999999999994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0.1</v>
      </c>
      <c r="G12" s="26">
        <v>0.1</v>
      </c>
      <c r="H12" s="40"/>
      <c r="I12" s="40">
        <v>0</v>
      </c>
      <c r="J12" s="26"/>
      <c r="K12" s="26">
        <v>0</v>
      </c>
      <c r="L12" s="40"/>
      <c r="M12" s="40">
        <v>0.1</v>
      </c>
      <c r="N12" s="26">
        <v>0</v>
      </c>
      <c r="O12" s="26">
        <v>0</v>
      </c>
      <c r="P12" s="40">
        <v>0.3</v>
      </c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67.5</v>
      </c>
      <c r="G13" s="26">
        <v>67.3</v>
      </c>
      <c r="H13" s="40"/>
      <c r="I13" s="40">
        <v>77.599999999999994</v>
      </c>
      <c r="J13" s="26"/>
      <c r="K13" s="26">
        <v>70.2</v>
      </c>
      <c r="L13" s="40"/>
      <c r="M13" s="40">
        <v>70.5</v>
      </c>
      <c r="N13" s="26">
        <v>71.5</v>
      </c>
      <c r="O13" s="26">
        <v>69.8</v>
      </c>
      <c r="P13" s="40">
        <v>73.8</v>
      </c>
      <c r="Q13" s="40">
        <v>75.099999999999994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65</v>
      </c>
      <c r="G14" s="26">
        <v>66.099999999999994</v>
      </c>
      <c r="H14" s="40"/>
      <c r="I14" s="40">
        <v>52.4</v>
      </c>
      <c r="J14" s="26"/>
      <c r="K14" s="26">
        <v>63.9</v>
      </c>
      <c r="L14" s="40"/>
      <c r="M14" s="40">
        <v>64.900000000000006</v>
      </c>
      <c r="N14" s="26">
        <v>69.3</v>
      </c>
      <c r="O14" s="26">
        <v>73</v>
      </c>
      <c r="P14" s="40">
        <v>70.900000000000006</v>
      </c>
      <c r="Q14" s="40">
        <v>73.900000000000006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64.2</v>
      </c>
      <c r="G15" s="26">
        <v>62.2</v>
      </c>
      <c r="H15" s="40"/>
      <c r="I15" s="40">
        <v>67.400000000000006</v>
      </c>
      <c r="J15" s="26"/>
      <c r="K15" s="26">
        <v>37.5</v>
      </c>
      <c r="L15" s="40"/>
      <c r="M15" s="40">
        <v>32.299999999999997</v>
      </c>
      <c r="N15" s="26">
        <v>48.9</v>
      </c>
      <c r="O15" s="26">
        <v>52.3</v>
      </c>
      <c r="P15" s="40">
        <v>40.9</v>
      </c>
      <c r="Q15" s="40">
        <v>39.299999999999997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/>
      <c r="I16" s="40">
        <v>6.6</v>
      </c>
      <c r="J16" s="26"/>
      <c r="K16" s="26">
        <v>6.6</v>
      </c>
      <c r="L16" s="40"/>
      <c r="M16" s="40">
        <v>6.6</v>
      </c>
      <c r="N16" s="26">
        <v>6.6</v>
      </c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119.5</v>
      </c>
      <c r="G17" s="26">
        <v>117</v>
      </c>
      <c r="H17" s="40"/>
      <c r="I17" s="40">
        <v>119.4</v>
      </c>
      <c r="J17" s="26"/>
      <c r="K17" s="26">
        <v>116.5</v>
      </c>
      <c r="L17" s="40"/>
      <c r="M17" s="40">
        <v>116.1</v>
      </c>
      <c r="N17" s="26">
        <v>119.7</v>
      </c>
      <c r="O17" s="26">
        <v>118</v>
      </c>
      <c r="P17" s="40">
        <v>119.2</v>
      </c>
      <c r="Q17" s="40">
        <v>118.4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1172</v>
      </c>
      <c r="G18" s="26">
        <v>1153</v>
      </c>
      <c r="H18" s="40"/>
      <c r="I18" s="40">
        <v>1202</v>
      </c>
      <c r="J18" s="26"/>
      <c r="K18" s="26">
        <v>1178</v>
      </c>
      <c r="L18" s="40"/>
      <c r="M18" s="40">
        <v>1187</v>
      </c>
      <c r="N18" s="26">
        <v>1223</v>
      </c>
      <c r="O18" s="26">
        <v>1201</v>
      </c>
      <c r="P18" s="40">
        <v>1215</v>
      </c>
      <c r="Q18" s="40">
        <v>1202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46449.2</v>
      </c>
      <c r="G19" s="26">
        <v>46445.7</v>
      </c>
      <c r="H19" s="40"/>
      <c r="I19" s="40">
        <v>47354.7</v>
      </c>
      <c r="J19" s="26"/>
      <c r="K19" s="26">
        <v>44935.3</v>
      </c>
      <c r="L19" s="40"/>
      <c r="M19" s="40">
        <v>47226.8</v>
      </c>
      <c r="N19" s="26">
        <v>46565.7</v>
      </c>
      <c r="O19" s="26">
        <v>46562.1</v>
      </c>
      <c r="P19" s="40">
        <v>48449</v>
      </c>
      <c r="Q19" s="40">
        <v>48445.4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58.1</v>
      </c>
      <c r="G22" s="26">
        <v>58</v>
      </c>
      <c r="H22" s="40"/>
      <c r="I22" s="40">
        <v>59.4</v>
      </c>
      <c r="J22" s="26"/>
      <c r="K22" s="26">
        <v>57.5</v>
      </c>
      <c r="L22" s="40"/>
      <c r="M22" s="40">
        <v>57.4</v>
      </c>
      <c r="N22" s="26">
        <v>58.7</v>
      </c>
      <c r="O22" s="26">
        <v>58.8</v>
      </c>
      <c r="P22" s="40">
        <v>59.4</v>
      </c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0.53</v>
      </c>
      <c r="G23" s="26">
        <v>0.52</v>
      </c>
      <c r="H23" s="40"/>
      <c r="I23" s="40">
        <v>0.49</v>
      </c>
      <c r="J23" s="26"/>
      <c r="K23" s="26">
        <v>0.59</v>
      </c>
      <c r="L23" s="40"/>
      <c r="M23" s="40">
        <v>0.52</v>
      </c>
      <c r="N23" s="26">
        <v>0.48</v>
      </c>
      <c r="O23" s="26">
        <v>0.48</v>
      </c>
      <c r="P23" s="40">
        <v>0.48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45.1</v>
      </c>
      <c r="G25" s="26">
        <v>45.2</v>
      </c>
      <c r="H25" s="40"/>
      <c r="I25" s="26">
        <v>44.8</v>
      </c>
      <c r="J25" s="26"/>
      <c r="K25" s="26">
        <v>45</v>
      </c>
      <c r="L25" s="40"/>
      <c r="M25" s="40">
        <v>45</v>
      </c>
      <c r="N25" s="26">
        <v>45.1</v>
      </c>
      <c r="O25" s="26">
        <v>44.9</v>
      </c>
      <c r="P25" s="40">
        <v>44.9</v>
      </c>
      <c r="Q25" s="40">
        <v>45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0.23</v>
      </c>
      <c r="G26" s="26">
        <v>0.23</v>
      </c>
      <c r="H26" s="40"/>
      <c r="I26" s="26">
        <v>0.22</v>
      </c>
      <c r="J26" s="26"/>
      <c r="K26" s="26">
        <v>0.23</v>
      </c>
      <c r="L26" s="40"/>
      <c r="M26" s="40">
        <v>0.22</v>
      </c>
      <c r="N26" s="26">
        <v>0.22</v>
      </c>
      <c r="O26" s="26">
        <v>0.23</v>
      </c>
      <c r="P26" s="40">
        <v>0.23</v>
      </c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4.4000000000000004</v>
      </c>
      <c r="G27" s="26">
        <v>4.0999999999999996</v>
      </c>
      <c r="H27" s="40"/>
      <c r="I27" s="26">
        <v>3.4</v>
      </c>
      <c r="J27" s="26"/>
      <c r="K27" s="26">
        <v>4.4000000000000004</v>
      </c>
      <c r="L27" s="40"/>
      <c r="M27" s="40">
        <v>4.0999999999999996</v>
      </c>
      <c r="N27" s="26">
        <v>4.3</v>
      </c>
      <c r="O27" s="26">
        <v>4.4000000000000004</v>
      </c>
      <c r="P27" s="40">
        <v>4.3</v>
      </c>
      <c r="Q27" s="40">
        <v>4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4</v>
      </c>
      <c r="G28" s="26">
        <v>3.7</v>
      </c>
      <c r="H28" s="40"/>
      <c r="I28" s="26">
        <v>2.6</v>
      </c>
      <c r="J28" s="26"/>
      <c r="K28" s="26">
        <v>3.7</v>
      </c>
      <c r="L28" s="40"/>
      <c r="M28" s="40">
        <v>2.9</v>
      </c>
      <c r="N28" s="26">
        <v>3.3</v>
      </c>
      <c r="O28" s="26">
        <v>3.1</v>
      </c>
      <c r="P28" s="40">
        <v>3.2</v>
      </c>
      <c r="Q28" s="40">
        <v>3.2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0.70000000000000018</v>
      </c>
      <c r="G29" s="41">
        <f t="shared" ref="G29:Q29" si="0">G32-G28</f>
        <v>0.70000000000000018</v>
      </c>
      <c r="H29" s="41">
        <f t="shared" si="0"/>
        <v>0</v>
      </c>
      <c r="I29" s="41">
        <f t="shared" si="0"/>
        <v>2.1999999999999997</v>
      </c>
      <c r="J29" s="41">
        <f t="shared" si="0"/>
        <v>0</v>
      </c>
      <c r="K29" s="41">
        <f t="shared" si="0"/>
        <v>0.59999999999999964</v>
      </c>
      <c r="L29" s="41">
        <f t="shared" si="0"/>
        <v>0</v>
      </c>
      <c r="M29" s="41">
        <f t="shared" si="0"/>
        <v>1.4</v>
      </c>
      <c r="N29" s="41">
        <f t="shared" si="0"/>
        <v>1.2000000000000002</v>
      </c>
      <c r="O29" s="41">
        <f t="shared" si="0"/>
        <v>1.6</v>
      </c>
      <c r="P29" s="41">
        <f t="shared" si="0"/>
        <v>1.8999999999999995</v>
      </c>
      <c r="Q29" s="41">
        <f t="shared" si="0"/>
        <v>1.7000000000000002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678.1</v>
      </c>
      <c r="G30" s="26">
        <v>658</v>
      </c>
      <c r="H30" s="40"/>
      <c r="I30" s="26">
        <v>660</v>
      </c>
      <c r="J30" s="26"/>
      <c r="K30" s="26">
        <v>643.96</v>
      </c>
      <c r="L30" s="40"/>
      <c r="M30" s="40">
        <v>632.79999999999995</v>
      </c>
      <c r="N30" s="26">
        <v>674.1</v>
      </c>
      <c r="O30" s="26">
        <v>651.20000000000005</v>
      </c>
      <c r="P30" s="40">
        <v>681.5</v>
      </c>
      <c r="Q30" s="40">
        <v>636.20000000000005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13.2</v>
      </c>
      <c r="G31" s="26">
        <v>13.1</v>
      </c>
      <c r="H31" s="40"/>
      <c r="I31" s="26">
        <v>13.3</v>
      </c>
      <c r="J31" s="26"/>
      <c r="K31" s="26">
        <v>13.3</v>
      </c>
      <c r="L31" s="40"/>
      <c r="M31" s="40">
        <v>13.3</v>
      </c>
      <c r="N31" s="26">
        <v>13.3</v>
      </c>
      <c r="O31" s="26">
        <v>13.6</v>
      </c>
      <c r="P31" s="40">
        <v>13.3</v>
      </c>
      <c r="Q31" s="40">
        <v>13.8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4.7</v>
      </c>
      <c r="G32" s="26">
        <v>4.4000000000000004</v>
      </c>
      <c r="H32" s="40"/>
      <c r="I32" s="26">
        <v>4.8</v>
      </c>
      <c r="J32" s="26"/>
      <c r="K32" s="26">
        <v>4.3</v>
      </c>
      <c r="L32" s="40"/>
      <c r="M32" s="40">
        <v>4.3</v>
      </c>
      <c r="N32" s="26">
        <v>4.5</v>
      </c>
      <c r="O32" s="26">
        <v>4.7</v>
      </c>
      <c r="P32" s="40">
        <v>5.0999999999999996</v>
      </c>
      <c r="Q32" s="40">
        <v>4.9000000000000004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8.5</v>
      </c>
      <c r="G33" s="41">
        <f t="shared" ref="G33:Q33" si="1">G31-G32</f>
        <v>8.6999999999999993</v>
      </c>
      <c r="H33" s="41">
        <f t="shared" si="1"/>
        <v>0</v>
      </c>
      <c r="I33" s="41">
        <f t="shared" si="1"/>
        <v>8.5</v>
      </c>
      <c r="J33" s="41">
        <f t="shared" si="1"/>
        <v>0</v>
      </c>
      <c r="K33" s="41">
        <f t="shared" si="1"/>
        <v>9</v>
      </c>
      <c r="L33" s="41">
        <f t="shared" si="1"/>
        <v>0</v>
      </c>
      <c r="M33" s="41">
        <f t="shared" si="1"/>
        <v>9</v>
      </c>
      <c r="N33" s="41">
        <f t="shared" si="1"/>
        <v>8.8000000000000007</v>
      </c>
      <c r="O33" s="41">
        <f t="shared" si="1"/>
        <v>8.8999999999999986</v>
      </c>
      <c r="P33" s="41">
        <f t="shared" si="1"/>
        <v>8.2000000000000011</v>
      </c>
      <c r="Q33" s="41">
        <f t="shared" si="1"/>
        <v>8.9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6655.7159353348734</v>
      </c>
      <c r="G34" s="42">
        <f t="shared" ref="G34:Q34" si="2">(G33*G30)/0.866</f>
        <v>6610.3926096997684</v>
      </c>
      <c r="H34" s="42">
        <f t="shared" si="2"/>
        <v>0</v>
      </c>
      <c r="I34" s="42">
        <f t="shared" si="2"/>
        <v>6478.0600461893764</v>
      </c>
      <c r="J34" s="42">
        <f t="shared" si="2"/>
        <v>0</v>
      </c>
      <c r="K34" s="42">
        <f t="shared" si="2"/>
        <v>6692.4249422632802</v>
      </c>
      <c r="L34" s="42">
        <f t="shared" si="2"/>
        <v>0</v>
      </c>
      <c r="M34" s="42">
        <f t="shared" si="2"/>
        <v>6576.4434180138569</v>
      </c>
      <c r="N34" s="42">
        <f t="shared" si="2"/>
        <v>6849.9769053117798</v>
      </c>
      <c r="O34" s="42">
        <f t="shared" si="2"/>
        <v>6692.4711316397224</v>
      </c>
      <c r="P34" s="42">
        <f t="shared" si="2"/>
        <v>6453.0023094688231</v>
      </c>
      <c r="Q34" s="42">
        <f t="shared" si="2"/>
        <v>6538.3140877598153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0.85</v>
      </c>
      <c r="G35" s="26">
        <v>0.83</v>
      </c>
      <c r="H35" s="40"/>
      <c r="I35" s="26">
        <v>0.86</v>
      </c>
      <c r="J35" s="26"/>
      <c r="K35" s="26">
        <v>0.84</v>
      </c>
      <c r="L35" s="40"/>
      <c r="M35" s="40">
        <v>0.81</v>
      </c>
      <c r="N35" s="26">
        <v>0.86</v>
      </c>
      <c r="O35" s="26">
        <v>0.86</v>
      </c>
      <c r="P35" s="40">
        <v>0.83</v>
      </c>
      <c r="Q35" s="40">
        <v>0.82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37.299999999999997</v>
      </c>
      <c r="G36" s="26">
        <v>36.200000000000003</v>
      </c>
      <c r="H36" s="40"/>
      <c r="I36" s="26">
        <v>37.1</v>
      </c>
      <c r="J36" s="26"/>
      <c r="K36" s="26">
        <v>36.6</v>
      </c>
      <c r="L36" s="40"/>
      <c r="M36" s="40">
        <v>37.1</v>
      </c>
      <c r="N36" s="26">
        <v>37.6</v>
      </c>
      <c r="O36" s="26">
        <v>36.6</v>
      </c>
      <c r="P36" s="40">
        <v>37.4</v>
      </c>
      <c r="Q36" s="40">
        <v>36.4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37.6</v>
      </c>
      <c r="G37" s="26">
        <v>36.799999999999997</v>
      </c>
      <c r="H37" s="40"/>
      <c r="I37" s="26">
        <v>38.1</v>
      </c>
      <c r="J37" s="26"/>
      <c r="K37" s="26">
        <v>37.299999999999997</v>
      </c>
      <c r="L37" s="40"/>
      <c r="M37" s="40">
        <v>37.5</v>
      </c>
      <c r="N37" s="26">
        <v>37.9</v>
      </c>
      <c r="O37" s="26">
        <v>37</v>
      </c>
      <c r="P37" s="40">
        <v>37.5</v>
      </c>
      <c r="Q37" s="40">
        <v>36.5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2.3000000000000043</v>
      </c>
      <c r="G38" s="41">
        <f t="shared" ref="G38:Q38" si="3">G37-G41</f>
        <v>2.5999999999999943</v>
      </c>
      <c r="H38" s="41">
        <f t="shared" si="3"/>
        <v>0</v>
      </c>
      <c r="I38" s="41">
        <f t="shared" si="3"/>
        <v>4.3999999999999986</v>
      </c>
      <c r="J38" s="41">
        <f t="shared" si="3"/>
        <v>0</v>
      </c>
      <c r="K38" s="41">
        <f t="shared" si="3"/>
        <v>2.7999999999999972</v>
      </c>
      <c r="L38" s="41">
        <f t="shared" si="3"/>
        <v>0</v>
      </c>
      <c r="M38" s="41">
        <f t="shared" si="3"/>
        <v>3.6000000000000014</v>
      </c>
      <c r="N38" s="41">
        <f t="shared" si="3"/>
        <v>2.2999999999999972</v>
      </c>
      <c r="O38" s="41">
        <f t="shared" si="3"/>
        <v>2.2000000000000028</v>
      </c>
      <c r="P38" s="41">
        <f t="shared" si="3"/>
        <v>2.2999999999999972</v>
      </c>
      <c r="Q38" s="41">
        <f t="shared" si="3"/>
        <v>2.2999999999999972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29.9</v>
      </c>
      <c r="G40" s="26">
        <v>28.9</v>
      </c>
      <c r="H40" s="40"/>
      <c r="I40" s="26">
        <v>28.7</v>
      </c>
      <c r="J40" s="26"/>
      <c r="K40" s="26">
        <v>29</v>
      </c>
      <c r="L40" s="40"/>
      <c r="M40" s="40">
        <v>28.9</v>
      </c>
      <c r="N40" s="26">
        <v>29.7</v>
      </c>
      <c r="O40" s="26">
        <v>28.6</v>
      </c>
      <c r="P40" s="40">
        <v>29.6</v>
      </c>
      <c r="Q40" s="40">
        <v>28.6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35.299999999999997</v>
      </c>
      <c r="G41" s="26">
        <v>34.200000000000003</v>
      </c>
      <c r="H41" s="40"/>
      <c r="I41" s="26">
        <v>33.700000000000003</v>
      </c>
      <c r="J41" s="26"/>
      <c r="K41" s="26">
        <v>34.5</v>
      </c>
      <c r="L41" s="40"/>
      <c r="M41" s="40">
        <v>33.9</v>
      </c>
      <c r="N41" s="26">
        <v>35.6</v>
      </c>
      <c r="O41" s="26">
        <v>34.799999999999997</v>
      </c>
      <c r="P41" s="40">
        <v>35.200000000000003</v>
      </c>
      <c r="Q41" s="40">
        <v>34.200000000000003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5.3999999999999986</v>
      </c>
      <c r="G42" s="41">
        <f t="shared" ref="G42:Q42" si="4">G41-G40</f>
        <v>5.3000000000000043</v>
      </c>
      <c r="H42" s="41">
        <f t="shared" si="4"/>
        <v>0</v>
      </c>
      <c r="I42" s="41">
        <f t="shared" si="4"/>
        <v>5.0000000000000036</v>
      </c>
      <c r="J42" s="41">
        <f t="shared" si="4"/>
        <v>0</v>
      </c>
      <c r="K42" s="41">
        <f t="shared" si="4"/>
        <v>5.5</v>
      </c>
      <c r="L42" s="41">
        <f t="shared" si="4"/>
        <v>0</v>
      </c>
      <c r="M42" s="41">
        <f t="shared" si="4"/>
        <v>5</v>
      </c>
      <c r="N42" s="41">
        <f t="shared" si="4"/>
        <v>5.9000000000000021</v>
      </c>
      <c r="O42" s="41">
        <f t="shared" si="4"/>
        <v>6.1999999999999957</v>
      </c>
      <c r="P42" s="41">
        <f t="shared" si="4"/>
        <v>5.6000000000000014</v>
      </c>
      <c r="Q42" s="41">
        <f t="shared" si="4"/>
        <v>5.6000000000000014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1300.5</v>
      </c>
      <c r="G43" s="26">
        <v>1294</v>
      </c>
      <c r="H43" s="40"/>
      <c r="I43" s="26">
        <v>1301.3</v>
      </c>
      <c r="J43" s="26"/>
      <c r="K43" s="26">
        <v>1296.5999999999999</v>
      </c>
      <c r="L43" s="40"/>
      <c r="M43" s="26">
        <v>1294.0999999999999</v>
      </c>
      <c r="N43" s="26">
        <v>1140.5999999999999</v>
      </c>
      <c r="O43" s="26">
        <v>1118.0999999999999</v>
      </c>
      <c r="P43" s="40">
        <v>1295.3</v>
      </c>
      <c r="Q43" s="40">
        <v>1297.9000000000001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8109.35334872979</v>
      </c>
      <c r="G44" s="42">
        <f t="shared" ref="G44:Q44" si="5">G42*G43/0.866</f>
        <v>7919.3995381062414</v>
      </c>
      <c r="H44" s="42">
        <f t="shared" si="5"/>
        <v>0</v>
      </c>
      <c r="I44" s="42">
        <f t="shared" si="5"/>
        <v>7513.2794457274877</v>
      </c>
      <c r="J44" s="42">
        <f t="shared" si="5"/>
        <v>0</v>
      </c>
      <c r="K44" s="42">
        <f t="shared" si="5"/>
        <v>8234.7575057736722</v>
      </c>
      <c r="L44" s="42">
        <f t="shared" si="5"/>
        <v>0</v>
      </c>
      <c r="M44" s="42">
        <f t="shared" si="5"/>
        <v>7471.7090069284068</v>
      </c>
      <c r="N44" s="42">
        <f t="shared" si="5"/>
        <v>7770.8314087759836</v>
      </c>
      <c r="O44" s="42">
        <f t="shared" si="5"/>
        <v>8004.8729792147751</v>
      </c>
      <c r="P44" s="42">
        <f t="shared" si="5"/>
        <v>8376.0739030023105</v>
      </c>
      <c r="Q44" s="42">
        <f t="shared" si="5"/>
        <v>8392.8868360277174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0.48</v>
      </c>
      <c r="G45" s="26">
        <v>0.46</v>
      </c>
      <c r="H45" s="40"/>
      <c r="I45" s="26">
        <v>0.46</v>
      </c>
      <c r="J45" s="26"/>
      <c r="K45" s="26">
        <v>47</v>
      </c>
      <c r="L45" s="40"/>
      <c r="M45" s="40">
        <v>0.47</v>
      </c>
      <c r="N45" s="26">
        <v>0.48</v>
      </c>
      <c r="O45" s="26">
        <v>0.47</v>
      </c>
      <c r="P45" s="40">
        <v>0.48</v>
      </c>
      <c r="Q45" s="40">
        <v>0.46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20.5</v>
      </c>
      <c r="G46" s="26">
        <v>19.5</v>
      </c>
      <c r="H46" s="40"/>
      <c r="I46" s="26">
        <v>19.600000000000001</v>
      </c>
      <c r="J46" s="26"/>
      <c r="K46" s="26">
        <v>20.100000000000001</v>
      </c>
      <c r="L46" s="40"/>
      <c r="M46" s="40">
        <v>20.100000000000001</v>
      </c>
      <c r="N46" s="26">
        <v>20.5</v>
      </c>
      <c r="O46" s="26">
        <v>20</v>
      </c>
      <c r="P46" s="40">
        <v>20.5</v>
      </c>
      <c r="Q46" s="40">
        <v>19.8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181.6</v>
      </c>
      <c r="G47" s="26">
        <v>138.80000000000001</v>
      </c>
      <c r="H47" s="40"/>
      <c r="I47" s="26">
        <v>114.7</v>
      </c>
      <c r="J47" s="26"/>
      <c r="K47" s="26">
        <v>200.2</v>
      </c>
      <c r="L47" s="40"/>
      <c r="M47" s="40">
        <v>210.6</v>
      </c>
      <c r="N47" s="26">
        <v>159.6</v>
      </c>
      <c r="O47" s="26">
        <v>161.30000000000001</v>
      </c>
      <c r="P47" s="40">
        <v>201.6</v>
      </c>
      <c r="Q47" s="40">
        <v>203.3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26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101">
        <v>5.89</v>
      </c>
      <c r="F49" s="26">
        <v>5.38</v>
      </c>
      <c r="G49" s="26">
        <v>5.65</v>
      </c>
      <c r="H49" s="40"/>
      <c r="I49" s="26">
        <v>5.2</v>
      </c>
      <c r="J49" s="26"/>
      <c r="K49" s="26">
        <v>5.62</v>
      </c>
      <c r="L49" s="40"/>
      <c r="M49" s="40">
        <v>5.45</v>
      </c>
      <c r="N49" s="26">
        <v>5.25</v>
      </c>
      <c r="O49" s="26">
        <v>5.42</v>
      </c>
      <c r="P49" s="40">
        <v>5.0199999999999996</v>
      </c>
      <c r="Q49" s="40">
        <v>5.53</v>
      </c>
    </row>
    <row r="50" spans="2:17" ht="20.100000000000001" customHeight="1" x14ac:dyDescent="0.25">
      <c r="B50" s="110" t="s">
        <v>51</v>
      </c>
      <c r="C50" s="110"/>
      <c r="D50" s="110"/>
      <c r="E50" s="101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100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CECB-CAB4-4D73-A4FF-2A5F09F45CF1}">
  <dimension ref="B1:Q59"/>
  <sheetViews>
    <sheetView view="pageBreakPreview" topLeftCell="B1" zoomScale="85" zoomScaleNormal="60" zoomScaleSheetLayoutView="85" workbookViewId="0">
      <selection activeCell="L1" sqref="L1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3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103" t="s">
        <v>78</v>
      </c>
      <c r="E10" s="27"/>
      <c r="F10" s="37" t="s">
        <v>99</v>
      </c>
      <c r="G10" s="37" t="s">
        <v>99</v>
      </c>
      <c r="H10" s="39" t="s">
        <v>99</v>
      </c>
      <c r="I10" s="39" t="s">
        <v>99</v>
      </c>
      <c r="J10" s="37" t="s">
        <v>99</v>
      </c>
      <c r="K10" s="37" t="s">
        <v>99</v>
      </c>
      <c r="L10" s="39" t="s">
        <v>99</v>
      </c>
      <c r="M10" s="39" t="s">
        <v>99</v>
      </c>
      <c r="N10" s="37" t="s">
        <v>99</v>
      </c>
      <c r="O10" s="37" t="s">
        <v>99</v>
      </c>
      <c r="P10" s="39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72.599999999999994</v>
      </c>
      <c r="H11" s="40">
        <v>76.099999999999994</v>
      </c>
      <c r="I11" s="40">
        <v>83.9</v>
      </c>
      <c r="J11" s="26">
        <v>70.5</v>
      </c>
      <c r="K11" s="26">
        <v>73.099999999999994</v>
      </c>
      <c r="L11" s="40">
        <v>74.8</v>
      </c>
      <c r="M11" s="40">
        <v>72.3</v>
      </c>
      <c r="N11" s="26"/>
      <c r="O11" s="26">
        <v>72.3</v>
      </c>
      <c r="P11" s="40"/>
      <c r="Q11" s="40">
        <v>79.099999999999994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0.1</v>
      </c>
      <c r="H12" s="40">
        <v>0</v>
      </c>
      <c r="I12" s="40">
        <v>0</v>
      </c>
      <c r="J12" s="26">
        <v>0</v>
      </c>
      <c r="K12" s="26">
        <v>0</v>
      </c>
      <c r="L12" s="40">
        <v>0.1</v>
      </c>
      <c r="M12" s="40">
        <v>0.1</v>
      </c>
      <c r="N12" s="26"/>
      <c r="O12" s="26">
        <v>0</v>
      </c>
      <c r="P12" s="40"/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67.5</v>
      </c>
      <c r="H13" s="40">
        <v>71.2</v>
      </c>
      <c r="I13" s="40">
        <v>80.900000000000006</v>
      </c>
      <c r="J13" s="26">
        <v>67.5</v>
      </c>
      <c r="K13" s="26">
        <v>67.8</v>
      </c>
      <c r="L13" s="40">
        <v>69.2</v>
      </c>
      <c r="M13" s="40">
        <v>68.099999999999994</v>
      </c>
      <c r="N13" s="26"/>
      <c r="O13" s="26">
        <v>67.3</v>
      </c>
      <c r="P13" s="40"/>
      <c r="Q13" s="40">
        <v>74.8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66.5</v>
      </c>
      <c r="H14" s="40">
        <v>68.400000000000006</v>
      </c>
      <c r="I14" s="40">
        <v>66.099999999999994</v>
      </c>
      <c r="J14" s="26">
        <v>36.299999999999997</v>
      </c>
      <c r="K14" s="26">
        <v>62.6</v>
      </c>
      <c r="L14" s="40">
        <v>64.099999999999994</v>
      </c>
      <c r="M14" s="40">
        <v>66.099999999999994</v>
      </c>
      <c r="N14" s="26"/>
      <c r="O14" s="26">
        <v>70.599999999999994</v>
      </c>
      <c r="P14" s="40"/>
      <c r="Q14" s="40">
        <v>71.7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72.599999999999994</v>
      </c>
      <c r="H15" s="40">
        <v>51.7</v>
      </c>
      <c r="I15" s="40">
        <v>50</v>
      </c>
      <c r="J15" s="26">
        <v>39.4</v>
      </c>
      <c r="K15" s="26">
        <v>39.200000000000003</v>
      </c>
      <c r="L15" s="40">
        <v>33.4</v>
      </c>
      <c r="M15" s="40">
        <v>30.9</v>
      </c>
      <c r="N15" s="26"/>
      <c r="O15" s="26">
        <v>40.700000000000003</v>
      </c>
      <c r="P15" s="40"/>
      <c r="Q15" s="40">
        <v>42.4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>
        <v>6.6</v>
      </c>
      <c r="I16" s="40">
        <v>6.6</v>
      </c>
      <c r="J16" s="26">
        <v>6.6</v>
      </c>
      <c r="K16" s="26">
        <v>6.6</v>
      </c>
      <c r="L16" s="40">
        <v>6.6</v>
      </c>
      <c r="M16" s="40">
        <v>6.6</v>
      </c>
      <c r="N16" s="26"/>
      <c r="O16" s="26">
        <v>6.6</v>
      </c>
      <c r="P16" s="40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118.5</v>
      </c>
      <c r="H17" s="40">
        <v>116.6</v>
      </c>
      <c r="I17" s="40">
        <v>120.6</v>
      </c>
      <c r="J17" s="26">
        <v>114.7</v>
      </c>
      <c r="K17" s="26">
        <v>116.6</v>
      </c>
      <c r="L17" s="40">
        <v>116.3</v>
      </c>
      <c r="M17" s="40">
        <v>118.1</v>
      </c>
      <c r="N17" s="26"/>
      <c r="O17" s="26">
        <v>117.2</v>
      </c>
      <c r="P17" s="40"/>
      <c r="Q17" s="40">
        <v>120.6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1163</v>
      </c>
      <c r="H18" s="40">
        <v>1188</v>
      </c>
      <c r="I18" s="40">
        <v>1218</v>
      </c>
      <c r="J18" s="26">
        <v>1178</v>
      </c>
      <c r="K18" s="26">
        <v>1183</v>
      </c>
      <c r="L18" s="40">
        <v>1189</v>
      </c>
      <c r="M18" s="40">
        <v>1191</v>
      </c>
      <c r="N18" s="26"/>
      <c r="O18" s="26">
        <v>1185</v>
      </c>
      <c r="P18" s="40"/>
      <c r="Q18" s="40">
        <v>1215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46461.4</v>
      </c>
      <c r="H19" s="40">
        <v>47364.6</v>
      </c>
      <c r="I19" s="40">
        <v>47355.7</v>
      </c>
      <c r="J19" s="26">
        <v>44945.599999999999</v>
      </c>
      <c r="K19" s="26">
        <v>44936.7</v>
      </c>
      <c r="L19" s="40">
        <v>47236.5</v>
      </c>
      <c r="M19" s="40">
        <v>47227.6</v>
      </c>
      <c r="N19" s="26"/>
      <c r="O19" s="26">
        <v>46573.8</v>
      </c>
      <c r="P19" s="40"/>
      <c r="Q19" s="40">
        <v>48459.5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58.2</v>
      </c>
      <c r="H22" s="40">
        <v>59.2</v>
      </c>
      <c r="I22" s="40">
        <v>59.2</v>
      </c>
      <c r="J22" s="26">
        <v>57.9</v>
      </c>
      <c r="K22" s="26">
        <v>57.6</v>
      </c>
      <c r="L22" s="40">
        <v>57.5</v>
      </c>
      <c r="M22" s="40">
        <v>57.6</v>
      </c>
      <c r="N22" s="26"/>
      <c r="O22" s="26">
        <v>58.7</v>
      </c>
      <c r="P22" s="40"/>
      <c r="Q22" s="40">
        <v>59.4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0.52</v>
      </c>
      <c r="H23" s="40">
        <v>0.5</v>
      </c>
      <c r="I23" s="40">
        <v>0.49</v>
      </c>
      <c r="J23" s="26">
        <v>0.59</v>
      </c>
      <c r="K23" s="26">
        <v>0.59</v>
      </c>
      <c r="L23" s="40">
        <v>0.52</v>
      </c>
      <c r="M23" s="40">
        <v>0.52</v>
      </c>
      <c r="N23" s="26"/>
      <c r="O23" s="26">
        <v>0.48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44.8</v>
      </c>
      <c r="H25" s="40">
        <v>45</v>
      </c>
      <c r="I25" s="40">
        <v>45.1</v>
      </c>
      <c r="J25" s="26">
        <v>45.1</v>
      </c>
      <c r="K25" s="26">
        <v>44.9</v>
      </c>
      <c r="L25" s="40">
        <v>45</v>
      </c>
      <c r="M25" s="40">
        <v>45</v>
      </c>
      <c r="N25" s="26"/>
      <c r="O25" s="26">
        <v>44.8</v>
      </c>
      <c r="P25" s="40"/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0.23</v>
      </c>
      <c r="H26" s="40">
        <v>0.22</v>
      </c>
      <c r="I26" s="40">
        <v>0.21</v>
      </c>
      <c r="J26" s="26">
        <v>0.22</v>
      </c>
      <c r="K26" s="26">
        <v>0.23</v>
      </c>
      <c r="L26" s="40">
        <v>0.22</v>
      </c>
      <c r="M26" s="40">
        <v>0.22</v>
      </c>
      <c r="N26" s="26"/>
      <c r="O26" s="26">
        <v>0.22</v>
      </c>
      <c r="P26" s="40"/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4.0999999999999996</v>
      </c>
      <c r="H27" s="40">
        <v>4</v>
      </c>
      <c r="I27" s="40">
        <v>2.9</v>
      </c>
      <c r="J27" s="26">
        <v>4.4000000000000004</v>
      </c>
      <c r="K27" s="26">
        <v>4.0999999999999996</v>
      </c>
      <c r="L27" s="40">
        <v>2.8</v>
      </c>
      <c r="M27" s="40">
        <v>4.4000000000000004</v>
      </c>
      <c r="N27" s="26"/>
      <c r="O27" s="26">
        <v>4.4000000000000004</v>
      </c>
      <c r="P27" s="40"/>
      <c r="Q27" s="40">
        <v>4.0999999999999996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3.7</v>
      </c>
      <c r="H28" s="40">
        <v>3.1</v>
      </c>
      <c r="I28" s="40">
        <v>2.1</v>
      </c>
      <c r="J28" s="26">
        <v>3.4</v>
      </c>
      <c r="K28" s="26">
        <v>3.4</v>
      </c>
      <c r="L28" s="40">
        <v>3.9</v>
      </c>
      <c r="M28" s="40">
        <v>2.9</v>
      </c>
      <c r="N28" s="26"/>
      <c r="O28" s="26">
        <v>3.2</v>
      </c>
      <c r="P28" s="40"/>
      <c r="Q28" s="40">
        <v>3.2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0.89999999999999947</v>
      </c>
      <c r="H29" s="41">
        <f t="shared" si="0"/>
        <v>2.1</v>
      </c>
      <c r="I29" s="41">
        <f t="shared" si="0"/>
        <v>2.4</v>
      </c>
      <c r="J29" s="41">
        <f t="shared" si="0"/>
        <v>0.69999999999999973</v>
      </c>
      <c r="K29" s="41">
        <f t="shared" si="0"/>
        <v>1.3000000000000003</v>
      </c>
      <c r="L29" s="41">
        <f t="shared" si="0"/>
        <v>0.10000000000000009</v>
      </c>
      <c r="M29" s="41">
        <f t="shared" si="0"/>
        <v>0.70000000000000018</v>
      </c>
      <c r="N29" s="41"/>
      <c r="O29" s="41">
        <f t="shared" si="0"/>
        <v>1.2000000000000002</v>
      </c>
      <c r="P29" s="41">
        <f t="shared" si="0"/>
        <v>0</v>
      </c>
      <c r="Q29" s="41">
        <f t="shared" si="0"/>
        <v>1.7000000000000002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653.5</v>
      </c>
      <c r="H30" s="40">
        <v>677.3</v>
      </c>
      <c r="I30" s="40">
        <v>656.5</v>
      </c>
      <c r="J30" s="26">
        <v>642.5</v>
      </c>
      <c r="K30" s="26">
        <v>632.29999999999995</v>
      </c>
      <c r="L30" s="40">
        <v>655.4</v>
      </c>
      <c r="M30" s="40">
        <v>641.29999999999995</v>
      </c>
      <c r="N30" s="26"/>
      <c r="O30" s="26">
        <v>635.9</v>
      </c>
      <c r="P30" s="40"/>
      <c r="Q30" s="40">
        <v>652.5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13.3</v>
      </c>
      <c r="H31" s="40">
        <v>13.4</v>
      </c>
      <c r="I31" s="40">
        <v>13</v>
      </c>
      <c r="J31" s="26">
        <v>12.9</v>
      </c>
      <c r="K31" s="26">
        <v>13.6</v>
      </c>
      <c r="L31" s="40">
        <v>12.7</v>
      </c>
      <c r="M31" s="40">
        <v>12.4</v>
      </c>
      <c r="N31" s="26"/>
      <c r="O31" s="26">
        <v>13</v>
      </c>
      <c r="P31" s="40"/>
      <c r="Q31" s="40">
        <v>13.2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4.5999999999999996</v>
      </c>
      <c r="H32" s="40">
        <v>5.2</v>
      </c>
      <c r="I32" s="40">
        <v>4.5</v>
      </c>
      <c r="J32" s="26">
        <v>4.0999999999999996</v>
      </c>
      <c r="K32" s="26">
        <v>4.7</v>
      </c>
      <c r="L32" s="40">
        <v>4</v>
      </c>
      <c r="M32" s="40">
        <v>3.6</v>
      </c>
      <c r="N32" s="26"/>
      <c r="O32" s="26">
        <v>4.4000000000000004</v>
      </c>
      <c r="P32" s="40"/>
      <c r="Q32" s="40">
        <v>4.9000000000000004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8.7000000000000011</v>
      </c>
      <c r="H33" s="41">
        <f t="shared" si="1"/>
        <v>8.1999999999999993</v>
      </c>
      <c r="I33" s="41">
        <f t="shared" si="1"/>
        <v>8.5</v>
      </c>
      <c r="J33" s="41">
        <f t="shared" si="1"/>
        <v>8.8000000000000007</v>
      </c>
      <c r="K33" s="41">
        <f t="shared" si="1"/>
        <v>8.8999999999999986</v>
      </c>
      <c r="L33" s="41">
        <f t="shared" si="1"/>
        <v>8.6999999999999993</v>
      </c>
      <c r="M33" s="41">
        <f t="shared" si="1"/>
        <v>8.8000000000000007</v>
      </c>
      <c r="N33" s="41">
        <f t="shared" si="1"/>
        <v>0</v>
      </c>
      <c r="O33" s="41">
        <f t="shared" si="1"/>
        <v>8.6</v>
      </c>
      <c r="P33" s="41">
        <f t="shared" si="1"/>
        <v>0</v>
      </c>
      <c r="Q33" s="41">
        <f t="shared" si="1"/>
        <v>8.2999999999999989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6565.1847575057745</v>
      </c>
      <c r="H34" s="42">
        <f t="shared" si="2"/>
        <v>6413.2332563510381</v>
      </c>
      <c r="I34" s="42">
        <f t="shared" si="2"/>
        <v>6443.7066974595846</v>
      </c>
      <c r="J34" s="42">
        <f t="shared" si="2"/>
        <v>6528.8683602771371</v>
      </c>
      <c r="K34" s="42">
        <f t="shared" si="2"/>
        <v>6498.2332563510372</v>
      </c>
      <c r="L34" s="42">
        <f t="shared" si="2"/>
        <v>6584.2725173210156</v>
      </c>
      <c r="M34" s="42">
        <f t="shared" si="2"/>
        <v>6516.6743648960746</v>
      </c>
      <c r="N34" s="42">
        <f t="shared" si="2"/>
        <v>0</v>
      </c>
      <c r="O34" s="42">
        <f t="shared" si="2"/>
        <v>6314.9422632794458</v>
      </c>
      <c r="P34" s="42">
        <f t="shared" si="2"/>
        <v>0</v>
      </c>
      <c r="Q34" s="42">
        <f t="shared" si="2"/>
        <v>6253.7528868360268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0.83</v>
      </c>
      <c r="H35" s="40">
        <v>0.86</v>
      </c>
      <c r="I35" s="40">
        <v>0.87</v>
      </c>
      <c r="J35" s="26">
        <v>0.84</v>
      </c>
      <c r="K35" s="26">
        <v>0.85</v>
      </c>
      <c r="L35" s="40">
        <v>0.85</v>
      </c>
      <c r="M35" s="40">
        <v>0.85</v>
      </c>
      <c r="N35" s="26"/>
      <c r="O35" s="26">
        <v>0.84</v>
      </c>
      <c r="P35" s="40"/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36.299999999999997</v>
      </c>
      <c r="H36" s="40">
        <v>37.4</v>
      </c>
      <c r="I36" s="40">
        <v>37.1</v>
      </c>
      <c r="J36" s="26">
        <v>36.799999999999997</v>
      </c>
      <c r="K36" s="26">
        <v>36.700000000000003</v>
      </c>
      <c r="L36" s="40">
        <v>37.4</v>
      </c>
      <c r="M36" s="40">
        <v>37.4</v>
      </c>
      <c r="N36" s="26"/>
      <c r="O36" s="26">
        <v>36.9</v>
      </c>
      <c r="P36" s="40"/>
      <c r="Q36" s="40">
        <v>36.700000000000003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36.799999999999997</v>
      </c>
      <c r="H37" s="40">
        <v>38.299999999999997</v>
      </c>
      <c r="I37" s="40">
        <v>38.200000000000003</v>
      </c>
      <c r="J37" s="26">
        <v>37.5</v>
      </c>
      <c r="K37" s="26">
        <v>37.4</v>
      </c>
      <c r="L37" s="40">
        <v>37.799999999999997</v>
      </c>
      <c r="M37" s="40">
        <v>37.5</v>
      </c>
      <c r="N37" s="26"/>
      <c r="O37" s="26">
        <v>37.200000000000003</v>
      </c>
      <c r="P37" s="40"/>
      <c r="Q37" s="40">
        <v>36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2.5</v>
      </c>
      <c r="H38" s="41">
        <f t="shared" si="3"/>
        <v>4.2999999999999972</v>
      </c>
      <c r="I38" s="41">
        <f t="shared" si="3"/>
        <v>4.7000000000000028</v>
      </c>
      <c r="J38" s="41">
        <f t="shared" si="3"/>
        <v>2.7999999999999972</v>
      </c>
      <c r="K38" s="41">
        <f t="shared" si="3"/>
        <v>3.6999999999999957</v>
      </c>
      <c r="L38" s="41">
        <f t="shared" si="3"/>
        <v>3.5</v>
      </c>
      <c r="M38" s="41">
        <f t="shared" si="3"/>
        <v>4.2000000000000028</v>
      </c>
      <c r="N38" s="41">
        <f t="shared" si="3"/>
        <v>0</v>
      </c>
      <c r="O38" s="41">
        <f t="shared" si="3"/>
        <v>3</v>
      </c>
      <c r="P38" s="41">
        <f t="shared" si="3"/>
        <v>0</v>
      </c>
      <c r="Q38" s="41">
        <f t="shared" si="3"/>
        <v>2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28.7</v>
      </c>
      <c r="H40" s="40">
        <v>29.1</v>
      </c>
      <c r="I40" s="40">
        <v>28.3</v>
      </c>
      <c r="J40" s="26">
        <v>29.3</v>
      </c>
      <c r="K40" s="26">
        <v>28.4</v>
      </c>
      <c r="L40" s="40">
        <v>29.2</v>
      </c>
      <c r="M40" s="40">
        <v>28.2</v>
      </c>
      <c r="N40" s="26"/>
      <c r="O40" s="26">
        <v>28.4</v>
      </c>
      <c r="P40" s="40"/>
      <c r="Q40" s="40">
        <v>28.7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34.299999999999997</v>
      </c>
      <c r="H41" s="40">
        <v>34</v>
      </c>
      <c r="I41" s="40">
        <v>33.5</v>
      </c>
      <c r="J41" s="26">
        <v>34.700000000000003</v>
      </c>
      <c r="K41" s="26">
        <v>33.700000000000003</v>
      </c>
      <c r="L41" s="40">
        <v>34.299999999999997</v>
      </c>
      <c r="M41" s="40">
        <v>33.299999999999997</v>
      </c>
      <c r="N41" s="26"/>
      <c r="O41" s="26">
        <v>34.200000000000003</v>
      </c>
      <c r="P41" s="40"/>
      <c r="Q41" s="40">
        <v>34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5.5999999999999979</v>
      </c>
      <c r="H42" s="41">
        <f t="shared" si="4"/>
        <v>4.8999999999999986</v>
      </c>
      <c r="I42" s="41">
        <f t="shared" si="4"/>
        <v>5.1999999999999993</v>
      </c>
      <c r="J42" s="41">
        <f t="shared" si="4"/>
        <v>5.4000000000000021</v>
      </c>
      <c r="K42" s="41">
        <f t="shared" si="4"/>
        <v>5.3000000000000043</v>
      </c>
      <c r="L42" s="41">
        <f t="shared" si="4"/>
        <v>5.0999999999999979</v>
      </c>
      <c r="M42" s="41">
        <f t="shared" si="4"/>
        <v>5.0999999999999979</v>
      </c>
      <c r="N42" s="41">
        <f t="shared" si="4"/>
        <v>0</v>
      </c>
      <c r="O42" s="41">
        <f t="shared" si="4"/>
        <v>5.8000000000000043</v>
      </c>
      <c r="P42" s="41">
        <f t="shared" si="4"/>
        <v>0</v>
      </c>
      <c r="Q42" s="41">
        <f t="shared" si="4"/>
        <v>5.3000000000000007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1295.2</v>
      </c>
      <c r="H43" s="40">
        <v>1301.2</v>
      </c>
      <c r="I43" s="40">
        <v>1302.7</v>
      </c>
      <c r="J43" s="26">
        <v>1297.8</v>
      </c>
      <c r="K43" s="26">
        <v>1295.8</v>
      </c>
      <c r="L43" s="40">
        <v>1280.8</v>
      </c>
      <c r="M43" s="26">
        <v>1288.2</v>
      </c>
      <c r="N43" s="26"/>
      <c r="O43" s="26">
        <v>1107.5</v>
      </c>
      <c r="P43" s="40"/>
      <c r="Q43" s="40">
        <v>1291.9000000000001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8375.4272517320987</v>
      </c>
      <c r="H44" s="42">
        <f t="shared" si="5"/>
        <v>7362.4480369514995</v>
      </c>
      <c r="I44" s="42">
        <f t="shared" si="5"/>
        <v>7822.2170900692827</v>
      </c>
      <c r="J44" s="42">
        <f t="shared" si="5"/>
        <v>8092.5173210161693</v>
      </c>
      <c r="K44" s="42">
        <f t="shared" si="5"/>
        <v>7930.4157043879968</v>
      </c>
      <c r="L44" s="42">
        <f t="shared" si="5"/>
        <v>7542.8175519630449</v>
      </c>
      <c r="M44" s="42">
        <f t="shared" si="5"/>
        <v>7586.397228637411</v>
      </c>
      <c r="N44" s="42">
        <f t="shared" si="5"/>
        <v>0</v>
      </c>
      <c r="O44" s="42">
        <f t="shared" si="5"/>
        <v>7417.4364896073957</v>
      </c>
      <c r="P44" s="42">
        <f t="shared" si="5"/>
        <v>0</v>
      </c>
      <c r="Q44" s="42">
        <f t="shared" si="5"/>
        <v>7906.5473441108561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0.47</v>
      </c>
      <c r="H45" s="40">
        <v>0.47</v>
      </c>
      <c r="I45" s="40">
        <v>0.46</v>
      </c>
      <c r="J45" s="26">
        <v>0.46</v>
      </c>
      <c r="K45" s="26">
        <v>0.47</v>
      </c>
      <c r="L45" s="40">
        <v>0.47</v>
      </c>
      <c r="M45" s="40">
        <v>0.48</v>
      </c>
      <c r="N45" s="26"/>
      <c r="O45" s="26">
        <v>0.47</v>
      </c>
      <c r="P45" s="40"/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</v>
      </c>
      <c r="H46" s="40">
        <v>20.3</v>
      </c>
      <c r="I46" s="40">
        <v>19.5</v>
      </c>
      <c r="J46" s="26">
        <v>19.7</v>
      </c>
      <c r="K46" s="26">
        <v>19.899999999999999</v>
      </c>
      <c r="L46" s="40">
        <v>20.3</v>
      </c>
      <c r="M46" s="40">
        <v>20.5</v>
      </c>
      <c r="N46" s="26"/>
      <c r="O46" s="26">
        <v>20.100000000000001</v>
      </c>
      <c r="P46" s="40"/>
      <c r="Q46" s="40">
        <v>20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199.3</v>
      </c>
      <c r="H47" s="40">
        <v>124.8</v>
      </c>
      <c r="I47" s="40">
        <v>126.9</v>
      </c>
      <c r="J47" s="26">
        <v>191.9</v>
      </c>
      <c r="K47" s="26">
        <v>200.1</v>
      </c>
      <c r="L47" s="40">
        <v>204.4</v>
      </c>
      <c r="M47" s="40">
        <v>212.9</v>
      </c>
      <c r="N47" s="26"/>
      <c r="O47" s="26">
        <v>159.19999999999999</v>
      </c>
      <c r="P47" s="40"/>
      <c r="Q47" s="40">
        <v>199.7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103">
        <v>5.89</v>
      </c>
      <c r="F49" s="26"/>
      <c r="G49" s="26">
        <v>5.6</v>
      </c>
      <c r="H49" s="40">
        <v>5.19</v>
      </c>
      <c r="I49" s="40">
        <v>5.31</v>
      </c>
      <c r="J49" s="26">
        <v>5.54</v>
      </c>
      <c r="K49" s="26">
        <v>5.67</v>
      </c>
      <c r="L49" s="40">
        <v>5.43</v>
      </c>
      <c r="M49" s="40">
        <v>5.39</v>
      </c>
      <c r="N49" s="26"/>
      <c r="O49" s="26">
        <v>5.54</v>
      </c>
      <c r="P49" s="40"/>
      <c r="Q49" s="40">
        <v>5.14</v>
      </c>
    </row>
    <row r="50" spans="2:17" ht="20.100000000000001" customHeight="1" x14ac:dyDescent="0.25">
      <c r="B50" s="110" t="s">
        <v>51</v>
      </c>
      <c r="C50" s="110"/>
      <c r="D50" s="110"/>
      <c r="E50" s="103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102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6853-8191-4D74-AB93-CC30649D5E8F}">
  <dimension ref="B1:Q59"/>
  <sheetViews>
    <sheetView view="pageBreakPreview" zoomScale="85" zoomScaleNormal="60" zoomScaleSheetLayoutView="85" workbookViewId="0">
      <selection activeCell="P26" sqref="P26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3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105" t="s">
        <v>78</v>
      </c>
      <c r="E10" s="27"/>
      <c r="F10" s="37"/>
      <c r="G10" s="37" t="s">
        <v>99</v>
      </c>
      <c r="H10" s="39"/>
      <c r="I10" s="39" t="s">
        <v>99</v>
      </c>
      <c r="J10" s="37"/>
      <c r="K10" s="37" t="s">
        <v>99</v>
      </c>
      <c r="L10" s="39"/>
      <c r="M10" s="39" t="s">
        <v>99</v>
      </c>
      <c r="N10" s="37"/>
      <c r="O10" s="37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72.5</v>
      </c>
      <c r="H11" s="40"/>
      <c r="I11" s="40">
        <v>75.5</v>
      </c>
      <c r="J11" s="26"/>
      <c r="K11" s="26">
        <v>73.599999999999994</v>
      </c>
      <c r="L11" s="40"/>
      <c r="M11" s="40">
        <v>74.7</v>
      </c>
      <c r="N11" s="26"/>
      <c r="O11" s="26">
        <v>74.400000000000006</v>
      </c>
      <c r="P11" s="40"/>
      <c r="Q11" s="40">
        <v>75.7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0.6</v>
      </c>
      <c r="H12" s="40"/>
      <c r="I12" s="40">
        <v>0</v>
      </c>
      <c r="J12" s="26"/>
      <c r="K12" s="26">
        <v>0</v>
      </c>
      <c r="L12" s="40"/>
      <c r="M12" s="40">
        <v>0.1</v>
      </c>
      <c r="N12" s="26"/>
      <c r="O12" s="26">
        <v>0</v>
      </c>
      <c r="P12" s="40"/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66.900000000000006</v>
      </c>
      <c r="H13" s="40"/>
      <c r="I13" s="40">
        <v>70.400000000000006</v>
      </c>
      <c r="J13" s="26"/>
      <c r="K13" s="26">
        <v>70.400000000000006</v>
      </c>
      <c r="L13" s="40"/>
      <c r="M13" s="40">
        <v>69.2</v>
      </c>
      <c r="N13" s="26"/>
      <c r="O13" s="26">
        <v>69.5</v>
      </c>
      <c r="P13" s="40"/>
      <c r="Q13" s="40">
        <v>71.3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66.3</v>
      </c>
      <c r="H14" s="40"/>
      <c r="I14" s="40">
        <v>69.400000000000006</v>
      </c>
      <c r="J14" s="26"/>
      <c r="K14" s="26">
        <v>63.2</v>
      </c>
      <c r="L14" s="40"/>
      <c r="M14" s="40">
        <v>65.400000000000006</v>
      </c>
      <c r="N14" s="26"/>
      <c r="O14" s="26">
        <v>71.7</v>
      </c>
      <c r="P14" s="40"/>
      <c r="Q14" s="40">
        <v>74.099999999999994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47.2</v>
      </c>
      <c r="H15" s="40"/>
      <c r="I15" s="40">
        <v>47.5</v>
      </c>
      <c r="J15" s="26"/>
      <c r="K15" s="26">
        <v>38</v>
      </c>
      <c r="L15" s="40"/>
      <c r="M15" s="40">
        <v>33.9</v>
      </c>
      <c r="N15" s="26"/>
      <c r="O15" s="26">
        <v>47.2</v>
      </c>
      <c r="P15" s="40"/>
      <c r="Q15" s="40">
        <v>42.1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/>
      <c r="I16" s="40">
        <v>6.6</v>
      </c>
      <c r="J16" s="26"/>
      <c r="K16" s="26">
        <v>6.6</v>
      </c>
      <c r="L16" s="40"/>
      <c r="M16" s="40">
        <v>6.6</v>
      </c>
      <c r="N16" s="26"/>
      <c r="O16" s="26">
        <v>6.6</v>
      </c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120.1</v>
      </c>
      <c r="H17" s="40"/>
      <c r="I17" s="40">
        <v>115.9</v>
      </c>
      <c r="J17" s="26"/>
      <c r="K17" s="26">
        <v>196.9</v>
      </c>
      <c r="L17" s="40"/>
      <c r="M17" s="40">
        <v>117.4</v>
      </c>
      <c r="N17" s="26"/>
      <c r="O17" s="26">
        <v>118.1</v>
      </c>
      <c r="P17" s="40"/>
      <c r="Q17" s="40">
        <v>117.5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1181</v>
      </c>
      <c r="H18" s="40"/>
      <c r="I18" s="40">
        <v>1177</v>
      </c>
      <c r="J18" s="26"/>
      <c r="K18" s="26">
        <v>1199</v>
      </c>
      <c r="L18" s="40"/>
      <c r="M18" s="40">
        <v>1194</v>
      </c>
      <c r="N18" s="26"/>
      <c r="O18" s="26">
        <v>1205</v>
      </c>
      <c r="P18" s="40"/>
      <c r="Q18" s="40">
        <v>1194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46470</v>
      </c>
      <c r="H19" s="40"/>
      <c r="I19" s="40">
        <v>47375</v>
      </c>
      <c r="J19" s="26"/>
      <c r="K19" s="26">
        <v>44960</v>
      </c>
      <c r="L19" s="40"/>
      <c r="M19" s="40">
        <v>47251</v>
      </c>
      <c r="N19" s="26"/>
      <c r="O19" s="26">
        <v>46583</v>
      </c>
      <c r="P19" s="40"/>
      <c r="Q19" s="40">
        <v>48468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58.5</v>
      </c>
      <c r="H22" s="40"/>
      <c r="I22" s="40">
        <v>58.9</v>
      </c>
      <c r="J22" s="26"/>
      <c r="K22" s="26">
        <v>57.7</v>
      </c>
      <c r="L22" s="40"/>
      <c r="M22" s="40">
        <v>57.5</v>
      </c>
      <c r="N22" s="26"/>
      <c r="O22" s="26">
        <v>58.9</v>
      </c>
      <c r="P22" s="40"/>
      <c r="Q22" s="40">
        <v>59.3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0.53</v>
      </c>
      <c r="H23" s="40"/>
      <c r="I23" s="40">
        <v>0.49</v>
      </c>
      <c r="J23" s="26"/>
      <c r="K23" s="26">
        <v>0.59</v>
      </c>
      <c r="L23" s="40"/>
      <c r="M23" s="40">
        <v>0.59</v>
      </c>
      <c r="N23" s="26"/>
      <c r="O23" s="26">
        <v>0.49</v>
      </c>
      <c r="P23" s="40"/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44.8</v>
      </c>
      <c r="H25" s="40"/>
      <c r="I25" s="40">
        <v>45.2</v>
      </c>
      <c r="J25" s="26"/>
      <c r="K25" s="26">
        <v>45</v>
      </c>
      <c r="L25" s="40"/>
      <c r="M25" s="40">
        <v>44.6</v>
      </c>
      <c r="N25" s="26"/>
      <c r="O25" s="26">
        <v>44.8</v>
      </c>
      <c r="P25" s="40"/>
      <c r="Q25" s="40">
        <v>45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0.24</v>
      </c>
      <c r="H26" s="40"/>
      <c r="I26" s="40">
        <v>0.22</v>
      </c>
      <c r="J26" s="26"/>
      <c r="K26" s="26">
        <v>0.23</v>
      </c>
      <c r="L26" s="40"/>
      <c r="M26" s="40">
        <v>0.22</v>
      </c>
      <c r="N26" s="26"/>
      <c r="O26" s="26">
        <v>0.23</v>
      </c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4.9000000000000004</v>
      </c>
      <c r="H27" s="40"/>
      <c r="I27" s="40">
        <v>3.7</v>
      </c>
      <c r="J27" s="26"/>
      <c r="K27" s="26">
        <v>4</v>
      </c>
      <c r="L27" s="40"/>
      <c r="M27" s="40">
        <v>4</v>
      </c>
      <c r="N27" s="26"/>
      <c r="O27" s="26">
        <v>4.4000000000000004</v>
      </c>
      <c r="P27" s="40"/>
      <c r="Q27" s="40">
        <v>4.3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4.3</v>
      </c>
      <c r="H28" s="40"/>
      <c r="I28" s="40">
        <v>2.8</v>
      </c>
      <c r="J28" s="26"/>
      <c r="K28" s="26">
        <v>3.4</v>
      </c>
      <c r="L28" s="40"/>
      <c r="M28" s="40">
        <v>2.9</v>
      </c>
      <c r="N28" s="26"/>
      <c r="O28" s="26">
        <v>3.2</v>
      </c>
      <c r="P28" s="40"/>
      <c r="Q28" s="40">
        <v>3.4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0.70000000000000018</v>
      </c>
      <c r="H29" s="41">
        <f t="shared" si="0"/>
        <v>0</v>
      </c>
      <c r="I29" s="41">
        <f t="shared" si="0"/>
        <v>1.9000000000000004</v>
      </c>
      <c r="J29" s="41">
        <f t="shared" si="0"/>
        <v>0</v>
      </c>
      <c r="K29" s="41">
        <f t="shared" si="0"/>
        <v>1.1000000000000001</v>
      </c>
      <c r="L29" s="41">
        <f t="shared" si="0"/>
        <v>0</v>
      </c>
      <c r="M29" s="41">
        <f t="shared" si="0"/>
        <v>1.1000000000000001</v>
      </c>
      <c r="N29" s="41"/>
      <c r="O29" s="41">
        <f t="shared" si="0"/>
        <v>1.0999999999999996</v>
      </c>
      <c r="P29" s="41">
        <f t="shared" si="0"/>
        <v>0</v>
      </c>
      <c r="Q29" s="41">
        <f t="shared" si="0"/>
        <v>1.6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724.8</v>
      </c>
      <c r="H30" s="40"/>
      <c r="I30" s="40">
        <v>647.44000000000005</v>
      </c>
      <c r="J30" s="26"/>
      <c r="K30" s="26">
        <v>646.88</v>
      </c>
      <c r="L30" s="40"/>
      <c r="M30" s="40">
        <v>649.36</v>
      </c>
      <c r="N30" s="26"/>
      <c r="O30" s="26">
        <v>635.91999999999996</v>
      </c>
      <c r="P30" s="40"/>
      <c r="Q30" s="40">
        <v>650.64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12.9</v>
      </c>
      <c r="H31" s="40"/>
      <c r="I31" s="40">
        <v>13.2</v>
      </c>
      <c r="J31" s="26"/>
      <c r="K31" s="26">
        <v>13.3</v>
      </c>
      <c r="L31" s="40"/>
      <c r="M31" s="40">
        <v>13</v>
      </c>
      <c r="N31" s="26"/>
      <c r="O31" s="26">
        <v>13.1</v>
      </c>
      <c r="P31" s="40"/>
      <c r="Q31" s="40">
        <v>13.3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5</v>
      </c>
      <c r="H32" s="40"/>
      <c r="I32" s="40">
        <v>4.7</v>
      </c>
      <c r="J32" s="26"/>
      <c r="K32" s="26">
        <v>4.5</v>
      </c>
      <c r="L32" s="40"/>
      <c r="M32" s="40">
        <v>4</v>
      </c>
      <c r="N32" s="26"/>
      <c r="O32" s="26">
        <v>4.3</v>
      </c>
      <c r="P32" s="40"/>
      <c r="Q32" s="40">
        <v>5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7.9</v>
      </c>
      <c r="H33" s="41">
        <f t="shared" si="1"/>
        <v>0</v>
      </c>
      <c r="I33" s="41">
        <f t="shared" si="1"/>
        <v>8.5</v>
      </c>
      <c r="J33" s="41">
        <f t="shared" si="1"/>
        <v>0</v>
      </c>
      <c r="K33" s="41">
        <f t="shared" si="1"/>
        <v>8.8000000000000007</v>
      </c>
      <c r="L33" s="41">
        <f t="shared" si="1"/>
        <v>0</v>
      </c>
      <c r="M33" s="41">
        <f t="shared" si="1"/>
        <v>9</v>
      </c>
      <c r="N33" s="41">
        <f t="shared" si="1"/>
        <v>0</v>
      </c>
      <c r="O33" s="41">
        <f t="shared" si="1"/>
        <v>8.8000000000000007</v>
      </c>
      <c r="P33" s="41">
        <f t="shared" si="1"/>
        <v>0</v>
      </c>
      <c r="Q33" s="41">
        <f t="shared" si="1"/>
        <v>8.3000000000000007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6611.9168591224015</v>
      </c>
      <c r="H34" s="42">
        <f t="shared" si="2"/>
        <v>0</v>
      </c>
      <c r="I34" s="42">
        <f t="shared" si="2"/>
        <v>6354.7806004618942</v>
      </c>
      <c r="J34" s="42">
        <f t="shared" si="2"/>
        <v>0</v>
      </c>
      <c r="K34" s="42">
        <f t="shared" si="2"/>
        <v>6573.3764434180148</v>
      </c>
      <c r="L34" s="42">
        <f t="shared" si="2"/>
        <v>0</v>
      </c>
      <c r="M34" s="42">
        <f t="shared" si="2"/>
        <v>6748.5450346420321</v>
      </c>
      <c r="N34" s="42">
        <f t="shared" si="2"/>
        <v>0</v>
      </c>
      <c r="O34" s="42">
        <f t="shared" si="2"/>
        <v>6462.0046189376453</v>
      </c>
      <c r="P34" s="42">
        <f t="shared" si="2"/>
        <v>0</v>
      </c>
      <c r="Q34" s="42">
        <f t="shared" si="2"/>
        <v>6235.9260969976904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0.84</v>
      </c>
      <c r="H35" s="40"/>
      <c r="I35" s="40">
        <v>0.86</v>
      </c>
      <c r="J35" s="26"/>
      <c r="K35" s="26">
        <v>0.84</v>
      </c>
      <c r="L35" s="40"/>
      <c r="M35" s="40">
        <v>0.85</v>
      </c>
      <c r="N35" s="26"/>
      <c r="O35" s="26">
        <v>0.84</v>
      </c>
      <c r="P35" s="40"/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36.700000000000003</v>
      </c>
      <c r="H36" s="40"/>
      <c r="I36" s="40">
        <v>37.1</v>
      </c>
      <c r="J36" s="26"/>
      <c r="K36" s="26">
        <v>36.700000000000003</v>
      </c>
      <c r="L36" s="40"/>
      <c r="M36" s="40">
        <v>37.200000000000003</v>
      </c>
      <c r="N36" s="26"/>
      <c r="O36" s="26">
        <v>36.9</v>
      </c>
      <c r="P36" s="40"/>
      <c r="Q36" s="40">
        <v>36.6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37.200000000000003</v>
      </c>
      <c r="H37" s="40"/>
      <c r="I37" s="40">
        <v>38</v>
      </c>
      <c r="J37" s="26"/>
      <c r="K37" s="26">
        <v>37.4</v>
      </c>
      <c r="L37" s="40"/>
      <c r="M37" s="40">
        <v>37.6</v>
      </c>
      <c r="N37" s="26"/>
      <c r="O37" s="26">
        <v>37.200000000000003</v>
      </c>
      <c r="P37" s="40"/>
      <c r="Q37" s="40">
        <v>36.6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3.4000000000000057</v>
      </c>
      <c r="H38" s="41">
        <f t="shared" si="3"/>
        <v>0</v>
      </c>
      <c r="I38" s="41">
        <f t="shared" si="3"/>
        <v>4.7000000000000028</v>
      </c>
      <c r="J38" s="41">
        <f t="shared" si="3"/>
        <v>0</v>
      </c>
      <c r="K38" s="41">
        <f t="shared" si="3"/>
        <v>3.6999999999999957</v>
      </c>
      <c r="L38" s="41">
        <f t="shared" si="3"/>
        <v>0</v>
      </c>
      <c r="M38" s="41">
        <f t="shared" si="3"/>
        <v>4.3000000000000043</v>
      </c>
      <c r="N38" s="41">
        <f t="shared" si="3"/>
        <v>0</v>
      </c>
      <c r="O38" s="41">
        <f t="shared" si="3"/>
        <v>3.2000000000000028</v>
      </c>
      <c r="P38" s="41">
        <f t="shared" si="3"/>
        <v>0</v>
      </c>
      <c r="Q38" s="41">
        <f t="shared" si="3"/>
        <v>2.8999999999999986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28.5</v>
      </c>
      <c r="H40" s="40"/>
      <c r="I40" s="40">
        <v>28.3</v>
      </c>
      <c r="J40" s="26"/>
      <c r="K40" s="26">
        <v>28.3</v>
      </c>
      <c r="L40" s="40"/>
      <c r="M40" s="40">
        <v>28.1</v>
      </c>
      <c r="N40" s="26"/>
      <c r="O40" s="26">
        <v>28.3</v>
      </c>
      <c r="P40" s="40"/>
      <c r="Q40" s="40">
        <v>28.6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33.799999999999997</v>
      </c>
      <c r="H41" s="40"/>
      <c r="I41" s="40">
        <v>33.299999999999997</v>
      </c>
      <c r="J41" s="26"/>
      <c r="K41" s="26">
        <v>33.700000000000003</v>
      </c>
      <c r="L41" s="40"/>
      <c r="M41" s="40">
        <v>33.299999999999997</v>
      </c>
      <c r="N41" s="26"/>
      <c r="O41" s="26">
        <v>34</v>
      </c>
      <c r="P41" s="40"/>
      <c r="Q41" s="40">
        <v>33.700000000000003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5.2999999999999972</v>
      </c>
      <c r="H42" s="41">
        <f t="shared" si="4"/>
        <v>0</v>
      </c>
      <c r="I42" s="41">
        <f t="shared" si="4"/>
        <v>4.9999999999999964</v>
      </c>
      <c r="J42" s="41">
        <f t="shared" si="4"/>
        <v>0</v>
      </c>
      <c r="K42" s="41">
        <f t="shared" si="4"/>
        <v>5.4000000000000021</v>
      </c>
      <c r="L42" s="41">
        <f t="shared" si="4"/>
        <v>0</v>
      </c>
      <c r="M42" s="41">
        <f t="shared" si="4"/>
        <v>5.1999999999999957</v>
      </c>
      <c r="N42" s="41">
        <f t="shared" si="4"/>
        <v>0</v>
      </c>
      <c r="O42" s="41">
        <f t="shared" si="4"/>
        <v>5.6999999999999993</v>
      </c>
      <c r="P42" s="41">
        <f t="shared" si="4"/>
        <v>0</v>
      </c>
      <c r="Q42" s="41">
        <f t="shared" si="4"/>
        <v>5.1000000000000014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1298.6400000000001</v>
      </c>
      <c r="H43" s="40"/>
      <c r="I43" s="40">
        <v>1302.1400000000001</v>
      </c>
      <c r="J43" s="26"/>
      <c r="K43" s="26">
        <v>1293.18</v>
      </c>
      <c r="L43" s="40"/>
      <c r="M43" s="26">
        <v>1288.56</v>
      </c>
      <c r="N43" s="26"/>
      <c r="O43" s="26">
        <v>1107.82</v>
      </c>
      <c r="P43" s="40"/>
      <c r="Q43" s="40">
        <v>1295.98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7947.7967667436451</v>
      </c>
      <c r="H44" s="42">
        <f t="shared" si="5"/>
        <v>0</v>
      </c>
      <c r="I44" s="42">
        <f t="shared" si="5"/>
        <v>7518.1293302540371</v>
      </c>
      <c r="J44" s="42">
        <f t="shared" si="5"/>
        <v>0</v>
      </c>
      <c r="K44" s="42">
        <f t="shared" si="5"/>
        <v>8063.7090069284104</v>
      </c>
      <c r="L44" s="42">
        <f t="shared" si="5"/>
        <v>0</v>
      </c>
      <c r="M44" s="42">
        <f t="shared" si="5"/>
        <v>7737.3117782909867</v>
      </c>
      <c r="N44" s="42">
        <f t="shared" si="5"/>
        <v>0</v>
      </c>
      <c r="O44" s="42">
        <f t="shared" si="5"/>
        <v>7291.6558891454952</v>
      </c>
      <c r="P44" s="42">
        <f t="shared" si="5"/>
        <v>0</v>
      </c>
      <c r="Q44" s="42">
        <f t="shared" si="5"/>
        <v>7632.214780600465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0.48</v>
      </c>
      <c r="H45" s="40"/>
      <c r="I45" s="40">
        <v>0.47</v>
      </c>
      <c r="J45" s="26"/>
      <c r="K45" s="26">
        <v>0.46</v>
      </c>
      <c r="L45" s="40"/>
      <c r="M45" s="40">
        <v>0.48</v>
      </c>
      <c r="N45" s="26"/>
      <c r="O45" s="26">
        <v>0.47</v>
      </c>
      <c r="P45" s="40"/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20.5</v>
      </c>
      <c r="H46" s="40"/>
      <c r="I46" s="40">
        <v>20.3</v>
      </c>
      <c r="J46" s="26"/>
      <c r="K46" s="26">
        <v>19.5</v>
      </c>
      <c r="L46" s="40"/>
      <c r="M46" s="40">
        <v>20.399999999999999</v>
      </c>
      <c r="N46" s="26"/>
      <c r="O46" s="26">
        <v>20.100000000000001</v>
      </c>
      <c r="P46" s="40"/>
      <c r="Q46" s="40">
        <v>196.5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166.8</v>
      </c>
      <c r="H47" s="40"/>
      <c r="I47" s="40">
        <v>129.1</v>
      </c>
      <c r="J47" s="26"/>
      <c r="K47" s="26">
        <v>196.9</v>
      </c>
      <c r="L47" s="40"/>
      <c r="M47" s="40">
        <v>212.5</v>
      </c>
      <c r="N47" s="26"/>
      <c r="O47" s="26">
        <v>169.3</v>
      </c>
      <c r="P47" s="40"/>
      <c r="Q47" s="40">
        <v>5.27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105">
        <v>5.89</v>
      </c>
      <c r="F49" s="26"/>
      <c r="G49" s="26">
        <v>4.96</v>
      </c>
      <c r="H49" s="40"/>
      <c r="I49" s="40">
        <v>5.44</v>
      </c>
      <c r="J49" s="26"/>
      <c r="K49" s="26">
        <v>5.59</v>
      </c>
      <c r="L49" s="40"/>
      <c r="M49" s="40">
        <v>5.5</v>
      </c>
      <c r="N49" s="26"/>
      <c r="O49" s="26">
        <v>5.5</v>
      </c>
      <c r="P49" s="40"/>
      <c r="Q49" s="40"/>
    </row>
    <row r="50" spans="2:17" ht="20.100000000000001" customHeight="1" x14ac:dyDescent="0.25">
      <c r="B50" s="110" t="s">
        <v>51</v>
      </c>
      <c r="C50" s="110"/>
      <c r="D50" s="110"/>
      <c r="E50" s="105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104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2777-8652-43EC-8AE7-C38B11553E01}">
  <dimension ref="B1:Q59"/>
  <sheetViews>
    <sheetView view="pageBreakPreview" topLeftCell="B1" zoomScale="85" zoomScaleNormal="60" zoomScaleSheetLayoutView="85" workbookViewId="0">
      <selection activeCell="K17" sqref="K17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3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107" t="s">
        <v>78</v>
      </c>
      <c r="E10" s="27"/>
      <c r="F10" s="37"/>
      <c r="G10" s="37" t="s">
        <v>99</v>
      </c>
      <c r="H10" s="39" t="s">
        <v>99</v>
      </c>
      <c r="I10" s="39" t="s">
        <v>99</v>
      </c>
      <c r="J10" s="37" t="s">
        <v>99</v>
      </c>
      <c r="K10" s="37" t="s">
        <v>99</v>
      </c>
      <c r="L10" s="39" t="s">
        <v>99</v>
      </c>
      <c r="M10" s="39" t="s">
        <v>99</v>
      </c>
      <c r="N10" s="37"/>
      <c r="O10" s="37" t="s">
        <v>99</v>
      </c>
      <c r="P10" s="39"/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/>
      <c r="G11" s="26">
        <v>68.5</v>
      </c>
      <c r="H11" s="40">
        <v>80.599999999999994</v>
      </c>
      <c r="I11" s="40">
        <v>78</v>
      </c>
      <c r="J11" s="26">
        <v>63.4</v>
      </c>
      <c r="K11" s="26">
        <v>72</v>
      </c>
      <c r="L11" s="40">
        <v>75.099999999999994</v>
      </c>
      <c r="M11" s="40">
        <v>73</v>
      </c>
      <c r="N11" s="26"/>
      <c r="O11" s="26">
        <v>74.3</v>
      </c>
      <c r="P11" s="40"/>
      <c r="Q11" s="40">
        <v>73.7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/>
      <c r="G12" s="26">
        <v>0.1</v>
      </c>
      <c r="H12" s="40">
        <v>0.2</v>
      </c>
      <c r="I12" s="40">
        <v>0</v>
      </c>
      <c r="J12" s="26">
        <v>0</v>
      </c>
      <c r="K12" s="26">
        <v>0</v>
      </c>
      <c r="L12" s="40">
        <v>0.1</v>
      </c>
      <c r="M12" s="40">
        <v>0</v>
      </c>
      <c r="N12" s="26"/>
      <c r="O12" s="26">
        <v>0</v>
      </c>
      <c r="P12" s="40"/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/>
      <c r="G13" s="26">
        <v>61.7</v>
      </c>
      <c r="H13" s="40">
        <v>77.7</v>
      </c>
      <c r="I13" s="40">
        <v>73.2</v>
      </c>
      <c r="J13" s="26">
        <v>57.5</v>
      </c>
      <c r="K13" s="26">
        <v>66.2</v>
      </c>
      <c r="L13" s="40">
        <v>69.3</v>
      </c>
      <c r="M13" s="40">
        <v>67.8</v>
      </c>
      <c r="N13" s="26"/>
      <c r="O13" s="26">
        <v>68.599999999999994</v>
      </c>
      <c r="P13" s="40"/>
      <c r="Q13" s="40">
        <v>68.7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/>
      <c r="G14" s="26">
        <v>64.7</v>
      </c>
      <c r="H14" s="40">
        <v>61.9</v>
      </c>
      <c r="I14" s="40">
        <v>66.3</v>
      </c>
      <c r="J14" s="26">
        <v>59.6</v>
      </c>
      <c r="K14" s="26">
        <v>62.5</v>
      </c>
      <c r="L14" s="40">
        <v>63</v>
      </c>
      <c r="M14" s="40">
        <v>64.400000000000006</v>
      </c>
      <c r="N14" s="26"/>
      <c r="O14" s="26">
        <v>70.5</v>
      </c>
      <c r="P14" s="40"/>
      <c r="Q14" s="40">
        <v>71.7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/>
      <c r="G15" s="26">
        <v>48.4</v>
      </c>
      <c r="H15" s="40">
        <v>51.4</v>
      </c>
      <c r="I15" s="40">
        <v>50.3</v>
      </c>
      <c r="J15" s="26">
        <v>35</v>
      </c>
      <c r="K15" s="26">
        <v>35.4</v>
      </c>
      <c r="L15" s="40">
        <v>30.6</v>
      </c>
      <c r="M15" s="40">
        <v>28.7</v>
      </c>
      <c r="N15" s="26"/>
      <c r="O15" s="26">
        <v>47.2</v>
      </c>
      <c r="P15" s="40"/>
      <c r="Q15" s="40">
        <v>36.9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/>
      <c r="G16" s="26">
        <v>6.6</v>
      </c>
      <c r="H16" s="40">
        <v>6.6</v>
      </c>
      <c r="I16" s="40">
        <v>6.6</v>
      </c>
      <c r="J16" s="26">
        <v>6.6</v>
      </c>
      <c r="K16" s="26">
        <v>6.6</v>
      </c>
      <c r="L16" s="40">
        <v>6.6</v>
      </c>
      <c r="M16" s="40">
        <v>6.6</v>
      </c>
      <c r="N16" s="26"/>
      <c r="O16" s="26">
        <v>6.6</v>
      </c>
      <c r="P16" s="40"/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/>
      <c r="G17" s="26">
        <v>113.4</v>
      </c>
      <c r="H17" s="40">
        <v>117.1</v>
      </c>
      <c r="I17" s="40">
        <v>116.4</v>
      </c>
      <c r="J17" s="26">
        <v>110.3</v>
      </c>
      <c r="K17" s="26">
        <v>115.8</v>
      </c>
      <c r="L17" s="40">
        <v>117.7</v>
      </c>
      <c r="M17" s="40">
        <v>116.9</v>
      </c>
      <c r="N17" s="26"/>
      <c r="O17" s="26">
        <v>116.4</v>
      </c>
      <c r="P17" s="40"/>
      <c r="Q17" s="40">
        <v>114.5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/>
      <c r="G18" s="26">
        <v>1109</v>
      </c>
      <c r="H18" s="40">
        <v>1188</v>
      </c>
      <c r="I18" s="40">
        <v>1183</v>
      </c>
      <c r="J18" s="26">
        <v>1128</v>
      </c>
      <c r="K18" s="26">
        <v>1167</v>
      </c>
      <c r="L18" s="40">
        <v>1200</v>
      </c>
      <c r="M18" s="40">
        <v>1184</v>
      </c>
      <c r="N18" s="26"/>
      <c r="O18" s="26">
        <v>1183</v>
      </c>
      <c r="P18" s="40"/>
      <c r="Q18" s="40">
        <v>1164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/>
      <c r="G19" s="26">
        <v>46491.1</v>
      </c>
      <c r="H19" s="40">
        <v>47395.8</v>
      </c>
      <c r="I19" s="40">
        <v>47385.9</v>
      </c>
      <c r="J19" s="26">
        <v>44980.3</v>
      </c>
      <c r="K19" s="26">
        <v>44970.3</v>
      </c>
      <c r="L19" s="40">
        <v>47271.1</v>
      </c>
      <c r="M19" s="40">
        <v>47261.1</v>
      </c>
      <c r="N19" s="26"/>
      <c r="O19" s="26">
        <v>46602.1</v>
      </c>
      <c r="P19" s="40"/>
      <c r="Q19" s="40">
        <v>48493.1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/>
      <c r="G22" s="26">
        <v>45.7</v>
      </c>
      <c r="H22" s="40">
        <v>58.7</v>
      </c>
      <c r="I22" s="40">
        <v>58.9</v>
      </c>
      <c r="J22" s="26">
        <v>57.9</v>
      </c>
      <c r="K22" s="26">
        <v>57.7</v>
      </c>
      <c r="L22" s="40">
        <v>57.5</v>
      </c>
      <c r="M22" s="40">
        <v>57.5</v>
      </c>
      <c r="N22" s="26"/>
      <c r="O22" s="26">
        <v>44.9</v>
      </c>
      <c r="P22" s="40"/>
      <c r="Q22" s="40">
        <v>59.6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/>
      <c r="G23" s="26">
        <v>0.53</v>
      </c>
      <c r="H23" s="40">
        <v>0.48</v>
      </c>
      <c r="I23" s="40">
        <v>0.49</v>
      </c>
      <c r="J23" s="26">
        <v>0.59</v>
      </c>
      <c r="K23" s="26">
        <v>0.59</v>
      </c>
      <c r="L23" s="40">
        <v>0.52</v>
      </c>
      <c r="M23" s="40">
        <v>0.59</v>
      </c>
      <c r="N23" s="26"/>
      <c r="O23" s="26">
        <v>0.43</v>
      </c>
      <c r="P23" s="40"/>
      <c r="Q23" s="40">
        <v>0.47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/>
      <c r="G25" s="26">
        <v>45.2</v>
      </c>
      <c r="H25" s="40">
        <v>45.1</v>
      </c>
      <c r="I25" s="40">
        <v>45.1</v>
      </c>
      <c r="J25" s="26">
        <v>45.1</v>
      </c>
      <c r="K25" s="26">
        <v>45.1</v>
      </c>
      <c r="L25" s="40">
        <v>45</v>
      </c>
      <c r="M25" s="40">
        <v>45</v>
      </c>
      <c r="N25" s="26"/>
      <c r="O25" s="26">
        <v>44.9</v>
      </c>
      <c r="P25" s="40"/>
      <c r="Q25" s="40">
        <v>44.9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/>
      <c r="G26" s="26">
        <v>0.28000000000000003</v>
      </c>
      <c r="H26" s="40">
        <v>0.21</v>
      </c>
      <c r="I26" s="40">
        <v>0.22</v>
      </c>
      <c r="J26" s="26">
        <v>0.23</v>
      </c>
      <c r="K26" s="26">
        <v>0.23</v>
      </c>
      <c r="L26" s="40">
        <v>0.22</v>
      </c>
      <c r="M26" s="40">
        <v>0.22</v>
      </c>
      <c r="N26" s="26"/>
      <c r="O26" s="26">
        <v>0.22</v>
      </c>
      <c r="P26" s="40"/>
      <c r="Q26" s="40">
        <v>0.23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/>
      <c r="G27" s="26">
        <v>4</v>
      </c>
      <c r="H27" s="40">
        <v>2.7</v>
      </c>
      <c r="I27" s="40">
        <v>3.4</v>
      </c>
      <c r="J27" s="26">
        <v>4.2</v>
      </c>
      <c r="K27" s="26">
        <v>4</v>
      </c>
      <c r="L27" s="40">
        <v>4.2</v>
      </c>
      <c r="M27" s="40">
        <v>4.2</v>
      </c>
      <c r="N27" s="26"/>
      <c r="O27" s="26">
        <v>3.9</v>
      </c>
      <c r="P27" s="40"/>
      <c r="Q27" s="40">
        <v>4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/>
      <c r="G28" s="26">
        <v>3.7</v>
      </c>
      <c r="H28" s="40">
        <v>1.8</v>
      </c>
      <c r="I28" s="40">
        <v>2.5</v>
      </c>
      <c r="J28" s="26">
        <v>3.3</v>
      </c>
      <c r="K28" s="26">
        <v>3.4</v>
      </c>
      <c r="L28" s="40">
        <v>3.1</v>
      </c>
      <c r="M28" s="40">
        <v>2.9</v>
      </c>
      <c r="N28" s="26"/>
      <c r="O28" s="26">
        <v>3.2</v>
      </c>
      <c r="P28" s="40"/>
      <c r="Q28" s="40">
        <v>3.2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</v>
      </c>
      <c r="G29" s="41">
        <f t="shared" ref="G29:Q29" si="0">G32-G28</f>
        <v>0.59999999999999964</v>
      </c>
      <c r="H29" s="41">
        <f t="shared" si="0"/>
        <v>2.2999999999999998</v>
      </c>
      <c r="I29" s="41">
        <f t="shared" si="0"/>
        <v>1.7999999999999998</v>
      </c>
      <c r="J29" s="41">
        <f t="shared" si="0"/>
        <v>0.70000000000000018</v>
      </c>
      <c r="K29" s="41">
        <f t="shared" si="0"/>
        <v>1.1999999999999997</v>
      </c>
      <c r="L29" s="41">
        <f t="shared" si="0"/>
        <v>1.4</v>
      </c>
      <c r="M29" s="41">
        <f t="shared" si="0"/>
        <v>1.6</v>
      </c>
      <c r="N29" s="41"/>
      <c r="O29" s="41">
        <f t="shared" si="0"/>
        <v>0.69999999999999973</v>
      </c>
      <c r="P29" s="41">
        <f t="shared" si="0"/>
        <v>0</v>
      </c>
      <c r="Q29" s="41">
        <f t="shared" si="0"/>
        <v>1.5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/>
      <c r="G30" s="26">
        <v>669.2</v>
      </c>
      <c r="H30" s="40">
        <v>674.3</v>
      </c>
      <c r="I30" s="40">
        <v>650</v>
      </c>
      <c r="J30" s="26">
        <v>658.9</v>
      </c>
      <c r="K30" s="26">
        <v>646.79999999999995</v>
      </c>
      <c r="L30" s="40">
        <v>748.6</v>
      </c>
      <c r="M30" s="40">
        <v>706.24</v>
      </c>
      <c r="N30" s="26"/>
      <c r="O30" s="26">
        <v>639.12</v>
      </c>
      <c r="P30" s="40"/>
      <c r="Q30" s="40">
        <v>649.04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/>
      <c r="G31" s="26">
        <v>12.4</v>
      </c>
      <c r="H31" s="40">
        <v>12.3</v>
      </c>
      <c r="I31" s="40">
        <v>12.5</v>
      </c>
      <c r="J31" s="26">
        <v>12.2</v>
      </c>
      <c r="K31" s="26">
        <v>13.2</v>
      </c>
      <c r="L31" s="40">
        <v>12.3</v>
      </c>
      <c r="M31" s="40">
        <v>12.8</v>
      </c>
      <c r="N31" s="26"/>
      <c r="O31" s="26">
        <v>12.4</v>
      </c>
      <c r="P31" s="40"/>
      <c r="Q31" s="40">
        <v>12.8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/>
      <c r="G32" s="26">
        <v>4.3</v>
      </c>
      <c r="H32" s="40">
        <v>4.0999999999999996</v>
      </c>
      <c r="I32" s="40">
        <v>4.3</v>
      </c>
      <c r="J32" s="26">
        <v>4</v>
      </c>
      <c r="K32" s="26">
        <v>4.5999999999999996</v>
      </c>
      <c r="L32" s="40">
        <v>4.5</v>
      </c>
      <c r="M32" s="40">
        <v>4.5</v>
      </c>
      <c r="N32" s="26"/>
      <c r="O32" s="26">
        <v>3.9</v>
      </c>
      <c r="P32" s="40"/>
      <c r="Q32" s="40">
        <v>4.7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0</v>
      </c>
      <c r="G33" s="41">
        <f t="shared" ref="G33:Q33" si="1">G31-G32</f>
        <v>8.1000000000000014</v>
      </c>
      <c r="H33" s="41">
        <f t="shared" si="1"/>
        <v>8.2000000000000011</v>
      </c>
      <c r="I33" s="41">
        <f t="shared" si="1"/>
        <v>8.1999999999999993</v>
      </c>
      <c r="J33" s="41">
        <f t="shared" si="1"/>
        <v>8.1999999999999993</v>
      </c>
      <c r="K33" s="41">
        <f t="shared" si="1"/>
        <v>8.6</v>
      </c>
      <c r="L33" s="41">
        <f t="shared" si="1"/>
        <v>7.8000000000000007</v>
      </c>
      <c r="M33" s="41">
        <f t="shared" si="1"/>
        <v>8.3000000000000007</v>
      </c>
      <c r="N33" s="41">
        <f t="shared" si="1"/>
        <v>0</v>
      </c>
      <c r="O33" s="41">
        <f t="shared" si="1"/>
        <v>8.5</v>
      </c>
      <c r="P33" s="41">
        <f t="shared" si="1"/>
        <v>0</v>
      </c>
      <c r="Q33" s="41">
        <f t="shared" si="1"/>
        <v>8.1000000000000014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0</v>
      </c>
      <c r="G34" s="42">
        <f t="shared" ref="G34:Q34" si="2">(G33*G30)/0.866</f>
        <v>6259.2609699769073</v>
      </c>
      <c r="H34" s="42">
        <f t="shared" si="2"/>
        <v>6384.8267898383374</v>
      </c>
      <c r="I34" s="42">
        <f t="shared" si="2"/>
        <v>6154.7344110854492</v>
      </c>
      <c r="J34" s="42">
        <f t="shared" si="2"/>
        <v>6239.0069284064657</v>
      </c>
      <c r="K34" s="42">
        <f t="shared" si="2"/>
        <v>6423.1870669745958</v>
      </c>
      <c r="L34" s="42">
        <f t="shared" si="2"/>
        <v>6742.5866050808327</v>
      </c>
      <c r="M34" s="42">
        <f t="shared" si="2"/>
        <v>6768.8129330254051</v>
      </c>
      <c r="N34" s="42">
        <f t="shared" si="2"/>
        <v>0</v>
      </c>
      <c r="O34" s="42">
        <f t="shared" si="2"/>
        <v>6273.1177829099315</v>
      </c>
      <c r="P34" s="42">
        <f t="shared" si="2"/>
        <v>0</v>
      </c>
      <c r="Q34" s="42">
        <f t="shared" si="2"/>
        <v>6070.6974595842967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/>
      <c r="G35" s="26">
        <v>0.83</v>
      </c>
      <c r="H35" s="40">
        <v>0.84</v>
      </c>
      <c r="I35" s="40">
        <v>0.87</v>
      </c>
      <c r="J35" s="26">
        <v>0.81</v>
      </c>
      <c r="K35" s="26">
        <v>0.85</v>
      </c>
      <c r="L35" s="40">
        <v>0.85</v>
      </c>
      <c r="M35" s="40">
        <v>0.86</v>
      </c>
      <c r="N35" s="26"/>
      <c r="O35" s="26">
        <v>0.84</v>
      </c>
      <c r="P35" s="40"/>
      <c r="Q35" s="40">
        <v>0.83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/>
      <c r="G36" s="26">
        <v>36.4</v>
      </c>
      <c r="H36" s="40">
        <v>36.4</v>
      </c>
      <c r="I36" s="40">
        <v>37.299999999999997</v>
      </c>
      <c r="J36" s="26">
        <v>35.6</v>
      </c>
      <c r="K36" s="26">
        <v>36.9</v>
      </c>
      <c r="L36" s="40">
        <v>36.6</v>
      </c>
      <c r="M36" s="40">
        <v>37.299999999999997</v>
      </c>
      <c r="N36" s="26"/>
      <c r="O36" s="26">
        <v>36.9</v>
      </c>
      <c r="P36" s="40"/>
      <c r="Q36" s="40">
        <v>36.6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/>
      <c r="G37" s="26">
        <v>37</v>
      </c>
      <c r="H37" s="40">
        <v>37.200000000000003</v>
      </c>
      <c r="I37" s="40">
        <v>38.200000000000003</v>
      </c>
      <c r="J37" s="26">
        <v>36.299999999999997</v>
      </c>
      <c r="K37" s="26">
        <v>37.6</v>
      </c>
      <c r="L37" s="40">
        <v>37</v>
      </c>
      <c r="M37" s="40">
        <v>38</v>
      </c>
      <c r="N37" s="26"/>
      <c r="O37" s="26">
        <v>37.299999999999997</v>
      </c>
      <c r="P37" s="40"/>
      <c r="Q37" s="40">
        <v>36.700000000000003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0</v>
      </c>
      <c r="G38" s="41">
        <f t="shared" ref="G38:Q38" si="3">G37-G41</f>
        <v>3.2000000000000028</v>
      </c>
      <c r="H38" s="41">
        <f t="shared" si="3"/>
        <v>4.3000000000000043</v>
      </c>
      <c r="I38" s="41">
        <f t="shared" si="3"/>
        <v>4.7000000000000028</v>
      </c>
      <c r="J38" s="41">
        <f t="shared" si="3"/>
        <v>2.8999999999999986</v>
      </c>
      <c r="K38" s="41">
        <f t="shared" si="3"/>
        <v>3.6000000000000014</v>
      </c>
      <c r="L38" s="41">
        <f t="shared" si="3"/>
        <v>3.5</v>
      </c>
      <c r="M38" s="41">
        <f t="shared" si="3"/>
        <v>4.3999999999999986</v>
      </c>
      <c r="N38" s="41">
        <f t="shared" si="3"/>
        <v>0</v>
      </c>
      <c r="O38" s="41">
        <f t="shared" si="3"/>
        <v>3</v>
      </c>
      <c r="P38" s="41">
        <f t="shared" si="3"/>
        <v>0</v>
      </c>
      <c r="Q38" s="41">
        <f t="shared" si="3"/>
        <v>2.8000000000000043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/>
      <c r="G40" s="26">
        <v>28.8</v>
      </c>
      <c r="H40" s="40">
        <v>28</v>
      </c>
      <c r="I40" s="40">
        <v>28.7</v>
      </c>
      <c r="J40" s="26">
        <v>28.1</v>
      </c>
      <c r="K40" s="26">
        <v>28.7</v>
      </c>
      <c r="L40" s="40">
        <v>28.1</v>
      </c>
      <c r="M40" s="40">
        <v>28.5</v>
      </c>
      <c r="N40" s="26"/>
      <c r="O40" s="26">
        <v>28.7</v>
      </c>
      <c r="P40" s="40"/>
      <c r="Q40" s="40">
        <v>29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/>
      <c r="G41" s="26">
        <v>33.799999999999997</v>
      </c>
      <c r="H41" s="40">
        <v>32.9</v>
      </c>
      <c r="I41" s="40">
        <v>33.5</v>
      </c>
      <c r="J41" s="26">
        <v>33.4</v>
      </c>
      <c r="K41" s="26">
        <v>34</v>
      </c>
      <c r="L41" s="40">
        <v>33.5</v>
      </c>
      <c r="M41" s="40">
        <v>33.6</v>
      </c>
      <c r="N41" s="26"/>
      <c r="O41" s="26">
        <v>34.299999999999997</v>
      </c>
      <c r="P41" s="40"/>
      <c r="Q41" s="40">
        <v>33.9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0</v>
      </c>
      <c r="G42" s="41">
        <f t="shared" ref="G42:Q42" si="4">G41-G40</f>
        <v>4.9999999999999964</v>
      </c>
      <c r="H42" s="41">
        <f t="shared" si="4"/>
        <v>4.8999999999999986</v>
      </c>
      <c r="I42" s="41">
        <f t="shared" si="4"/>
        <v>4.8000000000000007</v>
      </c>
      <c r="J42" s="41">
        <f t="shared" si="4"/>
        <v>5.2999999999999972</v>
      </c>
      <c r="K42" s="41">
        <f t="shared" si="4"/>
        <v>5.3000000000000007</v>
      </c>
      <c r="L42" s="41">
        <f t="shared" si="4"/>
        <v>5.3999999999999986</v>
      </c>
      <c r="M42" s="41">
        <f t="shared" si="4"/>
        <v>5.1000000000000014</v>
      </c>
      <c r="N42" s="41">
        <f t="shared" si="4"/>
        <v>0</v>
      </c>
      <c r="O42" s="41">
        <f t="shared" si="4"/>
        <v>5.5999999999999979</v>
      </c>
      <c r="P42" s="41">
        <f t="shared" si="4"/>
        <v>0</v>
      </c>
      <c r="Q42" s="41">
        <f t="shared" si="4"/>
        <v>4.8999999999999986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/>
      <c r="G43" s="26">
        <v>1298.5</v>
      </c>
      <c r="H43" s="40">
        <v>1299.5999999999999</v>
      </c>
      <c r="I43" s="40">
        <v>1299.2</v>
      </c>
      <c r="J43" s="26">
        <v>1298.5</v>
      </c>
      <c r="K43" s="26">
        <v>1284.22</v>
      </c>
      <c r="L43" s="40">
        <v>1271</v>
      </c>
      <c r="M43" s="26">
        <v>1291.92</v>
      </c>
      <c r="N43" s="26"/>
      <c r="O43" s="26">
        <v>1108.94</v>
      </c>
      <c r="P43" s="40"/>
      <c r="Q43" s="40">
        <v>1288.56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0</v>
      </c>
      <c r="G44" s="42">
        <f t="shared" ref="G44:Q44" si="5">G42*G43/0.866</f>
        <v>7497.1131639722807</v>
      </c>
      <c r="H44" s="42">
        <f t="shared" si="5"/>
        <v>7353.3949191685888</v>
      </c>
      <c r="I44" s="42">
        <f t="shared" si="5"/>
        <v>7201.1085450346427</v>
      </c>
      <c r="J44" s="42">
        <f t="shared" si="5"/>
        <v>7946.93995381062</v>
      </c>
      <c r="K44" s="42">
        <f t="shared" si="5"/>
        <v>7859.545034642033</v>
      </c>
      <c r="L44" s="42">
        <f t="shared" si="5"/>
        <v>7925.4041570438776</v>
      </c>
      <c r="M44" s="42">
        <f t="shared" si="5"/>
        <v>7608.3048498845292</v>
      </c>
      <c r="N44" s="42">
        <f t="shared" si="5"/>
        <v>0</v>
      </c>
      <c r="O44" s="42">
        <f t="shared" si="5"/>
        <v>7170.974595842953</v>
      </c>
      <c r="P44" s="42">
        <f t="shared" si="5"/>
        <v>0</v>
      </c>
      <c r="Q44" s="42">
        <f t="shared" si="5"/>
        <v>7290.9284064665098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/>
      <c r="G45" s="26">
        <v>0.47</v>
      </c>
      <c r="H45" s="40">
        <v>0.45</v>
      </c>
      <c r="I45" s="40">
        <v>0.47</v>
      </c>
      <c r="J45" s="26">
        <v>0.46</v>
      </c>
      <c r="K45" s="26">
        <v>0.47</v>
      </c>
      <c r="L45" s="40">
        <v>0.47</v>
      </c>
      <c r="M45" s="40">
        <v>0.48</v>
      </c>
      <c r="N45" s="26"/>
      <c r="O45" s="26">
        <v>0.47</v>
      </c>
      <c r="P45" s="40"/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/>
      <c r="G46" s="26">
        <v>20.3</v>
      </c>
      <c r="H46" s="40">
        <v>18.8</v>
      </c>
      <c r="I46" s="40">
        <v>20</v>
      </c>
      <c r="J46" s="26">
        <v>19.399999999999999</v>
      </c>
      <c r="K46" s="26">
        <v>20.2</v>
      </c>
      <c r="L46" s="40">
        <v>19.899999999999999</v>
      </c>
      <c r="M46" s="40">
        <v>20.5</v>
      </c>
      <c r="N46" s="26"/>
      <c r="O46" s="26">
        <v>19.899999999999999</v>
      </c>
      <c r="P46" s="40"/>
      <c r="Q46" s="40">
        <v>20.100000000000001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/>
      <c r="G47" s="26">
        <v>216.8</v>
      </c>
      <c r="H47" s="40">
        <v>126</v>
      </c>
      <c r="I47" s="40">
        <v>125.2</v>
      </c>
      <c r="J47" s="26">
        <v>206.8</v>
      </c>
      <c r="K47" s="26">
        <v>206</v>
      </c>
      <c r="L47" s="40">
        <v>212.1</v>
      </c>
      <c r="M47" s="40">
        <v>229.8</v>
      </c>
      <c r="N47" s="26"/>
      <c r="O47" s="26">
        <v>157.5</v>
      </c>
      <c r="P47" s="40"/>
      <c r="Q47" s="40">
        <v>196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107">
        <v>5.89</v>
      </c>
      <c r="F49" s="26"/>
      <c r="G49" s="26">
        <v>5.73</v>
      </c>
      <c r="H49" s="40">
        <v>5.21</v>
      </c>
      <c r="I49" s="40">
        <v>5.37</v>
      </c>
      <c r="J49" s="26">
        <v>5.42</v>
      </c>
      <c r="K49" s="26">
        <v>5.51</v>
      </c>
      <c r="L49" s="40">
        <v>4.84</v>
      </c>
      <c r="M49" s="40">
        <v>5.21</v>
      </c>
      <c r="N49" s="26"/>
      <c r="O49" s="26">
        <v>5.46</v>
      </c>
      <c r="P49" s="40"/>
      <c r="Q49" s="40">
        <v>5.17</v>
      </c>
    </row>
    <row r="50" spans="2:17" ht="20.100000000000001" customHeight="1" x14ac:dyDescent="0.25">
      <c r="B50" s="110" t="s">
        <v>51</v>
      </c>
      <c r="C50" s="110"/>
      <c r="D50" s="110"/>
      <c r="E50" s="107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106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1E85-7A41-4C12-B3F6-318D07A5AE3E}">
  <dimension ref="B1:Q59"/>
  <sheetViews>
    <sheetView tabSelected="1" view="pageBreakPreview" topLeftCell="I22" zoomScale="85" zoomScaleNormal="60" zoomScaleSheetLayoutView="85" workbookViewId="0">
      <selection activeCell="Q45" sqref="Q45:Q49"/>
    </sheetView>
  </sheetViews>
  <sheetFormatPr defaultRowHeight="15" x14ac:dyDescent="0.25"/>
  <cols>
    <col min="1" max="1" width="3.85546875" style="1" customWidth="1"/>
    <col min="2" max="2" width="25.85546875" style="1" bestFit="1" customWidth="1"/>
    <col min="3" max="3" width="60.5703125" style="1" bestFit="1" customWidth="1"/>
    <col min="4" max="4" width="20.5703125" style="1" bestFit="1" customWidth="1"/>
    <col min="5" max="5" width="22.7109375" style="1" customWidth="1"/>
    <col min="6" max="17" width="14.7109375" style="1" customWidth="1"/>
    <col min="18" max="16384" width="9.140625" style="1"/>
  </cols>
  <sheetData>
    <row r="1" spans="2:17" ht="15.75" thickBot="1" x14ac:dyDescent="0.3"/>
    <row r="2" spans="2:17" ht="15.75" thickBot="1" x14ac:dyDescent="0.3">
      <c r="B2" s="112"/>
      <c r="C2" s="115" t="s">
        <v>65</v>
      </c>
      <c r="D2" s="116"/>
      <c r="E2" s="116"/>
      <c r="F2" s="116"/>
      <c r="G2" s="116"/>
      <c r="H2" s="116"/>
      <c r="I2" s="116"/>
      <c r="J2" s="116"/>
      <c r="K2" s="116"/>
      <c r="L2" s="116"/>
      <c r="M2" s="117"/>
      <c r="N2" s="17" t="s">
        <v>64</v>
      </c>
      <c r="O2" s="18"/>
      <c r="P2" s="18"/>
      <c r="Q2" s="19"/>
    </row>
    <row r="3" spans="2:17" ht="15.75" thickBot="1" x14ac:dyDescent="0.3">
      <c r="B3" s="113"/>
      <c r="C3" s="118"/>
      <c r="D3" s="135"/>
      <c r="E3" s="135"/>
      <c r="F3" s="135"/>
      <c r="G3" s="135"/>
      <c r="H3" s="135"/>
      <c r="I3" s="135"/>
      <c r="J3" s="135"/>
      <c r="K3" s="135"/>
      <c r="L3" s="135"/>
      <c r="M3" s="120"/>
      <c r="N3" s="52" t="s">
        <v>63</v>
      </c>
      <c r="O3" s="53" t="s">
        <v>96</v>
      </c>
      <c r="P3" s="53"/>
      <c r="Q3" s="54"/>
    </row>
    <row r="4" spans="2:17" ht="15.75" thickBot="1" x14ac:dyDescent="0.3">
      <c r="B4" s="113"/>
      <c r="C4" s="118"/>
      <c r="D4" s="135"/>
      <c r="E4" s="135"/>
      <c r="F4" s="135"/>
      <c r="G4" s="135"/>
      <c r="H4" s="135"/>
      <c r="I4" s="135"/>
      <c r="J4" s="135"/>
      <c r="K4" s="135"/>
      <c r="L4" s="135"/>
      <c r="M4" s="120"/>
      <c r="N4" s="52" t="s">
        <v>62</v>
      </c>
      <c r="O4" s="53"/>
      <c r="P4" s="53"/>
      <c r="Q4" s="54"/>
    </row>
    <row r="5" spans="2:17" ht="15.75" thickBot="1" x14ac:dyDescent="0.3">
      <c r="B5" s="114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3"/>
      <c r="N5" s="23" t="s">
        <v>61</v>
      </c>
      <c r="O5" s="24"/>
      <c r="P5" s="24"/>
      <c r="Q5" s="25"/>
    </row>
    <row r="7" spans="2:17" x14ac:dyDescent="0.25">
      <c r="B7" s="124" t="s">
        <v>0</v>
      </c>
      <c r="C7" s="125"/>
      <c r="D7" s="136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2:17" x14ac:dyDescent="0.25">
      <c r="B8" s="110" t="s">
        <v>53</v>
      </c>
      <c r="C8" s="110"/>
      <c r="D8" s="110"/>
      <c r="E8" s="129" t="s">
        <v>72</v>
      </c>
      <c r="F8" s="111" t="s">
        <v>54</v>
      </c>
      <c r="G8" s="111"/>
      <c r="H8" s="131" t="s">
        <v>55</v>
      </c>
      <c r="I8" s="131"/>
      <c r="J8" s="111" t="s">
        <v>56</v>
      </c>
      <c r="K8" s="111"/>
      <c r="L8" s="131" t="s">
        <v>57</v>
      </c>
      <c r="M8" s="131"/>
      <c r="N8" s="111" t="s">
        <v>58</v>
      </c>
      <c r="O8" s="111"/>
      <c r="P8" s="131" t="s">
        <v>59</v>
      </c>
      <c r="Q8" s="131"/>
    </row>
    <row r="9" spans="2:17" x14ac:dyDescent="0.25">
      <c r="B9" s="124" t="s">
        <v>1</v>
      </c>
      <c r="C9" s="132"/>
      <c r="D9" s="125"/>
      <c r="E9" s="130"/>
      <c r="F9" s="4">
        <v>0.375</v>
      </c>
      <c r="G9" s="5" t="s">
        <v>60</v>
      </c>
      <c r="H9" s="6">
        <v>0.375</v>
      </c>
      <c r="I9" s="7" t="s">
        <v>60</v>
      </c>
      <c r="J9" s="4">
        <v>0.375</v>
      </c>
      <c r="K9" s="5" t="s">
        <v>60</v>
      </c>
      <c r="L9" s="6">
        <v>0.375</v>
      </c>
      <c r="M9" s="7" t="s">
        <v>60</v>
      </c>
      <c r="N9" s="4">
        <v>0.375</v>
      </c>
      <c r="O9" s="5" t="s">
        <v>60</v>
      </c>
      <c r="P9" s="6">
        <v>0.375</v>
      </c>
      <c r="Q9" s="7" t="s">
        <v>60</v>
      </c>
    </row>
    <row r="10" spans="2:17" ht="26.25" customHeight="1" x14ac:dyDescent="0.25">
      <c r="B10" s="133" t="s">
        <v>66</v>
      </c>
      <c r="C10" s="134"/>
      <c r="D10" s="109" t="s">
        <v>78</v>
      </c>
      <c r="E10" s="27"/>
      <c r="F10" s="37" t="s">
        <v>99</v>
      </c>
      <c r="G10" s="37" t="s">
        <v>99</v>
      </c>
      <c r="H10" s="39"/>
      <c r="I10" s="39" t="s">
        <v>99</v>
      </c>
      <c r="J10" s="37"/>
      <c r="K10" s="37" t="s">
        <v>99</v>
      </c>
      <c r="L10" s="39"/>
      <c r="M10" s="39" t="s">
        <v>99</v>
      </c>
      <c r="N10" s="37" t="s">
        <v>99</v>
      </c>
      <c r="O10" s="37" t="s">
        <v>99</v>
      </c>
      <c r="P10" s="37" t="s">
        <v>99</v>
      </c>
      <c r="Q10" s="39" t="s">
        <v>99</v>
      </c>
    </row>
    <row r="11" spans="2:17" ht="20.100000000000001" customHeight="1" x14ac:dyDescent="0.25">
      <c r="B11" s="110" t="s">
        <v>2</v>
      </c>
      <c r="C11" s="110"/>
      <c r="D11" s="2" t="s">
        <v>4</v>
      </c>
      <c r="E11" s="2" t="s">
        <v>80</v>
      </c>
      <c r="F11" s="26">
        <v>73.8</v>
      </c>
      <c r="G11" s="26">
        <v>69.400000000000006</v>
      </c>
      <c r="H11" s="40"/>
      <c r="I11" s="40">
        <v>78.7</v>
      </c>
      <c r="J11" s="26"/>
      <c r="K11" s="26">
        <v>74.099999999999994</v>
      </c>
      <c r="L11" s="40"/>
      <c r="M11" s="40">
        <v>74.7</v>
      </c>
      <c r="N11" s="26">
        <v>72.7</v>
      </c>
      <c r="O11" s="26">
        <v>72.8</v>
      </c>
      <c r="P11" s="40">
        <v>82.4</v>
      </c>
      <c r="Q11" s="40">
        <v>76.5</v>
      </c>
    </row>
    <row r="12" spans="2:17" ht="20.100000000000001" customHeight="1" x14ac:dyDescent="0.25">
      <c r="B12" s="110" t="s">
        <v>3</v>
      </c>
      <c r="C12" s="110"/>
      <c r="D12" s="2" t="s">
        <v>4</v>
      </c>
      <c r="E12" s="2" t="s">
        <v>80</v>
      </c>
      <c r="F12" s="26">
        <v>0</v>
      </c>
      <c r="G12" s="26">
        <v>0</v>
      </c>
      <c r="H12" s="40"/>
      <c r="I12" s="40">
        <v>0</v>
      </c>
      <c r="J12" s="26"/>
      <c r="K12" s="26">
        <v>0</v>
      </c>
      <c r="L12" s="40"/>
      <c r="M12" s="40">
        <v>0.1</v>
      </c>
      <c r="N12" s="26">
        <v>0</v>
      </c>
      <c r="O12" s="26">
        <v>0</v>
      </c>
      <c r="P12" s="40">
        <v>0.3</v>
      </c>
      <c r="Q12" s="40">
        <v>0.2</v>
      </c>
    </row>
    <row r="13" spans="2:17" ht="20.100000000000001" customHeight="1" x14ac:dyDescent="0.25">
      <c r="B13" s="110" t="s">
        <v>5</v>
      </c>
      <c r="C13" s="110"/>
      <c r="D13" s="2" t="s">
        <v>4</v>
      </c>
      <c r="E13" s="2" t="s">
        <v>80</v>
      </c>
      <c r="F13" s="26">
        <v>68.400000000000006</v>
      </c>
      <c r="G13" s="26">
        <v>63.4</v>
      </c>
      <c r="H13" s="40"/>
      <c r="I13" s="40">
        <v>74.400000000000006</v>
      </c>
      <c r="J13" s="26"/>
      <c r="K13" s="26">
        <v>38.4</v>
      </c>
      <c r="L13" s="40"/>
      <c r="M13" s="40">
        <v>70.900000000000006</v>
      </c>
      <c r="N13" s="26">
        <v>69.099999999999994</v>
      </c>
      <c r="O13" s="26">
        <v>68</v>
      </c>
      <c r="P13" s="40">
        <v>78.2</v>
      </c>
      <c r="Q13" s="40">
        <v>71.900000000000006</v>
      </c>
    </row>
    <row r="14" spans="2:17" ht="20.100000000000001" customHeight="1" x14ac:dyDescent="0.25">
      <c r="B14" s="110" t="s">
        <v>6</v>
      </c>
      <c r="C14" s="110"/>
      <c r="D14" s="2" t="s">
        <v>4</v>
      </c>
      <c r="E14" s="2" t="s">
        <v>80</v>
      </c>
      <c r="F14" s="26">
        <v>62.8</v>
      </c>
      <c r="G14" s="26">
        <v>67.400000000000006</v>
      </c>
      <c r="H14" s="40"/>
      <c r="I14" s="40">
        <v>68.2</v>
      </c>
      <c r="J14" s="26"/>
      <c r="K14" s="26">
        <v>63</v>
      </c>
      <c r="L14" s="40"/>
      <c r="M14" s="40">
        <v>64.2</v>
      </c>
      <c r="N14" s="26">
        <v>69.7</v>
      </c>
      <c r="O14" s="26">
        <v>72.599999999999994</v>
      </c>
      <c r="P14" s="40">
        <v>70.2</v>
      </c>
      <c r="Q14" s="40">
        <v>72.900000000000006</v>
      </c>
    </row>
    <row r="15" spans="2:17" ht="20.100000000000001" customHeight="1" x14ac:dyDescent="0.25">
      <c r="B15" s="110" t="s">
        <v>7</v>
      </c>
      <c r="C15" s="110"/>
      <c r="D15" s="2" t="s">
        <v>4</v>
      </c>
      <c r="E15" s="2" t="s">
        <v>80</v>
      </c>
      <c r="F15" s="26">
        <v>68.400000000000006</v>
      </c>
      <c r="G15" s="26">
        <v>58.1</v>
      </c>
      <c r="H15" s="40"/>
      <c r="I15" s="40">
        <v>46.7</v>
      </c>
      <c r="J15" s="26"/>
      <c r="K15" s="26">
        <v>38.1</v>
      </c>
      <c r="L15" s="40"/>
      <c r="M15" s="40">
        <v>30.2</v>
      </c>
      <c r="N15" s="26">
        <v>44.8</v>
      </c>
      <c r="O15" s="26">
        <v>49.8</v>
      </c>
      <c r="P15" s="40">
        <v>42.4</v>
      </c>
      <c r="Q15" s="40">
        <v>39.799999999999997</v>
      </c>
    </row>
    <row r="16" spans="2:17" ht="20.100000000000001" customHeight="1" x14ac:dyDescent="0.25">
      <c r="B16" s="111" t="s">
        <v>8</v>
      </c>
      <c r="C16" s="3" t="s">
        <v>9</v>
      </c>
      <c r="D16" s="2" t="s">
        <v>12</v>
      </c>
      <c r="E16" s="2" t="s">
        <v>81</v>
      </c>
      <c r="F16" s="26">
        <v>6.6</v>
      </c>
      <c r="G16" s="26">
        <v>6.6</v>
      </c>
      <c r="H16" s="40"/>
      <c r="I16" s="40">
        <v>6.6</v>
      </c>
      <c r="J16" s="26"/>
      <c r="K16" s="26">
        <v>6.6</v>
      </c>
      <c r="L16" s="40"/>
      <c r="M16" s="40">
        <v>6.6</v>
      </c>
      <c r="N16" s="26">
        <v>6.6</v>
      </c>
      <c r="O16" s="26">
        <v>6.6</v>
      </c>
      <c r="P16" s="26">
        <v>6.6</v>
      </c>
      <c r="Q16" s="40">
        <v>6.6</v>
      </c>
    </row>
    <row r="17" spans="2:17" ht="20.100000000000001" customHeight="1" x14ac:dyDescent="0.25">
      <c r="B17" s="111"/>
      <c r="C17" s="3" t="s">
        <v>10</v>
      </c>
      <c r="D17" s="2" t="s">
        <v>13</v>
      </c>
      <c r="E17" s="2" t="s">
        <v>82</v>
      </c>
      <c r="F17" s="26">
        <v>115.5</v>
      </c>
      <c r="G17" s="26">
        <v>115.8</v>
      </c>
      <c r="H17" s="40"/>
      <c r="I17" s="40">
        <v>117</v>
      </c>
      <c r="J17" s="26"/>
      <c r="K17" s="26">
        <v>117.8</v>
      </c>
      <c r="L17" s="40"/>
      <c r="M17" s="40">
        <v>118.4</v>
      </c>
      <c r="N17" s="26">
        <v>112.7</v>
      </c>
      <c r="O17" s="26">
        <v>117.8</v>
      </c>
      <c r="P17" s="40">
        <v>117.8</v>
      </c>
      <c r="Q17" s="40">
        <v>117.5</v>
      </c>
    </row>
    <row r="18" spans="2:17" ht="20.100000000000001" customHeight="1" x14ac:dyDescent="0.25">
      <c r="B18" s="111"/>
      <c r="C18" s="3" t="s">
        <v>11</v>
      </c>
      <c r="D18" s="2" t="s">
        <v>14</v>
      </c>
      <c r="E18" s="2" t="s">
        <v>83</v>
      </c>
      <c r="F18" s="26">
        <v>1132</v>
      </c>
      <c r="G18" s="26">
        <v>1139</v>
      </c>
      <c r="H18" s="40"/>
      <c r="I18" s="40">
        <v>1192</v>
      </c>
      <c r="J18" s="26"/>
      <c r="K18" s="26">
        <v>1192</v>
      </c>
      <c r="L18" s="40"/>
      <c r="M18" s="40">
        <v>1204</v>
      </c>
      <c r="N18" s="26">
        <v>1159</v>
      </c>
      <c r="O18" s="26">
        <v>1195</v>
      </c>
      <c r="P18" s="40">
        <v>1197</v>
      </c>
      <c r="Q18" s="40">
        <v>1201</v>
      </c>
    </row>
    <row r="19" spans="2:17" ht="20.100000000000001" customHeight="1" x14ac:dyDescent="0.25">
      <c r="B19" s="111" t="s">
        <v>24</v>
      </c>
      <c r="C19" s="3" t="s">
        <v>15</v>
      </c>
      <c r="D19" s="2" t="s">
        <v>16</v>
      </c>
      <c r="E19" s="55" t="s">
        <v>84</v>
      </c>
      <c r="F19" s="26">
        <v>46510</v>
      </c>
      <c r="G19" s="26">
        <v>46501.3</v>
      </c>
      <c r="H19" s="40"/>
      <c r="I19" s="40">
        <v>47410.400000000001</v>
      </c>
      <c r="J19" s="26"/>
      <c r="K19" s="26">
        <v>44986.5</v>
      </c>
      <c r="L19" s="40"/>
      <c r="M19" s="40">
        <v>47285.599999999999</v>
      </c>
      <c r="N19" s="26">
        <v>46622</v>
      </c>
      <c r="O19" s="26">
        <v>46613.8</v>
      </c>
      <c r="P19" s="40">
        <v>48512</v>
      </c>
      <c r="Q19" s="40">
        <v>48503.3</v>
      </c>
    </row>
    <row r="20" spans="2:17" ht="20.100000000000001" customHeight="1" x14ac:dyDescent="0.25">
      <c r="B20" s="111"/>
      <c r="C20" s="3" t="s">
        <v>17</v>
      </c>
      <c r="D20" s="2" t="s">
        <v>77</v>
      </c>
      <c r="E20" s="2" t="s">
        <v>85</v>
      </c>
      <c r="F20" s="26"/>
      <c r="G20" s="26"/>
      <c r="H20" s="40"/>
      <c r="I20" s="40"/>
      <c r="J20" s="26"/>
      <c r="K20" s="26"/>
      <c r="L20" s="40"/>
      <c r="M20" s="40"/>
      <c r="N20" s="26"/>
      <c r="O20" s="26"/>
      <c r="P20" s="40"/>
      <c r="Q20" s="40"/>
    </row>
    <row r="21" spans="2:17" ht="20.100000000000001" customHeight="1" x14ac:dyDescent="0.25">
      <c r="B21" s="111"/>
      <c r="C21" s="3" t="s">
        <v>18</v>
      </c>
      <c r="D21" s="2" t="s">
        <v>77</v>
      </c>
      <c r="E21" s="2" t="s">
        <v>75</v>
      </c>
      <c r="F21" s="26"/>
      <c r="G21" s="26"/>
      <c r="H21" s="40"/>
      <c r="I21" s="40"/>
      <c r="J21" s="26"/>
      <c r="K21" s="26"/>
      <c r="L21" s="40"/>
      <c r="M21" s="40"/>
      <c r="N21" s="26"/>
      <c r="O21" s="26"/>
      <c r="P21" s="40"/>
      <c r="Q21" s="40"/>
    </row>
    <row r="22" spans="2:17" ht="20.100000000000001" customHeight="1" x14ac:dyDescent="0.25">
      <c r="B22" s="111"/>
      <c r="C22" s="3" t="s">
        <v>19</v>
      </c>
      <c r="D22" s="2" t="s">
        <v>77</v>
      </c>
      <c r="E22" s="2" t="s">
        <v>73</v>
      </c>
      <c r="F22" s="26">
        <v>57.8</v>
      </c>
      <c r="G22" s="26">
        <v>58.1</v>
      </c>
      <c r="H22" s="40"/>
      <c r="I22" s="40">
        <v>59.2</v>
      </c>
      <c r="J22" s="26"/>
      <c r="K22" s="26">
        <v>57.6</v>
      </c>
      <c r="L22" s="40"/>
      <c r="M22" s="40">
        <v>57.6</v>
      </c>
      <c r="N22" s="26">
        <v>45.1</v>
      </c>
      <c r="O22" s="26">
        <v>58.9</v>
      </c>
      <c r="P22" s="40">
        <v>59</v>
      </c>
      <c r="Q22" s="40">
        <v>59.5</v>
      </c>
    </row>
    <row r="23" spans="2:17" ht="60" x14ac:dyDescent="0.25">
      <c r="B23" s="111"/>
      <c r="C23" s="29" t="s">
        <v>20</v>
      </c>
      <c r="D23" s="26" t="s">
        <v>22</v>
      </c>
      <c r="E23" s="28" t="s">
        <v>76</v>
      </c>
      <c r="F23" s="26">
        <v>0.52</v>
      </c>
      <c r="G23" s="26">
        <v>0.53</v>
      </c>
      <c r="H23" s="40"/>
      <c r="I23" s="40">
        <v>0.49</v>
      </c>
      <c r="J23" s="26"/>
      <c r="K23" s="26">
        <v>0.59</v>
      </c>
      <c r="L23" s="40"/>
      <c r="M23" s="40">
        <v>0.52</v>
      </c>
      <c r="N23" s="26">
        <v>0.56999999999999995</v>
      </c>
      <c r="O23" s="26">
        <v>0.48</v>
      </c>
      <c r="P23" s="40">
        <v>0.47</v>
      </c>
      <c r="Q23" s="40">
        <v>0.48</v>
      </c>
    </row>
    <row r="24" spans="2:17" ht="39.75" customHeight="1" x14ac:dyDescent="0.25">
      <c r="B24" s="111"/>
      <c r="C24" s="29" t="s">
        <v>21</v>
      </c>
      <c r="D24" s="2"/>
      <c r="E24" s="2"/>
      <c r="F24" s="26"/>
      <c r="G24" s="26"/>
      <c r="H24" s="40"/>
      <c r="I24" s="40"/>
      <c r="J24" s="26"/>
      <c r="K24" s="26"/>
      <c r="L24" s="40"/>
      <c r="M24" s="40"/>
      <c r="N24" s="26"/>
      <c r="O24" s="26"/>
      <c r="P24" s="40"/>
      <c r="Q24" s="40"/>
    </row>
    <row r="25" spans="2:17" ht="20.100000000000001" customHeight="1" x14ac:dyDescent="0.25">
      <c r="B25" s="111"/>
      <c r="C25" s="3" t="s">
        <v>23</v>
      </c>
      <c r="D25" s="2" t="s">
        <v>77</v>
      </c>
      <c r="E25" s="2" t="s">
        <v>74</v>
      </c>
      <c r="F25" s="26">
        <v>45</v>
      </c>
      <c r="G25" s="26">
        <v>44.8</v>
      </c>
      <c r="H25" s="40"/>
      <c r="I25" s="40">
        <v>45</v>
      </c>
      <c r="J25" s="26"/>
      <c r="K25" s="26">
        <v>44.9</v>
      </c>
      <c r="L25" s="40"/>
      <c r="M25" s="40">
        <v>44.6</v>
      </c>
      <c r="N25" s="26">
        <v>45.1</v>
      </c>
      <c r="O25" s="26">
        <v>44.9</v>
      </c>
      <c r="P25" s="40">
        <v>45</v>
      </c>
      <c r="Q25" s="40">
        <v>44.8</v>
      </c>
    </row>
    <row r="26" spans="2:17" ht="20.100000000000001" customHeight="1" x14ac:dyDescent="0.25">
      <c r="B26" s="111" t="s">
        <v>25</v>
      </c>
      <c r="C26" s="3" t="s">
        <v>26</v>
      </c>
      <c r="D26" s="2" t="s">
        <v>22</v>
      </c>
      <c r="E26" s="34" t="s">
        <v>86</v>
      </c>
      <c r="F26" s="26">
        <v>0.23</v>
      </c>
      <c r="G26" s="26">
        <v>0.23</v>
      </c>
      <c r="H26" s="40"/>
      <c r="I26" s="40">
        <v>0.22</v>
      </c>
      <c r="J26" s="26"/>
      <c r="K26" s="26">
        <v>0.23</v>
      </c>
      <c r="L26" s="40"/>
      <c r="M26" s="40">
        <v>0.22</v>
      </c>
      <c r="N26" s="26">
        <v>0.22</v>
      </c>
      <c r="O26" s="26">
        <v>0.22</v>
      </c>
      <c r="P26" s="40">
        <v>0.22</v>
      </c>
      <c r="Q26" s="40">
        <v>0.22</v>
      </c>
    </row>
    <row r="27" spans="2:17" ht="20.100000000000001" customHeight="1" x14ac:dyDescent="0.25">
      <c r="B27" s="111"/>
      <c r="C27" s="3" t="s">
        <v>27</v>
      </c>
      <c r="D27" s="2" t="s">
        <v>77</v>
      </c>
      <c r="E27" s="2" t="s">
        <v>85</v>
      </c>
      <c r="F27" s="26">
        <v>3.7</v>
      </c>
      <c r="G27" s="26">
        <v>4.4000000000000004</v>
      </c>
      <c r="H27" s="40"/>
      <c r="I27" s="40">
        <v>3.4</v>
      </c>
      <c r="J27" s="26"/>
      <c r="K27" s="26">
        <v>4.2</v>
      </c>
      <c r="L27" s="40"/>
      <c r="M27" s="40">
        <v>4</v>
      </c>
      <c r="N27" s="26">
        <v>3.9</v>
      </c>
      <c r="O27" s="26">
        <v>4.4000000000000004</v>
      </c>
      <c r="P27" s="40">
        <v>3.4</v>
      </c>
      <c r="Q27" s="40">
        <v>4.3</v>
      </c>
    </row>
    <row r="28" spans="2:17" ht="20.100000000000001" customHeight="1" x14ac:dyDescent="0.25">
      <c r="B28" s="111"/>
      <c r="C28" s="3" t="s">
        <v>28</v>
      </c>
      <c r="D28" s="2" t="s">
        <v>77</v>
      </c>
      <c r="E28" s="2" t="s">
        <v>85</v>
      </c>
      <c r="F28" s="26">
        <v>3.5</v>
      </c>
      <c r="G28" s="26">
        <v>4</v>
      </c>
      <c r="H28" s="40"/>
      <c r="I28" s="40">
        <v>2.6</v>
      </c>
      <c r="J28" s="26"/>
      <c r="K28" s="26">
        <v>3.5</v>
      </c>
      <c r="L28" s="40"/>
      <c r="M28" s="40">
        <v>2.8</v>
      </c>
      <c r="N28" s="26">
        <v>2.8</v>
      </c>
      <c r="O28" s="26">
        <v>3.4</v>
      </c>
      <c r="P28" s="40">
        <v>2.7</v>
      </c>
      <c r="Q28" s="40">
        <v>3.6</v>
      </c>
    </row>
    <row r="29" spans="2:17" ht="20.100000000000001" customHeight="1" x14ac:dyDescent="0.25">
      <c r="B29" s="111"/>
      <c r="C29" s="3" t="s">
        <v>98</v>
      </c>
      <c r="D29" s="2" t="s">
        <v>77</v>
      </c>
      <c r="E29" s="2" t="s">
        <v>85</v>
      </c>
      <c r="F29" s="41">
        <f>F32-F28</f>
        <v>0.79999999999999982</v>
      </c>
      <c r="G29" s="41">
        <f t="shared" ref="G29:Q29" si="0">G32-G28</f>
        <v>0.79999999999999982</v>
      </c>
      <c r="H29" s="41">
        <f t="shared" si="0"/>
        <v>0</v>
      </c>
      <c r="I29" s="41">
        <f t="shared" si="0"/>
        <v>2.3000000000000003</v>
      </c>
      <c r="J29" s="41">
        <f t="shared" si="0"/>
        <v>0</v>
      </c>
      <c r="K29" s="41">
        <f t="shared" si="0"/>
        <v>0.70000000000000018</v>
      </c>
      <c r="L29" s="41">
        <f t="shared" si="0"/>
        <v>0</v>
      </c>
      <c r="M29" s="41">
        <f t="shared" si="0"/>
        <v>1.5</v>
      </c>
      <c r="N29" s="41">
        <f>N32-N28</f>
        <v>1.1000000000000001</v>
      </c>
      <c r="O29" s="41">
        <f t="shared" si="0"/>
        <v>1.1999999999999997</v>
      </c>
      <c r="P29" s="41">
        <f>P32-P28</f>
        <v>1.7000000000000002</v>
      </c>
      <c r="Q29" s="41">
        <f t="shared" si="0"/>
        <v>1.4</v>
      </c>
    </row>
    <row r="30" spans="2:17" ht="20.100000000000001" customHeight="1" x14ac:dyDescent="0.25">
      <c r="B30" s="111"/>
      <c r="C30" s="3" t="s">
        <v>29</v>
      </c>
      <c r="D30" s="2" t="s">
        <v>35</v>
      </c>
      <c r="E30" s="2" t="s">
        <v>87</v>
      </c>
      <c r="F30" s="26">
        <v>695.6</v>
      </c>
      <c r="G30" s="26">
        <v>670.7</v>
      </c>
      <c r="H30" s="40"/>
      <c r="I30" s="40">
        <v>648</v>
      </c>
      <c r="J30" s="26"/>
      <c r="K30" s="26">
        <v>638.5</v>
      </c>
      <c r="L30" s="40"/>
      <c r="M30" s="40">
        <v>633.1</v>
      </c>
      <c r="N30" s="26">
        <v>662.8</v>
      </c>
      <c r="O30" s="26">
        <v>641.79999999999995</v>
      </c>
      <c r="P30" s="40">
        <v>675.52</v>
      </c>
      <c r="Q30" s="40">
        <v>648.6</v>
      </c>
    </row>
    <row r="31" spans="2:17" ht="20.100000000000001" customHeight="1" x14ac:dyDescent="0.25">
      <c r="B31" s="111"/>
      <c r="C31" s="3" t="s">
        <v>30</v>
      </c>
      <c r="D31" s="2" t="s">
        <v>77</v>
      </c>
      <c r="E31" s="2">
        <v>13.5</v>
      </c>
      <c r="F31" s="26">
        <v>12.3</v>
      </c>
      <c r="G31" s="26">
        <v>13.3</v>
      </c>
      <c r="H31" s="40"/>
      <c r="I31" s="40">
        <v>13.4</v>
      </c>
      <c r="J31" s="26"/>
      <c r="K31" s="26">
        <v>13.2</v>
      </c>
      <c r="L31" s="40"/>
      <c r="M31" s="40">
        <v>13.1</v>
      </c>
      <c r="N31" s="26">
        <v>12.4</v>
      </c>
      <c r="O31" s="26">
        <v>13.4</v>
      </c>
      <c r="P31" s="40">
        <v>12.6</v>
      </c>
      <c r="Q31" s="40">
        <v>13.4</v>
      </c>
    </row>
    <row r="32" spans="2:17" ht="20.100000000000001" customHeight="1" x14ac:dyDescent="0.25">
      <c r="B32" s="111"/>
      <c r="C32" s="3" t="s">
        <v>31</v>
      </c>
      <c r="D32" s="2" t="s">
        <v>77</v>
      </c>
      <c r="E32" s="2">
        <v>4</v>
      </c>
      <c r="F32" s="26">
        <v>4.3</v>
      </c>
      <c r="G32" s="26">
        <v>4.8</v>
      </c>
      <c r="H32" s="40"/>
      <c r="I32" s="40">
        <v>4.9000000000000004</v>
      </c>
      <c r="J32" s="26"/>
      <c r="K32" s="26">
        <v>4.2</v>
      </c>
      <c r="L32" s="40"/>
      <c r="M32" s="40">
        <v>4.3</v>
      </c>
      <c r="N32" s="26">
        <v>3.9</v>
      </c>
      <c r="O32" s="26">
        <v>4.5999999999999996</v>
      </c>
      <c r="P32" s="40">
        <v>4.4000000000000004</v>
      </c>
      <c r="Q32" s="40">
        <v>5</v>
      </c>
    </row>
    <row r="33" spans="2:17" ht="20.100000000000001" customHeight="1" x14ac:dyDescent="0.25">
      <c r="B33" s="111"/>
      <c r="C33" s="3" t="s">
        <v>32</v>
      </c>
      <c r="D33" s="2" t="s">
        <v>77</v>
      </c>
      <c r="E33" s="2">
        <v>9.5</v>
      </c>
      <c r="F33" s="41">
        <f>F31-F32</f>
        <v>8</v>
      </c>
      <c r="G33" s="41">
        <f t="shared" ref="G33:Q33" si="1">G31-G32</f>
        <v>8.5</v>
      </c>
      <c r="H33" s="41">
        <f t="shared" si="1"/>
        <v>0</v>
      </c>
      <c r="I33" s="41">
        <f t="shared" si="1"/>
        <v>8.5</v>
      </c>
      <c r="J33" s="41">
        <f t="shared" si="1"/>
        <v>0</v>
      </c>
      <c r="K33" s="41">
        <f t="shared" si="1"/>
        <v>9</v>
      </c>
      <c r="L33" s="41">
        <f t="shared" si="1"/>
        <v>0</v>
      </c>
      <c r="M33" s="41">
        <f t="shared" si="1"/>
        <v>8.8000000000000007</v>
      </c>
      <c r="N33" s="41">
        <f t="shared" si="1"/>
        <v>8.5</v>
      </c>
      <c r="O33" s="41">
        <f t="shared" si="1"/>
        <v>8.8000000000000007</v>
      </c>
      <c r="P33" s="41">
        <f t="shared" si="1"/>
        <v>8.1999999999999993</v>
      </c>
      <c r="Q33" s="41">
        <f t="shared" si="1"/>
        <v>8.4</v>
      </c>
    </row>
    <row r="34" spans="2:17" ht="20.100000000000001" customHeight="1" x14ac:dyDescent="0.25">
      <c r="B34" s="111"/>
      <c r="C34" s="3" t="s">
        <v>33</v>
      </c>
      <c r="D34" s="2" t="s">
        <v>34</v>
      </c>
      <c r="E34" s="2" t="s">
        <v>88</v>
      </c>
      <c r="F34" s="42">
        <f>(F33*F30)/0.866</f>
        <v>6425.866050808314</v>
      </c>
      <c r="G34" s="42">
        <f t="shared" ref="G34:Q34" si="2">(G33*G30)/0.866</f>
        <v>6583.0831408775994</v>
      </c>
      <c r="H34" s="42">
        <f t="shared" si="2"/>
        <v>0</v>
      </c>
      <c r="I34" s="42">
        <f t="shared" si="2"/>
        <v>6360.2771362586609</v>
      </c>
      <c r="J34" s="42">
        <f t="shared" si="2"/>
        <v>0</v>
      </c>
      <c r="K34" s="42">
        <f t="shared" si="2"/>
        <v>6635.6812933025403</v>
      </c>
      <c r="L34" s="42">
        <f t="shared" si="2"/>
        <v>0</v>
      </c>
      <c r="M34" s="42">
        <f t="shared" si="2"/>
        <v>6433.3487297921483</v>
      </c>
      <c r="N34" s="42">
        <f t="shared" si="2"/>
        <v>6505.542725173209</v>
      </c>
      <c r="O34" s="42">
        <f t="shared" si="2"/>
        <v>6521.75519630485</v>
      </c>
      <c r="P34" s="42">
        <f t="shared" si="2"/>
        <v>6396.3787528868352</v>
      </c>
      <c r="Q34" s="42">
        <f t="shared" si="2"/>
        <v>6291.2702078521952</v>
      </c>
    </row>
    <row r="35" spans="2:17" ht="20.100000000000001" customHeight="1" x14ac:dyDescent="0.25">
      <c r="B35" s="111" t="s">
        <v>36</v>
      </c>
      <c r="C35" s="3" t="s">
        <v>37</v>
      </c>
      <c r="D35" s="2" t="s">
        <v>22</v>
      </c>
      <c r="E35" s="2" t="s">
        <v>89</v>
      </c>
      <c r="F35" s="26">
        <v>0.81</v>
      </c>
      <c r="G35" s="26">
        <v>0.84</v>
      </c>
      <c r="H35" s="40"/>
      <c r="I35" s="40">
        <v>0.87</v>
      </c>
      <c r="J35" s="26"/>
      <c r="K35" s="26">
        <v>0.85</v>
      </c>
      <c r="L35" s="40"/>
      <c r="M35" s="40">
        <v>0.86</v>
      </c>
      <c r="N35" s="26">
        <v>0.81</v>
      </c>
      <c r="O35" s="26">
        <v>0.83</v>
      </c>
      <c r="P35" s="40">
        <v>0.8</v>
      </c>
      <c r="Q35" s="40">
        <v>0.48</v>
      </c>
    </row>
    <row r="36" spans="2:17" ht="20.100000000000001" customHeight="1" x14ac:dyDescent="0.25">
      <c r="B36" s="111"/>
      <c r="C36" s="3" t="s">
        <v>38</v>
      </c>
      <c r="D36" s="2" t="s">
        <v>77</v>
      </c>
      <c r="E36" s="2" t="s">
        <v>85</v>
      </c>
      <c r="F36" s="26">
        <v>34.9</v>
      </c>
      <c r="G36" s="26">
        <v>36.9</v>
      </c>
      <c r="H36" s="40"/>
      <c r="I36" s="40">
        <v>37.5</v>
      </c>
      <c r="J36" s="26"/>
      <c r="K36" s="26">
        <v>37.200000000000003</v>
      </c>
      <c r="L36" s="40"/>
      <c r="M36" s="40">
        <v>37.700000000000003</v>
      </c>
      <c r="N36" s="26">
        <v>35</v>
      </c>
      <c r="O36" s="26">
        <v>37.200000000000003</v>
      </c>
      <c r="P36" s="40">
        <v>34.9</v>
      </c>
      <c r="Q36" s="40">
        <v>37</v>
      </c>
    </row>
    <row r="37" spans="2:17" ht="20.100000000000001" customHeight="1" x14ac:dyDescent="0.25">
      <c r="B37" s="111"/>
      <c r="C37" s="3" t="s">
        <v>39</v>
      </c>
      <c r="D37" s="2" t="s">
        <v>77</v>
      </c>
      <c r="E37" s="2" t="s">
        <v>85</v>
      </c>
      <c r="F37" s="26">
        <v>35.9</v>
      </c>
      <c r="G37" s="26">
        <v>37.799999999999997</v>
      </c>
      <c r="H37" s="40"/>
      <c r="I37" s="40">
        <v>38.4</v>
      </c>
      <c r="J37" s="26"/>
      <c r="K37" s="26">
        <v>37.799999999999997</v>
      </c>
      <c r="L37" s="40"/>
      <c r="M37" s="40">
        <v>38</v>
      </c>
      <c r="N37" s="26">
        <v>36</v>
      </c>
      <c r="O37" s="26">
        <v>37.5</v>
      </c>
      <c r="P37" s="40">
        <v>35.799999999999997</v>
      </c>
      <c r="Q37" s="40">
        <v>37</v>
      </c>
    </row>
    <row r="38" spans="2:17" ht="20.100000000000001" customHeight="1" x14ac:dyDescent="0.25">
      <c r="B38" s="111"/>
      <c r="C38" s="29" t="s">
        <v>97</v>
      </c>
      <c r="D38" s="2" t="s">
        <v>77</v>
      </c>
      <c r="E38" s="2"/>
      <c r="F38" s="41">
        <f>F37-F41</f>
        <v>3.3999999999999986</v>
      </c>
      <c r="G38" s="41">
        <f t="shared" ref="G38:Q38" si="3">G37-G41</f>
        <v>3</v>
      </c>
      <c r="H38" s="41">
        <f t="shared" si="3"/>
        <v>0</v>
      </c>
      <c r="I38" s="41">
        <f t="shared" si="3"/>
        <v>4.1999999999999957</v>
      </c>
      <c r="J38" s="41">
        <f t="shared" si="3"/>
        <v>0</v>
      </c>
      <c r="K38" s="41">
        <f t="shared" si="3"/>
        <v>2.7999999999999972</v>
      </c>
      <c r="L38" s="41">
        <f t="shared" si="3"/>
        <v>0</v>
      </c>
      <c r="M38" s="41">
        <f t="shared" si="3"/>
        <v>3.3999999999999986</v>
      </c>
      <c r="N38" s="41">
        <f t="shared" si="3"/>
        <v>3.1000000000000014</v>
      </c>
      <c r="O38" s="41">
        <f t="shared" si="3"/>
        <v>2.2000000000000028</v>
      </c>
      <c r="P38" s="41">
        <f t="shared" si="3"/>
        <v>2.8999999999999986</v>
      </c>
      <c r="Q38" s="41">
        <f t="shared" si="3"/>
        <v>2.1000000000000014</v>
      </c>
    </row>
    <row r="39" spans="2:17" ht="20.100000000000001" customHeight="1" x14ac:dyDescent="0.25">
      <c r="B39" s="111"/>
      <c r="C39" s="3" t="s">
        <v>90</v>
      </c>
      <c r="D39" s="2" t="s">
        <v>45</v>
      </c>
      <c r="E39" s="2"/>
      <c r="F39" s="26"/>
      <c r="G39" s="26"/>
      <c r="H39" s="40"/>
      <c r="I39" s="40"/>
      <c r="J39" s="26"/>
      <c r="K39" s="26"/>
      <c r="L39" s="40"/>
      <c r="M39" s="40"/>
      <c r="N39" s="26"/>
      <c r="O39" s="26"/>
      <c r="P39" s="40"/>
      <c r="Q39" s="40"/>
    </row>
    <row r="40" spans="2:17" ht="20.100000000000001" customHeight="1" x14ac:dyDescent="0.25">
      <c r="B40" s="111"/>
      <c r="C40" s="3" t="s">
        <v>41</v>
      </c>
      <c r="D40" s="2" t="s">
        <v>77</v>
      </c>
      <c r="E40" s="2">
        <v>30.8</v>
      </c>
      <c r="F40" s="26">
        <v>27.4</v>
      </c>
      <c r="G40" s="26">
        <v>29.5</v>
      </c>
      <c r="H40" s="40"/>
      <c r="I40" s="40">
        <v>29.4</v>
      </c>
      <c r="J40" s="26"/>
      <c r="K40" s="26">
        <v>29.5</v>
      </c>
      <c r="L40" s="40"/>
      <c r="M40" s="40">
        <v>29.4</v>
      </c>
      <c r="N40" s="26">
        <v>27.3</v>
      </c>
      <c r="O40" s="26">
        <v>29.2</v>
      </c>
      <c r="P40" s="40">
        <v>27.5</v>
      </c>
      <c r="Q40" s="40">
        <v>29.2</v>
      </c>
    </row>
    <row r="41" spans="2:17" ht="20.100000000000001" customHeight="1" x14ac:dyDescent="0.25">
      <c r="B41" s="111"/>
      <c r="C41" s="3" t="s">
        <v>42</v>
      </c>
      <c r="D41" s="2" t="s">
        <v>77</v>
      </c>
      <c r="E41" s="2">
        <v>36.4</v>
      </c>
      <c r="F41" s="26">
        <v>32.5</v>
      </c>
      <c r="G41" s="26">
        <v>34.799999999999997</v>
      </c>
      <c r="H41" s="40"/>
      <c r="I41" s="40">
        <v>34.200000000000003</v>
      </c>
      <c r="J41" s="26"/>
      <c r="K41" s="26">
        <v>35</v>
      </c>
      <c r="L41" s="40"/>
      <c r="M41" s="40">
        <v>34.6</v>
      </c>
      <c r="N41" s="26">
        <v>32.9</v>
      </c>
      <c r="O41" s="26">
        <v>35.299999999999997</v>
      </c>
      <c r="P41" s="40">
        <v>32.9</v>
      </c>
      <c r="Q41" s="40">
        <v>34.9</v>
      </c>
    </row>
    <row r="42" spans="2:17" ht="20.100000000000001" customHeight="1" x14ac:dyDescent="0.25">
      <c r="B42" s="111"/>
      <c r="C42" s="3" t="s">
        <v>91</v>
      </c>
      <c r="D42" s="2" t="s">
        <v>77</v>
      </c>
      <c r="E42" s="2">
        <v>5.6</v>
      </c>
      <c r="F42" s="41">
        <f>F41-F40</f>
        <v>5.1000000000000014</v>
      </c>
      <c r="G42" s="41">
        <f t="shared" ref="G42:Q42" si="4">G41-G40</f>
        <v>5.2999999999999972</v>
      </c>
      <c r="H42" s="41">
        <f t="shared" si="4"/>
        <v>0</v>
      </c>
      <c r="I42" s="41">
        <f t="shared" si="4"/>
        <v>4.8000000000000043</v>
      </c>
      <c r="J42" s="41">
        <f t="shared" si="4"/>
        <v>0</v>
      </c>
      <c r="K42" s="41">
        <f t="shared" si="4"/>
        <v>5.5</v>
      </c>
      <c r="L42" s="41">
        <f t="shared" si="4"/>
        <v>0</v>
      </c>
      <c r="M42" s="41">
        <f t="shared" si="4"/>
        <v>5.2000000000000028</v>
      </c>
      <c r="N42" s="41">
        <f t="shared" si="4"/>
        <v>5.5999999999999979</v>
      </c>
      <c r="O42" s="41">
        <f t="shared" si="4"/>
        <v>6.0999999999999979</v>
      </c>
      <c r="P42" s="41">
        <f t="shared" si="4"/>
        <v>5.3999999999999986</v>
      </c>
      <c r="Q42" s="41">
        <f t="shared" si="4"/>
        <v>5.6999999999999993</v>
      </c>
    </row>
    <row r="43" spans="2:17" ht="20.100000000000001" customHeight="1" x14ac:dyDescent="0.25">
      <c r="B43" s="111"/>
      <c r="C43" s="3" t="s">
        <v>43</v>
      </c>
      <c r="D43" s="2" t="s">
        <v>35</v>
      </c>
      <c r="E43" s="2">
        <v>1273.0999999999999</v>
      </c>
      <c r="F43" s="26">
        <v>1291.3599999999999</v>
      </c>
      <c r="G43" s="26">
        <v>1306.4000000000001</v>
      </c>
      <c r="H43" s="40"/>
      <c r="I43" s="40">
        <v>1303.5999999999999</v>
      </c>
      <c r="J43" s="26"/>
      <c r="K43" s="26">
        <v>1301.2</v>
      </c>
      <c r="L43" s="40"/>
      <c r="M43" s="26">
        <v>1287.9000000000001</v>
      </c>
      <c r="N43" s="26">
        <v>1134.98</v>
      </c>
      <c r="O43" s="26">
        <v>1108.5999999999999</v>
      </c>
      <c r="P43" s="40">
        <v>1294.44</v>
      </c>
      <c r="Q43" s="40">
        <v>1290</v>
      </c>
    </row>
    <row r="44" spans="2:17" ht="20.100000000000001" customHeight="1" x14ac:dyDescent="0.25">
      <c r="B44" s="111"/>
      <c r="C44" s="3" t="s">
        <v>44</v>
      </c>
      <c r="D44" s="2" t="s">
        <v>34</v>
      </c>
      <c r="E44" s="2">
        <v>8226.9</v>
      </c>
      <c r="F44" s="42">
        <f>F42*F43/0.866</f>
        <v>7605.0069284064684</v>
      </c>
      <c r="G44" s="42">
        <f t="shared" ref="G44:Q44" si="5">G42*G43/0.866</f>
        <v>7995.2886836027674</v>
      </c>
      <c r="H44" s="42">
        <f t="shared" si="5"/>
        <v>0</v>
      </c>
      <c r="I44" s="42">
        <f t="shared" si="5"/>
        <v>7225.4965357967731</v>
      </c>
      <c r="J44" s="42">
        <f t="shared" si="5"/>
        <v>0</v>
      </c>
      <c r="K44" s="42">
        <f t="shared" si="5"/>
        <v>8263.9722863741335</v>
      </c>
      <c r="L44" s="42">
        <f t="shared" si="5"/>
        <v>0</v>
      </c>
      <c r="M44" s="42">
        <f t="shared" si="5"/>
        <v>7733.3487297921529</v>
      </c>
      <c r="N44" s="42">
        <f t="shared" si="5"/>
        <v>7339.3625866050788</v>
      </c>
      <c r="O44" s="42">
        <f t="shared" si="5"/>
        <v>7808.8452655889114</v>
      </c>
      <c r="P44" s="42">
        <f t="shared" si="5"/>
        <v>8071.5658198614301</v>
      </c>
      <c r="Q44" s="42">
        <f t="shared" si="5"/>
        <v>8490.7621247113148</v>
      </c>
    </row>
    <row r="45" spans="2:17" ht="20.100000000000001" customHeight="1" x14ac:dyDescent="0.25">
      <c r="B45" s="111" t="s">
        <v>46</v>
      </c>
      <c r="C45" s="3" t="s">
        <v>47</v>
      </c>
      <c r="D45" s="2" t="s">
        <v>22</v>
      </c>
      <c r="E45" s="2" t="s">
        <v>92</v>
      </c>
      <c r="F45" s="26">
        <v>0.45</v>
      </c>
      <c r="G45" s="26">
        <v>0.48</v>
      </c>
      <c r="H45" s="40"/>
      <c r="I45" s="40">
        <v>0.47</v>
      </c>
      <c r="J45" s="26"/>
      <c r="K45" s="26">
        <v>0.47</v>
      </c>
      <c r="L45" s="40"/>
      <c r="M45" s="40">
        <v>0.48</v>
      </c>
      <c r="N45" s="26">
        <v>0.44</v>
      </c>
      <c r="O45" s="26">
        <v>0.47</v>
      </c>
      <c r="P45" s="40">
        <v>0.44</v>
      </c>
      <c r="Q45" s="40">
        <v>0.47</v>
      </c>
    </row>
    <row r="46" spans="2:17" ht="20.100000000000001" customHeight="1" x14ac:dyDescent="0.25">
      <c r="B46" s="111"/>
      <c r="C46" s="3" t="s">
        <v>48</v>
      </c>
      <c r="D46" s="2" t="s">
        <v>77</v>
      </c>
      <c r="E46" s="2" t="s">
        <v>85</v>
      </c>
      <c r="F46" s="26">
        <v>18.8</v>
      </c>
      <c r="G46" s="26">
        <v>20.5</v>
      </c>
      <c r="H46" s="40"/>
      <c r="I46" s="40">
        <v>20.100000000000001</v>
      </c>
      <c r="J46" s="26"/>
      <c r="K46" s="26">
        <v>20.3</v>
      </c>
      <c r="L46" s="40"/>
      <c r="M46" s="40">
        <v>20.399999999999999</v>
      </c>
      <c r="N46" s="26">
        <v>18.5</v>
      </c>
      <c r="O46" s="26">
        <v>20.3</v>
      </c>
      <c r="P46" s="40">
        <v>18.600000000000001</v>
      </c>
      <c r="Q46" s="40">
        <v>20.3</v>
      </c>
    </row>
    <row r="47" spans="2:17" ht="20.100000000000001" customHeight="1" x14ac:dyDescent="0.25">
      <c r="B47" s="111"/>
      <c r="C47" s="3" t="s">
        <v>40</v>
      </c>
      <c r="D47" s="2" t="s">
        <v>45</v>
      </c>
      <c r="E47" s="2" t="s">
        <v>45</v>
      </c>
      <c r="F47" s="26">
        <v>200.3</v>
      </c>
      <c r="G47" s="26">
        <v>202.1</v>
      </c>
      <c r="H47" s="40"/>
      <c r="I47" s="40">
        <v>123.9</v>
      </c>
      <c r="J47" s="26"/>
      <c r="K47" s="26">
        <v>202.4</v>
      </c>
      <c r="L47" s="40"/>
      <c r="M47" s="40">
        <v>213.6</v>
      </c>
      <c r="N47" s="26">
        <v>160.69999999999999</v>
      </c>
      <c r="O47" s="26">
        <v>159.80000000000001</v>
      </c>
      <c r="P47" s="40">
        <v>194.6</v>
      </c>
      <c r="Q47" s="40">
        <v>202.2</v>
      </c>
    </row>
    <row r="48" spans="2:17" ht="20.100000000000001" customHeight="1" x14ac:dyDescent="0.25">
      <c r="B48" s="110" t="s">
        <v>49</v>
      </c>
      <c r="C48" s="110"/>
      <c r="D48" s="110"/>
      <c r="E48" s="35" t="s">
        <v>93</v>
      </c>
      <c r="F48" s="26"/>
      <c r="G48" s="26"/>
      <c r="H48" s="40"/>
      <c r="I48" s="40"/>
      <c r="J48" s="26"/>
      <c r="K48" s="26"/>
      <c r="L48" s="40"/>
      <c r="M48" s="40"/>
      <c r="N48" s="26"/>
      <c r="O48" s="26"/>
      <c r="P48" s="40"/>
      <c r="Q48" s="40"/>
    </row>
    <row r="49" spans="2:17" ht="20.100000000000001" customHeight="1" x14ac:dyDescent="0.25">
      <c r="B49" s="110" t="s">
        <v>50</v>
      </c>
      <c r="C49" s="110"/>
      <c r="D49" s="110"/>
      <c r="E49" s="109">
        <v>5.89</v>
      </c>
      <c r="F49" s="26">
        <v>5.69</v>
      </c>
      <c r="G49" s="26">
        <v>5.62</v>
      </c>
      <c r="H49" s="40"/>
      <c r="I49" s="40">
        <v>5.4</v>
      </c>
      <c r="J49" s="26"/>
      <c r="K49" s="26">
        <v>5.57</v>
      </c>
      <c r="L49" s="40"/>
      <c r="M49" s="40">
        <v>5.42</v>
      </c>
      <c r="N49" s="26">
        <v>5.5</v>
      </c>
      <c r="O49" s="26">
        <v>5.44</v>
      </c>
      <c r="P49" s="40">
        <v>5.28</v>
      </c>
      <c r="Q49" s="40">
        <v>5.23</v>
      </c>
    </row>
    <row r="50" spans="2:17" ht="20.100000000000001" customHeight="1" x14ac:dyDescent="0.25">
      <c r="B50" s="110" t="s">
        <v>51</v>
      </c>
      <c r="C50" s="110"/>
      <c r="D50" s="110"/>
      <c r="E50" s="109"/>
      <c r="F50" s="26"/>
      <c r="G50" s="26"/>
      <c r="H50" s="40"/>
      <c r="I50" s="40"/>
      <c r="J50" s="26"/>
      <c r="K50" s="26"/>
      <c r="L50" s="40"/>
      <c r="M50" s="40"/>
      <c r="N50" s="26"/>
      <c r="O50" s="26"/>
      <c r="P50" s="40"/>
      <c r="Q50" s="40"/>
    </row>
    <row r="51" spans="2:17" ht="20.100000000000001" customHeight="1" thickBot="1" x14ac:dyDescent="0.3">
      <c r="B51" s="110" t="s">
        <v>52</v>
      </c>
      <c r="C51" s="110"/>
      <c r="D51" s="110"/>
      <c r="E51" s="108"/>
      <c r="F51" s="26"/>
      <c r="G51" s="26"/>
      <c r="H51" s="40"/>
      <c r="I51" s="40"/>
      <c r="J51" s="26"/>
      <c r="K51" s="26"/>
      <c r="L51" s="40"/>
      <c r="M51" s="40"/>
      <c r="N51" s="26"/>
      <c r="O51" s="26"/>
      <c r="P51" s="40"/>
      <c r="Q51" s="40"/>
    </row>
    <row r="52" spans="2:17" x14ac:dyDescent="0.25">
      <c r="B52" s="1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Q53" s="22"/>
    </row>
    <row r="54" spans="2:17" x14ac:dyDescent="0.25">
      <c r="C54" s="20" t="s">
        <v>95</v>
      </c>
      <c r="Q54" s="22"/>
    </row>
    <row r="55" spans="2:17" x14ac:dyDescent="0.25">
      <c r="C55" s="20"/>
      <c r="Q55" s="22"/>
    </row>
    <row r="56" spans="2:17" x14ac:dyDescent="0.25">
      <c r="C56" s="20"/>
      <c r="Q56" s="22"/>
    </row>
    <row r="57" spans="2:17" x14ac:dyDescent="0.25">
      <c r="C57" s="20" t="s">
        <v>69</v>
      </c>
      <c r="F57" s="30" t="b">
        <v>0</v>
      </c>
      <c r="G57" s="32" t="s">
        <v>79</v>
      </c>
      <c r="Q57" s="22"/>
    </row>
    <row r="58" spans="2:17" x14ac:dyDescent="0.25">
      <c r="C58" s="20" t="s">
        <v>69</v>
      </c>
      <c r="F58" s="26" t="s">
        <v>70</v>
      </c>
      <c r="G58" s="31" t="s">
        <v>71</v>
      </c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8460p</dc:creator>
  <cp:lastModifiedBy>Haidir Mustafa</cp:lastModifiedBy>
  <cp:lastPrinted>2018-10-11T15:33:02Z</cp:lastPrinted>
  <dcterms:created xsi:type="dcterms:W3CDTF">2016-11-15T04:12:21Z</dcterms:created>
  <dcterms:modified xsi:type="dcterms:W3CDTF">2024-08-04T16:01:48Z</dcterms:modified>
</cp:coreProperties>
</file>