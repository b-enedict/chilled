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NEC-92090184\Desktop\DCP OFFICIAL\Load profile\CHILLER LOG\2025\"/>
    </mc:Choice>
  </mc:AlternateContent>
  <bookViews>
    <workbookView xWindow="13545" yWindow="30" windowWidth="13635" windowHeight="12180" firstSheet="5" activeTab="29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29" r:id="rId28"/>
    <sheet name="29" sheetId="30" r:id="rId29"/>
    <sheet name="30" sheetId="31" r:id="rId30"/>
    <sheet name="31" sheetId="33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33" l="1"/>
  <c r="M42" i="33" l="1"/>
  <c r="M44" i="33" s="1"/>
  <c r="M38" i="33"/>
  <c r="M33" i="33"/>
  <c r="M34" i="33" s="1"/>
  <c r="M29" i="33"/>
  <c r="Q42" i="33"/>
  <c r="Q44" i="33" s="1"/>
  <c r="Q38" i="33"/>
  <c r="Q33" i="33"/>
  <c r="Q34" i="33" s="1"/>
  <c r="Q29" i="33"/>
  <c r="O42" i="33"/>
  <c r="O44" i="33" s="1"/>
  <c r="O38" i="33"/>
  <c r="O33" i="33"/>
  <c r="O34" i="33" s="1"/>
  <c r="O29" i="33"/>
  <c r="K42" i="33"/>
  <c r="K44" i="33" s="1"/>
  <c r="K38" i="33"/>
  <c r="K33" i="33"/>
  <c r="K34" i="33" s="1"/>
  <c r="K29" i="33"/>
  <c r="I44" i="33"/>
  <c r="I42" i="33"/>
  <c r="I38" i="33"/>
  <c r="I33" i="33"/>
  <c r="I34" i="33" s="1"/>
  <c r="I29" i="33"/>
  <c r="G42" i="33"/>
  <c r="G44" i="33" s="1"/>
  <c r="G38" i="33"/>
  <c r="G33" i="33"/>
  <c r="G34" i="33" s="1"/>
  <c r="G29" i="33"/>
  <c r="P42" i="33" l="1"/>
  <c r="P44" i="33" s="1"/>
  <c r="N42" i="33"/>
  <c r="N44" i="33" s="1"/>
  <c r="L42" i="33"/>
  <c r="L44" i="33" s="1"/>
  <c r="J42" i="33"/>
  <c r="J44" i="33" s="1"/>
  <c r="H42" i="33"/>
  <c r="H44" i="33" s="1"/>
  <c r="F42" i="33"/>
  <c r="F44" i="33" s="1"/>
  <c r="P38" i="33"/>
  <c r="N38" i="33"/>
  <c r="L38" i="33"/>
  <c r="J38" i="33"/>
  <c r="F38" i="33"/>
  <c r="P33" i="33"/>
  <c r="P34" i="33" s="1"/>
  <c r="N33" i="33"/>
  <c r="N34" i="33" s="1"/>
  <c r="L33" i="33"/>
  <c r="L34" i="33" s="1"/>
  <c r="J33" i="33"/>
  <c r="J34" i="33" s="1"/>
  <c r="H33" i="33"/>
  <c r="H34" i="33" s="1"/>
  <c r="F33" i="33"/>
  <c r="F34" i="33" s="1"/>
  <c r="P29" i="33"/>
  <c r="N29" i="33"/>
  <c r="L29" i="33"/>
  <c r="H29" i="33"/>
  <c r="F29" i="33"/>
  <c r="I42" i="31" l="1"/>
  <c r="I44" i="31" s="1"/>
  <c r="H44" i="31"/>
  <c r="Q42" i="31"/>
  <c r="Q44" i="31" s="1"/>
  <c r="P42" i="31"/>
  <c r="P44" i="31" s="1"/>
  <c r="O42" i="31"/>
  <c r="O44" i="31" s="1"/>
  <c r="N42" i="31"/>
  <c r="N44" i="31" s="1"/>
  <c r="M42" i="31"/>
  <c r="M44" i="31" s="1"/>
  <c r="L42" i="31"/>
  <c r="L44" i="31" s="1"/>
  <c r="K42" i="31"/>
  <c r="K44" i="31" s="1"/>
  <c r="J42" i="31"/>
  <c r="J44" i="31" s="1"/>
  <c r="H42" i="31"/>
  <c r="G42" i="31"/>
  <c r="G44" i="31" s="1"/>
  <c r="F42" i="31"/>
  <c r="F44" i="31" s="1"/>
  <c r="Q38" i="31"/>
  <c r="P38" i="31"/>
  <c r="O38" i="31"/>
  <c r="N38" i="31"/>
  <c r="M38" i="31"/>
  <c r="L38" i="31"/>
  <c r="K38" i="31"/>
  <c r="J38" i="31"/>
  <c r="I38" i="31"/>
  <c r="G38" i="31"/>
  <c r="F38" i="31"/>
  <c r="P34" i="31"/>
  <c r="Q33" i="31"/>
  <c r="Q34" i="31" s="1"/>
  <c r="P33" i="31"/>
  <c r="O33" i="31"/>
  <c r="O34" i="31" s="1"/>
  <c r="N33" i="31"/>
  <c r="N34" i="31" s="1"/>
  <c r="M33" i="31"/>
  <c r="M34" i="31" s="1"/>
  <c r="L33" i="31"/>
  <c r="L34" i="31" s="1"/>
  <c r="K33" i="31"/>
  <c r="K34" i="31" s="1"/>
  <c r="J33" i="31"/>
  <c r="J34" i="31" s="1"/>
  <c r="I33" i="31"/>
  <c r="I34" i="31" s="1"/>
  <c r="H33" i="31"/>
  <c r="H34" i="31" s="1"/>
  <c r="G33" i="31"/>
  <c r="G34" i="31" s="1"/>
  <c r="F33" i="31"/>
  <c r="F34" i="31" s="1"/>
  <c r="Q29" i="31"/>
  <c r="P29" i="31"/>
  <c r="O29" i="31"/>
  <c r="N29" i="31"/>
  <c r="M29" i="31"/>
  <c r="L29" i="31"/>
  <c r="K29" i="31"/>
  <c r="I29" i="31"/>
  <c r="H29" i="31"/>
  <c r="G29" i="31"/>
  <c r="F29" i="31"/>
  <c r="Q42" i="30" l="1"/>
  <c r="Q44" i="30" s="1"/>
  <c r="P42" i="30"/>
  <c r="P44" i="30" s="1"/>
  <c r="O42" i="30"/>
  <c r="O44" i="30" s="1"/>
  <c r="N42" i="30"/>
  <c r="N44" i="30" s="1"/>
  <c r="M42" i="30"/>
  <c r="M44" i="30" s="1"/>
  <c r="L42" i="30"/>
  <c r="L44" i="30" s="1"/>
  <c r="K42" i="30"/>
  <c r="K44" i="30" s="1"/>
  <c r="J42" i="30"/>
  <c r="J44" i="30" s="1"/>
  <c r="I42" i="30"/>
  <c r="I44" i="30" s="1"/>
  <c r="H42" i="30"/>
  <c r="H44" i="30" s="1"/>
  <c r="G42" i="30"/>
  <c r="G44" i="30" s="1"/>
  <c r="F42" i="30"/>
  <c r="F44" i="30" s="1"/>
  <c r="Q38" i="30"/>
  <c r="P38" i="30"/>
  <c r="O38" i="30"/>
  <c r="N38" i="30"/>
  <c r="M38" i="30"/>
  <c r="L38" i="30"/>
  <c r="K38" i="30"/>
  <c r="J38" i="30"/>
  <c r="I38" i="30"/>
  <c r="G38" i="30"/>
  <c r="F38" i="30"/>
  <c r="Q33" i="30"/>
  <c r="Q34" i="30" s="1"/>
  <c r="P33" i="30"/>
  <c r="P34" i="30" s="1"/>
  <c r="O33" i="30"/>
  <c r="O34" i="30" s="1"/>
  <c r="N33" i="30"/>
  <c r="N34" i="30" s="1"/>
  <c r="M33" i="30"/>
  <c r="M34" i="30" s="1"/>
  <c r="L33" i="30"/>
  <c r="L34" i="30" s="1"/>
  <c r="K33" i="30"/>
  <c r="K34" i="30" s="1"/>
  <c r="J33" i="30"/>
  <c r="J34" i="30" s="1"/>
  <c r="I33" i="30"/>
  <c r="I34" i="30" s="1"/>
  <c r="H33" i="30"/>
  <c r="H34" i="30" s="1"/>
  <c r="G33" i="30"/>
  <c r="G34" i="30" s="1"/>
  <c r="F33" i="30"/>
  <c r="F34" i="30" s="1"/>
  <c r="Q29" i="30"/>
  <c r="P29" i="30"/>
  <c r="O29" i="30"/>
  <c r="N29" i="30"/>
  <c r="M29" i="30"/>
  <c r="L29" i="30"/>
  <c r="K29" i="30"/>
  <c r="J29" i="30"/>
  <c r="I29" i="30"/>
  <c r="H29" i="30"/>
  <c r="G29" i="30"/>
  <c r="F29" i="30"/>
  <c r="P44" i="29" l="1"/>
  <c r="H44" i="29"/>
  <c r="Q42" i="29"/>
  <c r="Q44" i="29" s="1"/>
  <c r="P42" i="29"/>
  <c r="O42" i="29"/>
  <c r="O44" i="29" s="1"/>
  <c r="N42" i="29"/>
  <c r="N44" i="29" s="1"/>
  <c r="M42" i="29"/>
  <c r="M44" i="29" s="1"/>
  <c r="L42" i="29"/>
  <c r="L44" i="29" s="1"/>
  <c r="K42" i="29"/>
  <c r="K44" i="29" s="1"/>
  <c r="J42" i="29"/>
  <c r="J44" i="29" s="1"/>
  <c r="I42" i="29"/>
  <c r="I44" i="29" s="1"/>
  <c r="H42" i="29"/>
  <c r="G42" i="29"/>
  <c r="G44" i="29" s="1"/>
  <c r="F42" i="29"/>
  <c r="F44" i="29" s="1"/>
  <c r="Q38" i="29"/>
  <c r="P38" i="29"/>
  <c r="O38" i="29"/>
  <c r="N38" i="29"/>
  <c r="M38" i="29"/>
  <c r="L38" i="29"/>
  <c r="K38" i="29"/>
  <c r="J38" i="29"/>
  <c r="I38" i="29"/>
  <c r="G38" i="29"/>
  <c r="F38" i="29"/>
  <c r="P34" i="29"/>
  <c r="Q33" i="29"/>
  <c r="Q34" i="29" s="1"/>
  <c r="P33" i="29"/>
  <c r="O33" i="29"/>
  <c r="O34" i="29" s="1"/>
  <c r="N33" i="29"/>
  <c r="N34" i="29" s="1"/>
  <c r="M33" i="29"/>
  <c r="M34" i="29" s="1"/>
  <c r="L33" i="29"/>
  <c r="L34" i="29" s="1"/>
  <c r="K33" i="29"/>
  <c r="K34" i="29" s="1"/>
  <c r="J33" i="29"/>
  <c r="J34" i="29" s="1"/>
  <c r="I33" i="29"/>
  <c r="I34" i="29" s="1"/>
  <c r="H33" i="29"/>
  <c r="H34" i="29" s="1"/>
  <c r="G33" i="29"/>
  <c r="G34" i="29" s="1"/>
  <c r="F33" i="29"/>
  <c r="F34" i="29" s="1"/>
  <c r="Q29" i="29"/>
  <c r="P29" i="29"/>
  <c r="O29" i="29"/>
  <c r="N29" i="29"/>
  <c r="M29" i="29"/>
  <c r="L29" i="29"/>
  <c r="K29" i="29"/>
  <c r="J29" i="29"/>
  <c r="I29" i="29"/>
  <c r="H29" i="29"/>
  <c r="G29" i="29"/>
  <c r="F29" i="29"/>
  <c r="I44" i="28" l="1"/>
  <c r="H44" i="28"/>
  <c r="G44" i="28"/>
  <c r="Q42" i="28"/>
  <c r="Q44" i="28" s="1"/>
  <c r="P42" i="28"/>
  <c r="P44" i="28" s="1"/>
  <c r="O42" i="28"/>
  <c r="O44" i="28" s="1"/>
  <c r="N42" i="28"/>
  <c r="N44" i="28" s="1"/>
  <c r="M42" i="28"/>
  <c r="M44" i="28" s="1"/>
  <c r="L42" i="28"/>
  <c r="L44" i="28" s="1"/>
  <c r="K42" i="28"/>
  <c r="K44" i="28" s="1"/>
  <c r="J42" i="28"/>
  <c r="J44" i="28" s="1"/>
  <c r="I42" i="28"/>
  <c r="H42" i="28"/>
  <c r="G42" i="28"/>
  <c r="F42" i="28"/>
  <c r="F44" i="28" s="1"/>
  <c r="Q38" i="28"/>
  <c r="P38" i="28"/>
  <c r="O38" i="28"/>
  <c r="N38" i="28"/>
  <c r="M38" i="28"/>
  <c r="L38" i="28"/>
  <c r="K38" i="28"/>
  <c r="J38" i="28"/>
  <c r="I38" i="28"/>
  <c r="G38" i="28"/>
  <c r="F38" i="28"/>
  <c r="Q34" i="28"/>
  <c r="P34" i="28"/>
  <c r="O34" i="28"/>
  <c r="N34" i="28"/>
  <c r="M34" i="28"/>
  <c r="Q33" i="28"/>
  <c r="P33" i="28"/>
  <c r="O33" i="28"/>
  <c r="N33" i="28"/>
  <c r="M33" i="28"/>
  <c r="L33" i="28"/>
  <c r="L34" i="28" s="1"/>
  <c r="K33" i="28"/>
  <c r="K34" i="28" s="1"/>
  <c r="J33" i="28"/>
  <c r="J34" i="28" s="1"/>
  <c r="I33" i="28"/>
  <c r="I34" i="28" s="1"/>
  <c r="H33" i="28"/>
  <c r="H34" i="28" s="1"/>
  <c r="G33" i="28"/>
  <c r="G34" i="28" s="1"/>
  <c r="F33" i="28"/>
  <c r="F34" i="28" s="1"/>
  <c r="Q29" i="28"/>
  <c r="P29" i="28"/>
  <c r="O29" i="28"/>
  <c r="N29" i="28"/>
  <c r="M29" i="28"/>
  <c r="L29" i="28"/>
  <c r="K29" i="28"/>
  <c r="J29" i="28"/>
  <c r="I29" i="28"/>
  <c r="H29" i="28"/>
  <c r="G29" i="28"/>
  <c r="F29" i="28"/>
  <c r="F38" i="27" l="1"/>
  <c r="I44" i="27"/>
  <c r="H44" i="27"/>
  <c r="G44" i="27"/>
  <c r="Q42" i="27"/>
  <c r="Q44" i="27" s="1"/>
  <c r="P42" i="27"/>
  <c r="P44" i="27" s="1"/>
  <c r="O42" i="27"/>
  <c r="O44" i="27" s="1"/>
  <c r="N42" i="27"/>
  <c r="N44" i="27" s="1"/>
  <c r="M42" i="27"/>
  <c r="M44" i="27" s="1"/>
  <c r="L42" i="27"/>
  <c r="L44" i="27" s="1"/>
  <c r="K42" i="27"/>
  <c r="K44" i="27" s="1"/>
  <c r="J42" i="27"/>
  <c r="J44" i="27" s="1"/>
  <c r="I42" i="27"/>
  <c r="H42" i="27"/>
  <c r="G42" i="27"/>
  <c r="F42" i="27"/>
  <c r="F44" i="27" s="1"/>
  <c r="Q38" i="27"/>
  <c r="P38" i="27"/>
  <c r="O38" i="27"/>
  <c r="N38" i="27"/>
  <c r="M38" i="27"/>
  <c r="L38" i="27"/>
  <c r="K38" i="27"/>
  <c r="J38" i="27"/>
  <c r="I38" i="27"/>
  <c r="G38" i="27"/>
  <c r="Q34" i="27"/>
  <c r="P34" i="27"/>
  <c r="O34" i="27"/>
  <c r="M34" i="27"/>
  <c r="Q33" i="27"/>
  <c r="P33" i="27"/>
  <c r="O33" i="27"/>
  <c r="N33" i="27"/>
  <c r="N34" i="27" s="1"/>
  <c r="M33" i="27"/>
  <c r="L33" i="27"/>
  <c r="L34" i="27" s="1"/>
  <c r="K33" i="27"/>
  <c r="K34" i="27" s="1"/>
  <c r="J33" i="27"/>
  <c r="J34" i="27" s="1"/>
  <c r="I33" i="27"/>
  <c r="I34" i="27" s="1"/>
  <c r="H33" i="27"/>
  <c r="H34" i="27" s="1"/>
  <c r="G33" i="27"/>
  <c r="G34" i="27" s="1"/>
  <c r="F33" i="27"/>
  <c r="F34" i="27" s="1"/>
  <c r="Q29" i="27"/>
  <c r="P29" i="27"/>
  <c r="O29" i="27"/>
  <c r="N29" i="27"/>
  <c r="M29" i="27"/>
  <c r="L29" i="27"/>
  <c r="K29" i="27"/>
  <c r="I29" i="27"/>
  <c r="H29" i="27"/>
  <c r="G29" i="27"/>
  <c r="F29" i="27"/>
  <c r="Q42" i="26" l="1"/>
  <c r="Q44" i="26" s="1"/>
  <c r="P42" i="26"/>
  <c r="P44" i="26" s="1"/>
  <c r="O42" i="26"/>
  <c r="O44" i="26" s="1"/>
  <c r="N42" i="26"/>
  <c r="N44" i="26" s="1"/>
  <c r="M42" i="26"/>
  <c r="M44" i="26" s="1"/>
  <c r="L42" i="26"/>
  <c r="L44" i="26" s="1"/>
  <c r="K42" i="26"/>
  <c r="K44" i="26" s="1"/>
  <c r="J42" i="26"/>
  <c r="J44" i="26" s="1"/>
  <c r="I42" i="26"/>
  <c r="I44" i="26" s="1"/>
  <c r="H42" i="26"/>
  <c r="H44" i="26" s="1"/>
  <c r="G42" i="26"/>
  <c r="G44" i="26" s="1"/>
  <c r="F42" i="26"/>
  <c r="F44" i="26" s="1"/>
  <c r="Q38" i="26"/>
  <c r="P38" i="26"/>
  <c r="O38" i="26"/>
  <c r="N38" i="26"/>
  <c r="M38" i="26"/>
  <c r="L38" i="26"/>
  <c r="K38" i="26"/>
  <c r="J38" i="26"/>
  <c r="I38" i="26"/>
  <c r="G38" i="26"/>
  <c r="F38" i="26"/>
  <c r="Q33" i="26"/>
  <c r="Q34" i="26" s="1"/>
  <c r="P33" i="26"/>
  <c r="P34" i="26" s="1"/>
  <c r="O33" i="26"/>
  <c r="O34" i="26" s="1"/>
  <c r="N33" i="26"/>
  <c r="N34" i="26" s="1"/>
  <c r="M33" i="26"/>
  <c r="M34" i="26" s="1"/>
  <c r="L33" i="26"/>
  <c r="L34" i="26" s="1"/>
  <c r="K33" i="26"/>
  <c r="K34" i="26" s="1"/>
  <c r="J33" i="26"/>
  <c r="J34" i="26" s="1"/>
  <c r="I33" i="26"/>
  <c r="I34" i="26" s="1"/>
  <c r="H33" i="26"/>
  <c r="H34" i="26" s="1"/>
  <c r="G33" i="26"/>
  <c r="G34" i="26" s="1"/>
  <c r="F33" i="26"/>
  <c r="F34" i="26" s="1"/>
  <c r="Q29" i="26"/>
  <c r="P29" i="26"/>
  <c r="O29" i="26"/>
  <c r="N29" i="26"/>
  <c r="M29" i="26"/>
  <c r="L29" i="26"/>
  <c r="K29" i="26"/>
  <c r="I29" i="26"/>
  <c r="H29" i="26"/>
  <c r="G29" i="26"/>
  <c r="F29" i="26"/>
  <c r="I44" i="25" l="1"/>
  <c r="H44" i="25"/>
  <c r="G44" i="25"/>
  <c r="Q42" i="25"/>
  <c r="Q44" i="25" s="1"/>
  <c r="P42" i="25"/>
  <c r="P44" i="25" s="1"/>
  <c r="O42" i="25"/>
  <c r="O44" i="25" s="1"/>
  <c r="N42" i="25"/>
  <c r="N44" i="25" s="1"/>
  <c r="M42" i="25"/>
  <c r="M44" i="25" s="1"/>
  <c r="L42" i="25"/>
  <c r="L44" i="25" s="1"/>
  <c r="K42" i="25"/>
  <c r="K44" i="25" s="1"/>
  <c r="J42" i="25"/>
  <c r="J44" i="25" s="1"/>
  <c r="I42" i="25"/>
  <c r="H42" i="25"/>
  <c r="G42" i="25"/>
  <c r="F42" i="25"/>
  <c r="F44" i="25" s="1"/>
  <c r="Q38" i="25"/>
  <c r="P38" i="25"/>
  <c r="O38" i="25"/>
  <c r="N38" i="25"/>
  <c r="M38" i="25"/>
  <c r="L38" i="25"/>
  <c r="K38" i="25"/>
  <c r="J38" i="25"/>
  <c r="I38" i="25"/>
  <c r="G38" i="25"/>
  <c r="F38" i="25"/>
  <c r="Q34" i="25"/>
  <c r="P34" i="25"/>
  <c r="O34" i="25"/>
  <c r="M34" i="25"/>
  <c r="Q33" i="25"/>
  <c r="P33" i="25"/>
  <c r="O33" i="25"/>
  <c r="N33" i="25"/>
  <c r="N34" i="25" s="1"/>
  <c r="M33" i="25"/>
  <c r="L33" i="25"/>
  <c r="L34" i="25" s="1"/>
  <c r="K33" i="25"/>
  <c r="K34" i="25" s="1"/>
  <c r="J33" i="25"/>
  <c r="J34" i="25" s="1"/>
  <c r="I33" i="25"/>
  <c r="I34" i="25" s="1"/>
  <c r="H33" i="25"/>
  <c r="H34" i="25" s="1"/>
  <c r="G33" i="25"/>
  <c r="G34" i="25" s="1"/>
  <c r="F33" i="25"/>
  <c r="F34" i="25" s="1"/>
  <c r="Q29" i="25"/>
  <c r="P29" i="25"/>
  <c r="O29" i="25"/>
  <c r="N29" i="25"/>
  <c r="M29" i="25"/>
  <c r="L29" i="25"/>
  <c r="K29" i="25"/>
  <c r="I29" i="25"/>
  <c r="H29" i="25"/>
  <c r="G29" i="25"/>
  <c r="F29" i="25"/>
  <c r="Q42" i="24" l="1"/>
  <c r="Q44" i="24" s="1"/>
  <c r="P42" i="24"/>
  <c r="P44" i="24" s="1"/>
  <c r="O42" i="24"/>
  <c r="O44" i="24" s="1"/>
  <c r="N42" i="24"/>
  <c r="N44" i="24" s="1"/>
  <c r="M42" i="24"/>
  <c r="M44" i="24" s="1"/>
  <c r="L42" i="24"/>
  <c r="L44" i="24" s="1"/>
  <c r="K42" i="24"/>
  <c r="K44" i="24" s="1"/>
  <c r="J42" i="24"/>
  <c r="J44" i="24" s="1"/>
  <c r="I42" i="24"/>
  <c r="I44" i="24" s="1"/>
  <c r="H42" i="24"/>
  <c r="H44" i="24" s="1"/>
  <c r="G42" i="24"/>
  <c r="G44" i="24" s="1"/>
  <c r="F42" i="24"/>
  <c r="F44" i="24" s="1"/>
  <c r="Q38" i="24"/>
  <c r="P38" i="24"/>
  <c r="O38" i="24"/>
  <c r="N38" i="24"/>
  <c r="M38" i="24"/>
  <c r="L38" i="24"/>
  <c r="K38" i="24"/>
  <c r="J38" i="24"/>
  <c r="I38" i="24"/>
  <c r="G38" i="24"/>
  <c r="F38" i="24"/>
  <c r="Q33" i="24"/>
  <c r="Q34" i="24" s="1"/>
  <c r="P33" i="24"/>
  <c r="P34" i="24" s="1"/>
  <c r="O33" i="24"/>
  <c r="O34" i="24" s="1"/>
  <c r="N33" i="24"/>
  <c r="N34" i="24" s="1"/>
  <c r="M33" i="24"/>
  <c r="M34" i="24" s="1"/>
  <c r="L33" i="24"/>
  <c r="L34" i="24" s="1"/>
  <c r="K33" i="24"/>
  <c r="K34" i="24" s="1"/>
  <c r="J33" i="24"/>
  <c r="J34" i="24" s="1"/>
  <c r="I33" i="24"/>
  <c r="I34" i="24" s="1"/>
  <c r="H33" i="24"/>
  <c r="H34" i="24" s="1"/>
  <c r="G33" i="24"/>
  <c r="G34" i="24" s="1"/>
  <c r="F33" i="24"/>
  <c r="F34" i="24" s="1"/>
  <c r="Q29" i="24"/>
  <c r="P29" i="24"/>
  <c r="O29" i="24"/>
  <c r="N29" i="24"/>
  <c r="M29" i="24"/>
  <c r="L29" i="24"/>
  <c r="K29" i="24"/>
  <c r="J29" i="24"/>
  <c r="I29" i="24"/>
  <c r="H29" i="24"/>
  <c r="G29" i="24"/>
  <c r="H44" i="23" l="1"/>
  <c r="Q42" i="23"/>
  <c r="Q44" i="23" s="1"/>
  <c r="P42" i="23"/>
  <c r="P44" i="23" s="1"/>
  <c r="O42" i="23"/>
  <c r="O44" i="23" s="1"/>
  <c r="N42" i="23"/>
  <c r="N44" i="23" s="1"/>
  <c r="M42" i="23"/>
  <c r="M44" i="23" s="1"/>
  <c r="L42" i="23"/>
  <c r="L44" i="23" s="1"/>
  <c r="K42" i="23"/>
  <c r="K44" i="23" s="1"/>
  <c r="J42" i="23"/>
  <c r="J44" i="23" s="1"/>
  <c r="I42" i="23"/>
  <c r="I44" i="23" s="1"/>
  <c r="H42" i="23"/>
  <c r="G42" i="23"/>
  <c r="G44" i="23" s="1"/>
  <c r="F42" i="23"/>
  <c r="F44" i="23" s="1"/>
  <c r="Q38" i="23"/>
  <c r="P38" i="23"/>
  <c r="O38" i="23"/>
  <c r="N38" i="23"/>
  <c r="M38" i="23"/>
  <c r="L38" i="23"/>
  <c r="K38" i="23"/>
  <c r="J38" i="23"/>
  <c r="I38" i="23"/>
  <c r="G38" i="23"/>
  <c r="F38" i="23"/>
  <c r="P34" i="23"/>
  <c r="Q33" i="23"/>
  <c r="Q34" i="23" s="1"/>
  <c r="P33" i="23"/>
  <c r="O33" i="23"/>
  <c r="O34" i="23" s="1"/>
  <c r="N33" i="23"/>
  <c r="N34" i="23" s="1"/>
  <c r="M33" i="23"/>
  <c r="M34" i="23" s="1"/>
  <c r="L33" i="23"/>
  <c r="L34" i="23" s="1"/>
  <c r="K33" i="23"/>
  <c r="K34" i="23" s="1"/>
  <c r="J33" i="23"/>
  <c r="J34" i="23" s="1"/>
  <c r="I33" i="23"/>
  <c r="I34" i="23" s="1"/>
  <c r="H33" i="23"/>
  <c r="H34" i="23" s="1"/>
  <c r="G33" i="23"/>
  <c r="G34" i="23" s="1"/>
  <c r="F33" i="23"/>
  <c r="F34" i="23" s="1"/>
  <c r="Q29" i="23"/>
  <c r="P29" i="23"/>
  <c r="O29" i="23"/>
  <c r="N29" i="23"/>
  <c r="M29" i="23"/>
  <c r="L29" i="23"/>
  <c r="K29" i="23"/>
  <c r="J29" i="23"/>
  <c r="I29" i="23"/>
  <c r="H29" i="23"/>
  <c r="G29" i="23"/>
  <c r="F29" i="23"/>
  <c r="F44" i="22" l="1"/>
  <c r="Q42" i="22"/>
  <c r="Q44" i="22" s="1"/>
  <c r="P42" i="22"/>
  <c r="P44" i="22" s="1"/>
  <c r="O42" i="22"/>
  <c r="O44" i="22" s="1"/>
  <c r="N42" i="22"/>
  <c r="N44" i="22" s="1"/>
  <c r="M42" i="22"/>
  <c r="M44" i="22" s="1"/>
  <c r="L42" i="22"/>
  <c r="L44" i="22" s="1"/>
  <c r="K42" i="22"/>
  <c r="K44" i="22" s="1"/>
  <c r="J42" i="22"/>
  <c r="J44" i="22" s="1"/>
  <c r="I42" i="22"/>
  <c r="I44" i="22" s="1"/>
  <c r="H42" i="22"/>
  <c r="H44" i="22" s="1"/>
  <c r="G42" i="22"/>
  <c r="G44" i="22" s="1"/>
  <c r="F42" i="22"/>
  <c r="Q38" i="22"/>
  <c r="P38" i="22"/>
  <c r="O38" i="22"/>
  <c r="N38" i="22"/>
  <c r="M38" i="22"/>
  <c r="L38" i="22"/>
  <c r="K38" i="22"/>
  <c r="J38" i="22"/>
  <c r="I38" i="22"/>
  <c r="G38" i="22"/>
  <c r="F38" i="22"/>
  <c r="Q33" i="22"/>
  <c r="Q34" i="22" s="1"/>
  <c r="P33" i="22"/>
  <c r="P34" i="22" s="1"/>
  <c r="O33" i="22"/>
  <c r="O34" i="22" s="1"/>
  <c r="N33" i="22"/>
  <c r="N34" i="22" s="1"/>
  <c r="M33" i="22"/>
  <c r="M34" i="22" s="1"/>
  <c r="L33" i="22"/>
  <c r="L34" i="22" s="1"/>
  <c r="K33" i="22"/>
  <c r="K34" i="22" s="1"/>
  <c r="J33" i="22"/>
  <c r="J34" i="22" s="1"/>
  <c r="I33" i="22"/>
  <c r="I34" i="22" s="1"/>
  <c r="H33" i="22"/>
  <c r="H34" i="22" s="1"/>
  <c r="G33" i="22"/>
  <c r="G34" i="22" s="1"/>
  <c r="F33" i="22"/>
  <c r="F34" i="22" s="1"/>
  <c r="Q29" i="22"/>
  <c r="P29" i="22"/>
  <c r="O29" i="22"/>
  <c r="N29" i="22"/>
  <c r="M29" i="22"/>
  <c r="L29" i="22"/>
  <c r="K29" i="22"/>
  <c r="J29" i="22"/>
  <c r="I29" i="22"/>
  <c r="H29" i="22"/>
  <c r="G29" i="22"/>
  <c r="F29" i="22"/>
  <c r="F29" i="20" l="1"/>
  <c r="G29" i="20"/>
  <c r="H44" i="21" l="1"/>
  <c r="Q42" i="21"/>
  <c r="Q44" i="21" s="1"/>
  <c r="P42" i="21"/>
  <c r="P44" i="21" s="1"/>
  <c r="O42" i="21"/>
  <c r="O44" i="21" s="1"/>
  <c r="N42" i="21"/>
  <c r="N44" i="21" s="1"/>
  <c r="M42" i="21"/>
  <c r="M44" i="21" s="1"/>
  <c r="L42" i="21"/>
  <c r="L44" i="21" s="1"/>
  <c r="K42" i="21"/>
  <c r="K44" i="21" s="1"/>
  <c r="J42" i="21"/>
  <c r="J44" i="21" s="1"/>
  <c r="I42" i="21"/>
  <c r="I44" i="21" s="1"/>
  <c r="H42" i="21"/>
  <c r="G42" i="21"/>
  <c r="G44" i="21" s="1"/>
  <c r="F42" i="21"/>
  <c r="F44" i="21" s="1"/>
  <c r="Q38" i="21"/>
  <c r="P38" i="21"/>
  <c r="O38" i="21"/>
  <c r="N38" i="21"/>
  <c r="M38" i="21"/>
  <c r="L38" i="21"/>
  <c r="K38" i="21"/>
  <c r="J38" i="21"/>
  <c r="I38" i="21"/>
  <c r="G38" i="21"/>
  <c r="F38" i="21"/>
  <c r="P34" i="21"/>
  <c r="N34" i="21"/>
  <c r="Q33" i="21"/>
  <c r="Q34" i="21" s="1"/>
  <c r="P33" i="21"/>
  <c r="O33" i="21"/>
  <c r="O34" i="21" s="1"/>
  <c r="N33" i="21"/>
  <c r="M33" i="21"/>
  <c r="M34" i="21" s="1"/>
  <c r="L33" i="21"/>
  <c r="L34" i="21" s="1"/>
  <c r="K33" i="21"/>
  <c r="K34" i="21" s="1"/>
  <c r="J33" i="21"/>
  <c r="J34" i="21" s="1"/>
  <c r="I33" i="21"/>
  <c r="I34" i="21" s="1"/>
  <c r="H33" i="21"/>
  <c r="H34" i="21" s="1"/>
  <c r="G33" i="21"/>
  <c r="G34" i="21" s="1"/>
  <c r="F33" i="21"/>
  <c r="F34" i="21" s="1"/>
  <c r="Q29" i="21"/>
  <c r="P29" i="21"/>
  <c r="O29" i="21"/>
  <c r="N29" i="21"/>
  <c r="M29" i="21"/>
  <c r="L29" i="21"/>
  <c r="K29" i="21"/>
  <c r="J29" i="21"/>
  <c r="I29" i="21"/>
  <c r="H29" i="21"/>
  <c r="G29" i="21"/>
  <c r="F29" i="21"/>
  <c r="I44" i="20" l="1"/>
  <c r="H44" i="20"/>
  <c r="G44" i="20"/>
  <c r="Q42" i="20"/>
  <c r="Q44" i="20" s="1"/>
  <c r="P42" i="20"/>
  <c r="P44" i="20" s="1"/>
  <c r="O42" i="20"/>
  <c r="O44" i="20" s="1"/>
  <c r="N42" i="20"/>
  <c r="N44" i="20" s="1"/>
  <c r="M42" i="20"/>
  <c r="M44" i="20" s="1"/>
  <c r="L42" i="20"/>
  <c r="L44" i="20" s="1"/>
  <c r="K42" i="20"/>
  <c r="K44" i="20" s="1"/>
  <c r="J42" i="20"/>
  <c r="J44" i="20" s="1"/>
  <c r="I42" i="20"/>
  <c r="H42" i="20"/>
  <c r="G42" i="20"/>
  <c r="F42" i="20"/>
  <c r="F44" i="20" s="1"/>
  <c r="Q38" i="20"/>
  <c r="P38" i="20"/>
  <c r="O38" i="20"/>
  <c r="N38" i="20"/>
  <c r="M38" i="20"/>
  <c r="L38" i="20"/>
  <c r="K38" i="20"/>
  <c r="J38" i="20"/>
  <c r="I38" i="20"/>
  <c r="G38" i="20"/>
  <c r="F38" i="20"/>
  <c r="Q34" i="20"/>
  <c r="P34" i="20"/>
  <c r="O34" i="20"/>
  <c r="M34" i="20"/>
  <c r="Q33" i="20"/>
  <c r="P33" i="20"/>
  <c r="O33" i="20"/>
  <c r="N33" i="20"/>
  <c r="N34" i="20" s="1"/>
  <c r="M33" i="20"/>
  <c r="L33" i="20"/>
  <c r="L34" i="20" s="1"/>
  <c r="K33" i="20"/>
  <c r="K34" i="20" s="1"/>
  <c r="J33" i="20"/>
  <c r="J34" i="20" s="1"/>
  <c r="I33" i="20"/>
  <c r="I34" i="20" s="1"/>
  <c r="H33" i="20"/>
  <c r="H34" i="20" s="1"/>
  <c r="G33" i="20"/>
  <c r="G34" i="20" s="1"/>
  <c r="F33" i="20"/>
  <c r="F34" i="20" s="1"/>
  <c r="Q29" i="20"/>
  <c r="P29" i="20"/>
  <c r="O29" i="20"/>
  <c r="N29" i="20"/>
  <c r="M29" i="20"/>
  <c r="L29" i="20"/>
  <c r="K29" i="20"/>
  <c r="J29" i="20"/>
  <c r="I29" i="20"/>
  <c r="H29" i="20"/>
  <c r="H44" i="19" l="1"/>
  <c r="G44" i="19"/>
  <c r="F44" i="19"/>
  <c r="Q42" i="19"/>
  <c r="Q44" i="19" s="1"/>
  <c r="P42" i="19"/>
  <c r="P44" i="19" s="1"/>
  <c r="O42" i="19"/>
  <c r="O44" i="19" s="1"/>
  <c r="N42" i="19"/>
  <c r="N44" i="19" s="1"/>
  <c r="M42" i="19"/>
  <c r="M44" i="19" s="1"/>
  <c r="L42" i="19"/>
  <c r="L44" i="19" s="1"/>
  <c r="K42" i="19"/>
  <c r="K44" i="19" s="1"/>
  <c r="J42" i="19"/>
  <c r="J44" i="19" s="1"/>
  <c r="I42" i="19"/>
  <c r="I44" i="19" s="1"/>
  <c r="H42" i="19"/>
  <c r="G42" i="19"/>
  <c r="F42" i="19"/>
  <c r="Q38" i="19"/>
  <c r="P38" i="19"/>
  <c r="O38" i="19"/>
  <c r="N38" i="19"/>
  <c r="M38" i="19"/>
  <c r="L38" i="19"/>
  <c r="K38" i="19"/>
  <c r="J38" i="19"/>
  <c r="I38" i="19"/>
  <c r="G38" i="19"/>
  <c r="F38" i="19"/>
  <c r="Q34" i="19"/>
  <c r="P34" i="19"/>
  <c r="O34" i="19"/>
  <c r="N34" i="19"/>
  <c r="M34" i="19"/>
  <c r="Q33" i="19"/>
  <c r="P33" i="19"/>
  <c r="O33" i="19"/>
  <c r="N33" i="19"/>
  <c r="M33" i="19"/>
  <c r="L33" i="19"/>
  <c r="L34" i="19" s="1"/>
  <c r="K33" i="19"/>
  <c r="K34" i="19" s="1"/>
  <c r="J33" i="19"/>
  <c r="J34" i="19" s="1"/>
  <c r="I33" i="19"/>
  <c r="I34" i="19" s="1"/>
  <c r="H33" i="19"/>
  <c r="H34" i="19" s="1"/>
  <c r="G33" i="19"/>
  <c r="G34" i="19" s="1"/>
  <c r="F33" i="19"/>
  <c r="F34" i="19" s="1"/>
  <c r="Q29" i="19"/>
  <c r="P29" i="19"/>
  <c r="O29" i="19"/>
  <c r="N29" i="19"/>
  <c r="M29" i="19"/>
  <c r="L29" i="19"/>
  <c r="K29" i="19"/>
  <c r="J29" i="19"/>
  <c r="I29" i="19"/>
  <c r="H29" i="19"/>
  <c r="G29" i="19"/>
  <c r="F29" i="19"/>
  <c r="Q42" i="18" l="1"/>
  <c r="Q44" i="18" s="1"/>
  <c r="P42" i="18"/>
  <c r="P44" i="18" s="1"/>
  <c r="O42" i="18"/>
  <c r="O44" i="18" s="1"/>
  <c r="N42" i="18"/>
  <c r="N44" i="18" s="1"/>
  <c r="M42" i="18"/>
  <c r="M44" i="18" s="1"/>
  <c r="L42" i="18"/>
  <c r="L44" i="18" s="1"/>
  <c r="K42" i="18"/>
  <c r="K44" i="18" s="1"/>
  <c r="J42" i="18"/>
  <c r="J44" i="18" s="1"/>
  <c r="I42" i="18"/>
  <c r="I44" i="18" s="1"/>
  <c r="H42" i="18"/>
  <c r="H44" i="18" s="1"/>
  <c r="G42" i="18"/>
  <c r="G44" i="18" s="1"/>
  <c r="F42" i="18"/>
  <c r="F44" i="18" s="1"/>
  <c r="Q38" i="18"/>
  <c r="P38" i="18"/>
  <c r="O38" i="18"/>
  <c r="N38" i="18"/>
  <c r="M38" i="18"/>
  <c r="L38" i="18"/>
  <c r="K38" i="18"/>
  <c r="J38" i="18"/>
  <c r="I38" i="18"/>
  <c r="G38" i="18"/>
  <c r="F38" i="18"/>
  <c r="Q33" i="18"/>
  <c r="Q34" i="18" s="1"/>
  <c r="P33" i="18"/>
  <c r="P34" i="18" s="1"/>
  <c r="O33" i="18"/>
  <c r="O34" i="18" s="1"/>
  <c r="N33" i="18"/>
  <c r="N34" i="18" s="1"/>
  <c r="M33" i="18"/>
  <c r="M34" i="18" s="1"/>
  <c r="L33" i="18"/>
  <c r="L34" i="18" s="1"/>
  <c r="K33" i="18"/>
  <c r="K34" i="18" s="1"/>
  <c r="J33" i="18"/>
  <c r="J34" i="18" s="1"/>
  <c r="I33" i="18"/>
  <c r="I34" i="18" s="1"/>
  <c r="H33" i="18"/>
  <c r="H34" i="18" s="1"/>
  <c r="G33" i="18"/>
  <c r="G34" i="18" s="1"/>
  <c r="F33" i="18"/>
  <c r="F34" i="18" s="1"/>
  <c r="Q29" i="18"/>
  <c r="P29" i="18"/>
  <c r="O29" i="18"/>
  <c r="N29" i="18"/>
  <c r="M29" i="18"/>
  <c r="L29" i="18"/>
  <c r="K29" i="18"/>
  <c r="I29" i="18"/>
  <c r="H29" i="18"/>
  <c r="G29" i="18"/>
  <c r="F29" i="18"/>
  <c r="I42" i="17" l="1"/>
  <c r="I44" i="17" s="1"/>
  <c r="H44" i="17"/>
  <c r="Q42" i="17"/>
  <c r="Q44" i="17" s="1"/>
  <c r="P42" i="17"/>
  <c r="P44" i="17" s="1"/>
  <c r="O42" i="17"/>
  <c r="O44" i="17" s="1"/>
  <c r="N42" i="17"/>
  <c r="N44" i="17" s="1"/>
  <c r="M42" i="17"/>
  <c r="M44" i="17" s="1"/>
  <c r="L42" i="17"/>
  <c r="L44" i="17" s="1"/>
  <c r="K42" i="17"/>
  <c r="K44" i="17" s="1"/>
  <c r="J42" i="17"/>
  <c r="J44" i="17" s="1"/>
  <c r="H42" i="17"/>
  <c r="G42" i="17"/>
  <c r="G44" i="17" s="1"/>
  <c r="F42" i="17"/>
  <c r="F44" i="17" s="1"/>
  <c r="Q38" i="17"/>
  <c r="P38" i="17"/>
  <c r="O38" i="17"/>
  <c r="N38" i="17"/>
  <c r="M38" i="17"/>
  <c r="L38" i="17"/>
  <c r="K38" i="17"/>
  <c r="J38" i="17"/>
  <c r="I38" i="17"/>
  <c r="G38" i="17"/>
  <c r="F38" i="17"/>
  <c r="P34" i="17"/>
  <c r="Q33" i="17"/>
  <c r="Q34" i="17" s="1"/>
  <c r="P33" i="17"/>
  <c r="O33" i="17"/>
  <c r="O34" i="17" s="1"/>
  <c r="N33" i="17"/>
  <c r="N34" i="17" s="1"/>
  <c r="M33" i="17"/>
  <c r="M34" i="17" s="1"/>
  <c r="L33" i="17"/>
  <c r="L34" i="17" s="1"/>
  <c r="K33" i="17"/>
  <c r="K34" i="17" s="1"/>
  <c r="J33" i="17"/>
  <c r="J34" i="17" s="1"/>
  <c r="I33" i="17"/>
  <c r="I34" i="17" s="1"/>
  <c r="H33" i="17"/>
  <c r="H34" i="17" s="1"/>
  <c r="G33" i="17"/>
  <c r="G34" i="17" s="1"/>
  <c r="F33" i="17"/>
  <c r="F34" i="17" s="1"/>
  <c r="Q29" i="17"/>
  <c r="P29" i="17"/>
  <c r="O29" i="17"/>
  <c r="N29" i="17"/>
  <c r="M29" i="17"/>
  <c r="L29" i="17"/>
  <c r="K29" i="17"/>
  <c r="I29" i="17"/>
  <c r="H29" i="17"/>
  <c r="G29" i="17"/>
  <c r="F29" i="17"/>
  <c r="Q42" i="16" l="1"/>
  <c r="Q44" i="16" s="1"/>
  <c r="P42" i="16"/>
  <c r="P44" i="16" s="1"/>
  <c r="O42" i="16"/>
  <c r="O44" i="16" s="1"/>
  <c r="N42" i="16"/>
  <c r="N44" i="16" s="1"/>
  <c r="M42" i="16"/>
  <c r="M44" i="16" s="1"/>
  <c r="L42" i="16"/>
  <c r="L44" i="16" s="1"/>
  <c r="K42" i="16"/>
  <c r="K44" i="16" s="1"/>
  <c r="J42" i="16"/>
  <c r="J44" i="16" s="1"/>
  <c r="I42" i="16"/>
  <c r="I44" i="16" s="1"/>
  <c r="H42" i="16"/>
  <c r="H44" i="16" s="1"/>
  <c r="G42" i="16"/>
  <c r="G44" i="16" s="1"/>
  <c r="F42" i="16"/>
  <c r="F44" i="16" s="1"/>
  <c r="Q38" i="16"/>
  <c r="P38" i="16"/>
  <c r="O38" i="16"/>
  <c r="N38" i="16"/>
  <c r="M38" i="16"/>
  <c r="L38" i="16"/>
  <c r="K38" i="16"/>
  <c r="J38" i="16"/>
  <c r="I38" i="16"/>
  <c r="G38" i="16"/>
  <c r="F38" i="16"/>
  <c r="Q33" i="16"/>
  <c r="Q34" i="16" s="1"/>
  <c r="P33" i="16"/>
  <c r="P34" i="16" s="1"/>
  <c r="O33" i="16"/>
  <c r="O34" i="16" s="1"/>
  <c r="N33" i="16"/>
  <c r="N34" i="16" s="1"/>
  <c r="M33" i="16"/>
  <c r="M34" i="16" s="1"/>
  <c r="L33" i="16"/>
  <c r="L34" i="16" s="1"/>
  <c r="K33" i="16"/>
  <c r="K34" i="16" s="1"/>
  <c r="J33" i="16"/>
  <c r="J34" i="16" s="1"/>
  <c r="I33" i="16"/>
  <c r="I34" i="16" s="1"/>
  <c r="H33" i="16"/>
  <c r="H34" i="16" s="1"/>
  <c r="G33" i="16"/>
  <c r="G34" i="16" s="1"/>
  <c r="F33" i="16"/>
  <c r="F34" i="16" s="1"/>
  <c r="Q29" i="16"/>
  <c r="P29" i="16"/>
  <c r="O29" i="16"/>
  <c r="N29" i="16"/>
  <c r="M29" i="16"/>
  <c r="L29" i="16"/>
  <c r="K29" i="16"/>
  <c r="J29" i="16"/>
  <c r="I29" i="16"/>
  <c r="H29" i="16"/>
  <c r="G29" i="16"/>
  <c r="F29" i="16"/>
  <c r="H44" i="15" l="1"/>
  <c r="Q42" i="15"/>
  <c r="Q44" i="15" s="1"/>
  <c r="P42" i="15"/>
  <c r="P44" i="15" s="1"/>
  <c r="O42" i="15"/>
  <c r="O44" i="15" s="1"/>
  <c r="N42" i="15"/>
  <c r="N44" i="15" s="1"/>
  <c r="M42" i="15"/>
  <c r="M44" i="15" s="1"/>
  <c r="L42" i="15"/>
  <c r="L44" i="15" s="1"/>
  <c r="K42" i="15"/>
  <c r="K44" i="15" s="1"/>
  <c r="J42" i="15"/>
  <c r="J44" i="15" s="1"/>
  <c r="I42" i="15"/>
  <c r="I44" i="15" s="1"/>
  <c r="H42" i="15"/>
  <c r="G42" i="15"/>
  <c r="G44" i="15" s="1"/>
  <c r="F42" i="15"/>
  <c r="F44" i="15" s="1"/>
  <c r="Q38" i="15"/>
  <c r="P38" i="15"/>
  <c r="O38" i="15"/>
  <c r="N38" i="15"/>
  <c r="M38" i="15"/>
  <c r="L38" i="15"/>
  <c r="K38" i="15"/>
  <c r="J38" i="15"/>
  <c r="I38" i="15"/>
  <c r="G38" i="15"/>
  <c r="F38" i="15"/>
  <c r="P34" i="15"/>
  <c r="N34" i="15"/>
  <c r="Q33" i="15"/>
  <c r="Q34" i="15" s="1"/>
  <c r="P33" i="15"/>
  <c r="O33" i="15"/>
  <c r="O34" i="15" s="1"/>
  <c r="N33" i="15"/>
  <c r="M33" i="15"/>
  <c r="M34" i="15" s="1"/>
  <c r="L33" i="15"/>
  <c r="L34" i="15" s="1"/>
  <c r="K33" i="15"/>
  <c r="K34" i="15" s="1"/>
  <c r="J33" i="15"/>
  <c r="J34" i="15" s="1"/>
  <c r="I33" i="15"/>
  <c r="I34" i="15" s="1"/>
  <c r="H33" i="15"/>
  <c r="H34" i="15" s="1"/>
  <c r="G33" i="15"/>
  <c r="G34" i="15" s="1"/>
  <c r="F33" i="15"/>
  <c r="F34" i="15" s="1"/>
  <c r="Q29" i="15"/>
  <c r="P29" i="15"/>
  <c r="O29" i="15"/>
  <c r="N29" i="15"/>
  <c r="M29" i="15"/>
  <c r="L29" i="15"/>
  <c r="K29" i="15"/>
  <c r="J29" i="15"/>
  <c r="I29" i="15"/>
  <c r="H29" i="15"/>
  <c r="G29" i="15"/>
  <c r="F29" i="15"/>
  <c r="Q42" i="14" l="1"/>
  <c r="Q44" i="14" s="1"/>
  <c r="P42" i="14"/>
  <c r="P44" i="14" s="1"/>
  <c r="O42" i="14"/>
  <c r="O44" i="14" s="1"/>
  <c r="N42" i="14"/>
  <c r="N44" i="14" s="1"/>
  <c r="M42" i="14"/>
  <c r="M44" i="14" s="1"/>
  <c r="L42" i="14"/>
  <c r="L44" i="14" s="1"/>
  <c r="K42" i="14"/>
  <c r="K44" i="14" s="1"/>
  <c r="J42" i="14"/>
  <c r="J44" i="14" s="1"/>
  <c r="I42" i="14"/>
  <c r="I44" i="14" s="1"/>
  <c r="H42" i="14"/>
  <c r="H44" i="14" s="1"/>
  <c r="G42" i="14"/>
  <c r="G44" i="14" s="1"/>
  <c r="F42" i="14"/>
  <c r="F44" i="14" s="1"/>
  <c r="Q38" i="14"/>
  <c r="P38" i="14"/>
  <c r="O38" i="14"/>
  <c r="N38" i="14"/>
  <c r="M38" i="14"/>
  <c r="L38" i="14"/>
  <c r="K38" i="14"/>
  <c r="J38" i="14"/>
  <c r="I38" i="14"/>
  <c r="G38" i="14"/>
  <c r="F38" i="14"/>
  <c r="Q33" i="14"/>
  <c r="Q34" i="14" s="1"/>
  <c r="P33" i="14"/>
  <c r="P34" i="14" s="1"/>
  <c r="O33" i="14"/>
  <c r="O34" i="14" s="1"/>
  <c r="N33" i="14"/>
  <c r="N34" i="14" s="1"/>
  <c r="M33" i="14"/>
  <c r="M34" i="14" s="1"/>
  <c r="L33" i="14"/>
  <c r="L34" i="14" s="1"/>
  <c r="K33" i="14"/>
  <c r="K34" i="14" s="1"/>
  <c r="J33" i="14"/>
  <c r="J34" i="14" s="1"/>
  <c r="I33" i="14"/>
  <c r="I34" i="14" s="1"/>
  <c r="H33" i="14"/>
  <c r="H34" i="14" s="1"/>
  <c r="G33" i="14"/>
  <c r="G34" i="14" s="1"/>
  <c r="F33" i="14"/>
  <c r="F34" i="14" s="1"/>
  <c r="Q29" i="14"/>
  <c r="P29" i="14"/>
  <c r="O29" i="14"/>
  <c r="N29" i="14"/>
  <c r="M29" i="14"/>
  <c r="L29" i="14"/>
  <c r="K29" i="14"/>
  <c r="J29" i="14"/>
  <c r="I29" i="14"/>
  <c r="H29" i="14"/>
  <c r="G29" i="14"/>
  <c r="F29" i="14"/>
  <c r="F42" i="13" l="1"/>
  <c r="I44" i="13" l="1"/>
  <c r="H44" i="13"/>
  <c r="G44" i="13"/>
  <c r="Q42" i="13"/>
  <c r="Q44" i="13" s="1"/>
  <c r="P42" i="13"/>
  <c r="P44" i="13" s="1"/>
  <c r="O42" i="13"/>
  <c r="O44" i="13" s="1"/>
  <c r="N42" i="13"/>
  <c r="N44" i="13" s="1"/>
  <c r="M42" i="13"/>
  <c r="M44" i="13" s="1"/>
  <c r="L42" i="13"/>
  <c r="L44" i="13" s="1"/>
  <c r="K42" i="13"/>
  <c r="K44" i="13" s="1"/>
  <c r="J42" i="13"/>
  <c r="J44" i="13" s="1"/>
  <c r="I42" i="13"/>
  <c r="H42" i="13"/>
  <c r="G42" i="13"/>
  <c r="F44" i="13"/>
  <c r="Q38" i="13"/>
  <c r="P38" i="13"/>
  <c r="O38" i="13"/>
  <c r="N38" i="13"/>
  <c r="M38" i="13"/>
  <c r="L38" i="13"/>
  <c r="K38" i="13"/>
  <c r="J38" i="13"/>
  <c r="I38" i="13"/>
  <c r="G38" i="13"/>
  <c r="F38" i="13"/>
  <c r="Q34" i="13"/>
  <c r="P34" i="13"/>
  <c r="O34" i="13"/>
  <c r="M34" i="13"/>
  <c r="Q33" i="13"/>
  <c r="P33" i="13"/>
  <c r="O33" i="13"/>
  <c r="N33" i="13"/>
  <c r="N34" i="13" s="1"/>
  <c r="M33" i="13"/>
  <c r="L33" i="13"/>
  <c r="L34" i="13" s="1"/>
  <c r="K33" i="13"/>
  <c r="K34" i="13" s="1"/>
  <c r="J33" i="13"/>
  <c r="J34" i="13" s="1"/>
  <c r="I33" i="13"/>
  <c r="I34" i="13" s="1"/>
  <c r="H33" i="13"/>
  <c r="H34" i="13" s="1"/>
  <c r="G33" i="13"/>
  <c r="G34" i="13" s="1"/>
  <c r="F33" i="13"/>
  <c r="F34" i="13" s="1"/>
  <c r="Q29" i="13"/>
  <c r="P29" i="13"/>
  <c r="O29" i="13"/>
  <c r="N29" i="13"/>
  <c r="M29" i="13"/>
  <c r="L29" i="13"/>
  <c r="K29" i="13"/>
  <c r="J29" i="13"/>
  <c r="I29" i="13"/>
  <c r="H29" i="13"/>
  <c r="G29" i="13"/>
  <c r="F29" i="13"/>
  <c r="I44" i="12"/>
  <c r="H44" i="12"/>
  <c r="G44" i="12"/>
  <c r="F44" i="12"/>
  <c r="Q42" i="12"/>
  <c r="Q44" i="12" s="1"/>
  <c r="P42" i="12"/>
  <c r="P44" i="12" s="1"/>
  <c r="O42" i="12"/>
  <c r="O44" i="12" s="1"/>
  <c r="N42" i="12"/>
  <c r="N44" i="12" s="1"/>
  <c r="M42" i="12"/>
  <c r="M44" i="12" s="1"/>
  <c r="L42" i="12"/>
  <c r="L44" i="12" s="1"/>
  <c r="K42" i="12"/>
  <c r="K44" i="12" s="1"/>
  <c r="J42" i="12"/>
  <c r="J44" i="12" s="1"/>
  <c r="I42" i="12"/>
  <c r="H42" i="12"/>
  <c r="G42" i="12"/>
  <c r="F42" i="12"/>
  <c r="Q38" i="12"/>
  <c r="P38" i="12"/>
  <c r="O38" i="12"/>
  <c r="N38" i="12"/>
  <c r="M38" i="12"/>
  <c r="L38" i="12"/>
  <c r="K38" i="12"/>
  <c r="J38" i="12"/>
  <c r="I38" i="12"/>
  <c r="G38" i="12"/>
  <c r="F38" i="12"/>
  <c r="Q34" i="12"/>
  <c r="P34" i="12"/>
  <c r="O34" i="12"/>
  <c r="N34" i="12"/>
  <c r="M34" i="12"/>
  <c r="Q33" i="12"/>
  <c r="P33" i="12"/>
  <c r="O33" i="12"/>
  <c r="N33" i="12"/>
  <c r="M33" i="12"/>
  <c r="L33" i="12"/>
  <c r="L34" i="12" s="1"/>
  <c r="K33" i="12"/>
  <c r="K34" i="12" s="1"/>
  <c r="J33" i="12"/>
  <c r="J34" i="12" s="1"/>
  <c r="I33" i="12"/>
  <c r="I34" i="12" s="1"/>
  <c r="H33" i="12"/>
  <c r="H34" i="12" s="1"/>
  <c r="G33" i="12"/>
  <c r="G34" i="12" s="1"/>
  <c r="F33" i="12"/>
  <c r="F34" i="12" s="1"/>
  <c r="Q29" i="12"/>
  <c r="P29" i="12"/>
  <c r="O29" i="12"/>
  <c r="N29" i="12"/>
  <c r="M29" i="12"/>
  <c r="L29" i="12"/>
  <c r="K29" i="12"/>
  <c r="J29" i="12"/>
  <c r="I29" i="12"/>
  <c r="H29" i="12"/>
  <c r="G29" i="12"/>
  <c r="F29" i="12"/>
  <c r="I44" i="11" l="1"/>
  <c r="H44" i="11"/>
  <c r="G44" i="11"/>
  <c r="F44" i="11"/>
  <c r="Q42" i="11"/>
  <c r="Q44" i="11" s="1"/>
  <c r="P42" i="11"/>
  <c r="P44" i="11" s="1"/>
  <c r="O42" i="11"/>
  <c r="O44" i="11" s="1"/>
  <c r="N42" i="11"/>
  <c r="N44" i="11" s="1"/>
  <c r="M42" i="11"/>
  <c r="M44" i="11" s="1"/>
  <c r="L42" i="11"/>
  <c r="L44" i="11" s="1"/>
  <c r="K42" i="11"/>
  <c r="K44" i="11" s="1"/>
  <c r="J42" i="11"/>
  <c r="J44" i="11" s="1"/>
  <c r="I42" i="11"/>
  <c r="H42" i="11"/>
  <c r="G42" i="11"/>
  <c r="F42" i="11"/>
  <c r="Q38" i="11"/>
  <c r="P38" i="11"/>
  <c r="O38" i="11"/>
  <c r="N38" i="11"/>
  <c r="M38" i="11"/>
  <c r="L38" i="11"/>
  <c r="K38" i="11"/>
  <c r="J38" i="11"/>
  <c r="I38" i="11"/>
  <c r="G38" i="11"/>
  <c r="F38" i="11"/>
  <c r="Q34" i="11"/>
  <c r="P34" i="11"/>
  <c r="O34" i="11"/>
  <c r="N34" i="11"/>
  <c r="M34" i="11"/>
  <c r="Q33" i="11"/>
  <c r="P33" i="11"/>
  <c r="O33" i="11"/>
  <c r="N33" i="11"/>
  <c r="M33" i="11"/>
  <c r="L33" i="11"/>
  <c r="L34" i="11" s="1"/>
  <c r="K33" i="11"/>
  <c r="K34" i="11" s="1"/>
  <c r="J33" i="11"/>
  <c r="J34" i="11" s="1"/>
  <c r="I33" i="11"/>
  <c r="I34" i="11" s="1"/>
  <c r="H33" i="11"/>
  <c r="H34" i="11" s="1"/>
  <c r="G33" i="11"/>
  <c r="G34" i="11" s="1"/>
  <c r="F33" i="11"/>
  <c r="F34" i="11" s="1"/>
  <c r="Q29" i="11"/>
  <c r="P29" i="11"/>
  <c r="O29" i="11"/>
  <c r="N29" i="11"/>
  <c r="M29" i="11"/>
  <c r="L29" i="11"/>
  <c r="K29" i="11"/>
  <c r="J29" i="11"/>
  <c r="I29" i="11"/>
  <c r="H29" i="11"/>
  <c r="G29" i="11"/>
  <c r="F29" i="11"/>
  <c r="H38" i="10" l="1"/>
  <c r="I38" i="10"/>
  <c r="F44" i="10"/>
  <c r="Q42" i="10"/>
  <c r="Q44" i="10" s="1"/>
  <c r="P42" i="10"/>
  <c r="P44" i="10" s="1"/>
  <c r="O42" i="10"/>
  <c r="O44" i="10" s="1"/>
  <c r="N42" i="10"/>
  <c r="N44" i="10" s="1"/>
  <c r="M42" i="10"/>
  <c r="M44" i="10" s="1"/>
  <c r="L42" i="10"/>
  <c r="L44" i="10" s="1"/>
  <c r="K42" i="10"/>
  <c r="K44" i="10" s="1"/>
  <c r="J42" i="10"/>
  <c r="J44" i="10" s="1"/>
  <c r="I42" i="10"/>
  <c r="I44" i="10" s="1"/>
  <c r="H42" i="10"/>
  <c r="H44" i="10" s="1"/>
  <c r="G42" i="10"/>
  <c r="G44" i="10" s="1"/>
  <c r="F42" i="10"/>
  <c r="Q38" i="10"/>
  <c r="P38" i="10"/>
  <c r="O38" i="10"/>
  <c r="N38" i="10"/>
  <c r="M38" i="10"/>
  <c r="L38" i="10"/>
  <c r="K38" i="10"/>
  <c r="J38" i="10"/>
  <c r="G38" i="10"/>
  <c r="F38" i="10"/>
  <c r="Q33" i="10"/>
  <c r="Q34" i="10" s="1"/>
  <c r="P33" i="10"/>
  <c r="P34" i="10" s="1"/>
  <c r="O33" i="10"/>
  <c r="O34" i="10" s="1"/>
  <c r="N33" i="10"/>
  <c r="N34" i="10" s="1"/>
  <c r="M33" i="10"/>
  <c r="M34" i="10" s="1"/>
  <c r="L33" i="10"/>
  <c r="L34" i="10" s="1"/>
  <c r="K33" i="10"/>
  <c r="K34" i="10" s="1"/>
  <c r="J33" i="10"/>
  <c r="J34" i="10" s="1"/>
  <c r="I33" i="10"/>
  <c r="I34" i="10" s="1"/>
  <c r="H33" i="10"/>
  <c r="H34" i="10" s="1"/>
  <c r="G33" i="10"/>
  <c r="G34" i="10" s="1"/>
  <c r="F33" i="10"/>
  <c r="F34" i="10" s="1"/>
  <c r="Q29" i="10"/>
  <c r="P29" i="10"/>
  <c r="O29" i="10"/>
  <c r="N29" i="10"/>
  <c r="M29" i="10"/>
  <c r="L29" i="10"/>
  <c r="K29" i="10"/>
  <c r="J29" i="10"/>
  <c r="I29" i="10"/>
  <c r="H29" i="10"/>
  <c r="G29" i="10"/>
  <c r="H44" i="9" l="1"/>
  <c r="F44" i="9"/>
  <c r="Q42" i="9"/>
  <c r="Q44" i="9" s="1"/>
  <c r="P42" i="9"/>
  <c r="P44" i="9" s="1"/>
  <c r="O42" i="9"/>
  <c r="O44" i="9" s="1"/>
  <c r="N42" i="9"/>
  <c r="N44" i="9" s="1"/>
  <c r="M42" i="9"/>
  <c r="M44" i="9" s="1"/>
  <c r="L42" i="9"/>
  <c r="L44" i="9" s="1"/>
  <c r="K42" i="9"/>
  <c r="K44" i="9" s="1"/>
  <c r="J42" i="9"/>
  <c r="J44" i="9" s="1"/>
  <c r="I42" i="9"/>
  <c r="I44" i="9" s="1"/>
  <c r="H42" i="9"/>
  <c r="G42" i="9"/>
  <c r="G44" i="9" s="1"/>
  <c r="F42" i="9"/>
  <c r="Q38" i="9"/>
  <c r="P38" i="9"/>
  <c r="O38" i="9"/>
  <c r="N38" i="9"/>
  <c r="M38" i="9"/>
  <c r="L38" i="9"/>
  <c r="K38" i="9"/>
  <c r="J38" i="9"/>
  <c r="I38" i="9"/>
  <c r="G38" i="9"/>
  <c r="F38" i="9"/>
  <c r="P34" i="9"/>
  <c r="Q33" i="9"/>
  <c r="Q34" i="9" s="1"/>
  <c r="P33" i="9"/>
  <c r="O33" i="9"/>
  <c r="O34" i="9" s="1"/>
  <c r="N33" i="9"/>
  <c r="N34" i="9" s="1"/>
  <c r="M33" i="9"/>
  <c r="M34" i="9" s="1"/>
  <c r="L33" i="9"/>
  <c r="L34" i="9" s="1"/>
  <c r="K33" i="9"/>
  <c r="K34" i="9" s="1"/>
  <c r="J33" i="9"/>
  <c r="J34" i="9" s="1"/>
  <c r="I33" i="9"/>
  <c r="I34" i="9" s="1"/>
  <c r="H33" i="9"/>
  <c r="H34" i="9" s="1"/>
  <c r="G33" i="9"/>
  <c r="G34" i="9" s="1"/>
  <c r="F33" i="9"/>
  <c r="F34" i="9" s="1"/>
  <c r="Q29" i="9"/>
  <c r="P29" i="9"/>
  <c r="O29" i="9"/>
  <c r="N29" i="9"/>
  <c r="M29" i="9"/>
  <c r="L29" i="9"/>
  <c r="K29" i="9"/>
  <c r="J29" i="9"/>
  <c r="I29" i="9"/>
  <c r="H29" i="9"/>
  <c r="G29" i="9"/>
  <c r="F44" i="8" l="1"/>
  <c r="Q42" i="8"/>
  <c r="Q44" i="8" s="1"/>
  <c r="P42" i="8"/>
  <c r="P44" i="8" s="1"/>
  <c r="O42" i="8"/>
  <c r="O44" i="8" s="1"/>
  <c r="N42" i="8"/>
  <c r="N44" i="8" s="1"/>
  <c r="M42" i="8"/>
  <c r="M44" i="8" s="1"/>
  <c r="L42" i="8"/>
  <c r="L44" i="8" s="1"/>
  <c r="K42" i="8"/>
  <c r="K44" i="8" s="1"/>
  <c r="J42" i="8"/>
  <c r="J44" i="8" s="1"/>
  <c r="I42" i="8"/>
  <c r="I44" i="8" s="1"/>
  <c r="H42" i="8"/>
  <c r="H44" i="8" s="1"/>
  <c r="G42" i="8"/>
  <c r="G44" i="8" s="1"/>
  <c r="F42" i="8"/>
  <c r="Q38" i="8"/>
  <c r="P38" i="8"/>
  <c r="O38" i="8"/>
  <c r="N38" i="8"/>
  <c r="M38" i="8"/>
  <c r="L38" i="8"/>
  <c r="K38" i="8"/>
  <c r="J38" i="8"/>
  <c r="I38" i="8"/>
  <c r="G38" i="8"/>
  <c r="F38" i="8"/>
  <c r="Q33" i="8"/>
  <c r="Q34" i="8" s="1"/>
  <c r="P33" i="8"/>
  <c r="P34" i="8" s="1"/>
  <c r="O33" i="8"/>
  <c r="O34" i="8" s="1"/>
  <c r="N33" i="8"/>
  <c r="N34" i="8" s="1"/>
  <c r="M33" i="8"/>
  <c r="M34" i="8" s="1"/>
  <c r="L33" i="8"/>
  <c r="L34" i="8" s="1"/>
  <c r="K33" i="8"/>
  <c r="K34" i="8" s="1"/>
  <c r="J33" i="8"/>
  <c r="J34" i="8" s="1"/>
  <c r="I33" i="8"/>
  <c r="I34" i="8" s="1"/>
  <c r="H33" i="8"/>
  <c r="H34" i="8" s="1"/>
  <c r="G33" i="8"/>
  <c r="G34" i="8" s="1"/>
  <c r="F33" i="8"/>
  <c r="F34" i="8" s="1"/>
  <c r="Q29" i="8"/>
  <c r="P29" i="8"/>
  <c r="O29" i="8"/>
  <c r="N29" i="8"/>
  <c r="M29" i="8"/>
  <c r="L29" i="8"/>
  <c r="K29" i="8"/>
  <c r="J29" i="8"/>
  <c r="I29" i="8"/>
  <c r="H29" i="8"/>
  <c r="G29" i="8"/>
  <c r="K42" i="7" l="1"/>
  <c r="P44" i="7"/>
  <c r="H44" i="7"/>
  <c r="Q42" i="7"/>
  <c r="Q44" i="7" s="1"/>
  <c r="P42" i="7"/>
  <c r="O42" i="7"/>
  <c r="O44" i="7" s="1"/>
  <c r="N42" i="7"/>
  <c r="N44" i="7" s="1"/>
  <c r="M42" i="7"/>
  <c r="M44" i="7" s="1"/>
  <c r="L42" i="7"/>
  <c r="L44" i="7" s="1"/>
  <c r="K44" i="7"/>
  <c r="J42" i="7"/>
  <c r="J44" i="7" s="1"/>
  <c r="I42" i="7"/>
  <c r="I44" i="7" s="1"/>
  <c r="H42" i="7"/>
  <c r="G42" i="7"/>
  <c r="G44" i="7" s="1"/>
  <c r="F42" i="7"/>
  <c r="F44" i="7" s="1"/>
  <c r="Q38" i="7"/>
  <c r="P38" i="7"/>
  <c r="O38" i="7"/>
  <c r="N38" i="7"/>
  <c r="M38" i="7"/>
  <c r="L38" i="7"/>
  <c r="K38" i="7"/>
  <c r="J38" i="7"/>
  <c r="I38" i="7"/>
  <c r="G38" i="7"/>
  <c r="F38" i="7"/>
  <c r="P34" i="7"/>
  <c r="Q33" i="7"/>
  <c r="Q34" i="7" s="1"/>
  <c r="P33" i="7"/>
  <c r="O33" i="7"/>
  <c r="O34" i="7" s="1"/>
  <c r="N33" i="7"/>
  <c r="N34" i="7" s="1"/>
  <c r="M33" i="7"/>
  <c r="M34" i="7" s="1"/>
  <c r="L33" i="7"/>
  <c r="L34" i="7" s="1"/>
  <c r="K33" i="7"/>
  <c r="K34" i="7" s="1"/>
  <c r="J33" i="7"/>
  <c r="J34" i="7" s="1"/>
  <c r="I33" i="7"/>
  <c r="I34" i="7" s="1"/>
  <c r="H33" i="7"/>
  <c r="H34" i="7" s="1"/>
  <c r="G33" i="7"/>
  <c r="G34" i="7" s="1"/>
  <c r="F33" i="7"/>
  <c r="F34" i="7" s="1"/>
  <c r="Q29" i="7"/>
  <c r="P29" i="7"/>
  <c r="O29" i="7"/>
  <c r="N29" i="7"/>
  <c r="M29" i="7"/>
  <c r="L29" i="7"/>
  <c r="K29" i="7"/>
  <c r="J29" i="7"/>
  <c r="I29" i="7"/>
  <c r="H29" i="7"/>
  <c r="G29" i="7"/>
  <c r="F29" i="7"/>
  <c r="H44" i="6" l="1"/>
  <c r="Q42" i="6"/>
  <c r="Q44" i="6" s="1"/>
  <c r="P42" i="6"/>
  <c r="P44" i="6" s="1"/>
  <c r="O42" i="6"/>
  <c r="O44" i="6" s="1"/>
  <c r="N42" i="6"/>
  <c r="N44" i="6" s="1"/>
  <c r="M42" i="6"/>
  <c r="M44" i="6" s="1"/>
  <c r="L42" i="6"/>
  <c r="L44" i="6" s="1"/>
  <c r="K42" i="6"/>
  <c r="K44" i="6" s="1"/>
  <c r="J42" i="6"/>
  <c r="J44" i="6" s="1"/>
  <c r="I42" i="6"/>
  <c r="I44" i="6" s="1"/>
  <c r="H42" i="6"/>
  <c r="G42" i="6"/>
  <c r="G44" i="6" s="1"/>
  <c r="F42" i="6"/>
  <c r="F44" i="6" s="1"/>
  <c r="Q38" i="6"/>
  <c r="P38" i="6"/>
  <c r="O38" i="6"/>
  <c r="N38" i="6"/>
  <c r="M38" i="6"/>
  <c r="L38" i="6"/>
  <c r="K38" i="6"/>
  <c r="J38" i="6"/>
  <c r="I38" i="6"/>
  <c r="G38" i="6"/>
  <c r="F38" i="6"/>
  <c r="P34" i="6"/>
  <c r="N34" i="6"/>
  <c r="M34" i="6"/>
  <c r="Q33" i="6"/>
  <c r="Q34" i="6" s="1"/>
  <c r="P33" i="6"/>
  <c r="O33" i="6"/>
  <c r="O34" i="6" s="1"/>
  <c r="N33" i="6"/>
  <c r="M33" i="6"/>
  <c r="L33" i="6"/>
  <c r="L34" i="6" s="1"/>
  <c r="K33" i="6"/>
  <c r="K34" i="6" s="1"/>
  <c r="J33" i="6"/>
  <c r="J34" i="6" s="1"/>
  <c r="I33" i="6"/>
  <c r="I34" i="6" s="1"/>
  <c r="H33" i="6"/>
  <c r="H34" i="6" s="1"/>
  <c r="G33" i="6"/>
  <c r="G34" i="6" s="1"/>
  <c r="F33" i="6"/>
  <c r="F34" i="6" s="1"/>
  <c r="Q29" i="6"/>
  <c r="P29" i="6"/>
  <c r="O29" i="6"/>
  <c r="N29" i="6"/>
  <c r="M29" i="6"/>
  <c r="L29" i="6"/>
  <c r="K29" i="6"/>
  <c r="J29" i="6"/>
  <c r="I29" i="6"/>
  <c r="H29" i="6"/>
  <c r="G29" i="6"/>
  <c r="F29" i="6"/>
  <c r="I44" i="5" l="1"/>
  <c r="H44" i="5"/>
  <c r="G44" i="5"/>
  <c r="Q42" i="5"/>
  <c r="Q44" i="5" s="1"/>
  <c r="P42" i="5"/>
  <c r="P44" i="5" s="1"/>
  <c r="O42" i="5"/>
  <c r="O44" i="5" s="1"/>
  <c r="N42" i="5"/>
  <c r="N44" i="5" s="1"/>
  <c r="M42" i="5"/>
  <c r="M44" i="5" s="1"/>
  <c r="L42" i="5"/>
  <c r="L44" i="5" s="1"/>
  <c r="K42" i="5"/>
  <c r="K44" i="5" s="1"/>
  <c r="J42" i="5"/>
  <c r="J44" i="5" s="1"/>
  <c r="I42" i="5"/>
  <c r="H42" i="5"/>
  <c r="G42" i="5"/>
  <c r="F42" i="5"/>
  <c r="F44" i="5" s="1"/>
  <c r="Q38" i="5"/>
  <c r="P38" i="5"/>
  <c r="O38" i="5"/>
  <c r="N38" i="5"/>
  <c r="M38" i="5"/>
  <c r="L38" i="5"/>
  <c r="K38" i="5"/>
  <c r="J38" i="5"/>
  <c r="I38" i="5"/>
  <c r="G38" i="5"/>
  <c r="F38" i="5"/>
  <c r="Q34" i="5"/>
  <c r="O34" i="5"/>
  <c r="M34" i="5"/>
  <c r="Q33" i="5"/>
  <c r="P33" i="5"/>
  <c r="P34" i="5" s="1"/>
  <c r="O33" i="5"/>
  <c r="N33" i="5"/>
  <c r="N34" i="5" s="1"/>
  <c r="M33" i="5"/>
  <c r="L33" i="5"/>
  <c r="L34" i="5" s="1"/>
  <c r="K33" i="5"/>
  <c r="K34" i="5" s="1"/>
  <c r="J33" i="5"/>
  <c r="J34" i="5" s="1"/>
  <c r="I33" i="5"/>
  <c r="I34" i="5" s="1"/>
  <c r="H33" i="5"/>
  <c r="H34" i="5" s="1"/>
  <c r="G33" i="5"/>
  <c r="G34" i="5" s="1"/>
  <c r="F33" i="5"/>
  <c r="F34" i="5" s="1"/>
  <c r="Q29" i="5"/>
  <c r="P29" i="5"/>
  <c r="O29" i="5"/>
  <c r="N29" i="5"/>
  <c r="M29" i="5"/>
  <c r="L29" i="5"/>
  <c r="K29" i="5"/>
  <c r="J29" i="5"/>
  <c r="I29" i="5"/>
  <c r="H29" i="5"/>
  <c r="G29" i="5"/>
  <c r="F29" i="5"/>
  <c r="I44" i="4"/>
  <c r="H44" i="4"/>
  <c r="G44" i="4"/>
  <c r="F44" i="4"/>
  <c r="Q42" i="4"/>
  <c r="Q44" i="4" s="1"/>
  <c r="P42" i="4"/>
  <c r="P44" i="4" s="1"/>
  <c r="O42" i="4"/>
  <c r="O44" i="4" s="1"/>
  <c r="N42" i="4"/>
  <c r="N44" i="4" s="1"/>
  <c r="M42" i="4"/>
  <c r="M44" i="4" s="1"/>
  <c r="L42" i="4"/>
  <c r="L44" i="4" s="1"/>
  <c r="K42" i="4"/>
  <c r="K44" i="4" s="1"/>
  <c r="J42" i="4"/>
  <c r="J44" i="4" s="1"/>
  <c r="I42" i="4"/>
  <c r="H42" i="4"/>
  <c r="G42" i="4"/>
  <c r="F42" i="4"/>
  <c r="Q38" i="4"/>
  <c r="P38" i="4"/>
  <c r="O38" i="4"/>
  <c r="N38" i="4"/>
  <c r="M38" i="4"/>
  <c r="L38" i="4"/>
  <c r="K38" i="4"/>
  <c r="J38" i="4"/>
  <c r="I38" i="4"/>
  <c r="G38" i="4"/>
  <c r="F38" i="4"/>
  <c r="Q34" i="4"/>
  <c r="P34" i="4"/>
  <c r="O34" i="4"/>
  <c r="N34" i="4"/>
  <c r="M34" i="4"/>
  <c r="Q33" i="4"/>
  <c r="P33" i="4"/>
  <c r="O33" i="4"/>
  <c r="N33" i="4"/>
  <c r="M33" i="4"/>
  <c r="L33" i="4"/>
  <c r="L34" i="4" s="1"/>
  <c r="K33" i="4"/>
  <c r="K34" i="4" s="1"/>
  <c r="J33" i="4"/>
  <c r="J34" i="4" s="1"/>
  <c r="I33" i="4"/>
  <c r="I34" i="4" s="1"/>
  <c r="H33" i="4"/>
  <c r="H34" i="4" s="1"/>
  <c r="G33" i="4"/>
  <c r="G34" i="4" s="1"/>
  <c r="F33" i="4"/>
  <c r="F34" i="4" s="1"/>
  <c r="Q29" i="4"/>
  <c r="P29" i="4"/>
  <c r="O29" i="4"/>
  <c r="N29" i="4"/>
  <c r="M29" i="4"/>
  <c r="L29" i="4"/>
  <c r="K29" i="4"/>
  <c r="J29" i="4"/>
  <c r="I29" i="4"/>
  <c r="H29" i="4"/>
  <c r="G29" i="4"/>
  <c r="F29" i="4"/>
  <c r="H44" i="3" l="1"/>
  <c r="G44" i="3"/>
  <c r="F44" i="3"/>
  <c r="Q42" i="3"/>
  <c r="Q44" i="3" s="1"/>
  <c r="P42" i="3"/>
  <c r="P44" i="3" s="1"/>
  <c r="O42" i="3"/>
  <c r="O44" i="3" s="1"/>
  <c r="N42" i="3"/>
  <c r="N44" i="3" s="1"/>
  <c r="M42" i="3"/>
  <c r="M44" i="3" s="1"/>
  <c r="L42" i="3"/>
  <c r="L44" i="3" s="1"/>
  <c r="K42" i="3"/>
  <c r="K44" i="3" s="1"/>
  <c r="J42" i="3"/>
  <c r="J44" i="3" s="1"/>
  <c r="I42" i="3"/>
  <c r="I44" i="3" s="1"/>
  <c r="H42" i="3"/>
  <c r="G42" i="3"/>
  <c r="F42" i="3"/>
  <c r="Q38" i="3"/>
  <c r="P38" i="3"/>
  <c r="O38" i="3"/>
  <c r="N38" i="3"/>
  <c r="M38" i="3"/>
  <c r="L38" i="3"/>
  <c r="K38" i="3"/>
  <c r="J38" i="3"/>
  <c r="I38" i="3"/>
  <c r="G38" i="3"/>
  <c r="F38" i="3"/>
  <c r="Q34" i="3"/>
  <c r="P34" i="3"/>
  <c r="O34" i="3"/>
  <c r="M34" i="3"/>
  <c r="Q33" i="3"/>
  <c r="P33" i="3"/>
  <c r="O33" i="3"/>
  <c r="N33" i="3"/>
  <c r="N34" i="3" s="1"/>
  <c r="M33" i="3"/>
  <c r="L33" i="3"/>
  <c r="L34" i="3" s="1"/>
  <c r="K33" i="3"/>
  <c r="K34" i="3" s="1"/>
  <c r="J33" i="3"/>
  <c r="J34" i="3" s="1"/>
  <c r="I33" i="3"/>
  <c r="I34" i="3" s="1"/>
  <c r="H33" i="3"/>
  <c r="H34" i="3" s="1"/>
  <c r="G33" i="3"/>
  <c r="G34" i="3" s="1"/>
  <c r="F33" i="3"/>
  <c r="F34" i="3" s="1"/>
  <c r="Q29" i="3"/>
  <c r="P29" i="3"/>
  <c r="O29" i="3"/>
  <c r="N29" i="3"/>
  <c r="M29" i="3"/>
  <c r="L29" i="3"/>
  <c r="K29" i="3"/>
  <c r="J29" i="3"/>
  <c r="I29" i="3"/>
  <c r="H29" i="3"/>
  <c r="G29" i="3"/>
  <c r="F29" i="3"/>
  <c r="Q42" i="2" l="1"/>
  <c r="Q44" i="2" s="1"/>
  <c r="P42" i="2"/>
  <c r="P44" i="2" s="1"/>
  <c r="O42" i="2"/>
  <c r="O44" i="2" s="1"/>
  <c r="N42" i="2"/>
  <c r="N44" i="2" s="1"/>
  <c r="M42" i="2"/>
  <c r="M44" i="2" s="1"/>
  <c r="L42" i="2"/>
  <c r="L44" i="2" s="1"/>
  <c r="K42" i="2"/>
  <c r="K44" i="2" s="1"/>
  <c r="J42" i="2"/>
  <c r="J44" i="2" s="1"/>
  <c r="I42" i="2"/>
  <c r="I44" i="2" s="1"/>
  <c r="H42" i="2"/>
  <c r="H44" i="2" s="1"/>
  <c r="G42" i="2"/>
  <c r="G44" i="2" s="1"/>
  <c r="F42" i="2"/>
  <c r="F44" i="2" s="1"/>
  <c r="Q38" i="2"/>
  <c r="P38" i="2"/>
  <c r="O38" i="2"/>
  <c r="N38" i="2"/>
  <c r="M38" i="2"/>
  <c r="L38" i="2"/>
  <c r="K38" i="2"/>
  <c r="J38" i="2"/>
  <c r="I38" i="2"/>
  <c r="G38" i="2"/>
  <c r="F38" i="2"/>
  <c r="Q33" i="2"/>
  <c r="Q34" i="2" s="1"/>
  <c r="P33" i="2"/>
  <c r="P34" i="2" s="1"/>
  <c r="O33" i="2"/>
  <c r="O34" i="2" s="1"/>
  <c r="N33" i="2"/>
  <c r="N34" i="2" s="1"/>
  <c r="M33" i="2"/>
  <c r="M34" i="2" s="1"/>
  <c r="L33" i="2"/>
  <c r="L34" i="2" s="1"/>
  <c r="K33" i="2"/>
  <c r="K34" i="2" s="1"/>
  <c r="J33" i="2"/>
  <c r="J34" i="2" s="1"/>
  <c r="I33" i="2"/>
  <c r="I34" i="2" s="1"/>
  <c r="H33" i="2"/>
  <c r="H34" i="2" s="1"/>
  <c r="G33" i="2"/>
  <c r="G34" i="2" s="1"/>
  <c r="F33" i="2"/>
  <c r="F34" i="2" s="1"/>
  <c r="Q29" i="2"/>
  <c r="P29" i="2"/>
  <c r="O29" i="2"/>
  <c r="N29" i="2"/>
  <c r="M29" i="2"/>
  <c r="L29" i="2"/>
  <c r="K29" i="2"/>
  <c r="J29" i="2"/>
  <c r="I29" i="2"/>
  <c r="H29" i="2"/>
  <c r="G29" i="2"/>
  <c r="F29" i="2"/>
</calcChain>
</file>

<file path=xl/sharedStrings.xml><?xml version="1.0" encoding="utf-8"?>
<sst xmlns="http://schemas.openxmlformats.org/spreadsheetml/2006/main" count="4708" uniqueCount="103">
  <si>
    <t xml:space="preserve">OPERATION CHILLER LOG SHEET
&amp;
REFRIGERANT LEAK </t>
  </si>
  <si>
    <t>REVISION : 1</t>
  </si>
  <si>
    <t>DOC NO :</t>
  </si>
  <si>
    <t xml:space="preserve">OPER-01-QR-01 </t>
  </si>
  <si>
    <t>OPERATOR :</t>
  </si>
  <si>
    <t>PAGE : 1 OF 1</t>
  </si>
  <si>
    <t>OPERATION DATE</t>
  </si>
  <si>
    <t>CHILLER</t>
  </si>
  <si>
    <t xml:space="preserve"> CONTROL 
LIMIT</t>
  </si>
  <si>
    <t>EC0120A</t>
  </si>
  <si>
    <t>EC0120B</t>
  </si>
  <si>
    <t>EC0120C</t>
  </si>
  <si>
    <t>EC0120D</t>
  </si>
  <si>
    <t>EC0120E</t>
  </si>
  <si>
    <t>EC0120F</t>
  </si>
  <si>
    <t>TIME</t>
  </si>
  <si>
    <t>00:00</t>
  </si>
  <si>
    <t>REFRIGERANT LEAK STATUS</t>
  </si>
  <si>
    <t xml:space="preserve"> OK / NOT OK</t>
  </si>
  <si>
    <t>OK</t>
  </si>
  <si>
    <t>OPENING OF VANE</t>
  </si>
  <si>
    <t>%</t>
  </si>
  <si>
    <t>0~100%</t>
  </si>
  <si>
    <t>OPENING HOT GAS BYPASS VALVE</t>
  </si>
  <si>
    <t>OPENING OF 2nd VANE</t>
  </si>
  <si>
    <t>OPENING OF HIGH-STAGE EXPANSION VALVE</t>
  </si>
  <si>
    <t>OPENING OF LOW-STAGE EXPANSION VALVE</t>
  </si>
  <si>
    <t>MOTOR</t>
  </si>
  <si>
    <t>VOLTAGE</t>
  </si>
  <si>
    <t>V</t>
  </si>
  <si>
    <t>6600V(±   5% )</t>
  </si>
  <si>
    <t>CURRENT</t>
  </si>
  <si>
    <t>A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</si>
  <si>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115A</t>
    </r>
  </si>
  <si>
    <t>INPUT</t>
  </si>
  <si>
    <t>Kw</t>
  </si>
  <si>
    <t>1194kW</t>
  </si>
  <si>
    <t>COMPRESSOR</t>
  </si>
  <si>
    <t>RUNNING TIME</t>
  </si>
  <si>
    <t>Hr</t>
  </si>
  <si>
    <t>NA</t>
  </si>
  <si>
    <t>SUCTION TEMPERATURE</t>
  </si>
  <si>
    <t>CELCIUS</t>
  </si>
  <si>
    <t>C</t>
  </si>
  <si>
    <t>DISCHARGE TEMPERATURE</t>
  </si>
  <si>
    <t>35 -70 degC</t>
  </si>
  <si>
    <t>OIL TANK OIL TEMPERATURE</t>
  </si>
  <si>
    <t>45-72 deg C</t>
  </si>
  <si>
    <t>OIL PRESSURE</t>
  </si>
  <si>
    <t>Mpa(G)</t>
  </si>
  <si>
    <t>Diff pressure 
0.25-0.35 Mpa
OIL -EVAP =Diff pressure</t>
  </si>
  <si>
    <t>OIL LEVEL</t>
  </si>
  <si>
    <t>OIL SUPPLY TEMPERATURE</t>
  </si>
  <si>
    <t>35-45 degC</t>
  </si>
  <si>
    <t>EVAPORATOR</t>
  </si>
  <si>
    <t>EVAPORATING PRESSURE</t>
  </si>
  <si>
    <t>≥0.18Mpa</t>
  </si>
  <si>
    <t>EVAPORATING TEMPERATURE</t>
  </si>
  <si>
    <t>SATURATION TEMPERATURE</t>
  </si>
  <si>
    <t>APPROACH TEMP</t>
  </si>
  <si>
    <t>CHILLED WATER FLOW RATE</t>
  </si>
  <si>
    <t>m3/h</t>
  </si>
  <si>
    <t>634.8 m3h</t>
  </si>
  <si>
    <t>CHILLED WATER ENTERING TEMPERATURE</t>
  </si>
  <si>
    <t>CHILLED WATER LEAVING TEMPERATURE</t>
  </si>
  <si>
    <t>TEMPERATURE DIFFERENCE</t>
  </si>
  <si>
    <t>CHILLING CAPACITY</t>
  </si>
  <si>
    <t>kW</t>
  </si>
  <si>
    <t>7032.6kW</t>
  </si>
  <si>
    <t>CONDENSOR</t>
  </si>
  <si>
    <t>CONDENSING PRESSURE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</si>
  <si>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1.01Mpa(G)</t>
    </r>
  </si>
  <si>
    <t>CONSENSED LIQUID TEMPERATURE</t>
  </si>
  <si>
    <t>SATURATED TEMEPRATURE</t>
  </si>
  <si>
    <r>
      <rPr>
        <b/>
        <sz val="11"/>
        <color theme="1"/>
        <rFont val="Calibri"/>
        <family val="2"/>
        <scheme val="minor"/>
      </rPr>
      <t xml:space="preserve">APPROACH TEMP </t>
    </r>
    <r>
      <rPr>
        <b/>
        <sz val="9"/>
        <color theme="1"/>
        <rFont val="Calibri"/>
        <family val="2"/>
        <scheme val="minor"/>
      </rPr>
      <t>(COND LQ TEMP - LEAVING TEMP)</t>
    </r>
  </si>
  <si>
    <t>0-3</t>
  </si>
  <si>
    <t>LIQUID LEVEL(Side Glass Bottom)</t>
  </si>
  <si>
    <t>mm</t>
  </si>
  <si>
    <t>COOLING WATER ENTERING TEMPERATURE</t>
  </si>
  <si>
    <t>COOLING WATER LEAVING TEMPERATURE</t>
  </si>
  <si>
    <t>TEMPERATURE DIFFERENCE COOLING WATER</t>
  </si>
  <si>
    <t>COOLING WATER FLOW RATE</t>
  </si>
  <si>
    <t>HEAT CAPACITY</t>
  </si>
  <si>
    <t>ECONOMIZER</t>
  </si>
  <si>
    <t>ECONOMIZER PRESSURE</t>
  </si>
  <si>
    <t>Mpa</t>
  </si>
  <si>
    <t>SATURATED TEMPERATURE</t>
  </si>
  <si>
    <t>LIQUID LEVEL</t>
  </si>
  <si>
    <t>HEAT BALANCE</t>
  </si>
  <si>
    <t>0.95~1.05</t>
  </si>
  <si>
    <t>COP</t>
  </si>
  <si>
    <t>% OF COOLING CAPACITY</t>
  </si>
  <si>
    <t>% OF MOTOR INPUT</t>
  </si>
  <si>
    <t>REMARK :</t>
  </si>
  <si>
    <t>CHILLER :</t>
  </si>
  <si>
    <t>Differential pressure of Oil pressure - Evap pressure is in range 0.25 Mpa ~ 0.35 Mpa.</t>
  </si>
  <si>
    <t>* Movement of Expansion Valve motor operation depends on running condition.</t>
  </si>
  <si>
    <t xml:space="preserve">REFRIGERANT  ALARM </t>
  </si>
  <si>
    <t>CHILLER ALARM :</t>
  </si>
  <si>
    <t>YES</t>
  </si>
  <si>
    <t>NO</t>
  </si>
  <si>
    <t>OIK</t>
  </si>
  <si>
    <t>0.53.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</si>
</sst>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0" fontId="2" fillId="0" borderId="18" xfId="0" applyNumberFormat="1" applyFont="1" applyBorder="1" applyAlignment="1">
      <alignment horizontal="center"/>
    </xf>
    <xf numFmtId="20" fontId="2" fillId="0" borderId="18" xfId="0" quotePrefix="1" applyNumberFormat="1" applyFont="1" applyBorder="1" applyAlignment="1">
      <alignment horizontal="center"/>
    </xf>
    <xf numFmtId="20" fontId="2" fillId="2" borderId="18" xfId="0" applyNumberFormat="1" applyFont="1" applyFill="1" applyBorder="1" applyAlignment="1">
      <alignment horizontal="center"/>
    </xf>
    <xf numFmtId="20" fontId="2" fillId="2" borderId="18" xfId="0" quotePrefix="1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20" fontId="2" fillId="0" borderId="18" xfId="0" applyNumberFormat="1" applyFont="1" applyBorder="1" applyAlignment="1">
      <alignment horizontal="center" vertical="center"/>
    </xf>
    <xf numFmtId="20" fontId="2" fillId="0" borderId="18" xfId="0" quotePrefix="1" applyNumberFormat="1" applyFont="1" applyBorder="1" applyAlignment="1">
      <alignment horizontal="center" vertical="center"/>
    </xf>
    <xf numFmtId="20" fontId="2" fillId="2" borderId="18" xfId="0" quotePrefix="1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2" fillId="0" borderId="18" xfId="0" applyFont="1" applyBorder="1"/>
    <xf numFmtId="0" fontId="0" fillId="0" borderId="21" xfId="0" applyBorder="1" applyAlignment="1">
      <alignment horizontal="center"/>
    </xf>
    <xf numFmtId="0" fontId="2" fillId="0" borderId="18" xfId="0" applyFont="1" applyBorder="1" applyAlignment="1">
      <alignment vertical="center"/>
    </xf>
    <xf numFmtId="0" fontId="0" fillId="0" borderId="18" xfId="0" applyBorder="1" applyAlignment="1">
      <alignment horizontal="center" wrapText="1"/>
    </xf>
    <xf numFmtId="0" fontId="3" fillId="0" borderId="18" xfId="0" applyFont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15" fontId="2" fillId="0" borderId="15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2" fillId="0" borderId="1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EB7E8-9DB7-460D-86AB-DE1B69F4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70ABC3-1B5B-4D05-9A54-9A789F2206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6AB61A-BCC7-4F4E-9F63-C946BB07559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4CBF97-D060-4BF2-8FE0-97F2E0335BA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A73052-6816-4F45-B1AE-515B2D7FDA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343AB76-A541-4238-B259-67B43E39497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2A86F08-CB6B-477D-BE6E-1960222105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15B0F79-EEE5-47D8-AA9E-872BDC94D3B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291DB0-9BCB-4CA5-8168-3BF5B8B4D7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BD504D1-4048-4B40-8181-79BFE65CEA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B6BBD7-0C98-4C0D-B9B1-E938AD7D80D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0959628-CC63-475D-97A7-5428756325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6AE3BA-6CB0-4EDF-86FD-18951A8B01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48D2C93-959C-44EE-B608-DBBD30F8CB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D25935-836B-4FD9-A9E0-492CAA8253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CB76B7-49B8-43E2-9BA1-54C6A76D37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5A533C-8CA1-4D67-A7DA-0F5D60186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8DF40E3-E436-45A9-8B71-3EF76101DDF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49A51-D5E5-4277-9B7E-0FBE7BB00D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F615566-CCAF-4402-9887-D6292FE6277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4776A9-6E63-4402-89D1-E5D0BC5D122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D296D4-1758-4779-9D1D-B108502BA74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61461D-BDB4-46ED-AC48-634861364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8D9BB9-B430-44B2-84A5-A134FAE93A6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CB1F93-F876-4087-BF1F-6BC3F2ABFEE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C95B31A-83FF-4129-AE38-FBB563F1476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FCD43A-A6E6-44A6-84B6-723AEB2096F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0DF150-5285-4E8D-9B9F-D79A0FAB100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F6B8C24-D0A2-47E8-8520-210E05BD60A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3BAFC7-A892-4E08-A133-D0F376970BA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35A9A58-DBC1-4F56-9745-D53FB1A8D7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97155-593E-4135-A43E-2A03C966BC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D0F290C-9093-4C6F-A12C-18A694685B4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85AA841-54CA-4DEB-A3BC-7E9C99C211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8C3A0C-2AE1-4612-AB72-E906551CB96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A40E8F2-56E0-4E2B-9C28-9624C3C4F53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62FF2F-B3AE-4E0B-9B1B-0B96BF8283F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FB1F010-6ADB-4397-BB64-3D67ACE36D6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44862F7-5547-4140-BD49-4855CE2E90F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C6EE10C-C8DF-4377-B732-A120DC12903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A5C9D08-7E19-4DA6-B65F-C1508CA91B5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0C0567A-2ACF-4B1A-99DC-A2DC20164D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0B67FF3-55B8-47F3-B9A6-970E137B7F3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15D336C-4060-448F-9222-6642727F069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68B4FA-076E-446D-99FF-0C4B3E0C3B4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142B62-F16C-4C55-98B3-62E42C37C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A56C43E-E056-457D-9D59-A0B75BDCFBC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CB7AE20-A5DA-490D-80B0-EC0C573D03A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F6AF35-81DA-440C-B71A-C34E76C9B6A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71FBB60-A553-4EF7-AF32-9F9363683C7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F16C4D9-DF1E-4029-BB48-A20DC6AF61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C807D27-9828-4A02-A509-EE2ED77B03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9A102DF9-F1D0-4E8A-8905-365D1B4C38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CCECAD6-7F3E-47D6-AE24-2F771A94D3A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BC5BB64-272B-4846-901A-A7147F1FA15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9DB026B-CEDC-4A28-9C69-2265A9D472B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059341-3968-4CBF-A35D-F75B9043454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FFD23-1EC7-4C06-90DA-28D430609ED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4515515-B48E-42DA-A39C-229B98F55D9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C83368-048E-4706-ACE0-6CC3AC2A965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63F6686-B6C5-49D5-B53E-22955BBB405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EA845C8-9798-4E10-BFBC-290057F5232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BB168CF-BF78-40B2-B189-2AF44BA4F44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EB7E8-9DB7-460D-86AB-DE1B69F4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70ABC3-1B5B-4D05-9A54-9A789F2206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6AB61A-BCC7-4F4E-9F63-C946BB07559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4CBF97-D060-4BF2-8FE0-97F2E0335BA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A73052-6816-4F45-B1AE-515B2D7FDA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343AB76-A541-4238-B259-67B43E39497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2A86F08-CB6B-477D-BE6E-1960222105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15B0F79-EEE5-47D8-AA9E-872BDC94D3B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291DB0-9BCB-4CA5-8168-3BF5B8B4D7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BD504D1-4048-4B40-8181-79BFE65CEA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B6BBD7-0C98-4C0D-B9B1-E938AD7D80D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0959628-CC63-475D-97A7-5428756325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6AE3BA-6CB0-4EDF-86FD-18951A8B01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48D2C93-959C-44EE-B608-DBBD30F8CB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D25935-836B-4FD9-A9E0-492CAA8253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CB76B7-49B8-43E2-9BA1-54C6A76D37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5A533C-8CA1-4D67-A7DA-0F5D60186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8DF40E3-E436-45A9-8B71-3EF76101DDF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49A51-D5E5-4277-9B7E-0FBE7BB00D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F615566-CCAF-4402-9887-D6292FE6277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4776A9-6E63-4402-89D1-E5D0BC5D122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D296D4-1758-4779-9D1D-B108502BA74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61461D-BDB4-46ED-AC48-634861364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8D9BB9-B430-44B2-84A5-A134FAE93A6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CB1F93-F876-4087-BF1F-6BC3F2ABFEE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C95B31A-83FF-4129-AE38-FBB563F1476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FCD43A-A6E6-44A6-84B6-723AEB2096F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0DF150-5285-4E8D-9B9F-D79A0FAB100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F6B8C24-D0A2-47E8-8520-210E05BD60A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3BAFC7-A892-4E08-A133-D0F376970BA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35A9A58-DBC1-4F56-9745-D53FB1A8D7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97155-593E-4135-A43E-2A03C966BC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D0F290C-9093-4C6F-A12C-18A694685B4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85AA841-54CA-4DEB-A3BC-7E9C99C211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8C3A0C-2AE1-4612-AB72-E906551CB96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A40E8F2-56E0-4E2B-9C28-9624C3C4F53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62FF2F-B3AE-4E0B-9B1B-0B96BF8283F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FB1F010-6ADB-4397-BB64-3D67ACE36D6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44862F7-5547-4140-BD49-4855CE2E90F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C6EE10C-C8DF-4377-B732-A120DC12903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A5C9D08-7E19-4DA6-B65F-C1508CA91B5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0C0567A-2ACF-4B1A-99DC-A2DC20164D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0B67FF3-55B8-47F3-B9A6-970E137B7F3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15D336C-4060-448F-9222-6642727F069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68B4FA-076E-446D-99FF-0C4B3E0C3B4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142B62-F16C-4C55-98B3-62E42C37C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A56C43E-E056-457D-9D59-A0B75BDCFBC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CB7AE20-A5DA-490D-80B0-EC0C573D03A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F6AF35-81DA-440C-B71A-C34E76C9B6A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71FBB60-A553-4EF7-AF32-9F9363683C7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F16C4D9-DF1E-4029-BB48-A20DC6AF61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C807D27-9828-4A02-A509-EE2ED77B03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9A102DF9-F1D0-4E8A-8905-365D1B4C38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CCECAD6-7F3E-47D6-AE24-2F771A94D3A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BC5BB64-272B-4846-901A-A7147F1FA15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9DB026B-CEDC-4A28-9C69-2265A9D472B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059341-3968-4CBF-A35D-F75B9043454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FFD23-1EC7-4C06-90DA-28D430609ED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4515515-B48E-42DA-A39C-229B98F55D9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C83368-048E-4706-ACE0-6CC3AC2A965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63F6686-B6C5-49D5-B53E-22955BBB405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EA845C8-9798-4E10-BFBC-290057F5232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BB168CF-BF78-40B2-B189-2AF44BA4F44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11</xdr:col>
      <xdr:colOff>750094</xdr:colOff>
      <xdr:row>23</xdr:row>
      <xdr:rowOff>11906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4814176" y="582705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974912</xdr:colOff>
      <xdr:row>23</xdr:row>
      <xdr:rowOff>392206</xdr:rowOff>
    </xdr:from>
    <xdr:to>
      <xdr:col>12</xdr:col>
      <xdr:colOff>738888</xdr:colOff>
      <xdr:row>23</xdr:row>
      <xdr:rowOff>404112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75206" y="621926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152400</xdr:colOff>
      <xdr:row>23</xdr:row>
      <xdr:rowOff>152400</xdr:rowOff>
    </xdr:from>
    <xdr:to>
      <xdr:col>11</xdr:col>
      <xdr:colOff>902494</xdr:colOff>
      <xdr:row>23</xdr:row>
      <xdr:rowOff>164306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4966576" y="597945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149599</xdr:colOff>
      <xdr:row>23</xdr:row>
      <xdr:rowOff>348316</xdr:rowOff>
    </xdr:from>
    <xdr:to>
      <xdr:col>11</xdr:col>
      <xdr:colOff>899693</xdr:colOff>
      <xdr:row>23</xdr:row>
      <xdr:rowOff>360222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4963775" y="617537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11</xdr:col>
      <xdr:colOff>750094</xdr:colOff>
      <xdr:row>23</xdr:row>
      <xdr:rowOff>11906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4792325" y="58293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974912</xdr:colOff>
      <xdr:row>23</xdr:row>
      <xdr:rowOff>392206</xdr:rowOff>
    </xdr:from>
    <xdr:to>
      <xdr:col>12</xdr:col>
      <xdr:colOff>738888</xdr:colOff>
      <xdr:row>23</xdr:row>
      <xdr:rowOff>404112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5767237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152400</xdr:colOff>
      <xdr:row>23</xdr:row>
      <xdr:rowOff>152400</xdr:rowOff>
    </xdr:from>
    <xdr:to>
      <xdr:col>11</xdr:col>
      <xdr:colOff>902494</xdr:colOff>
      <xdr:row>23</xdr:row>
      <xdr:rowOff>164306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4944725" y="59817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149599</xdr:colOff>
      <xdr:row>23</xdr:row>
      <xdr:rowOff>348316</xdr:rowOff>
    </xdr:from>
    <xdr:to>
      <xdr:col>11</xdr:col>
      <xdr:colOff>899693</xdr:colOff>
      <xdr:row>23</xdr:row>
      <xdr:rowOff>360222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4941924" y="617761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11</xdr:col>
      <xdr:colOff>750094</xdr:colOff>
      <xdr:row>23</xdr:row>
      <xdr:rowOff>11906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4792325" y="58293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974912</xdr:colOff>
      <xdr:row>23</xdr:row>
      <xdr:rowOff>392206</xdr:rowOff>
    </xdr:from>
    <xdr:to>
      <xdr:col>12</xdr:col>
      <xdr:colOff>738888</xdr:colOff>
      <xdr:row>23</xdr:row>
      <xdr:rowOff>404112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5767237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152400</xdr:colOff>
      <xdr:row>23</xdr:row>
      <xdr:rowOff>152400</xdr:rowOff>
    </xdr:from>
    <xdr:to>
      <xdr:col>11</xdr:col>
      <xdr:colOff>902494</xdr:colOff>
      <xdr:row>23</xdr:row>
      <xdr:rowOff>164306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4944725" y="59817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149599</xdr:colOff>
      <xdr:row>23</xdr:row>
      <xdr:rowOff>348316</xdr:rowOff>
    </xdr:from>
    <xdr:to>
      <xdr:col>11</xdr:col>
      <xdr:colOff>899693</xdr:colOff>
      <xdr:row>23</xdr:row>
      <xdr:rowOff>360222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4941924" y="617761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EB7E8-9DB7-460D-86AB-DE1B69F4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70ABC3-1B5B-4D05-9A54-9A789F2206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6AB61A-BCC7-4F4E-9F63-C946BB07559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4CBF97-D060-4BF2-8FE0-97F2E0335BA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A73052-6816-4F45-B1AE-515B2D7FDA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343AB76-A541-4238-B259-67B43E39497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2A86F08-CB6B-477D-BE6E-1960222105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15B0F79-EEE5-47D8-AA9E-872BDC94D3B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291DB0-9BCB-4CA5-8168-3BF5B8B4D7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BD504D1-4048-4B40-8181-79BFE65CEA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B6BBD7-0C98-4C0D-B9B1-E938AD7D80D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0959628-CC63-475D-97A7-5428756325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6AE3BA-6CB0-4EDF-86FD-18951A8B01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48D2C93-959C-44EE-B608-DBBD30F8CB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D25935-836B-4FD9-A9E0-492CAA8253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CB76B7-49B8-43E2-9BA1-54C6A76D37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5A533C-8CA1-4D67-A7DA-0F5D60186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8DF40E3-E436-45A9-8B71-3EF76101DDF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49A51-D5E5-4277-9B7E-0FBE7BB00D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F615566-CCAF-4402-9887-D6292FE6277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4776A9-6E63-4402-89D1-E5D0BC5D122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D296D4-1758-4779-9D1D-B108502BA74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61461D-BDB4-46ED-AC48-634861364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8D9BB9-B430-44B2-84A5-A134FAE93A6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CB1F93-F876-4087-BF1F-6BC3F2ABFEE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C95B31A-83FF-4129-AE38-FBB563F1476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FCD43A-A6E6-44A6-84B6-723AEB2096F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0DF150-5285-4E8D-9B9F-D79A0FAB100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F6B8C24-D0A2-47E8-8520-210E05BD60A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3BAFC7-A892-4E08-A133-D0F376970BA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35A9A58-DBC1-4F56-9745-D53FB1A8D7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97155-593E-4135-A43E-2A03C966BC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D0F290C-9093-4C6F-A12C-18A694685B4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85AA841-54CA-4DEB-A3BC-7E9C99C211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8C3A0C-2AE1-4612-AB72-E906551CB96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A40E8F2-56E0-4E2B-9C28-9624C3C4F53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62FF2F-B3AE-4E0B-9B1B-0B96BF8283F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FB1F010-6ADB-4397-BB64-3D67ACE36D6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44862F7-5547-4140-BD49-4855CE2E90F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C6EE10C-C8DF-4377-B732-A120DC12903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A5C9D08-7E19-4DA6-B65F-C1508CA91B5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0C0567A-2ACF-4B1A-99DC-A2DC20164D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0B67FF3-55B8-47F3-B9A6-970E137B7F3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15D336C-4060-448F-9222-6642727F069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68B4FA-076E-446D-99FF-0C4B3E0C3B4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142B62-F16C-4C55-98B3-62E42C37C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A56C43E-E056-457D-9D59-A0B75BDCFBC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CB7AE20-A5DA-490D-80B0-EC0C573D03A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F6AF35-81DA-440C-B71A-C34E76C9B6A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71FBB60-A553-4EF7-AF32-9F9363683C7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F16C4D9-DF1E-4029-BB48-A20DC6AF61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C807D27-9828-4A02-A509-EE2ED77B03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9A102DF9-F1D0-4E8A-8905-365D1B4C38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CCECAD6-7F3E-47D6-AE24-2F771A94D3A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BC5BB64-272B-4846-901A-A7147F1FA15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9DB026B-CEDC-4A28-9C69-2265A9D472B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059341-3968-4CBF-A35D-F75B9043454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FFD23-1EC7-4C06-90DA-28D430609ED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4515515-B48E-42DA-A39C-229B98F55D9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C83368-048E-4706-ACE0-6CC3AC2A965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63F6686-B6C5-49D5-B53E-22955BBB405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EA845C8-9798-4E10-BFBC-290057F5232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BB168CF-BF78-40B2-B189-2AF44BA4F44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EB7E8-9DB7-460D-86AB-DE1B69F4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70ABC3-1B5B-4D05-9A54-9A789F2206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6AB61A-BCC7-4F4E-9F63-C946BB07559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4CBF97-D060-4BF2-8FE0-97F2E0335BA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A73052-6816-4F45-B1AE-515B2D7FDA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343AB76-A541-4238-B259-67B43E39497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2A86F08-CB6B-477D-BE6E-1960222105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15B0F79-EEE5-47D8-AA9E-872BDC94D3B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291DB0-9BCB-4CA5-8168-3BF5B8B4D7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BD504D1-4048-4B40-8181-79BFE65CEA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B6BBD7-0C98-4C0D-B9B1-E938AD7D80D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0959628-CC63-475D-97A7-5428756325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6AE3BA-6CB0-4EDF-86FD-18951A8B01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48D2C93-959C-44EE-B608-DBBD30F8CB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D25935-836B-4FD9-A9E0-492CAA8253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CB76B7-49B8-43E2-9BA1-54C6A76D37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5A533C-8CA1-4D67-A7DA-0F5D60186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8DF40E3-E436-45A9-8B71-3EF76101DDF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49A51-D5E5-4277-9B7E-0FBE7BB00D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F615566-CCAF-4402-9887-D6292FE6277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4776A9-6E63-4402-89D1-E5D0BC5D122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D296D4-1758-4779-9D1D-B108502BA74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61461D-BDB4-46ED-AC48-634861364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8D9BB9-B430-44B2-84A5-A134FAE93A6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CB1F93-F876-4087-BF1F-6BC3F2ABFEE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C95B31A-83FF-4129-AE38-FBB563F1476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FCD43A-A6E6-44A6-84B6-723AEB2096F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0DF150-5285-4E8D-9B9F-D79A0FAB100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F6B8C24-D0A2-47E8-8520-210E05BD60A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3BAFC7-A892-4E08-A133-D0F376970BA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35A9A58-DBC1-4F56-9745-D53FB1A8D7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97155-593E-4135-A43E-2A03C966BC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D0F290C-9093-4C6F-A12C-18A694685B4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85AA841-54CA-4DEB-A3BC-7E9C99C211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8C3A0C-2AE1-4612-AB72-E906551CB96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A40E8F2-56E0-4E2B-9C28-9624C3C4F53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62FF2F-B3AE-4E0B-9B1B-0B96BF8283F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FB1F010-6ADB-4397-BB64-3D67ACE36D6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44862F7-5547-4140-BD49-4855CE2E90F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C6EE10C-C8DF-4377-B732-A120DC12903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A5C9D08-7E19-4DA6-B65F-C1508CA91B5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0C0567A-2ACF-4B1A-99DC-A2DC20164D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0B67FF3-55B8-47F3-B9A6-970E137B7F3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15D336C-4060-448F-9222-6642727F069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68B4FA-076E-446D-99FF-0C4B3E0C3B4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142B62-F16C-4C55-98B3-62E42C37C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A56C43E-E056-457D-9D59-A0B75BDCFBC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CB7AE20-A5DA-490D-80B0-EC0C573D03A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F6AF35-81DA-440C-B71A-C34E76C9B6A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71FBB60-A553-4EF7-AF32-9F9363683C7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F16C4D9-DF1E-4029-BB48-A20DC6AF61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C807D27-9828-4A02-A509-EE2ED77B03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9A102DF9-F1D0-4E8A-8905-365D1B4C38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CCECAD6-7F3E-47D6-AE24-2F771A94D3A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BC5BB64-272B-4846-901A-A7147F1FA15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9DB026B-CEDC-4A28-9C69-2265A9D472B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059341-3968-4CBF-A35D-F75B9043454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FFD23-1EC7-4C06-90DA-28D430609ED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4515515-B48E-42DA-A39C-229B98F55D9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C83368-048E-4706-ACE0-6CC3AC2A965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63F6686-B6C5-49D5-B53E-22955BBB405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EA845C8-9798-4E10-BFBC-290057F5232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BB168CF-BF78-40B2-B189-2AF44BA4F44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11</xdr:col>
      <xdr:colOff>750094</xdr:colOff>
      <xdr:row>23</xdr:row>
      <xdr:rowOff>11906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4792325" y="58293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974912</xdr:colOff>
      <xdr:row>23</xdr:row>
      <xdr:rowOff>392206</xdr:rowOff>
    </xdr:from>
    <xdr:to>
      <xdr:col>12</xdr:col>
      <xdr:colOff>738888</xdr:colOff>
      <xdr:row>23</xdr:row>
      <xdr:rowOff>404112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5767237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152400</xdr:colOff>
      <xdr:row>23</xdr:row>
      <xdr:rowOff>152400</xdr:rowOff>
    </xdr:from>
    <xdr:to>
      <xdr:col>11</xdr:col>
      <xdr:colOff>902494</xdr:colOff>
      <xdr:row>23</xdr:row>
      <xdr:rowOff>164306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4944725" y="59817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149599</xdr:colOff>
      <xdr:row>23</xdr:row>
      <xdr:rowOff>348316</xdr:rowOff>
    </xdr:from>
    <xdr:to>
      <xdr:col>11</xdr:col>
      <xdr:colOff>899693</xdr:colOff>
      <xdr:row>23</xdr:row>
      <xdr:rowOff>360222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4941924" y="617761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EB7E8-9DB7-460D-86AB-DE1B69F4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70ABC3-1B5B-4D05-9A54-9A789F2206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6AB61A-BCC7-4F4E-9F63-C946BB07559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4CBF97-D060-4BF2-8FE0-97F2E0335BA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A73052-6816-4F45-B1AE-515B2D7FDA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343AB76-A541-4238-B259-67B43E39497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2A86F08-CB6B-477D-BE6E-1960222105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15B0F79-EEE5-47D8-AA9E-872BDC94D3B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291DB0-9BCB-4CA5-8168-3BF5B8B4D7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BD504D1-4048-4B40-8181-79BFE65CEA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B6BBD7-0C98-4C0D-B9B1-E938AD7D80D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0959628-CC63-475D-97A7-5428756325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6AE3BA-6CB0-4EDF-86FD-18951A8B01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48D2C93-959C-44EE-B608-DBBD30F8CB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D25935-836B-4FD9-A9E0-492CAA8253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CB76B7-49B8-43E2-9BA1-54C6A76D37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5A533C-8CA1-4D67-A7DA-0F5D60186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8DF40E3-E436-45A9-8B71-3EF76101DDF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49A51-D5E5-4277-9B7E-0FBE7BB00D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F615566-CCAF-4402-9887-D6292FE6277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4776A9-6E63-4402-89D1-E5D0BC5D122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D296D4-1758-4779-9D1D-B108502BA74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61461D-BDB4-46ED-AC48-634861364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8D9BB9-B430-44B2-84A5-A134FAE93A6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CB1F93-F876-4087-BF1F-6BC3F2ABFEE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C95B31A-83FF-4129-AE38-FBB563F1476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FCD43A-A6E6-44A6-84B6-723AEB2096F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0DF150-5285-4E8D-9B9F-D79A0FAB100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F6B8C24-D0A2-47E8-8520-210E05BD60A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3BAFC7-A892-4E08-A133-D0F376970BA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35A9A58-DBC1-4F56-9745-D53FB1A8D7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97155-593E-4135-A43E-2A03C966BC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D0F290C-9093-4C6F-A12C-18A694685B4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85AA841-54CA-4DEB-A3BC-7E9C99C211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8C3A0C-2AE1-4612-AB72-E906551CB96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A40E8F2-56E0-4E2B-9C28-9624C3C4F53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62FF2F-B3AE-4E0B-9B1B-0B96BF8283F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FB1F010-6ADB-4397-BB64-3D67ACE36D6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44862F7-5547-4140-BD49-4855CE2E90F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C6EE10C-C8DF-4377-B732-A120DC12903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A5C9D08-7E19-4DA6-B65F-C1508CA91B5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0C0567A-2ACF-4B1A-99DC-A2DC20164D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0B67FF3-55B8-47F3-B9A6-970E137B7F3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15D336C-4060-448F-9222-6642727F069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68B4FA-076E-446D-99FF-0C4B3E0C3B4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142B62-F16C-4C55-98B3-62E42C37C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A56C43E-E056-457D-9D59-A0B75BDCFBC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CB7AE20-A5DA-490D-80B0-EC0C573D03A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F6AF35-81DA-440C-B71A-C34E76C9B6A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71FBB60-A553-4EF7-AF32-9F9363683C7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F16C4D9-DF1E-4029-BB48-A20DC6AF61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C807D27-9828-4A02-A509-EE2ED77B03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9A102DF9-F1D0-4E8A-8905-365D1B4C38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CCECAD6-7F3E-47D6-AE24-2F771A94D3A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BC5BB64-272B-4846-901A-A7147F1FA15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9DB026B-CEDC-4A28-9C69-2265A9D472B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059341-3968-4CBF-A35D-F75B9043454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FFD23-1EC7-4C06-90DA-28D430609ED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4515515-B48E-42DA-A39C-229B98F55D9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C83368-048E-4706-ACE0-6CC3AC2A965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63F6686-B6C5-49D5-B53E-22955BBB405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EA845C8-9798-4E10-BFBC-290057F5232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BB168CF-BF78-40B2-B189-2AF44BA4F44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EB7E8-9DB7-460D-86AB-DE1B69F4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70ABC3-1B5B-4D05-9A54-9A789F2206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6AB61A-BCC7-4F4E-9F63-C946BB07559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4CBF97-D060-4BF2-8FE0-97F2E0335BA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A73052-6816-4F45-B1AE-515B2D7FDA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343AB76-A541-4238-B259-67B43E39497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2A86F08-CB6B-477D-BE6E-1960222105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15B0F79-EEE5-47D8-AA9E-872BDC94D3B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291DB0-9BCB-4CA5-8168-3BF5B8B4D7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BD504D1-4048-4B40-8181-79BFE65CEA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B6BBD7-0C98-4C0D-B9B1-E938AD7D80D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0959628-CC63-475D-97A7-5428756325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6AE3BA-6CB0-4EDF-86FD-18951A8B01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48D2C93-959C-44EE-B608-DBBD30F8CB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D25935-836B-4FD9-A9E0-492CAA8253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CB76B7-49B8-43E2-9BA1-54C6A76D37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5A533C-8CA1-4D67-A7DA-0F5D60186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8DF40E3-E436-45A9-8B71-3EF76101DDF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49A51-D5E5-4277-9B7E-0FBE7BB00D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F615566-CCAF-4402-9887-D6292FE6277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4776A9-6E63-4402-89D1-E5D0BC5D122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D296D4-1758-4779-9D1D-B108502BA74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61461D-BDB4-46ED-AC48-634861364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8D9BB9-B430-44B2-84A5-A134FAE93A6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CB1F93-F876-4087-BF1F-6BC3F2ABFEE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C95B31A-83FF-4129-AE38-FBB563F1476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FCD43A-A6E6-44A6-84B6-723AEB2096F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0DF150-5285-4E8D-9B9F-D79A0FAB100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F6B8C24-D0A2-47E8-8520-210E05BD60A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3BAFC7-A892-4E08-A133-D0F376970BA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35A9A58-DBC1-4F56-9745-D53FB1A8D7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97155-593E-4135-A43E-2A03C966BC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D0F290C-9093-4C6F-A12C-18A694685B4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85AA841-54CA-4DEB-A3BC-7E9C99C211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8C3A0C-2AE1-4612-AB72-E906551CB96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A40E8F2-56E0-4E2B-9C28-9624C3C4F53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62FF2F-B3AE-4E0B-9B1B-0B96BF8283F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FB1F010-6ADB-4397-BB64-3D67ACE36D6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44862F7-5547-4140-BD49-4855CE2E90F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C6EE10C-C8DF-4377-B732-A120DC12903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A5C9D08-7E19-4DA6-B65F-C1508CA91B5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0C0567A-2ACF-4B1A-99DC-A2DC20164D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0B67FF3-55B8-47F3-B9A6-970E137B7F3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15D336C-4060-448F-9222-6642727F069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68B4FA-076E-446D-99FF-0C4B3E0C3B4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142B62-F16C-4C55-98B3-62E42C37C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A56C43E-E056-457D-9D59-A0B75BDCFBC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CB7AE20-A5DA-490D-80B0-EC0C573D03A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F6AF35-81DA-440C-B71A-C34E76C9B6A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71FBB60-A553-4EF7-AF32-9F9363683C7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F16C4D9-DF1E-4029-BB48-A20DC6AF61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C807D27-9828-4A02-A509-EE2ED77B03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9A102DF9-F1D0-4E8A-8905-365D1B4C38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CCECAD6-7F3E-47D6-AE24-2F771A94D3A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BC5BB64-272B-4846-901A-A7147F1FA15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9DB026B-CEDC-4A28-9C69-2265A9D472B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059341-3968-4CBF-A35D-F75B9043454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FFD23-1EC7-4C06-90DA-28D430609ED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4515515-B48E-42DA-A39C-229B98F55D9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C83368-048E-4706-ACE0-6CC3AC2A965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63F6686-B6C5-49D5-B53E-22955BBB405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EA845C8-9798-4E10-BFBC-290057F5232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BB168CF-BF78-40B2-B189-2AF44BA4F44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EB7E8-9DB7-460D-86AB-DE1B69F4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70ABC3-1B5B-4D05-9A54-9A789F2206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6AB61A-BCC7-4F4E-9F63-C946BB07559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4CBF97-D060-4BF2-8FE0-97F2E0335BA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A73052-6816-4F45-B1AE-515B2D7FDA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343AB76-A541-4238-B259-67B43E39497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2A86F08-CB6B-477D-BE6E-1960222105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15B0F79-EEE5-47D8-AA9E-872BDC94D3B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291DB0-9BCB-4CA5-8168-3BF5B8B4D7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BD504D1-4048-4B40-8181-79BFE65CEA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B6BBD7-0C98-4C0D-B9B1-E938AD7D80D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0959628-CC63-475D-97A7-5428756325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6AE3BA-6CB0-4EDF-86FD-18951A8B01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48D2C93-959C-44EE-B608-DBBD30F8CB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D25935-836B-4FD9-A9E0-492CAA8253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CB76B7-49B8-43E2-9BA1-54C6A76D37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5A533C-8CA1-4D67-A7DA-0F5D60186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8DF40E3-E436-45A9-8B71-3EF76101DDF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49A51-D5E5-4277-9B7E-0FBE7BB00D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F615566-CCAF-4402-9887-D6292FE6277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4776A9-6E63-4402-89D1-E5D0BC5D122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D296D4-1758-4779-9D1D-B108502BA74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61461D-BDB4-46ED-AC48-634861364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8D9BB9-B430-44B2-84A5-A134FAE93A6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CB1F93-F876-4087-BF1F-6BC3F2ABFEE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C95B31A-83FF-4129-AE38-FBB563F1476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FCD43A-A6E6-44A6-84B6-723AEB2096F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0DF150-5285-4E8D-9B9F-D79A0FAB100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F6B8C24-D0A2-47E8-8520-210E05BD60A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3BAFC7-A892-4E08-A133-D0F376970BA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35A9A58-DBC1-4F56-9745-D53FB1A8D7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97155-593E-4135-A43E-2A03C966BC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D0F290C-9093-4C6F-A12C-18A694685B4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85AA841-54CA-4DEB-A3BC-7E9C99C211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8C3A0C-2AE1-4612-AB72-E906551CB96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A40E8F2-56E0-4E2B-9C28-9624C3C4F53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62FF2F-B3AE-4E0B-9B1B-0B96BF8283F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FB1F010-6ADB-4397-BB64-3D67ACE36D6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44862F7-5547-4140-BD49-4855CE2E90F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C6EE10C-C8DF-4377-B732-A120DC12903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A5C9D08-7E19-4DA6-B65F-C1508CA91B5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0C0567A-2ACF-4B1A-99DC-A2DC20164D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0B67FF3-55B8-47F3-B9A6-970E137B7F3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15D336C-4060-448F-9222-6642727F069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68B4FA-076E-446D-99FF-0C4B3E0C3B4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142B62-F16C-4C55-98B3-62E42C37C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A56C43E-E056-457D-9D59-A0B75BDCFBC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CB7AE20-A5DA-490D-80B0-EC0C573D03A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F6AF35-81DA-440C-B71A-C34E76C9B6A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71FBB60-A553-4EF7-AF32-9F9363683C7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F16C4D9-DF1E-4029-BB48-A20DC6AF61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C807D27-9828-4A02-A509-EE2ED77B03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9A102DF9-F1D0-4E8A-8905-365D1B4C38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CCECAD6-7F3E-47D6-AE24-2F771A94D3A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BC5BB64-272B-4846-901A-A7147F1FA15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9DB026B-CEDC-4A28-9C69-2265A9D472B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059341-3968-4CBF-A35D-F75B9043454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FFD23-1EC7-4C06-90DA-28D430609ED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4515515-B48E-42DA-A39C-229B98F55D9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C83368-048E-4706-ACE0-6CC3AC2A965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63F6686-B6C5-49D5-B53E-22955BBB405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EA845C8-9798-4E10-BFBC-290057F5232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BB168CF-BF78-40B2-B189-2AF44BA4F44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EB7E8-9DB7-460D-86AB-DE1B69F4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70ABC3-1B5B-4D05-9A54-9A789F2206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6AB61A-BCC7-4F4E-9F63-C946BB07559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4CBF97-D060-4BF2-8FE0-97F2E0335BA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A73052-6816-4F45-B1AE-515B2D7FDA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343AB76-A541-4238-B259-67B43E39497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2A86F08-CB6B-477D-BE6E-1960222105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15B0F79-EEE5-47D8-AA9E-872BDC94D3B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291DB0-9BCB-4CA5-8168-3BF5B8B4D7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BD504D1-4048-4B40-8181-79BFE65CEA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B6BBD7-0C98-4C0D-B9B1-E938AD7D80D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0959628-CC63-475D-97A7-5428756325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6AE3BA-6CB0-4EDF-86FD-18951A8B01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48D2C93-959C-44EE-B608-DBBD30F8CB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D25935-836B-4FD9-A9E0-492CAA8253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CB76B7-49B8-43E2-9BA1-54C6A76D37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5A533C-8CA1-4D67-A7DA-0F5D60186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8DF40E3-E436-45A9-8B71-3EF76101DDF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49A51-D5E5-4277-9B7E-0FBE7BB00D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F615566-CCAF-4402-9887-D6292FE6277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4776A9-6E63-4402-89D1-E5D0BC5D122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D296D4-1758-4779-9D1D-B108502BA74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61461D-BDB4-46ED-AC48-634861364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8D9BB9-B430-44B2-84A5-A134FAE93A6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CB1F93-F876-4087-BF1F-6BC3F2ABFEE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C95B31A-83FF-4129-AE38-FBB563F1476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FCD43A-A6E6-44A6-84B6-723AEB2096F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0DF150-5285-4E8D-9B9F-D79A0FAB100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F6B8C24-D0A2-47E8-8520-210E05BD60A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3BAFC7-A892-4E08-A133-D0F376970BA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35A9A58-DBC1-4F56-9745-D53FB1A8D7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97155-593E-4135-A43E-2A03C966BC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D0F290C-9093-4C6F-A12C-18A694685B4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85AA841-54CA-4DEB-A3BC-7E9C99C211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8C3A0C-2AE1-4612-AB72-E906551CB96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A40E8F2-56E0-4E2B-9C28-9624C3C4F53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62FF2F-B3AE-4E0B-9B1B-0B96BF8283F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FB1F010-6ADB-4397-BB64-3D67ACE36D6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44862F7-5547-4140-BD49-4855CE2E90F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C6EE10C-C8DF-4377-B732-A120DC12903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A5C9D08-7E19-4DA6-B65F-C1508CA91B5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0C0567A-2ACF-4B1A-99DC-A2DC20164D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0B67FF3-55B8-47F3-B9A6-970E137B7F3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15D336C-4060-448F-9222-6642727F069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68B4FA-076E-446D-99FF-0C4B3E0C3B4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142B62-F16C-4C55-98B3-62E42C37C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A56C43E-E056-457D-9D59-A0B75BDCFBC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CB7AE20-A5DA-490D-80B0-EC0C573D03A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F6AF35-81DA-440C-B71A-C34E76C9B6A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71FBB60-A553-4EF7-AF32-9F9363683C7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F16C4D9-DF1E-4029-BB48-A20DC6AF61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C807D27-9828-4A02-A509-EE2ED77B03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9A102DF9-F1D0-4E8A-8905-365D1B4C38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CCECAD6-7F3E-47D6-AE24-2F771A94D3A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BC5BB64-272B-4846-901A-A7147F1FA15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9DB026B-CEDC-4A28-9C69-2265A9D472B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059341-3968-4CBF-A35D-F75B9043454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FFD23-1EC7-4C06-90DA-28D430609ED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4515515-B48E-42DA-A39C-229B98F55D9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C83368-048E-4706-ACE0-6CC3AC2A965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63F6686-B6C5-49D5-B53E-22955BBB405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EA845C8-9798-4E10-BFBC-290057F5232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BB168CF-BF78-40B2-B189-2AF44BA4F44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677396</xdr:colOff>
      <xdr:row>23</xdr:row>
      <xdr:rowOff>89087</xdr:rowOff>
    </xdr:from>
    <xdr:to>
      <xdr:col>12</xdr:col>
      <xdr:colOff>820271</xdr:colOff>
      <xdr:row>23</xdr:row>
      <xdr:rowOff>231962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477690" y="5916146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677396</xdr:colOff>
      <xdr:row>23</xdr:row>
      <xdr:rowOff>89087</xdr:rowOff>
    </xdr:from>
    <xdr:to>
      <xdr:col>12</xdr:col>
      <xdr:colOff>820271</xdr:colOff>
      <xdr:row>23</xdr:row>
      <xdr:rowOff>231962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450796" y="5918387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180975</xdr:colOff>
      <xdr:row>24</xdr:row>
      <xdr:rowOff>339725</xdr:rowOff>
    </xdr:from>
    <xdr:to>
      <xdr:col>14</xdr:col>
      <xdr:colOff>323850</xdr:colOff>
      <xdr:row>24</xdr:row>
      <xdr:rowOff>482600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24</xdr:row>
      <xdr:rowOff>190500</xdr:rowOff>
    </xdr:from>
    <xdr:to>
      <xdr:col>14</xdr:col>
      <xdr:colOff>603250</xdr:colOff>
      <xdr:row>24</xdr:row>
      <xdr:rowOff>333375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24</xdr:row>
      <xdr:rowOff>73025</xdr:rowOff>
    </xdr:from>
    <xdr:to>
      <xdr:col>14</xdr:col>
      <xdr:colOff>930275</xdr:colOff>
      <xdr:row>24</xdr:row>
      <xdr:rowOff>215900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53602</xdr:colOff>
      <xdr:row>24</xdr:row>
      <xdr:rowOff>248770</xdr:rowOff>
    </xdr:from>
    <xdr:to>
      <xdr:col>14</xdr:col>
      <xdr:colOff>803696</xdr:colOff>
      <xdr:row>24</xdr:row>
      <xdr:rowOff>260676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24</xdr:row>
      <xdr:rowOff>403412</xdr:rowOff>
    </xdr:from>
    <xdr:to>
      <xdr:col>14</xdr:col>
      <xdr:colOff>806123</xdr:colOff>
      <xdr:row>24</xdr:row>
      <xdr:rowOff>415318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4" zoomScale="85" zoomScaleNormal="60" workbookViewId="0">
      <selection activeCell="Q19" sqref="Q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45778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14" t="s">
        <v>18</v>
      </c>
      <c r="E10" s="15"/>
      <c r="F10" s="16" t="s">
        <v>19</v>
      </c>
      <c r="G10" s="17" t="s">
        <v>19</v>
      </c>
      <c r="H10" s="18" t="s">
        <v>19</v>
      </c>
      <c r="I10" s="18" t="s">
        <v>19</v>
      </c>
      <c r="J10" s="17"/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71.099999999999994</v>
      </c>
      <c r="G11" s="20">
        <v>70.400000000000006</v>
      </c>
      <c r="H11" s="21"/>
      <c r="I11" s="21">
        <v>79.5</v>
      </c>
      <c r="J11" s="20"/>
      <c r="K11" s="20">
        <v>74.099999999999994</v>
      </c>
      <c r="L11" s="21">
        <v>71.5</v>
      </c>
      <c r="M11" s="21">
        <v>72.099999999999994</v>
      </c>
      <c r="N11" s="20"/>
      <c r="O11" s="20">
        <v>77.5</v>
      </c>
      <c r="P11" s="21"/>
      <c r="Q11" s="21">
        <v>76.2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0.6</v>
      </c>
      <c r="G12" s="20">
        <v>0.6</v>
      </c>
      <c r="H12" s="21"/>
      <c r="I12" s="21">
        <v>0</v>
      </c>
      <c r="J12" s="20"/>
      <c r="K12" s="20">
        <v>0</v>
      </c>
      <c r="L12" s="21">
        <v>0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67.3</v>
      </c>
      <c r="G13" s="20">
        <v>64.5</v>
      </c>
      <c r="H13" s="21"/>
      <c r="I13" s="21">
        <v>76</v>
      </c>
      <c r="J13" s="20"/>
      <c r="K13" s="20">
        <v>69.599999999999994</v>
      </c>
      <c r="L13" s="21">
        <v>66.2</v>
      </c>
      <c r="M13" s="21">
        <v>66</v>
      </c>
      <c r="N13" s="20"/>
      <c r="O13" s="20">
        <v>73.400000000000006</v>
      </c>
      <c r="P13" s="21"/>
      <c r="Q13" s="21">
        <v>71.2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66.900000000000006</v>
      </c>
      <c r="G14" s="20">
        <v>69.5</v>
      </c>
      <c r="H14" s="21"/>
      <c r="I14" s="21">
        <v>70.599999999999994</v>
      </c>
      <c r="J14" s="20"/>
      <c r="K14" s="20">
        <v>64.400000000000006</v>
      </c>
      <c r="L14" s="21">
        <v>66.099999999999994</v>
      </c>
      <c r="M14" s="21">
        <v>66.400000000000006</v>
      </c>
      <c r="N14" s="20"/>
      <c r="O14" s="20">
        <v>75.400000000000006</v>
      </c>
      <c r="P14" s="21"/>
      <c r="Q14" s="21">
        <v>74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39</v>
      </c>
      <c r="G15" s="20">
        <v>39.4</v>
      </c>
      <c r="H15" s="21"/>
      <c r="I15" s="21">
        <v>55.8</v>
      </c>
      <c r="J15" s="20"/>
      <c r="K15" s="20">
        <v>40.200000000000003</v>
      </c>
      <c r="L15" s="21">
        <v>33</v>
      </c>
      <c r="M15" s="21">
        <v>32.799999999999997</v>
      </c>
      <c r="N15" s="20"/>
      <c r="O15" s="20">
        <v>2.7</v>
      </c>
      <c r="P15" s="21"/>
      <c r="Q15" s="21">
        <v>3.9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0"/>
      <c r="I16" s="20">
        <v>6.6</v>
      </c>
      <c r="J16" s="20"/>
      <c r="K16" s="20">
        <v>6.6</v>
      </c>
      <c r="L16" s="20">
        <v>6.6</v>
      </c>
      <c r="M16" s="20">
        <v>6.6</v>
      </c>
      <c r="N16" s="20"/>
      <c r="O16" s="20">
        <v>6.6</v>
      </c>
      <c r="P16" s="20"/>
      <c r="Q16" s="20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118.7</v>
      </c>
      <c r="G17" s="20">
        <v>116</v>
      </c>
      <c r="H17" s="21"/>
      <c r="I17" s="21">
        <v>116.5</v>
      </c>
      <c r="J17" s="20"/>
      <c r="K17" s="20">
        <v>116.6</v>
      </c>
      <c r="L17" s="21">
        <v>113.6</v>
      </c>
      <c r="M17" s="21">
        <v>113</v>
      </c>
      <c r="N17" s="20"/>
      <c r="O17" s="20">
        <v>119.8</v>
      </c>
      <c r="P17" s="21"/>
      <c r="Q17" s="21">
        <v>116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1162</v>
      </c>
      <c r="G18" s="20">
        <v>1141</v>
      </c>
      <c r="H18" s="21"/>
      <c r="I18" s="21">
        <v>1180</v>
      </c>
      <c r="J18" s="20"/>
      <c r="K18" s="20">
        <v>1191</v>
      </c>
      <c r="L18" s="21">
        <v>1156</v>
      </c>
      <c r="M18" s="21">
        <v>1142</v>
      </c>
      <c r="N18" s="20"/>
      <c r="O18" s="20">
        <v>1213</v>
      </c>
      <c r="P18" s="21"/>
      <c r="Q18" s="21">
        <v>1141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>
        <v>50163.6</v>
      </c>
      <c r="G19" s="20">
        <v>50154.8</v>
      </c>
      <c r="H19" s="21"/>
      <c r="I19" s="21">
        <v>51283.4</v>
      </c>
      <c r="J19" s="20"/>
      <c r="K19" s="20">
        <v>49096.4</v>
      </c>
      <c r="L19" s="21">
        <v>51477.599999999999</v>
      </c>
      <c r="M19" s="21">
        <v>51468.800000000003</v>
      </c>
      <c r="N19" s="20"/>
      <c r="O19" s="20">
        <v>50665.1</v>
      </c>
      <c r="P19" s="21"/>
      <c r="Q19" s="21">
        <v>50664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58.2</v>
      </c>
      <c r="G22" s="20">
        <v>58.2</v>
      </c>
      <c r="H22" s="21"/>
      <c r="I22" s="21">
        <v>59.2</v>
      </c>
      <c r="J22" s="20"/>
      <c r="K22" s="20">
        <v>58</v>
      </c>
      <c r="L22" s="21">
        <v>57.5</v>
      </c>
      <c r="M22" s="21">
        <v>57.2</v>
      </c>
      <c r="N22" s="20"/>
      <c r="O22" s="20">
        <v>58.7</v>
      </c>
      <c r="P22" s="21"/>
      <c r="Q22" s="21">
        <v>58.9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0.48</v>
      </c>
      <c r="J23" s="20"/>
      <c r="K23" s="20">
        <v>0.59</v>
      </c>
      <c r="L23" s="21">
        <v>0.52</v>
      </c>
      <c r="M23" s="21">
        <v>0.52</v>
      </c>
      <c r="N23" s="20"/>
      <c r="O23" s="20">
        <v>0.48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45.1</v>
      </c>
      <c r="G25" s="20">
        <v>44.7</v>
      </c>
      <c r="H25" s="21"/>
      <c r="I25" s="21">
        <v>44.8</v>
      </c>
      <c r="J25" s="20"/>
      <c r="K25" s="20">
        <v>44.8</v>
      </c>
      <c r="L25" s="21">
        <v>45</v>
      </c>
      <c r="M25" s="21">
        <v>45.1</v>
      </c>
      <c r="N25" s="20"/>
      <c r="O25" s="20">
        <v>44.9</v>
      </c>
      <c r="P25" s="21"/>
      <c r="Q25" s="21">
        <v>45.1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0.25</v>
      </c>
      <c r="G26" s="20">
        <v>0.23</v>
      </c>
      <c r="H26" s="21"/>
      <c r="I26" s="21">
        <v>0.21</v>
      </c>
      <c r="J26" s="20"/>
      <c r="K26" s="20">
        <v>0.22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4.2</v>
      </c>
      <c r="G27" s="20">
        <v>4.2</v>
      </c>
      <c r="H27" s="21"/>
      <c r="I27" s="21">
        <v>3.3</v>
      </c>
      <c r="J27" s="20"/>
      <c r="K27" s="20">
        <v>4.3</v>
      </c>
      <c r="L27" s="21">
        <v>3.9</v>
      </c>
      <c r="M27" s="21">
        <v>3.6</v>
      </c>
      <c r="N27" s="20"/>
      <c r="O27" s="20">
        <v>4.5</v>
      </c>
      <c r="P27" s="21"/>
      <c r="Q27" s="21">
        <v>4.5999999999999996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3.7</v>
      </c>
      <c r="G28" s="20">
        <v>3.6</v>
      </c>
      <c r="H28" s="21"/>
      <c r="I28" s="21">
        <v>2.2000000000000002</v>
      </c>
      <c r="J28" s="20"/>
      <c r="K28" s="20">
        <v>3.4</v>
      </c>
      <c r="L28" s="21">
        <v>2.8</v>
      </c>
      <c r="M28" s="21">
        <v>2.7</v>
      </c>
      <c r="N28" s="20"/>
      <c r="O28" s="20">
        <v>3.3</v>
      </c>
      <c r="P28" s="21"/>
      <c r="Q28" s="21">
        <v>3.6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1</v>
      </c>
      <c r="G29" s="27">
        <f>G32-G28</f>
        <v>1.1000000000000001</v>
      </c>
      <c r="H29" s="27">
        <f t="shared" ref="H29:Q29" si="0">H32-H28</f>
        <v>0</v>
      </c>
      <c r="I29" s="27">
        <f t="shared" si="0"/>
        <v>2.7</v>
      </c>
      <c r="J29" s="27">
        <f t="shared" si="0"/>
        <v>0</v>
      </c>
      <c r="K29" s="27">
        <f t="shared" si="0"/>
        <v>0.69999999999999973</v>
      </c>
      <c r="L29" s="27">
        <f>L32-L28</f>
        <v>1</v>
      </c>
      <c r="M29" s="27">
        <f>M32-M28</f>
        <v>1.2999999999999998</v>
      </c>
      <c r="N29" s="27">
        <f>N32-N28</f>
        <v>0</v>
      </c>
      <c r="O29" s="27">
        <f>O32-O28</f>
        <v>1.4000000000000004</v>
      </c>
      <c r="P29" s="27">
        <f t="shared" si="0"/>
        <v>0</v>
      </c>
      <c r="Q29" s="27">
        <f t="shared" si="0"/>
        <v>1.1000000000000001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695.3</v>
      </c>
      <c r="G30" s="20">
        <v>640.79999999999995</v>
      </c>
      <c r="H30" s="21"/>
      <c r="I30" s="21">
        <v>649.5</v>
      </c>
      <c r="J30" s="20"/>
      <c r="K30" s="20">
        <v>643.5</v>
      </c>
      <c r="L30" s="21">
        <v>627.9</v>
      </c>
      <c r="M30" s="21">
        <v>637.4</v>
      </c>
      <c r="N30" s="20"/>
      <c r="O30" s="20">
        <v>637.5</v>
      </c>
      <c r="P30" s="21"/>
      <c r="Q30" s="21">
        <v>634.4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13.2</v>
      </c>
      <c r="G31" s="20">
        <v>13.7</v>
      </c>
      <c r="H31" s="21"/>
      <c r="I31" s="21">
        <v>13.6</v>
      </c>
      <c r="J31" s="20"/>
      <c r="K31" s="20">
        <v>13.2</v>
      </c>
      <c r="L31" s="21">
        <v>13.2</v>
      </c>
      <c r="M31" s="21">
        <v>13.1</v>
      </c>
      <c r="N31" s="20"/>
      <c r="O31" s="20">
        <v>14.1</v>
      </c>
      <c r="P31" s="21"/>
      <c r="Q31" s="21">
        <v>13.8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4.7</v>
      </c>
      <c r="G32" s="20">
        <v>4.7</v>
      </c>
      <c r="H32" s="21"/>
      <c r="I32" s="21">
        <v>4.9000000000000004</v>
      </c>
      <c r="J32" s="20"/>
      <c r="K32" s="20">
        <v>4.0999999999999996</v>
      </c>
      <c r="L32" s="21">
        <v>3.8</v>
      </c>
      <c r="M32" s="21">
        <v>4</v>
      </c>
      <c r="N32" s="20"/>
      <c r="O32" s="20">
        <v>4.7</v>
      </c>
      <c r="P32" s="21"/>
      <c r="Q32" s="21">
        <v>4.7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8.5</v>
      </c>
      <c r="G33" s="27">
        <f>G31-G32</f>
        <v>9</v>
      </c>
      <c r="H33" s="27">
        <f t="shared" ref="H33:Q33" si="1">H31-H32</f>
        <v>0</v>
      </c>
      <c r="I33" s="27">
        <f t="shared" si="1"/>
        <v>8.6999999999999993</v>
      </c>
      <c r="J33" s="27">
        <f t="shared" si="1"/>
        <v>0</v>
      </c>
      <c r="K33" s="27">
        <f t="shared" si="1"/>
        <v>9.1</v>
      </c>
      <c r="L33" s="27">
        <f>L31-L32</f>
        <v>9.3999999999999986</v>
      </c>
      <c r="M33" s="27">
        <f>M31-M32</f>
        <v>9.1</v>
      </c>
      <c r="N33" s="27">
        <f>N31-N32</f>
        <v>0</v>
      </c>
      <c r="O33" s="27">
        <f>O31-O32</f>
        <v>9.3999999999999986</v>
      </c>
      <c r="P33" s="27">
        <f t="shared" si="1"/>
        <v>0</v>
      </c>
      <c r="Q33" s="27">
        <f t="shared" si="1"/>
        <v>9.1000000000000014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6824.5381062355655</v>
      </c>
      <c r="G34" s="28">
        <f>(G33*G30)/0.866</f>
        <v>6659.5842956120086</v>
      </c>
      <c r="H34" s="28">
        <f t="shared" ref="H34:Q34" si="2">(H33*H30)/0.866</f>
        <v>0</v>
      </c>
      <c r="I34" s="28">
        <f t="shared" si="2"/>
        <v>6525</v>
      </c>
      <c r="J34" s="28">
        <f t="shared" si="2"/>
        <v>0</v>
      </c>
      <c r="K34" s="28">
        <f t="shared" si="2"/>
        <v>6761.9515011547337</v>
      </c>
      <c r="L34" s="28">
        <f>(L33*L30)/0.866</f>
        <v>6815.5427251732099</v>
      </c>
      <c r="M34" s="28">
        <f>(M33*M30)/0.866</f>
        <v>6697.8521939953798</v>
      </c>
      <c r="N34" s="28">
        <f>(N33*N30)/0.866</f>
        <v>0</v>
      </c>
      <c r="O34" s="28">
        <f>(O33*O30)/0.866</f>
        <v>6919.7459584295602</v>
      </c>
      <c r="P34" s="28">
        <f t="shared" si="2"/>
        <v>0</v>
      </c>
      <c r="Q34" s="28">
        <f t="shared" si="2"/>
        <v>6666.3279445727494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0.8</v>
      </c>
      <c r="G35" s="20">
        <v>0.8</v>
      </c>
      <c r="H35" s="21"/>
      <c r="I35" s="21">
        <v>0.82</v>
      </c>
      <c r="J35" s="20"/>
      <c r="K35" s="20">
        <v>0.81</v>
      </c>
      <c r="L35" s="21">
        <v>0.81</v>
      </c>
      <c r="M35" s="21">
        <v>0.8</v>
      </c>
      <c r="N35" s="20"/>
      <c r="O35" s="20">
        <v>0.8</v>
      </c>
      <c r="P35" s="21"/>
      <c r="Q35" s="21">
        <v>0.81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35.4</v>
      </c>
      <c r="G36" s="20">
        <v>35.1</v>
      </c>
      <c r="H36" s="21"/>
      <c r="I36" s="21">
        <v>35.6</v>
      </c>
      <c r="J36" s="20"/>
      <c r="K36" s="20">
        <v>35.4</v>
      </c>
      <c r="L36" s="21">
        <v>35.6</v>
      </c>
      <c r="M36" s="21">
        <v>35.1</v>
      </c>
      <c r="N36" s="20"/>
      <c r="O36" s="20">
        <v>34.799999999999997</v>
      </c>
      <c r="P36" s="21"/>
      <c r="Q36" s="21">
        <v>35.299999999999997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35.9</v>
      </c>
      <c r="G37" s="20">
        <v>35.5</v>
      </c>
      <c r="H37" s="21"/>
      <c r="I37" s="21">
        <v>36.4</v>
      </c>
      <c r="J37" s="20"/>
      <c r="K37" s="20">
        <v>36.1</v>
      </c>
      <c r="L37" s="21">
        <v>36</v>
      </c>
      <c r="M37" s="21">
        <v>35.6</v>
      </c>
      <c r="N37" s="20"/>
      <c r="O37" s="20">
        <v>35.299999999999997</v>
      </c>
      <c r="P37" s="21"/>
      <c r="Q37" s="21">
        <v>36.200000000000003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1.6999999999999957</v>
      </c>
      <c r="G38" s="27">
        <f>G37-G41</f>
        <v>1.6000000000000014</v>
      </c>
      <c r="H38" s="27">
        <v>1</v>
      </c>
      <c r="I38" s="27">
        <f t="shared" ref="I38:Q38" si="3">I37-I41</f>
        <v>3.1000000000000014</v>
      </c>
      <c r="J38" s="27">
        <f t="shared" si="3"/>
        <v>0</v>
      </c>
      <c r="K38" s="27">
        <f t="shared" si="3"/>
        <v>2.2000000000000028</v>
      </c>
      <c r="L38" s="27">
        <f>L37-L41</f>
        <v>2.2000000000000028</v>
      </c>
      <c r="M38" s="27">
        <f>M37-M41</f>
        <v>2.3000000000000043</v>
      </c>
      <c r="N38" s="27">
        <f>N37-N41</f>
        <v>0</v>
      </c>
      <c r="O38" s="27">
        <f>O37-O41</f>
        <v>1.5999999999999943</v>
      </c>
      <c r="P38" s="27">
        <f t="shared" si="3"/>
        <v>0</v>
      </c>
      <c r="Q38" s="27">
        <f t="shared" si="3"/>
        <v>2.6000000000000014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28.7</v>
      </c>
      <c r="G40" s="20">
        <v>28.3</v>
      </c>
      <c r="H40" s="21"/>
      <c r="I40" s="21">
        <v>28.3</v>
      </c>
      <c r="J40" s="20"/>
      <c r="K40" s="20">
        <v>28.5</v>
      </c>
      <c r="L40" s="21">
        <v>28.7</v>
      </c>
      <c r="M40" s="21">
        <v>28.4</v>
      </c>
      <c r="N40" s="20"/>
      <c r="O40" s="20">
        <v>28.1</v>
      </c>
      <c r="P40" s="21"/>
      <c r="Q40" s="21">
        <v>28.3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34.200000000000003</v>
      </c>
      <c r="G41" s="20">
        <v>33.9</v>
      </c>
      <c r="H41" s="21"/>
      <c r="I41" s="21">
        <v>33.299999999999997</v>
      </c>
      <c r="J41" s="20"/>
      <c r="K41" s="20">
        <v>33.9</v>
      </c>
      <c r="L41" s="21">
        <v>33.799999999999997</v>
      </c>
      <c r="M41" s="21">
        <v>33.299999999999997</v>
      </c>
      <c r="N41" s="20"/>
      <c r="O41" s="20">
        <v>33.700000000000003</v>
      </c>
      <c r="P41" s="21"/>
      <c r="Q41" s="21">
        <v>33.6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5.5000000000000036</v>
      </c>
      <c r="G42" s="27">
        <f>G41-G40</f>
        <v>5.5999999999999979</v>
      </c>
      <c r="H42" s="27">
        <f t="shared" ref="H42:Q42" si="4">H41-H40</f>
        <v>0</v>
      </c>
      <c r="I42" s="27">
        <f t="shared" si="4"/>
        <v>4.9999999999999964</v>
      </c>
      <c r="J42" s="27">
        <f t="shared" si="4"/>
        <v>0</v>
      </c>
      <c r="K42" s="27">
        <f t="shared" si="4"/>
        <v>5.3999999999999986</v>
      </c>
      <c r="L42" s="27">
        <f>L41-L40</f>
        <v>5.0999999999999979</v>
      </c>
      <c r="M42" s="27">
        <f>M41-M40</f>
        <v>4.8999999999999986</v>
      </c>
      <c r="N42" s="27">
        <f>N41-N40</f>
        <v>0</v>
      </c>
      <c r="O42" s="27">
        <f>O41-O40</f>
        <v>5.6000000000000014</v>
      </c>
      <c r="P42" s="27">
        <f t="shared" si="4"/>
        <v>0</v>
      </c>
      <c r="Q42" s="27">
        <f t="shared" si="4"/>
        <v>5.3000000000000007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1291.2</v>
      </c>
      <c r="G43" s="20">
        <v>1297.8</v>
      </c>
      <c r="H43" s="21"/>
      <c r="I43" s="21">
        <v>1304</v>
      </c>
      <c r="J43" s="20"/>
      <c r="K43" s="20">
        <v>1294.8</v>
      </c>
      <c r="L43" s="21">
        <v>1305.9000000000001</v>
      </c>
      <c r="M43" s="20">
        <v>1296.2</v>
      </c>
      <c r="N43" s="20"/>
      <c r="O43" s="20">
        <v>1288.5</v>
      </c>
      <c r="P43" s="21"/>
      <c r="Q43" s="21">
        <v>1296.8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8200.4618937644391</v>
      </c>
      <c r="G44" s="28">
        <f>G42*G43/0.866</f>
        <v>8392.240184757502</v>
      </c>
      <c r="H44" s="28">
        <f t="shared" ref="H44:Q44" si="5">H42*H43/0.866</f>
        <v>0</v>
      </c>
      <c r="I44" s="28">
        <f t="shared" si="5"/>
        <v>7528.8683602771307</v>
      </c>
      <c r="J44" s="28">
        <f t="shared" si="5"/>
        <v>0</v>
      </c>
      <c r="K44" s="28">
        <f t="shared" si="5"/>
        <v>8073.8106235565801</v>
      </c>
      <c r="L44" s="28">
        <f>L42*L43/0.866</f>
        <v>7690.6351039260944</v>
      </c>
      <c r="M44" s="28">
        <f>M42*M43/0.866</f>
        <v>7334.1570438799054</v>
      </c>
      <c r="N44" s="28">
        <f>N42*N43/0.866</f>
        <v>0</v>
      </c>
      <c r="O44" s="28">
        <f>O42*O43/0.866</f>
        <v>8332.1016166281788</v>
      </c>
      <c r="P44" s="28">
        <f t="shared" si="5"/>
        <v>0</v>
      </c>
      <c r="Q44" s="28">
        <f t="shared" si="5"/>
        <v>7936.5357967667451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0.46</v>
      </c>
      <c r="H45" s="21"/>
      <c r="I45" s="21">
        <v>0.45</v>
      </c>
      <c r="J45" s="20"/>
      <c r="K45" s="20">
        <v>0.45</v>
      </c>
      <c r="L45" s="21">
        <v>0.46</v>
      </c>
      <c r="M45" s="21">
        <v>0.46</v>
      </c>
      <c r="N45" s="20"/>
      <c r="O45" s="20">
        <v>0.45</v>
      </c>
      <c r="P45" s="21"/>
      <c r="Q45" s="21">
        <v>0.46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19.5</v>
      </c>
      <c r="G46" s="20">
        <v>19.399999999999999</v>
      </c>
      <c r="H46" s="21"/>
      <c r="I46" s="21">
        <v>18.7</v>
      </c>
      <c r="J46" s="20"/>
      <c r="K46" s="20">
        <v>19.100000000000001</v>
      </c>
      <c r="L46" s="21">
        <v>19.399999999999999</v>
      </c>
      <c r="M46" s="21">
        <v>19.3</v>
      </c>
      <c r="N46" s="20"/>
      <c r="O46" s="20">
        <v>18.899999999999999</v>
      </c>
      <c r="P46" s="21"/>
      <c r="Q46" s="21">
        <v>19.600000000000001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198.7</v>
      </c>
      <c r="G47" s="20">
        <v>200.2</v>
      </c>
      <c r="H47" s="21"/>
      <c r="I47" s="21">
        <v>120</v>
      </c>
      <c r="J47" s="20"/>
      <c r="K47" s="20">
        <v>216.9</v>
      </c>
      <c r="L47" s="21">
        <v>200.8</v>
      </c>
      <c r="M47" s="21">
        <v>218.9</v>
      </c>
      <c r="N47" s="20"/>
      <c r="O47" s="20">
        <v>163.80000000000001</v>
      </c>
      <c r="P47" s="21"/>
      <c r="Q47" s="21">
        <v>200.8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14">
        <v>5.89</v>
      </c>
      <c r="F49" s="20">
        <v>5.59</v>
      </c>
      <c r="G49" s="20">
        <v>5.84</v>
      </c>
      <c r="H49" s="21"/>
      <c r="I49" s="21">
        <v>5.58</v>
      </c>
      <c r="J49" s="20"/>
      <c r="K49" s="20">
        <v>5.65</v>
      </c>
      <c r="L49" s="21">
        <v>5.75</v>
      </c>
      <c r="M49" s="21">
        <v>5.9</v>
      </c>
      <c r="N49" s="20"/>
      <c r="O49" s="20">
        <v>5.78</v>
      </c>
      <c r="P49" s="21"/>
      <c r="Q49" s="21">
        <v>5.53</v>
      </c>
    </row>
    <row r="50" spans="2:17" ht="20.100000000000001" customHeight="1">
      <c r="B50" s="92" t="s">
        <v>91</v>
      </c>
      <c r="C50" s="92"/>
      <c r="D50" s="92"/>
      <c r="E50" s="14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3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D4" zoomScale="85" zoomScaleNormal="60" workbookViewId="0">
      <selection activeCell="J45" sqref="J45:J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45779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37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68.900000000000006</v>
      </c>
      <c r="H11" s="21"/>
      <c r="I11" s="21">
        <v>77.3</v>
      </c>
      <c r="J11" s="20">
        <v>75.5</v>
      </c>
      <c r="K11" s="20">
        <v>74</v>
      </c>
      <c r="L11" s="21"/>
      <c r="M11" s="21">
        <v>75.8</v>
      </c>
      <c r="N11" s="20">
        <v>75.8</v>
      </c>
      <c r="O11" s="20">
        <v>76.099999999999994</v>
      </c>
      <c r="P11" s="21"/>
      <c r="Q11" s="21">
        <v>72.099999999999994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0.1</v>
      </c>
      <c r="H12" s="21"/>
      <c r="I12" s="21">
        <v>0</v>
      </c>
      <c r="J12" s="20">
        <v>0</v>
      </c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63.1</v>
      </c>
      <c r="H13" s="21"/>
      <c r="I13" s="21">
        <v>72.099999999999994</v>
      </c>
      <c r="J13" s="20">
        <v>72.7</v>
      </c>
      <c r="K13" s="20">
        <v>68.8</v>
      </c>
      <c r="L13" s="21"/>
      <c r="M13" s="21">
        <v>70.599999999999994</v>
      </c>
      <c r="N13" s="20">
        <v>70.5</v>
      </c>
      <c r="O13" s="20">
        <v>70.900000000000006</v>
      </c>
      <c r="P13" s="21"/>
      <c r="Q13" s="21">
        <v>66.3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69.400000000000006</v>
      </c>
      <c r="H14" s="21"/>
      <c r="I14" s="21">
        <v>68.8</v>
      </c>
      <c r="J14" s="20">
        <v>63.7</v>
      </c>
      <c r="K14" s="20">
        <v>63.1</v>
      </c>
      <c r="L14" s="21"/>
      <c r="M14" s="21">
        <v>65.599999999999994</v>
      </c>
      <c r="N14" s="20">
        <v>73.900000000000006</v>
      </c>
      <c r="O14" s="20">
        <v>73.8</v>
      </c>
      <c r="P14" s="21"/>
      <c r="Q14" s="21">
        <v>71.2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36.299999999999997</v>
      </c>
      <c r="H15" s="21"/>
      <c r="I15" s="21">
        <v>54.7</v>
      </c>
      <c r="J15" s="20">
        <v>39.299999999999997</v>
      </c>
      <c r="K15" s="20">
        <v>40</v>
      </c>
      <c r="L15" s="21"/>
      <c r="M15" s="21">
        <v>35.9</v>
      </c>
      <c r="N15" s="20">
        <v>58.5</v>
      </c>
      <c r="O15" s="20">
        <v>58.5</v>
      </c>
      <c r="P15" s="21"/>
      <c r="Q15" s="21">
        <v>39.299999999999997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117.1</v>
      </c>
      <c r="H17" s="21"/>
      <c r="I17" s="21">
        <v>114.7</v>
      </c>
      <c r="J17" s="20">
        <v>119.1</v>
      </c>
      <c r="K17" s="20">
        <v>116</v>
      </c>
      <c r="L17" s="21"/>
      <c r="M17" s="21">
        <v>115.2</v>
      </c>
      <c r="N17" s="20">
        <v>119.3</v>
      </c>
      <c r="O17" s="20">
        <v>117.2</v>
      </c>
      <c r="P17" s="21"/>
      <c r="Q17" s="21">
        <v>114.8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1149</v>
      </c>
      <c r="H18" s="21"/>
      <c r="I18" s="21">
        <v>1166</v>
      </c>
      <c r="J18" s="20">
        <v>1207</v>
      </c>
      <c r="K18" s="20">
        <v>1183</v>
      </c>
      <c r="L18" s="21"/>
      <c r="M18" s="21">
        <v>1180</v>
      </c>
      <c r="N18" s="20">
        <v>1216</v>
      </c>
      <c r="O18" s="20">
        <v>1196</v>
      </c>
      <c r="P18" s="21"/>
      <c r="Q18" s="21">
        <v>1170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50175</v>
      </c>
      <c r="H19" s="21"/>
      <c r="I19" s="21">
        <v>51293</v>
      </c>
      <c r="J19" s="20">
        <v>49116.9</v>
      </c>
      <c r="K19" s="20">
        <v>49106</v>
      </c>
      <c r="L19" s="21"/>
      <c r="M19" s="21">
        <v>51492</v>
      </c>
      <c r="N19" s="20">
        <v>50685.7</v>
      </c>
      <c r="O19" s="20">
        <v>50675</v>
      </c>
      <c r="P19" s="21"/>
      <c r="Q19" s="21">
        <v>50674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58.6</v>
      </c>
      <c r="H22" s="21"/>
      <c r="I22" s="21">
        <v>59.1</v>
      </c>
      <c r="J22" s="20">
        <v>57.7</v>
      </c>
      <c r="K22" s="20">
        <v>57.6</v>
      </c>
      <c r="L22" s="21"/>
      <c r="M22" s="21">
        <v>44.5</v>
      </c>
      <c r="N22" s="20">
        <v>58.6</v>
      </c>
      <c r="O22" s="20">
        <v>45.1</v>
      </c>
      <c r="P22" s="21"/>
      <c r="Q22" s="21">
        <v>59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0.59</v>
      </c>
      <c r="K23" s="20">
        <v>0.59</v>
      </c>
      <c r="L23" s="21"/>
      <c r="M23" s="21">
        <v>0.52</v>
      </c>
      <c r="N23" s="20">
        <v>0.48</v>
      </c>
      <c r="O23" s="20">
        <v>0.48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44.8</v>
      </c>
      <c r="H25" s="21"/>
      <c r="I25" s="21"/>
      <c r="J25" s="20">
        <v>44</v>
      </c>
      <c r="K25" s="20">
        <v>45</v>
      </c>
      <c r="L25" s="21"/>
      <c r="M25" s="21">
        <v>45.1</v>
      </c>
      <c r="N25" s="20">
        <v>44.9</v>
      </c>
      <c r="O25" s="20">
        <v>45.1</v>
      </c>
      <c r="P25" s="21"/>
      <c r="Q25" s="21">
        <v>45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0.28999999999999998</v>
      </c>
      <c r="H26" s="21"/>
      <c r="I26" s="21"/>
      <c r="J26" s="20">
        <v>0.22</v>
      </c>
      <c r="K26" s="20">
        <v>0.27</v>
      </c>
      <c r="L26" s="21"/>
      <c r="M26" s="21">
        <v>0.23</v>
      </c>
      <c r="N26" s="20">
        <v>0.23</v>
      </c>
      <c r="O26" s="20">
        <v>0.22</v>
      </c>
      <c r="P26" s="21"/>
      <c r="Q26" s="21">
        <v>0.22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4</v>
      </c>
      <c r="H27" s="21"/>
      <c r="I27" s="21"/>
      <c r="J27" s="20">
        <v>4</v>
      </c>
      <c r="K27" s="20">
        <v>4</v>
      </c>
      <c r="L27" s="21"/>
      <c r="M27" s="21">
        <v>3.5</v>
      </c>
      <c r="N27" s="20">
        <v>4.9000000000000004</v>
      </c>
      <c r="O27" s="20">
        <v>4</v>
      </c>
      <c r="P27" s="21"/>
      <c r="Q27" s="21">
        <v>4.3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2.6</v>
      </c>
      <c r="H28" s="21"/>
      <c r="I28" s="21"/>
      <c r="J28" s="20">
        <v>3.2</v>
      </c>
      <c r="K28" s="20">
        <v>3.2</v>
      </c>
      <c r="L28" s="21"/>
      <c r="M28" s="21">
        <v>2.6</v>
      </c>
      <c r="N28" s="20">
        <v>3.6</v>
      </c>
      <c r="O28" s="20">
        <v>2.4</v>
      </c>
      <c r="P28" s="21"/>
      <c r="Q28" s="21">
        <v>3.3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2.1</v>
      </c>
      <c r="H29" s="27">
        <f t="shared" ref="H29:Q29" si="0">H32-H28</f>
        <v>0</v>
      </c>
      <c r="I29" s="27">
        <f t="shared" si="0"/>
        <v>0</v>
      </c>
      <c r="J29" s="27">
        <f t="shared" si="0"/>
        <v>0.89999999999999947</v>
      </c>
      <c r="K29" s="27">
        <f t="shared" si="0"/>
        <v>1</v>
      </c>
      <c r="L29" s="27">
        <f>L32-L28</f>
        <v>0</v>
      </c>
      <c r="M29" s="27">
        <f>M32-M28</f>
        <v>1.2999999999999998</v>
      </c>
      <c r="N29" s="27">
        <f>N32-N28</f>
        <v>1.4</v>
      </c>
      <c r="O29" s="27">
        <f>O32-O28</f>
        <v>1.6</v>
      </c>
      <c r="P29" s="27">
        <f t="shared" si="0"/>
        <v>0</v>
      </c>
      <c r="Q29" s="27">
        <f t="shared" si="0"/>
        <v>0.90000000000000036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646.96</v>
      </c>
      <c r="H30" s="21"/>
      <c r="I30" s="21"/>
      <c r="J30" s="20">
        <v>640.38</v>
      </c>
      <c r="K30" s="20">
        <v>639.76</v>
      </c>
      <c r="L30" s="21"/>
      <c r="M30" s="21">
        <v>637.91999999999996</v>
      </c>
      <c r="N30" s="20">
        <v>635.5</v>
      </c>
      <c r="O30" s="20">
        <v>634.24</v>
      </c>
      <c r="P30" s="21"/>
      <c r="Q30" s="21">
        <v>641.91999999999996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/>
      <c r="J31" s="20">
        <v>13.2</v>
      </c>
      <c r="K31" s="20">
        <v>12.7</v>
      </c>
      <c r="L31" s="21"/>
      <c r="M31" s="21">
        <v>13</v>
      </c>
      <c r="N31" s="20">
        <v>13.8</v>
      </c>
      <c r="O31" s="20">
        <v>13</v>
      </c>
      <c r="P31" s="21"/>
      <c r="Q31" s="21">
        <v>12.6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4.7</v>
      </c>
      <c r="H32" s="21"/>
      <c r="I32" s="21"/>
      <c r="J32" s="20">
        <v>4.0999999999999996</v>
      </c>
      <c r="K32" s="20">
        <v>4.2</v>
      </c>
      <c r="L32" s="21"/>
      <c r="M32" s="21">
        <v>3.9</v>
      </c>
      <c r="N32" s="20">
        <v>5</v>
      </c>
      <c r="O32" s="20">
        <v>4</v>
      </c>
      <c r="P32" s="21"/>
      <c r="Q32" s="21">
        <v>4.2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8.8000000000000007</v>
      </c>
      <c r="H33" s="27">
        <f t="shared" ref="H33:Q33" si="1">H31-H32</f>
        <v>0</v>
      </c>
      <c r="I33" s="27">
        <f t="shared" si="1"/>
        <v>0</v>
      </c>
      <c r="J33" s="27">
        <f t="shared" si="1"/>
        <v>9.1</v>
      </c>
      <c r="K33" s="27">
        <f t="shared" si="1"/>
        <v>8.5</v>
      </c>
      <c r="L33" s="27">
        <f>L31-L32</f>
        <v>0</v>
      </c>
      <c r="M33" s="27">
        <f>M31-M32</f>
        <v>9.1</v>
      </c>
      <c r="N33" s="27">
        <f>N31-N32</f>
        <v>8.8000000000000007</v>
      </c>
      <c r="O33" s="27">
        <f>O31-O32</f>
        <v>9</v>
      </c>
      <c r="P33" s="27">
        <f t="shared" si="1"/>
        <v>0</v>
      </c>
      <c r="Q33" s="27">
        <f t="shared" si="1"/>
        <v>8.3999999999999986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6574.189376443419</v>
      </c>
      <c r="H34" s="28">
        <f t="shared" ref="H34:Q34" si="2">(H33*H30)/0.866</f>
        <v>0</v>
      </c>
      <c r="I34" s="28">
        <f t="shared" si="2"/>
        <v>0</v>
      </c>
      <c r="J34" s="28">
        <f t="shared" si="2"/>
        <v>6729.166281755196</v>
      </c>
      <c r="K34" s="28">
        <f t="shared" si="2"/>
        <v>6279.3995381062359</v>
      </c>
      <c r="L34" s="28">
        <f>(L33*L30)/0.866</f>
        <v>0</v>
      </c>
      <c r="M34" s="28">
        <f>(M33*M30)/0.866</f>
        <v>6703.3163972286366</v>
      </c>
      <c r="N34" s="28">
        <f>(N33*N30)/0.866</f>
        <v>6457.7367205542732</v>
      </c>
      <c r="O34" s="28">
        <f>(O33*O30)/0.866</f>
        <v>6591.4087759815238</v>
      </c>
      <c r="P34" s="28">
        <f t="shared" si="2"/>
        <v>0</v>
      </c>
      <c r="Q34" s="28">
        <f t="shared" si="2"/>
        <v>6226.4757505773659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0.3</v>
      </c>
      <c r="H35" s="21"/>
      <c r="I35" s="21"/>
      <c r="J35" s="20">
        <v>0.81</v>
      </c>
      <c r="K35" s="20">
        <v>0.83</v>
      </c>
      <c r="L35" s="21"/>
      <c r="M35" s="21">
        <v>0.82</v>
      </c>
      <c r="N35" s="20">
        <v>0.82</v>
      </c>
      <c r="O35" s="20">
        <v>0.8</v>
      </c>
      <c r="P35" s="21"/>
      <c r="Q35" s="21">
        <v>0.82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36</v>
      </c>
      <c r="H36" s="21"/>
      <c r="I36" s="21"/>
      <c r="J36" s="20">
        <v>35.200000000000003</v>
      </c>
      <c r="K36" s="20">
        <v>36</v>
      </c>
      <c r="L36" s="21"/>
      <c r="M36" s="21">
        <v>36.1</v>
      </c>
      <c r="N36" s="20">
        <v>36</v>
      </c>
      <c r="O36" s="20">
        <v>35.299999999999997</v>
      </c>
      <c r="P36" s="21"/>
      <c r="Q36" s="21">
        <v>35.799999999999997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35.6</v>
      </c>
      <c r="H37" s="21"/>
      <c r="I37" s="21"/>
      <c r="J37" s="20">
        <v>36.200000000000003</v>
      </c>
      <c r="K37" s="20">
        <v>37</v>
      </c>
      <c r="L37" s="21"/>
      <c r="M37" s="21">
        <v>36.299999999999997</v>
      </c>
      <c r="N37" s="20">
        <v>36.4</v>
      </c>
      <c r="O37" s="20">
        <v>35.799999999999997</v>
      </c>
      <c r="P37" s="21"/>
      <c r="Q37" s="21">
        <v>36.6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</v>
      </c>
      <c r="H38" s="27">
        <v>1</v>
      </c>
      <c r="I38" s="27">
        <f t="shared" ref="I38:Q38" si="3">I37-I41</f>
        <v>0</v>
      </c>
      <c r="J38" s="27">
        <f t="shared" si="3"/>
        <v>2.5</v>
      </c>
      <c r="K38" s="27">
        <f t="shared" si="3"/>
        <v>3.7000000000000028</v>
      </c>
      <c r="L38" s="27">
        <f>L37-L41</f>
        <v>0</v>
      </c>
      <c r="M38" s="27">
        <f>M37-M41</f>
        <v>2.8999999999999986</v>
      </c>
      <c r="N38" s="27">
        <f>N37-N41</f>
        <v>1.5</v>
      </c>
      <c r="O38" s="27">
        <f>O37-O41</f>
        <v>2.2999999999999972</v>
      </c>
      <c r="P38" s="27">
        <f t="shared" si="3"/>
        <v>0</v>
      </c>
      <c r="Q38" s="27">
        <f t="shared" si="3"/>
        <v>2.8000000000000043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28.5</v>
      </c>
      <c r="H40" s="21"/>
      <c r="I40" s="21"/>
      <c r="J40" s="20">
        <v>28.5</v>
      </c>
      <c r="K40" s="20">
        <v>28.5</v>
      </c>
      <c r="L40" s="21"/>
      <c r="M40" s="21">
        <v>28.4</v>
      </c>
      <c r="N40" s="20">
        <v>29.5</v>
      </c>
      <c r="O40" s="20">
        <v>28.5</v>
      </c>
      <c r="P40" s="21"/>
      <c r="Q40" s="21">
        <v>28.8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33.6</v>
      </c>
      <c r="H41" s="21"/>
      <c r="I41" s="21"/>
      <c r="J41" s="20">
        <v>33.700000000000003</v>
      </c>
      <c r="K41" s="20">
        <v>33.299999999999997</v>
      </c>
      <c r="L41" s="21"/>
      <c r="M41" s="21">
        <v>33.4</v>
      </c>
      <c r="N41" s="20">
        <v>34.9</v>
      </c>
      <c r="O41" s="20">
        <v>33.5</v>
      </c>
      <c r="P41" s="21"/>
      <c r="Q41" s="21">
        <v>33.799999999999997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5.1000000000000014</v>
      </c>
      <c r="H42" s="27">
        <f t="shared" ref="H42:Q42" si="4">H41-H40</f>
        <v>0</v>
      </c>
      <c r="I42" s="27">
        <f t="shared" si="4"/>
        <v>0</v>
      </c>
      <c r="J42" s="27">
        <f t="shared" si="4"/>
        <v>5.2000000000000028</v>
      </c>
      <c r="K42" s="27">
        <f t="shared" si="4"/>
        <v>4.7999999999999972</v>
      </c>
      <c r="L42" s="27">
        <f>L41-L40</f>
        <v>0</v>
      </c>
      <c r="M42" s="27">
        <f>M41-M40</f>
        <v>5</v>
      </c>
      <c r="N42" s="27">
        <f>N41-N40</f>
        <v>5.3999999999999986</v>
      </c>
      <c r="O42" s="27">
        <f>O41-O40</f>
        <v>5</v>
      </c>
      <c r="P42" s="27">
        <f t="shared" si="4"/>
        <v>0</v>
      </c>
      <c r="Q42" s="27">
        <f t="shared" si="4"/>
        <v>4.9999999999999964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1302.98</v>
      </c>
      <c r="H43" s="21"/>
      <c r="I43" s="21"/>
      <c r="J43" s="20">
        <v>1291.5</v>
      </c>
      <c r="K43" s="20">
        <v>1298.3599999999999</v>
      </c>
      <c r="L43" s="21"/>
      <c r="M43" s="20">
        <v>1297.3800000000001</v>
      </c>
      <c r="N43" s="20">
        <v>1293.0999999999999</v>
      </c>
      <c r="O43" s="20">
        <v>1293.18</v>
      </c>
      <c r="P43" s="21"/>
      <c r="Q43" s="21">
        <v>1293.32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7673.4387990762152</v>
      </c>
      <c r="H44" s="28">
        <f t="shared" ref="H44:Q44" si="5">H42*H43/0.866</f>
        <v>0</v>
      </c>
      <c r="I44" s="28">
        <f t="shared" si="5"/>
        <v>0</v>
      </c>
      <c r="J44" s="28">
        <f t="shared" si="5"/>
        <v>7754.9653579676715</v>
      </c>
      <c r="K44" s="28">
        <f t="shared" si="5"/>
        <v>7196.4526558891412</v>
      </c>
      <c r="L44" s="28">
        <f>L42*L43/0.866</f>
        <v>0</v>
      </c>
      <c r="M44" s="28">
        <f>M42*M43/0.866</f>
        <v>7490.6466512702082</v>
      </c>
      <c r="N44" s="28">
        <f>N42*N43/0.866</f>
        <v>8063.2101616628152</v>
      </c>
      <c r="O44" s="28">
        <f>O42*O43/0.866</f>
        <v>7466.3972286374137</v>
      </c>
      <c r="P44" s="28">
        <f t="shared" si="5"/>
        <v>0</v>
      </c>
      <c r="Q44" s="28">
        <f t="shared" si="5"/>
        <v>7467.2055427251671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/>
      <c r="J45" s="20">
        <v>0.45</v>
      </c>
      <c r="K45" s="20">
        <v>0.46</v>
      </c>
      <c r="L45" s="21"/>
      <c r="M45" s="21">
        <v>0.46</v>
      </c>
      <c r="N45" s="20">
        <v>0.46</v>
      </c>
      <c r="O45" s="20">
        <v>0.45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20.2</v>
      </c>
      <c r="H46" s="21"/>
      <c r="I46" s="21"/>
      <c r="J46" s="20">
        <v>19.100000000000001</v>
      </c>
      <c r="K46" s="20">
        <v>19.399999999999999</v>
      </c>
      <c r="L46" s="21"/>
      <c r="M46" s="21">
        <v>19.399999999999999</v>
      </c>
      <c r="N46" s="20">
        <v>19.899999999999999</v>
      </c>
      <c r="O46" s="20">
        <v>18.899999999999999</v>
      </c>
      <c r="P46" s="21"/>
      <c r="Q46" s="21">
        <v>19.8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202.7</v>
      </c>
      <c r="H47" s="21"/>
      <c r="I47" s="21"/>
      <c r="J47" s="20">
        <v>201.2</v>
      </c>
      <c r="K47" s="20">
        <v>200.5</v>
      </c>
      <c r="L47" s="21"/>
      <c r="M47" s="21">
        <v>205.9</v>
      </c>
      <c r="N47" s="20">
        <v>155.5</v>
      </c>
      <c r="O47" s="20">
        <v>154.19999999999999</v>
      </c>
      <c r="P47" s="21"/>
      <c r="Q47" s="21">
        <v>200.4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37">
        <v>5.89</v>
      </c>
      <c r="F49" s="20"/>
      <c r="G49" s="20">
        <v>5.69</v>
      </c>
      <c r="H49" s="21"/>
      <c r="I49" s="21"/>
      <c r="J49" s="20">
        <v>5.57</v>
      </c>
      <c r="K49" s="20">
        <v>5.56</v>
      </c>
      <c r="L49" s="21"/>
      <c r="M49" s="21">
        <v>5.87</v>
      </c>
      <c r="N49" s="20">
        <v>5.33</v>
      </c>
      <c r="O49" s="20">
        <v>5.63</v>
      </c>
      <c r="P49" s="21"/>
      <c r="Q49" s="21">
        <v>5.22</v>
      </c>
    </row>
    <row r="50" spans="2:17" ht="20.100000000000001" customHeight="1">
      <c r="B50" s="92" t="s">
        <v>91</v>
      </c>
      <c r="C50" s="92"/>
      <c r="D50" s="92"/>
      <c r="E50" s="3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3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D19" zoomScale="85" zoomScaleNormal="60" workbookViewId="0">
      <selection activeCell="L45" sqref="L45:L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45780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39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71</v>
      </c>
      <c r="G11" s="20">
        <v>71.400000000000006</v>
      </c>
      <c r="H11" s="21"/>
      <c r="I11" s="21">
        <v>81.3</v>
      </c>
      <c r="J11" s="20"/>
      <c r="K11" s="20">
        <v>72</v>
      </c>
      <c r="L11" s="21">
        <v>72.3</v>
      </c>
      <c r="M11" s="21">
        <v>70.400000000000006</v>
      </c>
      <c r="N11" s="20">
        <v>75.8</v>
      </c>
      <c r="O11" s="20">
        <v>78.5</v>
      </c>
      <c r="P11" s="21"/>
      <c r="Q11" s="21">
        <v>74.900000000000006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0.6</v>
      </c>
      <c r="G12" s="20">
        <v>0.4</v>
      </c>
      <c r="H12" s="21"/>
      <c r="I12" s="21">
        <v>0</v>
      </c>
      <c r="J12" s="20"/>
      <c r="K12" s="20">
        <v>0</v>
      </c>
      <c r="L12" s="21">
        <v>0.1</v>
      </c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65.5</v>
      </c>
      <c r="G13" s="20">
        <v>66.3</v>
      </c>
      <c r="H13" s="21"/>
      <c r="I13" s="21">
        <v>77.099999999999994</v>
      </c>
      <c r="J13" s="20"/>
      <c r="K13" s="20">
        <v>68.2</v>
      </c>
      <c r="L13" s="21">
        <v>69.599999999999994</v>
      </c>
      <c r="M13" s="21">
        <v>65</v>
      </c>
      <c r="N13" s="20">
        <v>70.400000000000006</v>
      </c>
      <c r="O13" s="20">
        <v>74.099999999999994</v>
      </c>
      <c r="P13" s="21"/>
      <c r="Q13" s="21">
        <v>69.7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69.5</v>
      </c>
      <c r="G14" s="20">
        <v>69.5</v>
      </c>
      <c r="H14" s="21"/>
      <c r="I14" s="21">
        <v>70.400000000000006</v>
      </c>
      <c r="J14" s="20"/>
      <c r="K14" s="20">
        <v>64.7</v>
      </c>
      <c r="L14" s="21">
        <v>66.099999999999994</v>
      </c>
      <c r="M14" s="21">
        <v>66.5</v>
      </c>
      <c r="N14" s="20">
        <v>72.7</v>
      </c>
      <c r="O14" s="20">
        <v>74.8</v>
      </c>
      <c r="P14" s="21"/>
      <c r="Q14" s="21">
        <v>72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38</v>
      </c>
      <c r="G15" s="20">
        <v>42</v>
      </c>
      <c r="H15" s="21"/>
      <c r="I15" s="21">
        <v>56</v>
      </c>
      <c r="J15" s="20"/>
      <c r="K15" s="20">
        <v>42.1</v>
      </c>
      <c r="L15" s="21">
        <v>34.6</v>
      </c>
      <c r="M15" s="21">
        <v>34.9</v>
      </c>
      <c r="N15" s="20">
        <v>52.1</v>
      </c>
      <c r="O15" s="20">
        <v>58.2</v>
      </c>
      <c r="P15" s="21"/>
      <c r="Q15" s="21">
        <v>42.6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>
        <v>6.6</v>
      </c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115.3</v>
      </c>
      <c r="G17" s="20">
        <v>115.9</v>
      </c>
      <c r="H17" s="21"/>
      <c r="I17" s="21">
        <v>116.7</v>
      </c>
      <c r="J17" s="20"/>
      <c r="K17" s="20">
        <v>114.6</v>
      </c>
      <c r="L17" s="21">
        <v>114.2</v>
      </c>
      <c r="M17" s="21">
        <v>111.9</v>
      </c>
      <c r="N17" s="20">
        <v>117.6</v>
      </c>
      <c r="O17" s="20">
        <v>118.9</v>
      </c>
      <c r="P17" s="21"/>
      <c r="Q17" s="21">
        <v>116.8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1144</v>
      </c>
      <c r="G18" s="20">
        <v>1125</v>
      </c>
      <c r="H18" s="21"/>
      <c r="I18" s="21">
        <v>1175</v>
      </c>
      <c r="J18" s="20"/>
      <c r="K18" s="20">
        <v>1153</v>
      </c>
      <c r="L18" s="21">
        <v>1166</v>
      </c>
      <c r="M18" s="21">
        <v>1133</v>
      </c>
      <c r="N18" s="20">
        <v>1207</v>
      </c>
      <c r="O18" s="20">
        <v>1200</v>
      </c>
      <c r="P18" s="21"/>
      <c r="Q18" s="21">
        <v>1179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/>
      <c r="H19" s="21"/>
      <c r="I19" s="21"/>
      <c r="J19" s="20"/>
      <c r="K19" s="20"/>
      <c r="L19" s="21"/>
      <c r="M19" s="21"/>
      <c r="N19" s="20"/>
      <c r="O19" s="20"/>
      <c r="P19" s="21"/>
      <c r="Q19" s="21"/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58.6</v>
      </c>
      <c r="G22" s="20">
        <v>58</v>
      </c>
      <c r="H22" s="21"/>
      <c r="I22" s="21">
        <v>58.9</v>
      </c>
      <c r="J22" s="20"/>
      <c r="K22" s="20">
        <v>57.7</v>
      </c>
      <c r="L22" s="21">
        <v>57.2</v>
      </c>
      <c r="M22" s="21">
        <v>57.2</v>
      </c>
      <c r="N22" s="20">
        <v>58.7</v>
      </c>
      <c r="O22" s="20">
        <v>58.6</v>
      </c>
      <c r="P22" s="21"/>
      <c r="Q22" s="21">
        <v>59.1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0.48</v>
      </c>
      <c r="J23" s="20"/>
      <c r="K23" s="20">
        <v>0.57999999999999996</v>
      </c>
      <c r="L23" s="21">
        <v>0.52</v>
      </c>
      <c r="M23" s="21">
        <v>0.52</v>
      </c>
      <c r="N23" s="20">
        <v>0.48</v>
      </c>
      <c r="O23" s="20">
        <v>0.56999999999999995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45.3</v>
      </c>
      <c r="G25" s="20">
        <v>45</v>
      </c>
      <c r="H25" s="21"/>
      <c r="I25" s="21">
        <v>45</v>
      </c>
      <c r="J25" s="20"/>
      <c r="K25" s="20">
        <v>45.1</v>
      </c>
      <c r="L25" s="21">
        <v>45</v>
      </c>
      <c r="M25" s="21">
        <v>45</v>
      </c>
      <c r="N25" s="20">
        <v>44.9</v>
      </c>
      <c r="O25" s="20">
        <v>45</v>
      </c>
      <c r="P25" s="21"/>
      <c r="Q25" s="21">
        <v>44.9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0.21</v>
      </c>
      <c r="H26" s="21"/>
      <c r="I26" s="21">
        <v>0.21</v>
      </c>
      <c r="J26" s="20"/>
      <c r="K26" s="20">
        <v>0.23</v>
      </c>
      <c r="L26" s="21">
        <v>0.22</v>
      </c>
      <c r="M26" s="21">
        <v>0.22</v>
      </c>
      <c r="N26" s="20">
        <v>0.22</v>
      </c>
      <c r="O26" s="20">
        <v>0.22</v>
      </c>
      <c r="P26" s="21"/>
      <c r="Q26" s="21">
        <v>0.22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4.0999999999999996</v>
      </c>
      <c r="G27" s="20">
        <v>3.9</v>
      </c>
      <c r="H27" s="21"/>
      <c r="I27" s="21">
        <v>2.8</v>
      </c>
      <c r="J27" s="20"/>
      <c r="K27" s="20">
        <v>4</v>
      </c>
      <c r="L27" s="21">
        <v>3.5</v>
      </c>
      <c r="M27" s="21">
        <v>3.9</v>
      </c>
      <c r="N27" s="20">
        <v>4.5</v>
      </c>
      <c r="O27" s="20">
        <v>4</v>
      </c>
      <c r="P27" s="21"/>
      <c r="Q27" s="21">
        <v>4.2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3.6</v>
      </c>
      <c r="G28" s="20">
        <v>3.3</v>
      </c>
      <c r="H28" s="21"/>
      <c r="I28" s="21">
        <v>2</v>
      </c>
      <c r="J28" s="20"/>
      <c r="K28" s="20">
        <v>3.2</v>
      </c>
      <c r="L28" s="21">
        <v>2.5</v>
      </c>
      <c r="M28" s="21">
        <v>2.4</v>
      </c>
      <c r="N28" s="20">
        <v>3.2</v>
      </c>
      <c r="O28" s="20">
        <v>2.8</v>
      </c>
      <c r="P28" s="21"/>
      <c r="Q28" s="21">
        <v>3.1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0.89999999999999991</v>
      </c>
      <c r="G29" s="27">
        <f>G32-G28</f>
        <v>1</v>
      </c>
      <c r="H29" s="27">
        <f t="shared" ref="H29:Q29" si="0">H32-H28</f>
        <v>0</v>
      </c>
      <c r="I29" s="27">
        <f t="shared" si="0"/>
        <v>2.5999999999999996</v>
      </c>
      <c r="J29" s="27">
        <f t="shared" si="0"/>
        <v>0</v>
      </c>
      <c r="K29" s="27">
        <f t="shared" si="0"/>
        <v>1.3999999999999995</v>
      </c>
      <c r="L29" s="27">
        <f>L32-L28</f>
        <v>1.2999999999999998</v>
      </c>
      <c r="M29" s="27">
        <f>M32-M28</f>
        <v>1.3000000000000003</v>
      </c>
      <c r="N29" s="27">
        <f>N32-N28</f>
        <v>1.3999999999999995</v>
      </c>
      <c r="O29" s="27">
        <f>O32-O28</f>
        <v>1.2999999999999998</v>
      </c>
      <c r="P29" s="27">
        <f t="shared" si="0"/>
        <v>0</v>
      </c>
      <c r="Q29" s="27">
        <f t="shared" si="0"/>
        <v>1.1999999999999997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631.20000000000005</v>
      </c>
      <c r="G30" s="20">
        <v>656.4</v>
      </c>
      <c r="H30" s="21"/>
      <c r="I30" s="21">
        <v>635.6</v>
      </c>
      <c r="J30" s="20"/>
      <c r="K30" s="20">
        <v>637.4</v>
      </c>
      <c r="L30" s="21">
        <v>632.5</v>
      </c>
      <c r="M30" s="21">
        <v>624.79999999999995</v>
      </c>
      <c r="N30" s="20">
        <v>686.7</v>
      </c>
      <c r="O30" s="20">
        <v>642.29999999999995</v>
      </c>
      <c r="P30" s="21"/>
      <c r="Q30" s="21">
        <v>638.9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13.7</v>
      </c>
      <c r="G31" s="20">
        <v>13.3</v>
      </c>
      <c r="H31" s="21"/>
      <c r="I31" s="21">
        <v>13.4</v>
      </c>
      <c r="J31" s="20"/>
      <c r="K31" s="20">
        <v>13.5</v>
      </c>
      <c r="L31" s="21">
        <v>13</v>
      </c>
      <c r="M31" s="21">
        <v>13</v>
      </c>
      <c r="N31" s="20">
        <v>13.2</v>
      </c>
      <c r="O31" s="20">
        <v>13.4</v>
      </c>
      <c r="P31" s="21"/>
      <c r="Q31" s="21">
        <v>13.2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4.5</v>
      </c>
      <c r="G32" s="20">
        <v>4.3</v>
      </c>
      <c r="H32" s="21"/>
      <c r="I32" s="21">
        <v>4.5999999999999996</v>
      </c>
      <c r="J32" s="20"/>
      <c r="K32" s="20">
        <v>4.5999999999999996</v>
      </c>
      <c r="L32" s="21">
        <v>3.8</v>
      </c>
      <c r="M32" s="21">
        <v>3.7</v>
      </c>
      <c r="N32" s="20">
        <v>4.5999999999999996</v>
      </c>
      <c r="O32" s="20">
        <v>4.0999999999999996</v>
      </c>
      <c r="P32" s="21"/>
      <c r="Q32" s="21">
        <v>4.3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9.1999999999999993</v>
      </c>
      <c r="G33" s="27">
        <f>G31-G32</f>
        <v>9</v>
      </c>
      <c r="H33" s="27">
        <f t="shared" ref="H33:Q33" si="1">H31-H32</f>
        <v>0</v>
      </c>
      <c r="I33" s="27">
        <f t="shared" si="1"/>
        <v>8.8000000000000007</v>
      </c>
      <c r="J33" s="27">
        <f t="shared" si="1"/>
        <v>0</v>
      </c>
      <c r="K33" s="27">
        <f t="shared" si="1"/>
        <v>8.9</v>
      </c>
      <c r="L33" s="27">
        <f>L31-L32</f>
        <v>9.1999999999999993</v>
      </c>
      <c r="M33" s="27">
        <f>M31-M32</f>
        <v>9.3000000000000007</v>
      </c>
      <c r="N33" s="27">
        <f>N31-N32</f>
        <v>8.6</v>
      </c>
      <c r="O33" s="27">
        <f>O31-O32</f>
        <v>9.3000000000000007</v>
      </c>
      <c r="P33" s="27">
        <f t="shared" si="1"/>
        <v>0</v>
      </c>
      <c r="Q33" s="27">
        <f t="shared" si="1"/>
        <v>8.8999999999999986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6705.588914549654</v>
      </c>
      <c r="G34" s="28">
        <f>(G33*G30)/0.866</f>
        <v>6821.7090069284059</v>
      </c>
      <c r="H34" s="28">
        <f t="shared" ref="H34:Q34" si="2">(H33*H30)/0.866</f>
        <v>0</v>
      </c>
      <c r="I34" s="28">
        <f t="shared" si="2"/>
        <v>6458.7528868360287</v>
      </c>
      <c r="J34" s="28">
        <f t="shared" si="2"/>
        <v>0</v>
      </c>
      <c r="K34" s="28">
        <f t="shared" si="2"/>
        <v>6550.6466512702073</v>
      </c>
      <c r="L34" s="28">
        <f>(L33*L30)/0.866</f>
        <v>6719.3995381062359</v>
      </c>
      <c r="M34" s="28">
        <f>(M33*M30)/0.866</f>
        <v>6709.7459584295621</v>
      </c>
      <c r="N34" s="28">
        <f>(N33*N30)/0.866</f>
        <v>6819.4226327944571</v>
      </c>
      <c r="O34" s="28">
        <f>(O33*O30)/0.866</f>
        <v>6897.678983833719</v>
      </c>
      <c r="P34" s="28">
        <f t="shared" si="2"/>
        <v>0</v>
      </c>
      <c r="Q34" s="28">
        <f t="shared" si="2"/>
        <v>6566.0623556581977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0.8</v>
      </c>
      <c r="G35" s="20">
        <v>0.78</v>
      </c>
      <c r="H35" s="21"/>
      <c r="I35" s="21">
        <v>0.8</v>
      </c>
      <c r="J35" s="20"/>
      <c r="K35" s="20">
        <v>0.8</v>
      </c>
      <c r="L35" s="21">
        <v>0.81</v>
      </c>
      <c r="M35" s="21">
        <v>0.78</v>
      </c>
      <c r="N35" s="20">
        <v>0.81</v>
      </c>
      <c r="O35" s="20">
        <v>0.77</v>
      </c>
      <c r="P35" s="21"/>
      <c r="Q35" s="21">
        <v>0.79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35.799999999999997</v>
      </c>
      <c r="G36" s="20">
        <v>34.5</v>
      </c>
      <c r="H36" s="21"/>
      <c r="I36" s="21">
        <v>35</v>
      </c>
      <c r="J36" s="20"/>
      <c r="K36" s="20">
        <v>34.799999999999997</v>
      </c>
      <c r="L36" s="21">
        <v>35.799999999999997</v>
      </c>
      <c r="M36" s="21">
        <v>34.700000000000003</v>
      </c>
      <c r="N36" s="20">
        <v>35.9</v>
      </c>
      <c r="O36" s="20">
        <v>34.1</v>
      </c>
      <c r="P36" s="21"/>
      <c r="Q36" s="21">
        <v>34.700000000000003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36.200000000000003</v>
      </c>
      <c r="G37" s="20">
        <v>35.1</v>
      </c>
      <c r="H37" s="21"/>
      <c r="I37" s="21">
        <v>36</v>
      </c>
      <c r="J37" s="20"/>
      <c r="K37" s="20">
        <v>35.6</v>
      </c>
      <c r="L37" s="21">
        <v>36.299999999999997</v>
      </c>
      <c r="M37" s="21">
        <v>35.1</v>
      </c>
      <c r="N37" s="20">
        <v>36.200000000000003</v>
      </c>
      <c r="O37" s="20">
        <v>34.700000000000003</v>
      </c>
      <c r="P37" s="21"/>
      <c r="Q37" s="21">
        <v>35.5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1.6000000000000014</v>
      </c>
      <c r="G38" s="27">
        <f>G37-G41</f>
        <v>1.7000000000000028</v>
      </c>
      <c r="H38" s="27">
        <v>1</v>
      </c>
      <c r="I38" s="27">
        <f t="shared" ref="I38:Q38" si="3">I37-I41</f>
        <v>3.2999999999999972</v>
      </c>
      <c r="J38" s="27">
        <f t="shared" si="3"/>
        <v>0</v>
      </c>
      <c r="K38" s="27">
        <f t="shared" si="3"/>
        <v>2.2000000000000028</v>
      </c>
      <c r="L38" s="27">
        <f>L37-L41</f>
        <v>2.2999999999999972</v>
      </c>
      <c r="M38" s="27">
        <f>M37-M41</f>
        <v>2.3000000000000043</v>
      </c>
      <c r="N38" s="27">
        <f>N37-N41</f>
        <v>1.5</v>
      </c>
      <c r="O38" s="27">
        <f>O37-O41</f>
        <v>1.6000000000000014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29.1</v>
      </c>
      <c r="G40" s="20">
        <v>27.9</v>
      </c>
      <c r="H40" s="21"/>
      <c r="I40" s="21">
        <v>27.8</v>
      </c>
      <c r="J40" s="20"/>
      <c r="K40" s="20">
        <v>27.2</v>
      </c>
      <c r="L40" s="21">
        <v>29</v>
      </c>
      <c r="M40" s="21">
        <v>27.8</v>
      </c>
      <c r="N40" s="20">
        <v>29.3</v>
      </c>
      <c r="O40" s="20">
        <v>27.5</v>
      </c>
      <c r="P40" s="21"/>
      <c r="Q40" s="21">
        <v>27.6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34.6</v>
      </c>
      <c r="G41" s="20">
        <v>33.4</v>
      </c>
      <c r="H41" s="21"/>
      <c r="I41" s="21">
        <v>32.700000000000003</v>
      </c>
      <c r="J41" s="20"/>
      <c r="K41" s="20">
        <v>33.4</v>
      </c>
      <c r="L41" s="21">
        <v>34</v>
      </c>
      <c r="M41" s="21">
        <v>32.799999999999997</v>
      </c>
      <c r="N41" s="20">
        <v>34.700000000000003</v>
      </c>
      <c r="O41" s="20">
        <v>33.1</v>
      </c>
      <c r="P41" s="21"/>
      <c r="Q41" s="21">
        <v>33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5.5</v>
      </c>
      <c r="G42" s="27">
        <f>G41-G40</f>
        <v>5.5</v>
      </c>
      <c r="H42" s="27">
        <f t="shared" ref="H42:Q42" si="4">H41-H40</f>
        <v>0</v>
      </c>
      <c r="I42" s="27">
        <f t="shared" si="4"/>
        <v>4.9000000000000021</v>
      </c>
      <c r="J42" s="27">
        <f t="shared" si="4"/>
        <v>0</v>
      </c>
      <c r="K42" s="27">
        <f t="shared" si="4"/>
        <v>6.1999999999999993</v>
      </c>
      <c r="L42" s="27">
        <f>L41-L40</f>
        <v>5</v>
      </c>
      <c r="M42" s="27">
        <f>M41-M40</f>
        <v>4.9999999999999964</v>
      </c>
      <c r="N42" s="27">
        <f>N41-N40</f>
        <v>5.4000000000000021</v>
      </c>
      <c r="O42" s="27">
        <f>O41-O40</f>
        <v>5.6000000000000014</v>
      </c>
      <c r="P42" s="27">
        <f t="shared" si="4"/>
        <v>0</v>
      </c>
      <c r="Q42" s="27">
        <f t="shared" si="4"/>
        <v>5.3999999999999986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1290.4000000000001</v>
      </c>
      <c r="G43" s="20">
        <v>1295.8</v>
      </c>
      <c r="H43" s="21"/>
      <c r="I43" s="21">
        <v>1300.5999999999999</v>
      </c>
      <c r="J43" s="20"/>
      <c r="K43" s="20">
        <v>1295.8</v>
      </c>
      <c r="L43" s="21">
        <v>1306</v>
      </c>
      <c r="M43" s="20">
        <v>1293.0999999999999</v>
      </c>
      <c r="N43" s="20">
        <v>1299.5999999999999</v>
      </c>
      <c r="O43" s="20">
        <v>1285.4000000000001</v>
      </c>
      <c r="P43" s="21"/>
      <c r="Q43" s="21">
        <v>1296.4000000000001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8195.3810623556583</v>
      </c>
      <c r="G44" s="28">
        <f>G42*G43/0.866</f>
        <v>8229.676674364895</v>
      </c>
      <c r="H44" s="28">
        <f t="shared" ref="H44:Q44" si="5">H42*H43/0.866</f>
        <v>0</v>
      </c>
      <c r="I44" s="28">
        <f t="shared" si="5"/>
        <v>7359.0531177829125</v>
      </c>
      <c r="J44" s="28">
        <f t="shared" si="5"/>
        <v>0</v>
      </c>
      <c r="K44" s="28">
        <f t="shared" si="5"/>
        <v>9277.0900692840642</v>
      </c>
      <c r="L44" s="28">
        <f>L42*L43/0.866</f>
        <v>7540.4157043879904</v>
      </c>
      <c r="M44" s="28">
        <f>M42*M43/0.866</f>
        <v>7465.9353348729728</v>
      </c>
      <c r="N44" s="28">
        <f>N42*N43/0.866</f>
        <v>8103.7413394919195</v>
      </c>
      <c r="O44" s="28">
        <f>O42*O43/0.866</f>
        <v>8312.0554272517347</v>
      </c>
      <c r="P44" s="28">
        <f t="shared" si="5"/>
        <v>0</v>
      </c>
      <c r="Q44" s="28">
        <f t="shared" si="5"/>
        <v>8083.787528868359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0.45</v>
      </c>
      <c r="H45" s="21"/>
      <c r="I45" s="21">
        <v>0.44</v>
      </c>
      <c r="J45" s="20"/>
      <c r="K45" s="20">
        <v>0.45</v>
      </c>
      <c r="L45" s="21">
        <v>0.45</v>
      </c>
      <c r="M45" s="21">
        <v>0.45</v>
      </c>
      <c r="N45" s="20">
        <v>0.46</v>
      </c>
      <c r="O45" s="20">
        <v>0.44</v>
      </c>
      <c r="P45" s="21"/>
      <c r="Q45" s="21">
        <v>0.45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19.7</v>
      </c>
      <c r="G46" s="20">
        <v>18.899999999999999</v>
      </c>
      <c r="H46" s="21"/>
      <c r="I46" s="21">
        <v>18.2</v>
      </c>
      <c r="J46" s="20"/>
      <c r="K46" s="20">
        <v>19</v>
      </c>
      <c r="L46" s="21">
        <v>19.3</v>
      </c>
      <c r="M46" s="21">
        <v>19.100000000000001</v>
      </c>
      <c r="N46" s="20">
        <v>19.399999999999999</v>
      </c>
      <c r="O46" s="20">
        <v>18.100000000000001</v>
      </c>
      <c r="P46" s="21"/>
      <c r="Q46" s="21">
        <v>18.899999999999999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205.4</v>
      </c>
      <c r="G47" s="20">
        <v>201.7</v>
      </c>
      <c r="H47" s="21"/>
      <c r="I47" s="21">
        <v>117.8</v>
      </c>
      <c r="J47" s="20"/>
      <c r="K47" s="20">
        <v>200.8</v>
      </c>
      <c r="L47" s="21">
        <v>206</v>
      </c>
      <c r="M47" s="21">
        <v>206.4</v>
      </c>
      <c r="N47" s="20">
        <v>157.30000000000001</v>
      </c>
      <c r="O47" s="20">
        <v>160</v>
      </c>
      <c r="P47" s="21"/>
      <c r="Q47" s="21">
        <v>199.8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39">
        <v>5.89</v>
      </c>
      <c r="F49" s="20">
        <v>6.08</v>
      </c>
      <c r="G49" s="20">
        <v>6.04</v>
      </c>
      <c r="H49" s="21"/>
      <c r="I49" s="21">
        <v>5.72</v>
      </c>
      <c r="J49" s="20"/>
      <c r="K49" s="20">
        <v>5.9</v>
      </c>
      <c r="L49" s="21">
        <v>5.78</v>
      </c>
      <c r="M49" s="21">
        <v>6</v>
      </c>
      <c r="N49" s="20">
        <v>5.25</v>
      </c>
      <c r="O49" s="20">
        <v>5.68</v>
      </c>
      <c r="P49" s="21"/>
      <c r="Q49" s="21">
        <v>5.33</v>
      </c>
    </row>
    <row r="50" spans="2:17" ht="20.100000000000001" customHeight="1">
      <c r="B50" s="92" t="s">
        <v>91</v>
      </c>
      <c r="C50" s="92"/>
      <c r="D50" s="92"/>
      <c r="E50" s="3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3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H20" sqref="H2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45781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39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/>
      <c r="K10" s="17" t="s">
        <v>19</v>
      </c>
      <c r="L10" s="18"/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69.400000000000006</v>
      </c>
      <c r="G11" s="20">
        <v>67.900000000000006</v>
      </c>
      <c r="H11" s="21"/>
      <c r="I11" s="21">
        <v>78.8</v>
      </c>
      <c r="J11" s="20"/>
      <c r="K11" s="20">
        <v>75.5</v>
      </c>
      <c r="L11" s="21"/>
      <c r="M11" s="21">
        <v>75.3</v>
      </c>
      <c r="N11" s="20">
        <v>77.099999999999994</v>
      </c>
      <c r="O11" s="20">
        <v>74</v>
      </c>
      <c r="P11" s="21"/>
      <c r="Q11" s="21">
        <v>71.7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0.6</v>
      </c>
      <c r="G12" s="20">
        <v>0.8</v>
      </c>
      <c r="H12" s="21"/>
      <c r="I12" s="21">
        <v>0</v>
      </c>
      <c r="J12" s="20"/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66.3</v>
      </c>
      <c r="G13" s="20">
        <v>61.9</v>
      </c>
      <c r="H13" s="21"/>
      <c r="I13" s="21">
        <v>73.599999999999994</v>
      </c>
      <c r="J13" s="20"/>
      <c r="K13" s="20">
        <v>71.2</v>
      </c>
      <c r="L13" s="21"/>
      <c r="M13" s="21">
        <v>69.900000000000006</v>
      </c>
      <c r="N13" s="20">
        <v>71.7</v>
      </c>
      <c r="O13" s="20">
        <v>68.599999999999994</v>
      </c>
      <c r="P13" s="21"/>
      <c r="Q13" s="21">
        <v>66.3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66.5</v>
      </c>
      <c r="G14" s="20">
        <v>68.7</v>
      </c>
      <c r="H14" s="21"/>
      <c r="I14" s="21">
        <v>70.599999999999994</v>
      </c>
      <c r="J14" s="20"/>
      <c r="K14" s="20">
        <v>63.5</v>
      </c>
      <c r="L14" s="21"/>
      <c r="M14" s="21">
        <v>65.599999999999994</v>
      </c>
      <c r="N14" s="20">
        <v>73.400000000000006</v>
      </c>
      <c r="O14" s="20">
        <v>75.3</v>
      </c>
      <c r="P14" s="21"/>
      <c r="Q14" s="21">
        <v>73.599999999999994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38.4</v>
      </c>
      <c r="G15" s="20">
        <v>35.799999999999997</v>
      </c>
      <c r="H15" s="21"/>
      <c r="I15" s="21">
        <v>52.8</v>
      </c>
      <c r="J15" s="20"/>
      <c r="K15" s="20">
        <v>40.200000000000003</v>
      </c>
      <c r="L15" s="21"/>
      <c r="M15" s="21">
        <v>35.1</v>
      </c>
      <c r="N15" s="20">
        <v>56.7</v>
      </c>
      <c r="O15" s="20">
        <v>53.7</v>
      </c>
      <c r="P15" s="21"/>
      <c r="Q15" s="21">
        <v>44.5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0"/>
      <c r="I16" s="20">
        <v>6.6</v>
      </c>
      <c r="J16" s="20"/>
      <c r="K16" s="20">
        <v>6.6</v>
      </c>
      <c r="L16" s="20"/>
      <c r="M16" s="20">
        <v>6.6</v>
      </c>
      <c r="N16" s="20">
        <v>6.6</v>
      </c>
      <c r="O16" s="20">
        <v>6.6</v>
      </c>
      <c r="P16" s="20"/>
      <c r="Q16" s="20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116.9</v>
      </c>
      <c r="G17" s="20">
        <v>116.4</v>
      </c>
      <c r="H17" s="21"/>
      <c r="I17" s="21">
        <v>118.5</v>
      </c>
      <c r="J17" s="20"/>
      <c r="K17" s="20">
        <v>118.8</v>
      </c>
      <c r="L17" s="21"/>
      <c r="M17" s="21">
        <v>117.3</v>
      </c>
      <c r="N17" s="20">
        <v>118.2</v>
      </c>
      <c r="O17" s="20">
        <v>118.8</v>
      </c>
      <c r="P17" s="21"/>
      <c r="Q17" s="21">
        <v>117.4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1144</v>
      </c>
      <c r="G18" s="20">
        <v>1142</v>
      </c>
      <c r="H18" s="21"/>
      <c r="I18" s="21">
        <v>1190</v>
      </c>
      <c r="J18" s="20"/>
      <c r="K18" s="20">
        <v>1209</v>
      </c>
      <c r="L18" s="21"/>
      <c r="M18" s="21">
        <v>1186</v>
      </c>
      <c r="N18" s="20">
        <v>1203</v>
      </c>
      <c r="O18" s="20">
        <v>1196</v>
      </c>
      <c r="P18" s="21"/>
      <c r="Q18" s="21">
        <v>1186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>
        <v>50210.7</v>
      </c>
      <c r="G19" s="20">
        <v>50201.5</v>
      </c>
      <c r="H19" s="21"/>
      <c r="I19" s="21">
        <v>51311.8</v>
      </c>
      <c r="J19" s="20"/>
      <c r="K19" s="20">
        <v>49132.3</v>
      </c>
      <c r="L19" s="21"/>
      <c r="M19" s="21">
        <v>51523</v>
      </c>
      <c r="N19" s="20">
        <v>50717.5</v>
      </c>
      <c r="O19" s="20">
        <v>50707.9</v>
      </c>
      <c r="P19" s="21"/>
      <c r="Q19" s="21">
        <v>50692.6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58.2</v>
      </c>
      <c r="G22" s="20">
        <v>59.9</v>
      </c>
      <c r="H22" s="21"/>
      <c r="I22" s="21">
        <v>59.2</v>
      </c>
      <c r="J22" s="20"/>
      <c r="K22" s="20">
        <v>57.9</v>
      </c>
      <c r="L22" s="21"/>
      <c r="M22" s="21">
        <v>57.5</v>
      </c>
      <c r="N22" s="20">
        <v>58.4</v>
      </c>
      <c r="O22" s="20">
        <v>58.7</v>
      </c>
      <c r="P22" s="21"/>
      <c r="Q22" s="21">
        <v>59.2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0.5</v>
      </c>
      <c r="J23" s="20"/>
      <c r="K23" s="20">
        <v>0.59</v>
      </c>
      <c r="L23" s="21"/>
      <c r="M23" s="21">
        <v>0.52</v>
      </c>
      <c r="N23" s="20">
        <v>0.48</v>
      </c>
      <c r="O23" s="20">
        <v>0.48</v>
      </c>
      <c r="P23" s="21"/>
      <c r="Q23" s="21">
        <v>0.5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45</v>
      </c>
      <c r="G25" s="20">
        <v>45.9</v>
      </c>
      <c r="H25" s="21"/>
      <c r="I25" s="21">
        <v>45.1</v>
      </c>
      <c r="J25" s="20"/>
      <c r="K25" s="20">
        <v>45</v>
      </c>
      <c r="L25" s="21"/>
      <c r="M25" s="21">
        <v>44.8</v>
      </c>
      <c r="N25" s="20">
        <v>45</v>
      </c>
      <c r="O25" s="20">
        <v>44.9</v>
      </c>
      <c r="P25" s="21"/>
      <c r="Q25" s="21">
        <v>44.9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0.22</v>
      </c>
      <c r="J26" s="20"/>
      <c r="K26" s="20">
        <v>0.22</v>
      </c>
      <c r="L26" s="21"/>
      <c r="M26" s="21">
        <v>0.22</v>
      </c>
      <c r="N26" s="20">
        <v>0.22</v>
      </c>
      <c r="O26" s="20">
        <v>0.23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4</v>
      </c>
      <c r="G27" s="20">
        <v>4.7</v>
      </c>
      <c r="H27" s="21"/>
      <c r="I27" s="21">
        <v>3.5</v>
      </c>
      <c r="J27" s="20"/>
      <c r="K27" s="20">
        <v>4.0999999999999996</v>
      </c>
      <c r="L27" s="21"/>
      <c r="M27" s="21">
        <v>3.8</v>
      </c>
      <c r="N27" s="20">
        <v>4.2</v>
      </c>
      <c r="O27" s="20">
        <v>4.5999999999999996</v>
      </c>
      <c r="P27" s="21"/>
      <c r="Q27" s="21">
        <v>4.8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3.5</v>
      </c>
      <c r="G28" s="20">
        <v>4</v>
      </c>
      <c r="H28" s="21"/>
      <c r="I28" s="21">
        <v>2.6</v>
      </c>
      <c r="J28" s="20"/>
      <c r="K28" s="20">
        <v>3.2</v>
      </c>
      <c r="L28" s="21"/>
      <c r="M28" s="21">
        <v>2.4</v>
      </c>
      <c r="N28" s="20">
        <v>3.3</v>
      </c>
      <c r="O28" s="20">
        <v>3.5</v>
      </c>
      <c r="P28" s="21"/>
      <c r="Q28" s="21">
        <v>3.8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1</v>
      </c>
      <c r="G29" s="27">
        <f>G32-G28</f>
        <v>1</v>
      </c>
      <c r="H29" s="27">
        <f t="shared" ref="H29:Q29" si="0">H32-H28</f>
        <v>0</v>
      </c>
      <c r="I29" s="27">
        <f t="shared" si="0"/>
        <v>2.3000000000000003</v>
      </c>
      <c r="J29" s="27">
        <f t="shared" si="0"/>
        <v>0</v>
      </c>
      <c r="K29" s="27">
        <f t="shared" si="0"/>
        <v>0.69999999999999973</v>
      </c>
      <c r="L29" s="27">
        <f>L32-L28</f>
        <v>0</v>
      </c>
      <c r="M29" s="27">
        <f>M32-M28</f>
        <v>1.6</v>
      </c>
      <c r="N29" s="27">
        <f>N32-N28</f>
        <v>1.1000000000000005</v>
      </c>
      <c r="O29" s="27">
        <f>O32-O28</f>
        <v>1.2999999999999998</v>
      </c>
      <c r="P29" s="27">
        <f t="shared" si="0"/>
        <v>0</v>
      </c>
      <c r="Q29" s="27">
        <f t="shared" si="0"/>
        <v>1.1000000000000005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688.8</v>
      </c>
      <c r="G30" s="20">
        <v>666.2</v>
      </c>
      <c r="H30" s="21"/>
      <c r="I30" s="21">
        <v>647.6</v>
      </c>
      <c r="J30" s="20"/>
      <c r="K30" s="20">
        <v>641</v>
      </c>
      <c r="L30" s="21"/>
      <c r="M30" s="21">
        <v>622.6</v>
      </c>
      <c r="N30" s="20">
        <v>685.8</v>
      </c>
      <c r="O30" s="20">
        <v>654.1</v>
      </c>
      <c r="P30" s="21"/>
      <c r="Q30" s="21">
        <v>638.6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13.2</v>
      </c>
      <c r="G31" s="20">
        <v>13.7</v>
      </c>
      <c r="H31" s="21"/>
      <c r="I31" s="21">
        <v>13.8</v>
      </c>
      <c r="J31" s="20"/>
      <c r="K31" s="20">
        <v>13</v>
      </c>
      <c r="L31" s="21"/>
      <c r="M31" s="21">
        <v>13.2</v>
      </c>
      <c r="N31" s="20">
        <v>13.2</v>
      </c>
      <c r="O31" s="20">
        <v>13.7</v>
      </c>
      <c r="P31" s="21"/>
      <c r="Q31" s="21">
        <v>13.4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4.5</v>
      </c>
      <c r="G32" s="20">
        <v>5</v>
      </c>
      <c r="H32" s="21"/>
      <c r="I32" s="21">
        <v>4.9000000000000004</v>
      </c>
      <c r="J32" s="20"/>
      <c r="K32" s="20">
        <v>3.9</v>
      </c>
      <c r="L32" s="21"/>
      <c r="M32" s="21">
        <v>4</v>
      </c>
      <c r="N32" s="20">
        <v>4.4000000000000004</v>
      </c>
      <c r="O32" s="20">
        <v>4.8</v>
      </c>
      <c r="P32" s="21"/>
      <c r="Q32" s="21">
        <v>4.9000000000000004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8.6999999999999993</v>
      </c>
      <c r="G33" s="27">
        <f>G31-G32</f>
        <v>8.6999999999999993</v>
      </c>
      <c r="H33" s="27">
        <f t="shared" ref="H33:Q33" si="1">H31-H32</f>
        <v>0</v>
      </c>
      <c r="I33" s="27">
        <f t="shared" si="1"/>
        <v>8.9</v>
      </c>
      <c r="J33" s="27">
        <f t="shared" si="1"/>
        <v>0</v>
      </c>
      <c r="K33" s="27">
        <f t="shared" si="1"/>
        <v>9.1</v>
      </c>
      <c r="L33" s="27">
        <f>L31-L32</f>
        <v>0</v>
      </c>
      <c r="M33" s="27">
        <f>M31-M32</f>
        <v>9.1999999999999993</v>
      </c>
      <c r="N33" s="27">
        <f>N31-N32</f>
        <v>8.7999999999999989</v>
      </c>
      <c r="O33" s="27">
        <f>O31-O32</f>
        <v>8.8999999999999986</v>
      </c>
      <c r="P33" s="27">
        <f t="shared" si="1"/>
        <v>0</v>
      </c>
      <c r="Q33" s="27">
        <f t="shared" si="1"/>
        <v>8.5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6919.8152424942255</v>
      </c>
      <c r="G34" s="28">
        <f>(G33*G30)/0.866</f>
        <v>6692.7713625866045</v>
      </c>
      <c r="H34" s="28">
        <f t="shared" ref="H34:Q34" si="2">(H33*H30)/0.866</f>
        <v>0</v>
      </c>
      <c r="I34" s="28">
        <f t="shared" si="2"/>
        <v>6655.4734411085456</v>
      </c>
      <c r="J34" s="28">
        <f t="shared" si="2"/>
        <v>0</v>
      </c>
      <c r="K34" s="28">
        <f t="shared" si="2"/>
        <v>6735.6812933025394</v>
      </c>
      <c r="L34" s="28">
        <f>(L33*L30)/0.866</f>
        <v>0</v>
      </c>
      <c r="M34" s="28">
        <f>(M33*M30)/0.866</f>
        <v>6614.2263279445733</v>
      </c>
      <c r="N34" s="28">
        <f>(N33*N30)/0.866</f>
        <v>6968.8683602771353</v>
      </c>
      <c r="O34" s="28">
        <f>(O33*O30)/0.866</f>
        <v>6722.2748267898369</v>
      </c>
      <c r="P34" s="28">
        <f t="shared" si="2"/>
        <v>0</v>
      </c>
      <c r="Q34" s="28">
        <f t="shared" si="2"/>
        <v>6268.0138568129332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0.8</v>
      </c>
      <c r="G35" s="20">
        <v>0.82</v>
      </c>
      <c r="H35" s="21"/>
      <c r="I35" s="21">
        <v>0.84</v>
      </c>
      <c r="J35" s="20"/>
      <c r="K35" s="20">
        <v>0.83</v>
      </c>
      <c r="L35" s="21"/>
      <c r="M35" s="21">
        <v>0.81</v>
      </c>
      <c r="N35" s="20">
        <v>0.8</v>
      </c>
      <c r="O35" s="20">
        <v>0.8</v>
      </c>
      <c r="P35" s="21"/>
      <c r="Q35" s="21">
        <v>0.83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35.200000000000003</v>
      </c>
      <c r="G36" s="20">
        <v>36</v>
      </c>
      <c r="H36" s="21"/>
      <c r="I36" s="21">
        <v>36.4</v>
      </c>
      <c r="J36" s="20"/>
      <c r="K36" s="20">
        <v>36.299999999999997</v>
      </c>
      <c r="L36" s="21"/>
      <c r="M36" s="21">
        <v>36.200000000000003</v>
      </c>
      <c r="N36" s="20">
        <v>34.799999999999997</v>
      </c>
      <c r="O36" s="20">
        <v>35.6</v>
      </c>
      <c r="P36" s="21"/>
      <c r="Q36" s="21">
        <v>36.1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35.700000000000003</v>
      </c>
      <c r="G37" s="20">
        <v>36.4</v>
      </c>
      <c r="H37" s="21"/>
      <c r="I37" s="21">
        <v>37.299999999999997</v>
      </c>
      <c r="J37" s="20"/>
      <c r="K37" s="20">
        <v>37</v>
      </c>
      <c r="L37" s="21"/>
      <c r="M37" s="21">
        <v>36.6</v>
      </c>
      <c r="N37" s="20">
        <v>35.4</v>
      </c>
      <c r="O37" s="20">
        <v>36</v>
      </c>
      <c r="P37" s="21"/>
      <c r="Q37" s="21">
        <v>36.799999999999997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1.7000000000000028</v>
      </c>
      <c r="G38" s="27">
        <f>G37-G41</f>
        <v>1.5</v>
      </c>
      <c r="H38" s="27">
        <v>1</v>
      </c>
      <c r="I38" s="27">
        <f t="shared" ref="I38:Q38" si="3">I37-I41</f>
        <v>3.1999999999999957</v>
      </c>
      <c r="J38" s="27">
        <f t="shared" si="3"/>
        <v>0</v>
      </c>
      <c r="K38" s="27">
        <f t="shared" si="3"/>
        <v>2.1000000000000014</v>
      </c>
      <c r="L38" s="27">
        <f>L37-L41</f>
        <v>0</v>
      </c>
      <c r="M38" s="27">
        <f>M37-M41</f>
        <v>2.1000000000000014</v>
      </c>
      <c r="N38" s="27">
        <f>N37-N41</f>
        <v>1.6999999999999957</v>
      </c>
      <c r="O38" s="27">
        <f>O37-O41</f>
        <v>1.5</v>
      </c>
      <c r="P38" s="27">
        <f t="shared" si="3"/>
        <v>0</v>
      </c>
      <c r="Q38" s="27">
        <f t="shared" si="3"/>
        <v>2.3999999999999986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28.6</v>
      </c>
      <c r="G40" s="20">
        <v>29.3</v>
      </c>
      <c r="H40" s="21"/>
      <c r="I40" s="21">
        <v>29.4</v>
      </c>
      <c r="J40" s="20"/>
      <c r="K40" s="20">
        <v>29.4</v>
      </c>
      <c r="L40" s="21"/>
      <c r="M40" s="21">
        <v>29.2</v>
      </c>
      <c r="N40" s="20">
        <v>28.4</v>
      </c>
      <c r="O40" s="20">
        <v>29.1</v>
      </c>
      <c r="P40" s="21"/>
      <c r="Q40" s="21">
        <v>29.1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34</v>
      </c>
      <c r="G41" s="20">
        <v>34.9</v>
      </c>
      <c r="H41" s="21"/>
      <c r="I41" s="21">
        <v>34.1</v>
      </c>
      <c r="J41" s="20"/>
      <c r="K41" s="20">
        <v>34.9</v>
      </c>
      <c r="L41" s="21"/>
      <c r="M41" s="21">
        <v>34.5</v>
      </c>
      <c r="N41" s="20">
        <v>33.700000000000003</v>
      </c>
      <c r="O41" s="20">
        <v>34.5</v>
      </c>
      <c r="P41" s="21"/>
      <c r="Q41" s="21">
        <v>34.4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5.3999999999999986</v>
      </c>
      <c r="G42" s="27">
        <f>G41-G40</f>
        <v>5.5999999999999979</v>
      </c>
      <c r="H42" s="27">
        <f t="shared" ref="H42:Q42" si="4">H41-H40</f>
        <v>0</v>
      </c>
      <c r="I42" s="27">
        <f t="shared" si="4"/>
        <v>4.7000000000000028</v>
      </c>
      <c r="J42" s="27">
        <f t="shared" si="4"/>
        <v>0</v>
      </c>
      <c r="K42" s="27">
        <f t="shared" si="4"/>
        <v>5.5</v>
      </c>
      <c r="L42" s="27">
        <f>L41-L40</f>
        <v>0</v>
      </c>
      <c r="M42" s="27">
        <f>M41-M40</f>
        <v>5.3000000000000007</v>
      </c>
      <c r="N42" s="27">
        <f>N41-N40</f>
        <v>5.3000000000000043</v>
      </c>
      <c r="O42" s="27">
        <f>O41-O40</f>
        <v>5.3999999999999986</v>
      </c>
      <c r="P42" s="27">
        <f t="shared" si="4"/>
        <v>0</v>
      </c>
      <c r="Q42" s="27">
        <f t="shared" si="4"/>
        <v>5.2999999999999972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1290.0999999999999</v>
      </c>
      <c r="G43" s="20">
        <v>1300.7</v>
      </c>
      <c r="H43" s="21"/>
      <c r="I43" s="21">
        <v>1301.7</v>
      </c>
      <c r="J43" s="20"/>
      <c r="K43" s="20">
        <v>1293.5</v>
      </c>
      <c r="L43" s="21"/>
      <c r="M43" s="20">
        <v>1297.5</v>
      </c>
      <c r="N43" s="20">
        <v>1301.5999999999999</v>
      </c>
      <c r="O43" s="20">
        <v>1293.4000000000001</v>
      </c>
      <c r="P43" s="21"/>
      <c r="Q43" s="21">
        <v>1298.9000000000001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8044.5034642032306</v>
      </c>
      <c r="G44" s="28">
        <f>G42*G43/0.866</f>
        <v>8410.9930715935297</v>
      </c>
      <c r="H44" s="28">
        <f t="shared" ref="H44:Q44" si="5">H42*H43/0.866</f>
        <v>0</v>
      </c>
      <c r="I44" s="28">
        <f t="shared" si="5"/>
        <v>7064.6535796766793</v>
      </c>
      <c r="J44" s="28">
        <f t="shared" si="5"/>
        <v>0</v>
      </c>
      <c r="K44" s="28">
        <f t="shared" si="5"/>
        <v>8215.0692840646643</v>
      </c>
      <c r="L44" s="28">
        <f>L42*L43/0.866</f>
        <v>0</v>
      </c>
      <c r="M44" s="28">
        <f>M42*M43/0.866</f>
        <v>7940.8198614318717</v>
      </c>
      <c r="N44" s="28">
        <f>N42*N43/0.866</f>
        <v>7965.9122401847635</v>
      </c>
      <c r="O44" s="28">
        <f>O42*O43/0.866</f>
        <v>8065.0808314087744</v>
      </c>
      <c r="P44" s="28">
        <f t="shared" si="5"/>
        <v>0</v>
      </c>
      <c r="Q44" s="28">
        <f t="shared" si="5"/>
        <v>7949.3879907621204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0.47</v>
      </c>
      <c r="H45" s="21"/>
      <c r="I45" s="21">
        <v>0.46</v>
      </c>
      <c r="J45" s="20"/>
      <c r="K45" s="20">
        <v>0.46</v>
      </c>
      <c r="L45" s="21"/>
      <c r="M45" s="21">
        <v>0.46</v>
      </c>
      <c r="N45" s="20">
        <v>0.45</v>
      </c>
      <c r="O45" s="20">
        <v>0.46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19.399999999999999</v>
      </c>
      <c r="G46" s="20">
        <v>20.2</v>
      </c>
      <c r="H46" s="21"/>
      <c r="I46" s="21">
        <v>19.5</v>
      </c>
      <c r="J46" s="20"/>
      <c r="K46" s="20">
        <v>19.399999999999999</v>
      </c>
      <c r="L46" s="21"/>
      <c r="M46" s="21">
        <v>19.5</v>
      </c>
      <c r="N46" s="20">
        <v>18.7</v>
      </c>
      <c r="O46" s="20">
        <v>19.3</v>
      </c>
      <c r="P46" s="21"/>
      <c r="Q46" s="21">
        <v>20.2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208</v>
      </c>
      <c r="G47" s="20">
        <v>200.8</v>
      </c>
      <c r="H47" s="21"/>
      <c r="I47" s="21">
        <v>125.7</v>
      </c>
      <c r="J47" s="20"/>
      <c r="K47" s="20">
        <v>206</v>
      </c>
      <c r="L47" s="21"/>
      <c r="M47" s="21">
        <v>207.3</v>
      </c>
      <c r="N47" s="20">
        <v>154.1</v>
      </c>
      <c r="O47" s="20">
        <v>159.4</v>
      </c>
      <c r="P47" s="21"/>
      <c r="Q47" s="21">
        <v>193.1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39">
        <v>5.89</v>
      </c>
      <c r="F49" s="20">
        <v>5.52</v>
      </c>
      <c r="G49" s="20">
        <v>5.64</v>
      </c>
      <c r="H49" s="21"/>
      <c r="I49" s="21">
        <v>5.38</v>
      </c>
      <c r="J49" s="20"/>
      <c r="K49" s="20">
        <v>5.55</v>
      </c>
      <c r="L49" s="21"/>
      <c r="M49" s="21">
        <v>5.68</v>
      </c>
      <c r="N49" s="20">
        <v>5.46</v>
      </c>
      <c r="O49" s="20">
        <v>5.54</v>
      </c>
      <c r="P49" s="21"/>
      <c r="Q49" s="21">
        <v>5.27</v>
      </c>
    </row>
    <row r="50" spans="2:17" ht="20.100000000000001" customHeight="1">
      <c r="B50" s="92" t="s">
        <v>91</v>
      </c>
      <c r="C50" s="92"/>
      <c r="D50" s="92"/>
      <c r="E50" s="3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3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4" zoomScale="85" zoomScaleNormal="60" workbookViewId="0">
      <selection activeCell="L20" sqref="L2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45782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41" t="s">
        <v>18</v>
      </c>
      <c r="E10" s="15"/>
      <c r="F10" s="16" t="s">
        <v>19</v>
      </c>
      <c r="G10" s="17" t="s">
        <v>19</v>
      </c>
      <c r="H10" s="18" t="s">
        <v>19</v>
      </c>
      <c r="I10" s="18" t="s">
        <v>19</v>
      </c>
      <c r="J10" s="18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70.400000000000006</v>
      </c>
      <c r="H11" s="21"/>
      <c r="I11" s="21">
        <v>79.5</v>
      </c>
      <c r="J11" s="20">
        <v>75.5</v>
      </c>
      <c r="K11" s="20">
        <v>74.099999999999994</v>
      </c>
      <c r="L11" s="21">
        <v>72.3</v>
      </c>
      <c r="M11" s="21">
        <v>72.099999999999994</v>
      </c>
      <c r="N11" s="20"/>
      <c r="O11" s="20">
        <v>77.5</v>
      </c>
      <c r="P11" s="21"/>
      <c r="Q11" s="21">
        <v>76.2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>
        <v>0.1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64.5</v>
      </c>
      <c r="H13" s="21"/>
      <c r="I13" s="21">
        <v>76</v>
      </c>
      <c r="J13" s="20">
        <v>72.7</v>
      </c>
      <c r="K13" s="20">
        <v>69.599999999999994</v>
      </c>
      <c r="L13" s="21">
        <v>69.599999999999994</v>
      </c>
      <c r="M13" s="21">
        <v>66</v>
      </c>
      <c r="N13" s="20"/>
      <c r="O13" s="20">
        <v>73.400000000000006</v>
      </c>
      <c r="P13" s="21"/>
      <c r="Q13" s="21">
        <v>71.2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69.5</v>
      </c>
      <c r="H14" s="21"/>
      <c r="I14" s="21">
        <v>70.599999999999994</v>
      </c>
      <c r="J14" s="20">
        <v>63.7</v>
      </c>
      <c r="K14" s="20">
        <v>64.400000000000006</v>
      </c>
      <c r="L14" s="21">
        <v>66.099999999999994</v>
      </c>
      <c r="M14" s="21">
        <v>66.400000000000006</v>
      </c>
      <c r="N14" s="20"/>
      <c r="O14" s="20">
        <v>75.400000000000006</v>
      </c>
      <c r="P14" s="21"/>
      <c r="Q14" s="21">
        <v>74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39.4</v>
      </c>
      <c r="H15" s="21"/>
      <c r="I15" s="21">
        <v>55.8</v>
      </c>
      <c r="J15" s="20">
        <v>39.299999999999997</v>
      </c>
      <c r="K15" s="20">
        <v>40.200000000000003</v>
      </c>
      <c r="L15" s="21">
        <v>34.6</v>
      </c>
      <c r="M15" s="21">
        <v>32.799999999999997</v>
      </c>
      <c r="N15" s="20"/>
      <c r="O15" s="20">
        <v>2.7</v>
      </c>
      <c r="P15" s="21"/>
      <c r="Q15" s="21">
        <v>3.9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0"/>
      <c r="I16" s="20">
        <v>6.6</v>
      </c>
      <c r="J16" s="20">
        <v>6.6</v>
      </c>
      <c r="K16" s="20">
        <v>6.6</v>
      </c>
      <c r="L16" s="20">
        <v>6.6</v>
      </c>
      <c r="M16" s="20">
        <v>6.6</v>
      </c>
      <c r="N16" s="20"/>
      <c r="O16" s="20">
        <v>6.6</v>
      </c>
      <c r="P16" s="20"/>
      <c r="Q16" s="20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116</v>
      </c>
      <c r="H17" s="21"/>
      <c r="I17" s="21">
        <v>116.5</v>
      </c>
      <c r="J17" s="20">
        <v>119.1</v>
      </c>
      <c r="K17" s="20">
        <v>116.6</v>
      </c>
      <c r="L17" s="21">
        <v>114.2</v>
      </c>
      <c r="M17" s="21">
        <v>113</v>
      </c>
      <c r="N17" s="20"/>
      <c r="O17" s="20">
        <v>119.8</v>
      </c>
      <c r="P17" s="21"/>
      <c r="Q17" s="21">
        <v>116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1141</v>
      </c>
      <c r="H18" s="21"/>
      <c r="I18" s="21">
        <v>1180</v>
      </c>
      <c r="J18" s="20">
        <v>1207</v>
      </c>
      <c r="K18" s="20">
        <v>1191</v>
      </c>
      <c r="L18" s="21">
        <v>1166</v>
      </c>
      <c r="M18" s="21">
        <v>1142</v>
      </c>
      <c r="N18" s="20"/>
      <c r="O18" s="20">
        <v>1213</v>
      </c>
      <c r="P18" s="21"/>
      <c r="Q18" s="21">
        <v>1141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50220.3</v>
      </c>
      <c r="H19" s="21"/>
      <c r="I19" s="21">
        <v>51321.9</v>
      </c>
      <c r="J19" s="20">
        <v>49149.7</v>
      </c>
      <c r="K19" s="20">
        <v>49142.400000000001</v>
      </c>
      <c r="L19" s="21">
        <v>51541.3</v>
      </c>
      <c r="M19" s="21">
        <v>51534</v>
      </c>
      <c r="N19" s="20"/>
      <c r="O19" s="20">
        <v>50729.2</v>
      </c>
      <c r="P19" s="21"/>
      <c r="Q19" s="21">
        <v>50702.6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58.2</v>
      </c>
      <c r="H22" s="21"/>
      <c r="I22" s="21">
        <v>59.2</v>
      </c>
      <c r="J22" s="20">
        <v>57.7</v>
      </c>
      <c r="K22" s="20">
        <v>58</v>
      </c>
      <c r="L22" s="21">
        <v>57.2</v>
      </c>
      <c r="M22" s="21">
        <v>57.2</v>
      </c>
      <c r="N22" s="20"/>
      <c r="O22" s="20">
        <v>58.7</v>
      </c>
      <c r="P22" s="21"/>
      <c r="Q22" s="21">
        <v>58.9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0.48</v>
      </c>
      <c r="J23" s="20">
        <v>0.59</v>
      </c>
      <c r="K23" s="20">
        <v>0.59</v>
      </c>
      <c r="L23" s="21">
        <v>0.52</v>
      </c>
      <c r="M23" s="21">
        <v>0.52</v>
      </c>
      <c r="N23" s="20"/>
      <c r="O23" s="20">
        <v>0.48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44.7</v>
      </c>
      <c r="H25" s="21"/>
      <c r="I25" s="21">
        <v>44.8</v>
      </c>
      <c r="J25" s="20">
        <v>44</v>
      </c>
      <c r="K25" s="20">
        <v>44.8</v>
      </c>
      <c r="L25" s="21">
        <v>45</v>
      </c>
      <c r="M25" s="21">
        <v>45.1</v>
      </c>
      <c r="N25" s="20"/>
      <c r="O25" s="20">
        <v>44.9</v>
      </c>
      <c r="P25" s="21"/>
      <c r="Q25" s="21">
        <v>45.1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0.21</v>
      </c>
      <c r="J26" s="20">
        <v>0.22</v>
      </c>
      <c r="K26" s="20">
        <v>0.22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4.2</v>
      </c>
      <c r="H27" s="21"/>
      <c r="I27" s="21">
        <v>3.3</v>
      </c>
      <c r="J27" s="20">
        <v>4</v>
      </c>
      <c r="K27" s="20">
        <v>4.3</v>
      </c>
      <c r="L27" s="21">
        <v>3.5</v>
      </c>
      <c r="M27" s="21">
        <v>3.6</v>
      </c>
      <c r="N27" s="20"/>
      <c r="O27" s="20">
        <v>4.5</v>
      </c>
      <c r="P27" s="21"/>
      <c r="Q27" s="21">
        <v>4.5999999999999996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3.6</v>
      </c>
      <c r="H28" s="21"/>
      <c r="I28" s="21">
        <v>2.2000000000000002</v>
      </c>
      <c r="J28" s="20">
        <v>3.2</v>
      </c>
      <c r="K28" s="20">
        <v>3.4</v>
      </c>
      <c r="L28" s="21">
        <v>2.5</v>
      </c>
      <c r="M28" s="21">
        <v>2.7</v>
      </c>
      <c r="N28" s="20"/>
      <c r="O28" s="20">
        <v>3.3</v>
      </c>
      <c r="P28" s="21"/>
      <c r="Q28" s="21">
        <v>3.6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0.89999999999999991</v>
      </c>
      <c r="H29" s="27">
        <f t="shared" ref="H29:Q29" si="0">H32-H28</f>
        <v>0</v>
      </c>
      <c r="I29" s="27">
        <f t="shared" si="0"/>
        <v>2.0999999999999996</v>
      </c>
      <c r="J29" s="27">
        <f t="shared" si="0"/>
        <v>0.89999999999999947</v>
      </c>
      <c r="K29" s="27">
        <f t="shared" si="0"/>
        <v>1.1000000000000001</v>
      </c>
      <c r="L29" s="27">
        <f>L32-L28</f>
        <v>1.2999999999999998</v>
      </c>
      <c r="M29" s="27">
        <f>M32-M28</f>
        <v>1.1999999999999997</v>
      </c>
      <c r="N29" s="27">
        <f>N32-N28</f>
        <v>0</v>
      </c>
      <c r="O29" s="27">
        <f>O32-O28</f>
        <v>0.79999999999999982</v>
      </c>
      <c r="P29" s="27">
        <f t="shared" si="0"/>
        <v>0</v>
      </c>
      <c r="Q29" s="27">
        <f t="shared" si="0"/>
        <v>0.69999999999999973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642</v>
      </c>
      <c r="H30" s="21"/>
      <c r="I30" s="21">
        <v>631.84</v>
      </c>
      <c r="J30" s="20">
        <v>640.38</v>
      </c>
      <c r="K30" s="20">
        <v>630</v>
      </c>
      <c r="L30" s="21">
        <v>632.5</v>
      </c>
      <c r="M30" s="21">
        <v>639.12</v>
      </c>
      <c r="N30" s="20"/>
      <c r="O30" s="20">
        <v>635.52</v>
      </c>
      <c r="P30" s="21"/>
      <c r="Q30" s="21">
        <v>635.52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>
        <v>13.3</v>
      </c>
      <c r="J31" s="20">
        <v>13.2</v>
      </c>
      <c r="K31" s="20">
        <v>13.4</v>
      </c>
      <c r="L31" s="21">
        <v>13</v>
      </c>
      <c r="M31" s="21">
        <v>13.1</v>
      </c>
      <c r="N31" s="20"/>
      <c r="O31" s="20">
        <v>13.3</v>
      </c>
      <c r="P31" s="21"/>
      <c r="Q31" s="21">
        <v>13.2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4.5</v>
      </c>
      <c r="H32" s="21"/>
      <c r="I32" s="21">
        <v>4.3</v>
      </c>
      <c r="J32" s="20">
        <v>4.0999999999999996</v>
      </c>
      <c r="K32" s="20">
        <v>4.5</v>
      </c>
      <c r="L32" s="21">
        <v>3.8</v>
      </c>
      <c r="M32" s="21">
        <v>3.9</v>
      </c>
      <c r="N32" s="20"/>
      <c r="O32" s="20">
        <v>4.0999999999999996</v>
      </c>
      <c r="P32" s="21"/>
      <c r="Q32" s="21">
        <v>4.3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</v>
      </c>
      <c r="H33" s="27">
        <f t="shared" ref="H33:Q33" si="1">H31-H32</f>
        <v>0</v>
      </c>
      <c r="I33" s="27">
        <f t="shared" si="1"/>
        <v>9</v>
      </c>
      <c r="J33" s="27">
        <f t="shared" si="1"/>
        <v>9.1</v>
      </c>
      <c r="K33" s="27">
        <f t="shared" si="1"/>
        <v>8.9</v>
      </c>
      <c r="L33" s="27">
        <f>L31-L32</f>
        <v>9.1999999999999993</v>
      </c>
      <c r="M33" s="27">
        <f>M31-M32</f>
        <v>9.1999999999999993</v>
      </c>
      <c r="N33" s="27">
        <f>N31-N32</f>
        <v>0</v>
      </c>
      <c r="O33" s="27">
        <f>O31-O32</f>
        <v>9.2000000000000011</v>
      </c>
      <c r="P33" s="27">
        <f t="shared" si="1"/>
        <v>0</v>
      </c>
      <c r="Q33" s="27">
        <f t="shared" si="1"/>
        <v>8.8999999999999986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6672.055427251732</v>
      </c>
      <c r="H34" s="28">
        <f t="shared" ref="H34:Q34" si="2">(H33*H30)/0.866</f>
        <v>0</v>
      </c>
      <c r="I34" s="28">
        <f t="shared" si="2"/>
        <v>6566.4665127020789</v>
      </c>
      <c r="J34" s="28">
        <f t="shared" si="2"/>
        <v>6729.166281755196</v>
      </c>
      <c r="K34" s="28">
        <f t="shared" si="2"/>
        <v>6474.5958429561206</v>
      </c>
      <c r="L34" s="28">
        <f>(L33*L30)/0.866</f>
        <v>6719.3995381062359</v>
      </c>
      <c r="M34" s="28">
        <f>(M33*M30)/0.866</f>
        <v>6789.7274826789835</v>
      </c>
      <c r="N34" s="28">
        <f>(N33*N30)/0.866</f>
        <v>0</v>
      </c>
      <c r="O34" s="28">
        <f>(O33*O30)/0.866</f>
        <v>6751.4826789838344</v>
      </c>
      <c r="P34" s="28">
        <f t="shared" si="2"/>
        <v>0</v>
      </c>
      <c r="Q34" s="28">
        <f t="shared" si="2"/>
        <v>6531.3256351039245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</v>
      </c>
      <c r="H35" s="21"/>
      <c r="I35" s="21">
        <v>0.83</v>
      </c>
      <c r="J35" s="20">
        <v>0.81</v>
      </c>
      <c r="K35" s="20">
        <v>0.82</v>
      </c>
      <c r="L35" s="21">
        <v>0.81</v>
      </c>
      <c r="M35" s="21">
        <v>0.81</v>
      </c>
      <c r="N35" s="20"/>
      <c r="O35" s="20">
        <v>0.79</v>
      </c>
      <c r="P35" s="21"/>
      <c r="Q35" s="21">
        <v>0.82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35.1</v>
      </c>
      <c r="H36" s="21"/>
      <c r="I36" s="21">
        <v>35.6</v>
      </c>
      <c r="J36" s="20">
        <v>35.200000000000003</v>
      </c>
      <c r="K36" s="20">
        <v>35.4</v>
      </c>
      <c r="L36" s="21">
        <v>35.799999999999997</v>
      </c>
      <c r="M36" s="21">
        <v>35.1</v>
      </c>
      <c r="N36" s="20"/>
      <c r="O36" s="20">
        <v>34.799999999999997</v>
      </c>
      <c r="P36" s="21"/>
      <c r="Q36" s="21">
        <v>35.299999999999997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35.799999999999997</v>
      </c>
      <c r="H37" s="21"/>
      <c r="I37" s="21">
        <v>36.700000000000003</v>
      </c>
      <c r="J37" s="20">
        <v>36.200000000000003</v>
      </c>
      <c r="K37" s="20">
        <v>36.299999999999997</v>
      </c>
      <c r="L37" s="21">
        <v>36.299999999999997</v>
      </c>
      <c r="M37" s="21">
        <v>35.9</v>
      </c>
      <c r="N37" s="20"/>
      <c r="O37" s="20">
        <v>35.4</v>
      </c>
      <c r="P37" s="21"/>
      <c r="Q37" s="21">
        <v>36.299999999999997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2.5</v>
      </c>
      <c r="H38" s="27">
        <v>1</v>
      </c>
      <c r="I38" s="27">
        <f t="shared" ref="I38:Q38" si="3">I37-I41</f>
        <v>3.7000000000000028</v>
      </c>
      <c r="J38" s="27">
        <f t="shared" si="3"/>
        <v>2.5</v>
      </c>
      <c r="K38" s="27">
        <f t="shared" si="3"/>
        <v>2.8999999999999986</v>
      </c>
      <c r="L38" s="27">
        <f>L37-L41</f>
        <v>2.2999999999999972</v>
      </c>
      <c r="M38" s="27">
        <f>M37-M41</f>
        <v>3</v>
      </c>
      <c r="N38" s="27">
        <f>N37-N41</f>
        <v>0</v>
      </c>
      <c r="O38" s="27">
        <f>O37-O41</f>
        <v>2.3999999999999986</v>
      </c>
      <c r="P38" s="27">
        <f t="shared" si="3"/>
        <v>0</v>
      </c>
      <c r="Q38" s="27">
        <f t="shared" si="3"/>
        <v>2.7999999999999972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28.2</v>
      </c>
      <c r="H40" s="21"/>
      <c r="I40" s="21">
        <v>28</v>
      </c>
      <c r="J40" s="20">
        <v>28.5</v>
      </c>
      <c r="K40" s="20">
        <v>28.1</v>
      </c>
      <c r="L40" s="21">
        <v>29</v>
      </c>
      <c r="M40" s="21">
        <v>27.9</v>
      </c>
      <c r="N40" s="20"/>
      <c r="O40" s="20">
        <v>28</v>
      </c>
      <c r="P40" s="21"/>
      <c r="Q40" s="21">
        <v>28.3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33.299999999999997</v>
      </c>
      <c r="H41" s="21"/>
      <c r="I41" s="21">
        <v>33</v>
      </c>
      <c r="J41" s="20">
        <v>33.700000000000003</v>
      </c>
      <c r="K41" s="20">
        <v>33.4</v>
      </c>
      <c r="L41" s="21">
        <v>34</v>
      </c>
      <c r="M41" s="21">
        <v>32.9</v>
      </c>
      <c r="N41" s="20"/>
      <c r="O41" s="20">
        <v>33</v>
      </c>
      <c r="P41" s="21"/>
      <c r="Q41" s="21">
        <v>33.5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5.0999999999999979</v>
      </c>
      <c r="H42" s="27">
        <f t="shared" ref="H42:Q42" si="4">H41-H40</f>
        <v>0</v>
      </c>
      <c r="I42" s="27">
        <f t="shared" si="4"/>
        <v>5</v>
      </c>
      <c r="J42" s="27">
        <f t="shared" si="4"/>
        <v>5.2000000000000028</v>
      </c>
      <c r="K42" s="27">
        <f t="shared" si="4"/>
        <v>5.2999999999999972</v>
      </c>
      <c r="L42" s="27">
        <f>L41-L40</f>
        <v>5</v>
      </c>
      <c r="M42" s="27">
        <f>M41-M40</f>
        <v>5</v>
      </c>
      <c r="N42" s="27">
        <f>N41-N40</f>
        <v>0</v>
      </c>
      <c r="O42" s="27">
        <f>O41-O40</f>
        <v>5</v>
      </c>
      <c r="P42" s="27">
        <f t="shared" si="4"/>
        <v>0</v>
      </c>
      <c r="Q42" s="27">
        <f t="shared" si="4"/>
        <v>5.1999999999999993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1299.48</v>
      </c>
      <c r="H43" s="21"/>
      <c r="I43" s="21">
        <v>1296.96</v>
      </c>
      <c r="J43" s="20">
        <v>1291.5</v>
      </c>
      <c r="K43" s="20">
        <v>1292.3399999999999</v>
      </c>
      <c r="L43" s="21">
        <v>1306</v>
      </c>
      <c r="M43" s="20">
        <v>1292.06</v>
      </c>
      <c r="N43" s="20"/>
      <c r="O43" s="20">
        <v>1295.98</v>
      </c>
      <c r="P43" s="21"/>
      <c r="Q43" s="21">
        <v>1297.8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7652.8267898383338</v>
      </c>
      <c r="H44" s="28">
        <f t="shared" ref="H44:Q44" si="5">H42*H43/0.866</f>
        <v>0</v>
      </c>
      <c r="I44" s="28">
        <f t="shared" si="5"/>
        <v>7488.2217090069289</v>
      </c>
      <c r="J44" s="28">
        <f t="shared" si="5"/>
        <v>7754.9653579676715</v>
      </c>
      <c r="K44" s="28">
        <f t="shared" si="5"/>
        <v>7909.2401847575011</v>
      </c>
      <c r="L44" s="28">
        <f>L42*L43/0.866</f>
        <v>7540.4157043879904</v>
      </c>
      <c r="M44" s="28">
        <f>M42*M43/0.866</f>
        <v>7459.9307159353339</v>
      </c>
      <c r="N44" s="28">
        <f>N42*N43/0.866</f>
        <v>0</v>
      </c>
      <c r="O44" s="28">
        <f>O42*O43/0.866</f>
        <v>7482.5635103926097</v>
      </c>
      <c r="P44" s="28">
        <f t="shared" si="5"/>
        <v>0</v>
      </c>
      <c r="Q44" s="28">
        <f t="shared" si="5"/>
        <v>7792.7944572748256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0.45</v>
      </c>
      <c r="J45" s="20">
        <v>0.45</v>
      </c>
      <c r="K45" s="20">
        <v>0.45</v>
      </c>
      <c r="L45" s="21">
        <v>0.45</v>
      </c>
      <c r="M45" s="21">
        <v>0.46</v>
      </c>
      <c r="N45" s="20"/>
      <c r="O45" s="20">
        <v>0.45</v>
      </c>
      <c r="P45" s="21"/>
      <c r="Q45" s="21">
        <v>0.46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19.399999999999999</v>
      </c>
      <c r="H46" s="21"/>
      <c r="I46" s="21">
        <v>18.7</v>
      </c>
      <c r="J46" s="20">
        <v>19.100000000000001</v>
      </c>
      <c r="K46" s="20">
        <v>19.100000000000001</v>
      </c>
      <c r="L46" s="21">
        <v>19.3</v>
      </c>
      <c r="M46" s="21">
        <v>19.3</v>
      </c>
      <c r="N46" s="20"/>
      <c r="O46" s="20">
        <v>18.899999999999999</v>
      </c>
      <c r="P46" s="21"/>
      <c r="Q46" s="21">
        <v>19.600000000000001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200.2</v>
      </c>
      <c r="H47" s="21"/>
      <c r="I47" s="21">
        <v>120</v>
      </c>
      <c r="J47" s="20">
        <v>201.2</v>
      </c>
      <c r="K47" s="20">
        <v>216.9</v>
      </c>
      <c r="L47" s="21">
        <v>206</v>
      </c>
      <c r="M47" s="21">
        <v>218.9</v>
      </c>
      <c r="N47" s="20"/>
      <c r="O47" s="20">
        <v>163.80000000000001</v>
      </c>
      <c r="P47" s="21"/>
      <c r="Q47" s="21">
        <v>200.8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41">
        <v>5.89</v>
      </c>
      <c r="F49" s="20"/>
      <c r="G49" s="20">
        <v>5.69</v>
      </c>
      <c r="H49" s="21"/>
      <c r="I49" s="21">
        <v>5.38</v>
      </c>
      <c r="J49" s="20">
        <v>5.57</v>
      </c>
      <c r="K49" s="20">
        <v>5.36</v>
      </c>
      <c r="L49" s="21">
        <v>5.78</v>
      </c>
      <c r="M49" s="21">
        <v>5.9</v>
      </c>
      <c r="N49" s="20"/>
      <c r="O49" s="20">
        <v>5.87</v>
      </c>
      <c r="P49" s="21"/>
      <c r="Q49" s="21">
        <v>5.53</v>
      </c>
    </row>
    <row r="50" spans="2:17" ht="20.100000000000001" customHeight="1">
      <c r="B50" s="92" t="s">
        <v>91</v>
      </c>
      <c r="C50" s="92"/>
      <c r="D50" s="92"/>
      <c r="E50" s="4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4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4" zoomScale="85" zoomScaleNormal="60" workbookViewId="0">
      <selection activeCell="L50" sqref="L5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45783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43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73.099999999999994</v>
      </c>
      <c r="G11" s="20">
        <v>71.400000000000006</v>
      </c>
      <c r="H11" s="21"/>
      <c r="I11" s="21">
        <v>81.3</v>
      </c>
      <c r="J11" s="20"/>
      <c r="K11" s="20">
        <v>72</v>
      </c>
      <c r="L11" s="21">
        <v>75.900000000000006</v>
      </c>
      <c r="M11" s="21">
        <v>70.400000000000006</v>
      </c>
      <c r="N11" s="20"/>
      <c r="O11" s="20">
        <v>78.5</v>
      </c>
      <c r="P11" s="21"/>
      <c r="Q11" s="21">
        <v>74.900000000000006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0.6</v>
      </c>
      <c r="G12" s="20">
        <v>0.4</v>
      </c>
      <c r="H12" s="21"/>
      <c r="I12" s="21">
        <v>0</v>
      </c>
      <c r="J12" s="20"/>
      <c r="K12" s="20">
        <v>0</v>
      </c>
      <c r="L12" s="21">
        <v>0.1</v>
      </c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67.900000000000006</v>
      </c>
      <c r="G13" s="20">
        <v>66.3</v>
      </c>
      <c r="H13" s="21"/>
      <c r="I13" s="21">
        <v>77.099999999999994</v>
      </c>
      <c r="J13" s="20"/>
      <c r="K13" s="20">
        <v>68.2</v>
      </c>
      <c r="L13" s="21">
        <v>73.3</v>
      </c>
      <c r="M13" s="21">
        <v>65</v>
      </c>
      <c r="N13" s="20"/>
      <c r="O13" s="20">
        <v>74.099999999999994</v>
      </c>
      <c r="P13" s="21"/>
      <c r="Q13" s="21">
        <v>69.7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68.599999999999994</v>
      </c>
      <c r="G14" s="20">
        <v>69.5</v>
      </c>
      <c r="H14" s="21"/>
      <c r="I14" s="21">
        <v>70.400000000000006</v>
      </c>
      <c r="J14" s="20"/>
      <c r="K14" s="20">
        <v>64.7</v>
      </c>
      <c r="L14" s="21">
        <v>67.5</v>
      </c>
      <c r="M14" s="21">
        <v>66.5</v>
      </c>
      <c r="N14" s="20"/>
      <c r="O14" s="20">
        <v>74.8</v>
      </c>
      <c r="P14" s="21"/>
      <c r="Q14" s="21">
        <v>72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43.6</v>
      </c>
      <c r="G15" s="20">
        <v>42</v>
      </c>
      <c r="H15" s="21"/>
      <c r="I15" s="21">
        <v>56</v>
      </c>
      <c r="J15" s="20"/>
      <c r="K15" s="20">
        <v>42.1</v>
      </c>
      <c r="L15" s="21">
        <v>36.5</v>
      </c>
      <c r="M15" s="21">
        <v>34.9</v>
      </c>
      <c r="N15" s="20"/>
      <c r="O15" s="20">
        <v>58.2</v>
      </c>
      <c r="P15" s="21"/>
      <c r="Q15" s="21">
        <v>42.6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115.1</v>
      </c>
      <c r="G17" s="20">
        <v>115.9</v>
      </c>
      <c r="H17" s="21"/>
      <c r="I17" s="21">
        <v>116.7</v>
      </c>
      <c r="J17" s="20"/>
      <c r="K17" s="20">
        <v>114.6</v>
      </c>
      <c r="L17" s="21">
        <v>116.3</v>
      </c>
      <c r="M17" s="21">
        <v>111.9</v>
      </c>
      <c r="N17" s="20"/>
      <c r="O17" s="20">
        <v>118.9</v>
      </c>
      <c r="P17" s="21"/>
      <c r="Q17" s="21">
        <v>116.8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1125</v>
      </c>
      <c r="G18" s="20">
        <v>1125</v>
      </c>
      <c r="H18" s="21"/>
      <c r="I18" s="21">
        <v>1175</v>
      </c>
      <c r="J18" s="20"/>
      <c r="K18" s="20">
        <v>1153</v>
      </c>
      <c r="L18" s="21">
        <v>1177</v>
      </c>
      <c r="M18" s="21">
        <v>1133</v>
      </c>
      <c r="N18" s="20"/>
      <c r="O18" s="20">
        <v>1200</v>
      </c>
      <c r="P18" s="21"/>
      <c r="Q18" s="21">
        <v>1179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>
        <v>50238.2</v>
      </c>
      <c r="G19" s="20">
        <v>50230</v>
      </c>
      <c r="H19" s="21"/>
      <c r="I19" s="21">
        <v>51331.8</v>
      </c>
      <c r="J19" s="20"/>
      <c r="K19" s="20">
        <v>49160.1</v>
      </c>
      <c r="L19" s="21">
        <v>51563.199999999997</v>
      </c>
      <c r="M19" s="21">
        <v>51555</v>
      </c>
      <c r="N19" s="20"/>
      <c r="O19" s="20">
        <v>50739.1</v>
      </c>
      <c r="P19" s="21"/>
      <c r="Q19" s="21">
        <v>50712.1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58.1</v>
      </c>
      <c r="G22" s="20">
        <v>58</v>
      </c>
      <c r="H22" s="21"/>
      <c r="I22" s="21">
        <v>58.9</v>
      </c>
      <c r="J22" s="20"/>
      <c r="K22" s="20">
        <v>57.7</v>
      </c>
      <c r="L22" s="21">
        <v>57.4</v>
      </c>
      <c r="M22" s="21">
        <v>57.2</v>
      </c>
      <c r="N22" s="20"/>
      <c r="O22" s="20">
        <v>58.6</v>
      </c>
      <c r="P22" s="21"/>
      <c r="Q22" s="21">
        <v>59.1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0.48</v>
      </c>
      <c r="J23" s="20"/>
      <c r="K23" s="20">
        <v>0.57999999999999996</v>
      </c>
      <c r="L23" s="21">
        <v>0.52</v>
      </c>
      <c r="M23" s="21">
        <v>0.52</v>
      </c>
      <c r="N23" s="20"/>
      <c r="O23" s="20">
        <v>0.56999999999999995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45.1</v>
      </c>
      <c r="G25" s="20">
        <v>45</v>
      </c>
      <c r="H25" s="21"/>
      <c r="I25" s="21">
        <v>45</v>
      </c>
      <c r="J25" s="20"/>
      <c r="K25" s="20">
        <v>45.1</v>
      </c>
      <c r="L25" s="21">
        <v>45.3</v>
      </c>
      <c r="M25" s="21">
        <v>45</v>
      </c>
      <c r="N25" s="20"/>
      <c r="O25" s="20">
        <v>45</v>
      </c>
      <c r="P25" s="21"/>
      <c r="Q25" s="21">
        <v>44.9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0.22</v>
      </c>
      <c r="G26" s="20">
        <v>0.21</v>
      </c>
      <c r="H26" s="21"/>
      <c r="I26" s="21">
        <v>0.21</v>
      </c>
      <c r="J26" s="20"/>
      <c r="K26" s="20">
        <v>0.23</v>
      </c>
      <c r="L26" s="21">
        <v>0.22</v>
      </c>
      <c r="M26" s="21">
        <v>0.22</v>
      </c>
      <c r="N26" s="20"/>
      <c r="O26" s="20">
        <v>0.22</v>
      </c>
      <c r="P26" s="21"/>
      <c r="Q26" s="21">
        <v>0.22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3.5</v>
      </c>
      <c r="G27" s="20">
        <v>3.9</v>
      </c>
      <c r="H27" s="21"/>
      <c r="I27" s="21">
        <v>2.8</v>
      </c>
      <c r="J27" s="20"/>
      <c r="K27" s="20">
        <v>4</v>
      </c>
      <c r="L27" s="21">
        <v>3.6</v>
      </c>
      <c r="M27" s="21">
        <v>3.9</v>
      </c>
      <c r="N27" s="20"/>
      <c r="O27" s="20">
        <v>4</v>
      </c>
      <c r="P27" s="21"/>
      <c r="Q27" s="21">
        <v>4.2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3</v>
      </c>
      <c r="G28" s="20">
        <v>3.3</v>
      </c>
      <c r="H28" s="21"/>
      <c r="I28" s="21">
        <v>2</v>
      </c>
      <c r="J28" s="20"/>
      <c r="K28" s="20">
        <v>3.2</v>
      </c>
      <c r="L28" s="21">
        <v>2.6</v>
      </c>
      <c r="M28" s="21">
        <v>2.4</v>
      </c>
      <c r="N28" s="20"/>
      <c r="O28" s="20">
        <v>2.8</v>
      </c>
      <c r="P28" s="21"/>
      <c r="Q28" s="21">
        <v>3.1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1</v>
      </c>
      <c r="G29" s="27">
        <f>G32-G28</f>
        <v>1.2999999999999998</v>
      </c>
      <c r="H29" s="27">
        <f t="shared" ref="H29:Q29" si="0">H32-H28</f>
        <v>0</v>
      </c>
      <c r="I29" s="27">
        <f t="shared" si="0"/>
        <v>2.4000000000000004</v>
      </c>
      <c r="J29" s="27">
        <f t="shared" si="0"/>
        <v>0</v>
      </c>
      <c r="K29" s="27">
        <f t="shared" si="0"/>
        <v>1.2999999999999998</v>
      </c>
      <c r="L29" s="27">
        <f>L32-L28</f>
        <v>1.2999999999999998</v>
      </c>
      <c r="M29" s="27">
        <f>M32-M28</f>
        <v>1.6</v>
      </c>
      <c r="N29" s="27">
        <f>N32-N28</f>
        <v>0</v>
      </c>
      <c r="O29" s="27">
        <f>O32-O28</f>
        <v>1.2000000000000002</v>
      </c>
      <c r="P29" s="27">
        <f t="shared" si="0"/>
        <v>0</v>
      </c>
      <c r="Q29" s="27">
        <f t="shared" si="0"/>
        <v>1.3000000000000003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624.70000000000005</v>
      </c>
      <c r="G30" s="20">
        <v>646.55999999999995</v>
      </c>
      <c r="H30" s="21"/>
      <c r="I30" s="21">
        <v>630.55999999999995</v>
      </c>
      <c r="J30" s="20"/>
      <c r="K30" s="20">
        <v>639.52</v>
      </c>
      <c r="L30" s="21">
        <v>650.1</v>
      </c>
      <c r="M30" s="21">
        <v>643.67999999999995</v>
      </c>
      <c r="N30" s="20"/>
      <c r="O30" s="20">
        <v>633.12</v>
      </c>
      <c r="P30" s="21"/>
      <c r="Q30" s="21">
        <v>633.52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13.4</v>
      </c>
      <c r="G31" s="20">
        <v>13.3</v>
      </c>
      <c r="H31" s="21"/>
      <c r="I31" s="21">
        <v>13.2</v>
      </c>
      <c r="J31" s="20"/>
      <c r="K31" s="20">
        <v>13.5</v>
      </c>
      <c r="L31" s="21">
        <v>13.1</v>
      </c>
      <c r="M31" s="21">
        <v>13.5</v>
      </c>
      <c r="N31" s="20"/>
      <c r="O31" s="20">
        <v>13.2</v>
      </c>
      <c r="P31" s="21"/>
      <c r="Q31" s="21">
        <v>13.1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4</v>
      </c>
      <c r="G32" s="20">
        <v>4.5999999999999996</v>
      </c>
      <c r="H32" s="21"/>
      <c r="I32" s="21">
        <v>4.4000000000000004</v>
      </c>
      <c r="J32" s="20"/>
      <c r="K32" s="20">
        <v>4.5</v>
      </c>
      <c r="L32" s="21">
        <v>3.9</v>
      </c>
      <c r="M32" s="21">
        <v>4</v>
      </c>
      <c r="N32" s="20"/>
      <c r="O32" s="20">
        <v>4</v>
      </c>
      <c r="P32" s="21"/>
      <c r="Q32" s="21">
        <v>4.4000000000000004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9.4</v>
      </c>
      <c r="G33" s="27">
        <f>G31-G32</f>
        <v>8.7000000000000011</v>
      </c>
      <c r="H33" s="27">
        <f t="shared" ref="H33:Q33" si="1">H31-H32</f>
        <v>0</v>
      </c>
      <c r="I33" s="27">
        <f t="shared" si="1"/>
        <v>8.7999999999999989</v>
      </c>
      <c r="J33" s="27">
        <f t="shared" si="1"/>
        <v>0</v>
      </c>
      <c r="K33" s="27">
        <f t="shared" si="1"/>
        <v>9</v>
      </c>
      <c r="L33" s="27">
        <f>L31-L32</f>
        <v>9.1999999999999993</v>
      </c>
      <c r="M33" s="27">
        <f>M31-M32</f>
        <v>9.5</v>
      </c>
      <c r="N33" s="27">
        <f>N31-N32</f>
        <v>0</v>
      </c>
      <c r="O33" s="27">
        <f>O31-O32</f>
        <v>9.1999999999999993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6780.8083140877607</v>
      </c>
      <c r="G34" s="28">
        <f>(G33*G30)/0.866</f>
        <v>6495.4642032332567</v>
      </c>
      <c r="H34" s="28">
        <f t="shared" ref="H34:Q34" si="2">(H33*H30)/0.866</f>
        <v>0</v>
      </c>
      <c r="I34" s="28">
        <f t="shared" si="2"/>
        <v>6407.5381062355646</v>
      </c>
      <c r="J34" s="28">
        <f t="shared" si="2"/>
        <v>0</v>
      </c>
      <c r="K34" s="28">
        <f t="shared" si="2"/>
        <v>6646.2817551963053</v>
      </c>
      <c r="L34" s="28">
        <f>(L33*L30)/0.866</f>
        <v>6906.3741339491917</v>
      </c>
      <c r="M34" s="28">
        <f>(M33*M30)/0.866</f>
        <v>7061.1547344110841</v>
      </c>
      <c r="N34" s="28">
        <f>(N33*N30)/0.866</f>
        <v>0</v>
      </c>
      <c r="O34" s="28">
        <f>(O33*O30)/0.866</f>
        <v>6725.9861431870668</v>
      </c>
      <c r="P34" s="28">
        <f t="shared" si="2"/>
        <v>0</v>
      </c>
      <c r="Q34" s="28">
        <f t="shared" si="2"/>
        <v>6364.4618937644336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0.78</v>
      </c>
      <c r="G35" s="20">
        <v>0.81</v>
      </c>
      <c r="H35" s="21"/>
      <c r="I35" s="21">
        <v>0.83</v>
      </c>
      <c r="J35" s="20"/>
      <c r="K35" s="20">
        <v>0.82</v>
      </c>
      <c r="L35" s="21">
        <v>0.79</v>
      </c>
      <c r="M35" s="21">
        <v>0.82</v>
      </c>
      <c r="N35" s="20"/>
      <c r="O35" s="20">
        <v>0.8</v>
      </c>
      <c r="P35" s="21"/>
      <c r="Q35" s="21">
        <v>0.82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34.4</v>
      </c>
      <c r="G36" s="20">
        <v>34.5</v>
      </c>
      <c r="H36" s="21"/>
      <c r="I36" s="21">
        <v>35</v>
      </c>
      <c r="J36" s="20"/>
      <c r="K36" s="20">
        <v>34.799999999999997</v>
      </c>
      <c r="L36" s="21">
        <v>34.700000000000003</v>
      </c>
      <c r="M36" s="21">
        <v>34.700000000000003</v>
      </c>
      <c r="N36" s="20"/>
      <c r="O36" s="20">
        <v>34.1</v>
      </c>
      <c r="P36" s="21"/>
      <c r="Q36" s="21">
        <v>34.700000000000003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34.9</v>
      </c>
      <c r="G37" s="20">
        <v>36</v>
      </c>
      <c r="H37" s="21"/>
      <c r="I37" s="21">
        <v>36.9</v>
      </c>
      <c r="J37" s="20"/>
      <c r="K37" s="20">
        <v>36.5</v>
      </c>
      <c r="L37" s="21">
        <v>35.4</v>
      </c>
      <c r="M37" s="21">
        <v>36.299999999999997</v>
      </c>
      <c r="N37" s="20"/>
      <c r="O37" s="20">
        <v>35.5</v>
      </c>
      <c r="P37" s="21"/>
      <c r="Q37" s="21">
        <v>36.4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1.6999999999999957</v>
      </c>
      <c r="G38" s="27">
        <f>G37-G41</f>
        <v>2.3999999999999986</v>
      </c>
      <c r="H38" s="27">
        <v>1</v>
      </c>
      <c r="I38" s="27">
        <f t="shared" ref="I38:Q38" si="3">I37-I41</f>
        <v>3.6000000000000014</v>
      </c>
      <c r="J38" s="27">
        <f t="shared" si="3"/>
        <v>0</v>
      </c>
      <c r="K38" s="27">
        <f t="shared" si="3"/>
        <v>2.8999999999999986</v>
      </c>
      <c r="L38" s="27">
        <f>L37-L41</f>
        <v>2.2999999999999972</v>
      </c>
      <c r="M38" s="27">
        <f>M37-M41</f>
        <v>3</v>
      </c>
      <c r="N38" s="27">
        <f>N37-N41</f>
        <v>0</v>
      </c>
      <c r="O38" s="27">
        <f>O37-O41</f>
        <v>2.2999999999999972</v>
      </c>
      <c r="P38" s="27">
        <f t="shared" si="3"/>
        <v>0</v>
      </c>
      <c r="Q38" s="27">
        <f t="shared" si="3"/>
        <v>2.7999999999999972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27.7</v>
      </c>
      <c r="G40" s="20">
        <v>28.4</v>
      </c>
      <c r="H40" s="21"/>
      <c r="I40" s="21">
        <v>28.3</v>
      </c>
      <c r="J40" s="20"/>
      <c r="K40" s="20">
        <v>28.3</v>
      </c>
      <c r="L40" s="21">
        <v>27.7</v>
      </c>
      <c r="M40" s="21">
        <v>28.1</v>
      </c>
      <c r="N40" s="20"/>
      <c r="O40" s="20">
        <v>28.3</v>
      </c>
      <c r="P40" s="21"/>
      <c r="Q40" s="21">
        <v>28.6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33.200000000000003</v>
      </c>
      <c r="G41" s="20">
        <v>33.6</v>
      </c>
      <c r="H41" s="21"/>
      <c r="I41" s="21">
        <v>33.299999999999997</v>
      </c>
      <c r="J41" s="20"/>
      <c r="K41" s="20">
        <v>33.6</v>
      </c>
      <c r="L41" s="21">
        <v>33.1</v>
      </c>
      <c r="M41" s="21">
        <v>33.299999999999997</v>
      </c>
      <c r="N41" s="20"/>
      <c r="O41" s="20">
        <v>33.200000000000003</v>
      </c>
      <c r="P41" s="21"/>
      <c r="Q41" s="21">
        <v>33.6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5.5000000000000036</v>
      </c>
      <c r="G42" s="27">
        <f>G41-G40</f>
        <v>5.2000000000000028</v>
      </c>
      <c r="H42" s="27">
        <f t="shared" ref="H42:Q42" si="4">H41-H40</f>
        <v>0</v>
      </c>
      <c r="I42" s="27">
        <f t="shared" si="4"/>
        <v>4.9999999999999964</v>
      </c>
      <c r="J42" s="27">
        <f t="shared" si="4"/>
        <v>0</v>
      </c>
      <c r="K42" s="27">
        <f t="shared" si="4"/>
        <v>5.3000000000000007</v>
      </c>
      <c r="L42" s="27">
        <f>L41-L40</f>
        <v>5.4000000000000021</v>
      </c>
      <c r="M42" s="27">
        <f>M41-M40</f>
        <v>5.1999999999999957</v>
      </c>
      <c r="N42" s="27">
        <f>N41-N40</f>
        <v>0</v>
      </c>
      <c r="O42" s="27">
        <f>O41-O40</f>
        <v>4.9000000000000021</v>
      </c>
      <c r="P42" s="27">
        <f t="shared" si="4"/>
        <v>0</v>
      </c>
      <c r="Q42" s="27">
        <f t="shared" si="4"/>
        <v>5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1306.7</v>
      </c>
      <c r="G43" s="20">
        <v>1291.5</v>
      </c>
      <c r="H43" s="21"/>
      <c r="I43" s="21">
        <v>1296.82</v>
      </c>
      <c r="J43" s="20"/>
      <c r="K43" s="20">
        <v>1293.5999999999999</v>
      </c>
      <c r="L43" s="21">
        <v>1295.5999999999999</v>
      </c>
      <c r="M43" s="20">
        <v>1293.18</v>
      </c>
      <c r="N43" s="20"/>
      <c r="O43" s="20">
        <v>1299.9000000000001</v>
      </c>
      <c r="P43" s="21"/>
      <c r="Q43" s="21">
        <v>1295.7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8298.9030023094747</v>
      </c>
      <c r="G44" s="28">
        <f>G42*G43/0.866</f>
        <v>7754.9653579676715</v>
      </c>
      <c r="H44" s="28">
        <f t="shared" ref="H44:Q44" si="5">H42*H43/0.866</f>
        <v>0</v>
      </c>
      <c r="I44" s="28">
        <f t="shared" si="5"/>
        <v>7487.4133949191628</v>
      </c>
      <c r="J44" s="28">
        <f t="shared" si="5"/>
        <v>0</v>
      </c>
      <c r="K44" s="28">
        <f t="shared" si="5"/>
        <v>7916.9515011547355</v>
      </c>
      <c r="L44" s="28">
        <f>L42*L43/0.866</f>
        <v>8078.7990762124737</v>
      </c>
      <c r="M44" s="28">
        <f>M42*M43/0.866</f>
        <v>7765.0531177829034</v>
      </c>
      <c r="N44" s="28">
        <f>N42*N43/0.866</f>
        <v>0</v>
      </c>
      <c r="O44" s="28">
        <f>O42*O43/0.866</f>
        <v>7355.09237875289</v>
      </c>
      <c r="P44" s="28">
        <f t="shared" si="5"/>
        <v>0</v>
      </c>
      <c r="Q44" s="28">
        <f t="shared" si="5"/>
        <v>7480.9468822170902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0.44</v>
      </c>
      <c r="G45" s="20">
        <v>0.45</v>
      </c>
      <c r="H45" s="21"/>
      <c r="I45" s="21">
        <v>0.44</v>
      </c>
      <c r="J45" s="20"/>
      <c r="K45" s="20">
        <v>0.45</v>
      </c>
      <c r="L45" s="21">
        <v>0.44</v>
      </c>
      <c r="M45" s="21">
        <v>0.45</v>
      </c>
      <c r="N45" s="20"/>
      <c r="O45" s="20">
        <v>0.44</v>
      </c>
      <c r="P45" s="21"/>
      <c r="Q45" s="21">
        <v>0.45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18.5</v>
      </c>
      <c r="G46" s="20">
        <v>18.899999999999999</v>
      </c>
      <c r="H46" s="21"/>
      <c r="I46" s="21">
        <v>18.2</v>
      </c>
      <c r="J46" s="20"/>
      <c r="K46" s="20">
        <v>19</v>
      </c>
      <c r="L46" s="21">
        <v>18.7</v>
      </c>
      <c r="M46" s="21">
        <v>19.100000000000001</v>
      </c>
      <c r="N46" s="20"/>
      <c r="O46" s="20">
        <v>18.100000000000001</v>
      </c>
      <c r="P46" s="21"/>
      <c r="Q46" s="21">
        <v>18.899999999999999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195.6</v>
      </c>
      <c r="G47" s="20">
        <v>201.7</v>
      </c>
      <c r="H47" s="21"/>
      <c r="I47" s="21">
        <v>117.8</v>
      </c>
      <c r="J47" s="20"/>
      <c r="K47" s="20">
        <v>200.8</v>
      </c>
      <c r="L47" s="21">
        <v>198.6</v>
      </c>
      <c r="M47" s="21">
        <v>206.4</v>
      </c>
      <c r="N47" s="20"/>
      <c r="O47" s="20">
        <v>160</v>
      </c>
      <c r="P47" s="21"/>
      <c r="Q47" s="21">
        <v>199.8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43">
        <v>5.89</v>
      </c>
      <c r="F49" s="20">
        <v>6.32</v>
      </c>
      <c r="G49" s="20">
        <v>5.54</v>
      </c>
      <c r="H49" s="21"/>
      <c r="I49" s="21">
        <v>5.72</v>
      </c>
      <c r="J49" s="20"/>
      <c r="K49" s="20">
        <v>5.9</v>
      </c>
      <c r="L49" s="21">
        <v>5.87</v>
      </c>
      <c r="M49" s="21">
        <v>5.68</v>
      </c>
      <c r="N49" s="20"/>
      <c r="O49" s="20">
        <v>5.68</v>
      </c>
      <c r="P49" s="21"/>
      <c r="Q49" s="21">
        <v>5.33</v>
      </c>
    </row>
    <row r="50" spans="2:17" ht="20.100000000000001" customHeight="1">
      <c r="B50" s="92" t="s">
        <v>91</v>
      </c>
      <c r="C50" s="92"/>
      <c r="D50" s="92"/>
      <c r="E50" s="4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4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4" zoomScale="85" zoomScaleNormal="60" workbookViewId="0">
      <selection activeCell="L24" sqref="L24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45784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45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/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68.900000000000006</v>
      </c>
      <c r="H11" s="21"/>
      <c r="I11" s="21">
        <v>78.099999999999994</v>
      </c>
      <c r="J11" s="20">
        <v>73.2</v>
      </c>
      <c r="K11" s="20">
        <v>73.2</v>
      </c>
      <c r="L11" s="21"/>
      <c r="M11" s="21">
        <v>76.7</v>
      </c>
      <c r="N11" s="20">
        <v>76.7</v>
      </c>
      <c r="O11" s="20">
        <v>72.8</v>
      </c>
      <c r="P11" s="21"/>
      <c r="Q11" s="21">
        <v>74.400000000000006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62.5</v>
      </c>
      <c r="H13" s="21"/>
      <c r="I13" s="21">
        <v>74.2</v>
      </c>
      <c r="J13" s="20">
        <v>69.7</v>
      </c>
      <c r="K13" s="20">
        <v>68.099999999999994</v>
      </c>
      <c r="L13" s="21"/>
      <c r="M13" s="21">
        <v>73.2</v>
      </c>
      <c r="N13" s="20">
        <v>71.7</v>
      </c>
      <c r="O13" s="20">
        <v>68.099999999999994</v>
      </c>
      <c r="P13" s="21"/>
      <c r="Q13" s="21">
        <v>69.7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69.2</v>
      </c>
      <c r="H14" s="21"/>
      <c r="I14" s="21">
        <v>6.8</v>
      </c>
      <c r="J14" s="20">
        <v>64.099999999999994</v>
      </c>
      <c r="K14" s="20">
        <v>63.5</v>
      </c>
      <c r="L14" s="21"/>
      <c r="M14" s="21">
        <v>66.400000000000006</v>
      </c>
      <c r="N14" s="20">
        <v>72.8</v>
      </c>
      <c r="O14" s="20">
        <v>72.2</v>
      </c>
      <c r="P14" s="21"/>
      <c r="Q14" s="21">
        <v>69.5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33.5</v>
      </c>
      <c r="H15" s="21"/>
      <c r="I15" s="21">
        <v>46.2</v>
      </c>
      <c r="J15" s="20">
        <v>40.9</v>
      </c>
      <c r="K15" s="20">
        <v>36.9</v>
      </c>
      <c r="L15" s="21"/>
      <c r="M15" s="21">
        <v>33.700000000000003</v>
      </c>
      <c r="N15" s="20">
        <v>59.2</v>
      </c>
      <c r="O15" s="20">
        <v>50.5</v>
      </c>
      <c r="P15" s="21"/>
      <c r="Q15" s="21">
        <v>38.700000000000003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115</v>
      </c>
      <c r="H17" s="21"/>
      <c r="I17" s="21">
        <v>114.2</v>
      </c>
      <c r="J17" s="20">
        <v>118.5</v>
      </c>
      <c r="K17" s="20">
        <v>115.3</v>
      </c>
      <c r="L17" s="21"/>
      <c r="M17" s="21">
        <v>117.8</v>
      </c>
      <c r="N17" s="20">
        <v>119.3</v>
      </c>
      <c r="O17" s="20">
        <v>116.2</v>
      </c>
      <c r="P17" s="21"/>
      <c r="Q17" s="21">
        <v>117.4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1127</v>
      </c>
      <c r="H18" s="21"/>
      <c r="I18" s="21">
        <v>1169</v>
      </c>
      <c r="J18" s="20">
        <v>1190</v>
      </c>
      <c r="K18" s="20">
        <v>1189</v>
      </c>
      <c r="L18" s="21"/>
      <c r="M18" s="21">
        <v>1201</v>
      </c>
      <c r="N18" s="20">
        <v>1205</v>
      </c>
      <c r="O18" s="20">
        <v>1186</v>
      </c>
      <c r="P18" s="21"/>
      <c r="Q18" s="21">
        <v>1197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50249.3</v>
      </c>
      <c r="H19" s="21"/>
      <c r="I19" s="21">
        <v>51342.3</v>
      </c>
      <c r="J19" s="20">
        <v>49179.5</v>
      </c>
      <c r="K19" s="20">
        <v>49170.6</v>
      </c>
      <c r="L19" s="21"/>
      <c r="M19" s="21">
        <v>51579.7</v>
      </c>
      <c r="N19" s="20">
        <v>50758.6</v>
      </c>
      <c r="O19" s="20">
        <v>50749.7</v>
      </c>
      <c r="P19" s="21"/>
      <c r="Q19" s="21">
        <v>50722.1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58.1</v>
      </c>
      <c r="H22" s="21"/>
      <c r="I22" s="21">
        <v>59</v>
      </c>
      <c r="J22" s="20">
        <v>57.8</v>
      </c>
      <c r="K22" s="20">
        <v>57.5</v>
      </c>
      <c r="L22" s="21"/>
      <c r="M22" s="21">
        <v>57.3</v>
      </c>
      <c r="N22" s="20">
        <v>58.5</v>
      </c>
      <c r="O22" s="20">
        <v>58.7</v>
      </c>
      <c r="P22" s="21"/>
      <c r="Q22" s="21">
        <v>58.9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0.5</v>
      </c>
      <c r="J23" s="20">
        <v>0.59</v>
      </c>
      <c r="K23" s="20">
        <v>0.59</v>
      </c>
      <c r="L23" s="21"/>
      <c r="M23" s="21">
        <v>0.52</v>
      </c>
      <c r="N23" s="20">
        <v>0.47</v>
      </c>
      <c r="O23" s="20">
        <v>0.48</v>
      </c>
      <c r="P23" s="21"/>
      <c r="Q23" s="21">
        <v>0.5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1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44.8</v>
      </c>
      <c r="H25" s="21"/>
      <c r="I25" s="21">
        <v>45.1</v>
      </c>
      <c r="J25" s="20">
        <v>44.9</v>
      </c>
      <c r="K25" s="20">
        <v>44.9</v>
      </c>
      <c r="L25" s="21"/>
      <c r="M25" s="21">
        <v>45</v>
      </c>
      <c r="N25" s="20">
        <v>45.1</v>
      </c>
      <c r="O25" s="20">
        <v>44.7</v>
      </c>
      <c r="P25" s="21"/>
      <c r="Q25" s="21">
        <v>45.1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0.25</v>
      </c>
      <c r="H26" s="21"/>
      <c r="I26" s="21">
        <v>0.21</v>
      </c>
      <c r="J26" s="20">
        <v>0.23</v>
      </c>
      <c r="K26" s="20">
        <v>0.23</v>
      </c>
      <c r="L26" s="21"/>
      <c r="M26" s="21">
        <v>0.22</v>
      </c>
      <c r="N26" s="20">
        <v>0.23</v>
      </c>
      <c r="O26" s="20">
        <v>0.23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4.3</v>
      </c>
      <c r="H27" s="21"/>
      <c r="I27" s="21">
        <v>3.1</v>
      </c>
      <c r="J27" s="20">
        <v>4.5999999999999996</v>
      </c>
      <c r="K27" s="20">
        <v>4.4000000000000004</v>
      </c>
      <c r="L27" s="21"/>
      <c r="M27" s="21">
        <v>3.8</v>
      </c>
      <c r="N27" s="20"/>
      <c r="O27" s="20">
        <v>4.3</v>
      </c>
      <c r="P27" s="21"/>
      <c r="Q27" s="21">
        <v>4.5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4</v>
      </c>
      <c r="H28" s="21"/>
      <c r="I28" s="21">
        <v>2.2999999999999998</v>
      </c>
      <c r="J28" s="20">
        <v>3.6</v>
      </c>
      <c r="K28" s="20">
        <v>3.5</v>
      </c>
      <c r="L28" s="21"/>
      <c r="M28" s="21">
        <v>2.8</v>
      </c>
      <c r="N28" s="20">
        <v>3.1</v>
      </c>
      <c r="O28" s="20">
        <v>3.2</v>
      </c>
      <c r="P28" s="21"/>
      <c r="Q28" s="21">
        <v>3.4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/>
      <c r="G29" s="27">
        <f>G32-G28</f>
        <v>0.29999999999999982</v>
      </c>
      <c r="H29" s="27">
        <f t="shared" ref="H29:Q29" si="0">H32-H28</f>
        <v>0</v>
      </c>
      <c r="I29" s="27">
        <f t="shared" si="0"/>
        <v>1.7999999999999998</v>
      </c>
      <c r="J29" s="27">
        <f t="shared" si="0"/>
        <v>1.1999999999999997</v>
      </c>
      <c r="K29" s="27">
        <f t="shared" si="0"/>
        <v>1</v>
      </c>
      <c r="L29" s="27">
        <f>L32-L28</f>
        <v>0</v>
      </c>
      <c r="M29" s="27">
        <f>M32-M28</f>
        <v>1.1000000000000001</v>
      </c>
      <c r="N29" s="27">
        <f>N32-N28</f>
        <v>1.1999999999999997</v>
      </c>
      <c r="O29" s="27">
        <f>O32-O28</f>
        <v>0.69999999999999973</v>
      </c>
      <c r="P29" s="27">
        <f t="shared" si="0"/>
        <v>0</v>
      </c>
      <c r="Q29" s="27">
        <f t="shared" si="0"/>
        <v>0.5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632</v>
      </c>
      <c r="H30" s="21"/>
      <c r="I30" s="21">
        <v>632</v>
      </c>
      <c r="J30" s="20">
        <v>678.24</v>
      </c>
      <c r="K30" s="20">
        <v>634.29999999999995</v>
      </c>
      <c r="L30" s="21"/>
      <c r="M30" s="21">
        <v>628</v>
      </c>
      <c r="N30" s="20">
        <v>686</v>
      </c>
      <c r="O30" s="20">
        <v>635.6</v>
      </c>
      <c r="P30" s="21"/>
      <c r="Q30" s="21">
        <v>636.4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12.8</v>
      </c>
      <c r="H31" s="21"/>
      <c r="I31" s="21">
        <v>12.5</v>
      </c>
      <c r="J31" s="20">
        <v>13.3</v>
      </c>
      <c r="K31" s="20">
        <v>12.8</v>
      </c>
      <c r="L31" s="21"/>
      <c r="M31" s="21">
        <v>13.5</v>
      </c>
      <c r="N31" s="20">
        <v>12.7</v>
      </c>
      <c r="O31" s="20">
        <v>12.4</v>
      </c>
      <c r="P31" s="21"/>
      <c r="Q31" s="21">
        <v>12.4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4.3</v>
      </c>
      <c r="H32" s="21"/>
      <c r="I32" s="21">
        <v>4.0999999999999996</v>
      </c>
      <c r="J32" s="20">
        <v>4.8</v>
      </c>
      <c r="K32" s="20">
        <v>4.5</v>
      </c>
      <c r="L32" s="21"/>
      <c r="M32" s="21">
        <v>3.9</v>
      </c>
      <c r="N32" s="20">
        <v>4.3</v>
      </c>
      <c r="O32" s="20">
        <v>3.9</v>
      </c>
      <c r="P32" s="21"/>
      <c r="Q32" s="21">
        <v>3.9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8.5</v>
      </c>
      <c r="H33" s="27">
        <f t="shared" ref="H33:Q33" si="1">H31-H32</f>
        <v>0</v>
      </c>
      <c r="I33" s="27">
        <f t="shared" si="1"/>
        <v>8.4</v>
      </c>
      <c r="J33" s="27">
        <f t="shared" si="1"/>
        <v>8.5</v>
      </c>
      <c r="K33" s="27">
        <f t="shared" si="1"/>
        <v>8.3000000000000007</v>
      </c>
      <c r="L33" s="27">
        <f>L31-L32</f>
        <v>0</v>
      </c>
      <c r="M33" s="27">
        <f>M31-M32</f>
        <v>9.6</v>
      </c>
      <c r="N33" s="27">
        <f>N31-N32</f>
        <v>8.3999999999999986</v>
      </c>
      <c r="O33" s="27">
        <f>O31-O32</f>
        <v>8.5</v>
      </c>
      <c r="P33" s="27">
        <f t="shared" si="1"/>
        <v>0</v>
      </c>
      <c r="Q33" s="27">
        <f t="shared" si="1"/>
        <v>8.5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6203.233256351039</v>
      </c>
      <c r="H34" s="28">
        <f t="shared" ref="H34:Q34" si="2">(H33*H30)/0.866</f>
        <v>0</v>
      </c>
      <c r="I34" s="28">
        <f t="shared" si="2"/>
        <v>6130.2540415704389</v>
      </c>
      <c r="J34" s="28">
        <f t="shared" si="2"/>
        <v>6657.0900692840651</v>
      </c>
      <c r="K34" s="28">
        <f t="shared" si="2"/>
        <v>6079.3187066974606</v>
      </c>
      <c r="L34" s="28">
        <f>(L33*L30)/0.866</f>
        <v>0</v>
      </c>
      <c r="M34" s="28">
        <f>(M33*M30)/0.866</f>
        <v>6961.6628175519636</v>
      </c>
      <c r="N34" s="28">
        <f>(N33*N30)/0.866</f>
        <v>6654.0415704387979</v>
      </c>
      <c r="O34" s="28">
        <f>(O33*O30)/0.866</f>
        <v>6238.5681293302541</v>
      </c>
      <c r="P34" s="28">
        <f t="shared" si="2"/>
        <v>0</v>
      </c>
      <c r="Q34" s="28">
        <f t="shared" si="2"/>
        <v>6246.4203233256349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0.84</v>
      </c>
      <c r="H35" s="21"/>
      <c r="I35" s="21">
        <v>0.86</v>
      </c>
      <c r="J35" s="20">
        <v>0.83</v>
      </c>
      <c r="K35" s="20">
        <v>0.85</v>
      </c>
      <c r="L35" s="21"/>
      <c r="M35" s="21">
        <v>0.81</v>
      </c>
      <c r="N35" s="20">
        <v>0.8</v>
      </c>
      <c r="O35" s="20">
        <v>0.88</v>
      </c>
      <c r="P35" s="21"/>
      <c r="Q35" s="21">
        <v>0.85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36.6</v>
      </c>
      <c r="H36" s="21"/>
      <c r="I36" s="21">
        <v>37.1</v>
      </c>
      <c r="J36" s="20">
        <v>36</v>
      </c>
      <c r="K36" s="20">
        <v>37</v>
      </c>
      <c r="L36" s="21"/>
      <c r="M36" s="21">
        <v>37</v>
      </c>
      <c r="N36" s="20">
        <v>35.1</v>
      </c>
      <c r="O36" s="20">
        <v>36.4</v>
      </c>
      <c r="P36" s="21"/>
      <c r="Q36" s="21">
        <v>37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37.200000000000003</v>
      </c>
      <c r="H37" s="21"/>
      <c r="I37" s="21">
        <v>38</v>
      </c>
      <c r="J37" s="20">
        <v>36.799999999999997</v>
      </c>
      <c r="K37" s="20">
        <v>37.700000000000003</v>
      </c>
      <c r="L37" s="21"/>
      <c r="M37" s="21">
        <v>37.5</v>
      </c>
      <c r="N37" s="20">
        <v>35.6</v>
      </c>
      <c r="O37" s="20">
        <v>36.799999999999997</v>
      </c>
      <c r="P37" s="21"/>
      <c r="Q37" s="21">
        <v>37.700000000000003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1.6000000000000014</v>
      </c>
      <c r="H38" s="27">
        <v>1</v>
      </c>
      <c r="I38" s="27">
        <f t="shared" ref="I38:Q38" si="3">I37-I41</f>
        <v>3.1000000000000014</v>
      </c>
      <c r="J38" s="27">
        <f t="shared" si="3"/>
        <v>2.7999999999999972</v>
      </c>
      <c r="K38" s="27">
        <f t="shared" si="3"/>
        <v>2.1000000000000014</v>
      </c>
      <c r="L38" s="27">
        <f>L37-L41</f>
        <v>0</v>
      </c>
      <c r="M38" s="27">
        <f>M37-M41</f>
        <v>2.2000000000000028</v>
      </c>
      <c r="N38" s="27">
        <f>N37-N41</f>
        <v>2.3000000000000043</v>
      </c>
      <c r="O38" s="27">
        <f>O37-O41</f>
        <v>1.3999999999999986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30.3</v>
      </c>
      <c r="H40" s="21"/>
      <c r="I40" s="21">
        <v>30.3</v>
      </c>
      <c r="J40" s="20">
        <v>28.5</v>
      </c>
      <c r="K40" s="20">
        <v>30.2</v>
      </c>
      <c r="L40" s="21"/>
      <c r="M40" s="21">
        <v>30.1</v>
      </c>
      <c r="N40" s="20">
        <v>28.2</v>
      </c>
      <c r="O40" s="20">
        <v>30</v>
      </c>
      <c r="P40" s="21"/>
      <c r="Q40" s="21">
        <v>30.1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35.6</v>
      </c>
      <c r="H41" s="21"/>
      <c r="I41" s="21">
        <v>34.9</v>
      </c>
      <c r="J41" s="20">
        <v>34</v>
      </c>
      <c r="K41" s="20">
        <v>35.6</v>
      </c>
      <c r="L41" s="21"/>
      <c r="M41" s="21">
        <v>35.299999999999997</v>
      </c>
      <c r="N41" s="20">
        <v>33.299999999999997</v>
      </c>
      <c r="O41" s="20">
        <v>35.4</v>
      </c>
      <c r="P41" s="21"/>
      <c r="Q41" s="21">
        <v>35.200000000000003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5.3000000000000007</v>
      </c>
      <c r="H42" s="27">
        <f t="shared" ref="H42:Q42" si="4">H41-H40</f>
        <v>0</v>
      </c>
      <c r="I42" s="27">
        <f t="shared" si="4"/>
        <v>4.5999999999999979</v>
      </c>
      <c r="J42" s="27">
        <f t="shared" si="4"/>
        <v>5.5</v>
      </c>
      <c r="K42" s="27">
        <f t="shared" si="4"/>
        <v>5.4000000000000021</v>
      </c>
      <c r="L42" s="27">
        <f>L41-L40</f>
        <v>0</v>
      </c>
      <c r="M42" s="27">
        <f>M41-M40</f>
        <v>5.1999999999999957</v>
      </c>
      <c r="N42" s="27">
        <f>N41-N40</f>
        <v>5.0999999999999979</v>
      </c>
      <c r="O42" s="27">
        <f>O41-O40</f>
        <v>5.3999999999999986</v>
      </c>
      <c r="P42" s="27">
        <f t="shared" si="4"/>
        <v>0</v>
      </c>
      <c r="Q42" s="27">
        <f t="shared" si="4"/>
        <v>5.1000000000000014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1284.3</v>
      </c>
      <c r="H43" s="21"/>
      <c r="I43" s="21">
        <v>1284.9000000000001</v>
      </c>
      <c r="J43" s="20">
        <v>1292.06</v>
      </c>
      <c r="K43" s="20">
        <v>1299.5999999999999</v>
      </c>
      <c r="L43" s="21"/>
      <c r="M43" s="20">
        <v>1270.5999999999999</v>
      </c>
      <c r="N43" s="20">
        <v>1296.1199999999999</v>
      </c>
      <c r="O43" s="20">
        <v>1251.0999999999999</v>
      </c>
      <c r="P43" s="21"/>
      <c r="Q43" s="21">
        <v>1298.9000000000001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7860.034642032334</v>
      </c>
      <c r="H44" s="28">
        <f t="shared" ref="H44:Q44" si="5">H42*H43/0.866</f>
        <v>0</v>
      </c>
      <c r="I44" s="28">
        <f t="shared" si="5"/>
        <v>6825.1039260969947</v>
      </c>
      <c r="J44" s="28">
        <f t="shared" si="5"/>
        <v>8205.9237875288691</v>
      </c>
      <c r="K44" s="28">
        <f t="shared" si="5"/>
        <v>8103.7413394919195</v>
      </c>
      <c r="L44" s="28">
        <f>L42*L43/0.866</f>
        <v>0</v>
      </c>
      <c r="M44" s="28">
        <f>M42*M43/0.866</f>
        <v>7629.4688221708948</v>
      </c>
      <c r="N44" s="28">
        <f>N42*N43/0.866</f>
        <v>7633.0392609699729</v>
      </c>
      <c r="O44" s="28">
        <f>O42*O43/0.866</f>
        <v>7801.3163972286347</v>
      </c>
      <c r="P44" s="28">
        <f t="shared" si="5"/>
        <v>0</v>
      </c>
      <c r="Q44" s="28">
        <f t="shared" si="5"/>
        <v>7649.4110854503488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0.48</v>
      </c>
      <c r="H45" s="21"/>
      <c r="I45" s="21">
        <v>0.46</v>
      </c>
      <c r="J45" s="20">
        <v>0.46</v>
      </c>
      <c r="K45" s="20">
        <v>0.47</v>
      </c>
      <c r="L45" s="21"/>
      <c r="M45" s="21">
        <v>0.47</v>
      </c>
      <c r="N45" s="20">
        <v>0.48</v>
      </c>
      <c r="O45" s="20">
        <v>0.47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20.6</v>
      </c>
      <c r="H46" s="21"/>
      <c r="I46" s="21">
        <v>19.8</v>
      </c>
      <c r="J46" s="20">
        <v>19.7</v>
      </c>
      <c r="K46" s="20">
        <v>20.2</v>
      </c>
      <c r="L46" s="21"/>
      <c r="M46" s="21">
        <v>19.899999999999999</v>
      </c>
      <c r="N46" s="20">
        <v>19.600000000000001</v>
      </c>
      <c r="O46" s="20">
        <v>19.899999999999999</v>
      </c>
      <c r="P46" s="21"/>
      <c r="Q46" s="21">
        <v>20.3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199.8</v>
      </c>
      <c r="H47" s="21"/>
      <c r="I47" s="21">
        <v>128.4</v>
      </c>
      <c r="J47" s="20">
        <v>206.9</v>
      </c>
      <c r="K47" s="20">
        <v>204.8</v>
      </c>
      <c r="L47" s="21"/>
      <c r="M47" s="21">
        <v>203.9</v>
      </c>
      <c r="N47" s="20">
        <v>165</v>
      </c>
      <c r="O47" s="20">
        <v>162.30000000000001</v>
      </c>
      <c r="P47" s="21"/>
      <c r="Q47" s="21">
        <v>200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45">
        <v>5.89</v>
      </c>
      <c r="F49" s="20"/>
      <c r="G49" s="20">
        <v>5.85</v>
      </c>
      <c r="H49" s="21"/>
      <c r="I49" s="21">
        <v>5.56</v>
      </c>
      <c r="J49" s="20">
        <v>5.4</v>
      </c>
      <c r="K49" s="20">
        <v>5.57</v>
      </c>
      <c r="L49" s="21"/>
      <c r="M49" s="21">
        <v>5.62</v>
      </c>
      <c r="N49" s="20">
        <v>5.31</v>
      </c>
      <c r="O49" s="20">
        <v>5.57</v>
      </c>
      <c r="P49" s="21"/>
      <c r="Q49" s="21">
        <v>5.34</v>
      </c>
    </row>
    <row r="50" spans="2:17" ht="20.100000000000001" customHeight="1">
      <c r="B50" s="92" t="s">
        <v>91</v>
      </c>
      <c r="C50" s="92"/>
      <c r="D50" s="92"/>
      <c r="E50" s="4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4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L48" sqref="L48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45785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47" t="s">
        <v>18</v>
      </c>
      <c r="E10" s="15"/>
      <c r="F10" s="16"/>
      <c r="G10" s="17" t="s">
        <v>19</v>
      </c>
      <c r="H10" s="18"/>
      <c r="I10" s="18" t="s">
        <v>19</v>
      </c>
      <c r="J10" s="17"/>
      <c r="K10" s="17" t="s">
        <v>19</v>
      </c>
      <c r="L10" s="18"/>
      <c r="M10" s="18" t="s">
        <v>19</v>
      </c>
      <c r="N10" s="17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70.599999999999994</v>
      </c>
      <c r="H11" s="21"/>
      <c r="I11" s="21">
        <v>78.5</v>
      </c>
      <c r="J11" s="20"/>
      <c r="K11" s="20">
        <v>73.400000000000006</v>
      </c>
      <c r="L11" s="21"/>
      <c r="M11" s="21">
        <v>72</v>
      </c>
      <c r="N11" s="20"/>
      <c r="O11" s="20">
        <v>73.7</v>
      </c>
      <c r="P11" s="21"/>
      <c r="Q11" s="21">
        <v>73.3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0.4</v>
      </c>
      <c r="H12" s="21"/>
      <c r="I12" s="21">
        <v>0</v>
      </c>
      <c r="J12" s="20"/>
      <c r="K12" s="20">
        <v>0</v>
      </c>
      <c r="L12" s="21"/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64.599999999999994</v>
      </c>
      <c r="H13" s="21"/>
      <c r="I13" s="21">
        <v>73.3</v>
      </c>
      <c r="J13" s="20"/>
      <c r="K13" s="20">
        <v>58.1</v>
      </c>
      <c r="L13" s="21"/>
      <c r="M13" s="21">
        <v>68.7</v>
      </c>
      <c r="N13" s="20"/>
      <c r="O13" s="20">
        <v>71</v>
      </c>
      <c r="P13" s="21"/>
      <c r="Q13" s="21">
        <v>68.400000000000006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69.2</v>
      </c>
      <c r="H14" s="21"/>
      <c r="I14" s="21">
        <v>71.7</v>
      </c>
      <c r="J14" s="20"/>
      <c r="K14" s="20">
        <v>64.400000000000006</v>
      </c>
      <c r="L14" s="21"/>
      <c r="M14" s="21">
        <v>68</v>
      </c>
      <c r="N14" s="20"/>
      <c r="O14" s="20">
        <v>739</v>
      </c>
      <c r="P14" s="21"/>
      <c r="Q14" s="21">
        <v>72.7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36.6</v>
      </c>
      <c r="H15" s="21"/>
      <c r="I15" s="21">
        <v>51.7</v>
      </c>
      <c r="J15" s="20"/>
      <c r="K15" s="20">
        <v>38.6</v>
      </c>
      <c r="L15" s="21"/>
      <c r="M15" s="21">
        <v>32.4</v>
      </c>
      <c r="N15" s="20"/>
      <c r="O15" s="20">
        <v>53.8</v>
      </c>
      <c r="P15" s="21"/>
      <c r="Q15" s="21">
        <v>42.6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117</v>
      </c>
      <c r="H17" s="21"/>
      <c r="I17" s="21">
        <v>115.9</v>
      </c>
      <c r="J17" s="20"/>
      <c r="K17" s="20">
        <v>117.6</v>
      </c>
      <c r="L17" s="21"/>
      <c r="M17" s="21">
        <v>115.6</v>
      </c>
      <c r="N17" s="20"/>
      <c r="O17" s="20">
        <v>118</v>
      </c>
      <c r="P17" s="21"/>
      <c r="Q17" s="21">
        <v>118.8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1138</v>
      </c>
      <c r="H18" s="21"/>
      <c r="I18" s="21">
        <v>1180</v>
      </c>
      <c r="J18" s="20"/>
      <c r="K18" s="20">
        <v>1192</v>
      </c>
      <c r="L18" s="21"/>
      <c r="M18" s="21">
        <v>1171</v>
      </c>
      <c r="N18" s="20"/>
      <c r="O18" s="20">
        <v>1197</v>
      </c>
      <c r="P18" s="21"/>
      <c r="Q18" s="21">
        <v>1197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50257.599999999999</v>
      </c>
      <c r="H19" s="21"/>
      <c r="I19" s="21">
        <v>51350.9</v>
      </c>
      <c r="J19" s="20"/>
      <c r="K19" s="20">
        <v>49187</v>
      </c>
      <c r="L19" s="21"/>
      <c r="M19" s="21">
        <v>51588.1</v>
      </c>
      <c r="N19" s="20"/>
      <c r="O19" s="20">
        <v>50772.6</v>
      </c>
      <c r="P19" s="21"/>
      <c r="Q19" s="21">
        <v>50730.5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58.1</v>
      </c>
      <c r="H22" s="21"/>
      <c r="I22" s="21">
        <v>59</v>
      </c>
      <c r="J22" s="20"/>
      <c r="K22" s="20">
        <v>60.3</v>
      </c>
      <c r="L22" s="21"/>
      <c r="M22" s="21">
        <v>57.3</v>
      </c>
      <c r="N22" s="20"/>
      <c r="O22" s="20">
        <v>58.7</v>
      </c>
      <c r="P22" s="21"/>
      <c r="Q22" s="21">
        <v>59.2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/>
      <c r="K23" s="20">
        <v>0.59</v>
      </c>
      <c r="L23" s="21"/>
      <c r="M23" s="21">
        <v>0.52</v>
      </c>
      <c r="N23" s="20"/>
      <c r="O23" s="20">
        <v>0.48</v>
      </c>
      <c r="P23" s="21"/>
      <c r="Q23" s="21">
        <v>0.5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1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45.2</v>
      </c>
      <c r="H25" s="21"/>
      <c r="I25" s="21">
        <v>45.1</v>
      </c>
      <c r="J25" s="20"/>
      <c r="K25" s="20">
        <v>46.6</v>
      </c>
      <c r="L25" s="21"/>
      <c r="M25" s="21">
        <v>45</v>
      </c>
      <c r="N25" s="20"/>
      <c r="O25" s="20">
        <v>44.8</v>
      </c>
      <c r="P25" s="21"/>
      <c r="Q25" s="21">
        <v>45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/>
      <c r="K26" s="20">
        <v>0.23</v>
      </c>
      <c r="L26" s="21"/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4.3</v>
      </c>
      <c r="H27" s="21"/>
      <c r="I27" s="21">
        <v>3.3</v>
      </c>
      <c r="J27" s="20"/>
      <c r="K27" s="20">
        <v>4.4000000000000004</v>
      </c>
      <c r="L27" s="21"/>
      <c r="M27" s="21">
        <v>4</v>
      </c>
      <c r="N27" s="20"/>
      <c r="O27" s="20">
        <v>4.5</v>
      </c>
      <c r="P27" s="21"/>
      <c r="Q27" s="21">
        <v>4.7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3.9</v>
      </c>
      <c r="H28" s="21"/>
      <c r="I28" s="21">
        <v>2.6</v>
      </c>
      <c r="J28" s="20"/>
      <c r="K28" s="20">
        <v>3.5</v>
      </c>
      <c r="L28" s="21"/>
      <c r="M28" s="21">
        <v>3.1</v>
      </c>
      <c r="N28" s="20"/>
      <c r="O28" s="20">
        <v>3.5</v>
      </c>
      <c r="P28" s="21"/>
      <c r="Q28" s="21">
        <v>3.7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/>
      <c r="G29" s="27">
        <f>G32-G28</f>
        <v>0.80000000000000027</v>
      </c>
      <c r="H29" s="27">
        <f t="shared" ref="H29:Q29" si="0">H32-H28</f>
        <v>0</v>
      </c>
      <c r="I29" s="27">
        <f t="shared" si="0"/>
        <v>2.3000000000000003</v>
      </c>
      <c r="J29" s="27">
        <f t="shared" si="0"/>
        <v>0</v>
      </c>
      <c r="K29" s="27">
        <f t="shared" si="0"/>
        <v>0.70000000000000018</v>
      </c>
      <c r="L29" s="27">
        <f>L32-L28</f>
        <v>0</v>
      </c>
      <c r="M29" s="27">
        <f>M32-M28</f>
        <v>1.1999999999999997</v>
      </c>
      <c r="N29" s="27">
        <f>N32-N28</f>
        <v>0</v>
      </c>
      <c r="O29" s="27">
        <f>O32-O28</f>
        <v>1.0999999999999996</v>
      </c>
      <c r="P29" s="27">
        <f t="shared" si="0"/>
        <v>0</v>
      </c>
      <c r="Q29" s="27">
        <f t="shared" si="0"/>
        <v>1.0999999999999996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657.2</v>
      </c>
      <c r="H30" s="21"/>
      <c r="I30" s="21">
        <v>634.9</v>
      </c>
      <c r="J30" s="20"/>
      <c r="K30" s="20">
        <v>635.97</v>
      </c>
      <c r="L30" s="21"/>
      <c r="M30" s="21">
        <v>622.20000000000005</v>
      </c>
      <c r="N30" s="20"/>
      <c r="O30" s="20">
        <v>639.20000000000005</v>
      </c>
      <c r="P30" s="21"/>
      <c r="Q30" s="21">
        <v>637.6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13.9</v>
      </c>
      <c r="H31" s="21"/>
      <c r="I31" s="21">
        <v>13.8</v>
      </c>
      <c r="J31" s="20"/>
      <c r="K31" s="20">
        <v>13.3</v>
      </c>
      <c r="L31" s="21"/>
      <c r="M31" s="21">
        <v>13.8</v>
      </c>
      <c r="N31" s="20"/>
      <c r="O31" s="20">
        <v>13.9</v>
      </c>
      <c r="P31" s="21"/>
      <c r="Q31" s="21">
        <v>13.6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4.7</v>
      </c>
      <c r="H32" s="21"/>
      <c r="I32" s="21">
        <v>4.9000000000000004</v>
      </c>
      <c r="J32" s="20"/>
      <c r="K32" s="20">
        <v>4.2</v>
      </c>
      <c r="L32" s="21"/>
      <c r="M32" s="21">
        <v>4.3</v>
      </c>
      <c r="N32" s="20"/>
      <c r="O32" s="20">
        <v>4.5999999999999996</v>
      </c>
      <c r="P32" s="21"/>
      <c r="Q32" s="21">
        <v>4.8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9.1999999999999993</v>
      </c>
      <c r="H33" s="27">
        <f t="shared" ref="H33:Q33" si="1">H31-H32</f>
        <v>0</v>
      </c>
      <c r="I33" s="27">
        <f t="shared" si="1"/>
        <v>8.9</v>
      </c>
      <c r="J33" s="27">
        <f t="shared" si="1"/>
        <v>0</v>
      </c>
      <c r="K33" s="27">
        <f t="shared" si="1"/>
        <v>9.1000000000000014</v>
      </c>
      <c r="L33" s="27">
        <f>L31-L32</f>
        <v>0</v>
      </c>
      <c r="M33" s="27">
        <f>M31-M32</f>
        <v>9.5</v>
      </c>
      <c r="N33" s="27">
        <f>N31-N32</f>
        <v>0</v>
      </c>
      <c r="O33" s="27">
        <f>O31-O32</f>
        <v>9.3000000000000007</v>
      </c>
      <c r="P33" s="27">
        <f t="shared" si="1"/>
        <v>0</v>
      </c>
      <c r="Q33" s="27">
        <f t="shared" si="1"/>
        <v>8.8000000000000007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6981.8013856812931</v>
      </c>
      <c r="H34" s="28">
        <f t="shared" ref="H34:Q34" si="2">(H33*H30)/0.866</f>
        <v>0</v>
      </c>
      <c r="I34" s="28">
        <f t="shared" si="2"/>
        <v>6524.9538106235559</v>
      </c>
      <c r="J34" s="28">
        <f t="shared" si="2"/>
        <v>0</v>
      </c>
      <c r="K34" s="28">
        <f t="shared" si="2"/>
        <v>6682.8256351039272</v>
      </c>
      <c r="L34" s="28">
        <f>(L33*L30)/0.866</f>
        <v>0</v>
      </c>
      <c r="M34" s="28">
        <f>(M33*M30)/0.866</f>
        <v>6825.5196304849887</v>
      </c>
      <c r="N34" s="28">
        <f>(N33*N30)/0.866</f>
        <v>0</v>
      </c>
      <c r="O34" s="28">
        <f>(O33*O30)/0.866</f>
        <v>6864.3879907621267</v>
      </c>
      <c r="P34" s="28">
        <f t="shared" si="2"/>
        <v>0</v>
      </c>
      <c r="Q34" s="28">
        <f t="shared" si="2"/>
        <v>6479.0762124711327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0.82</v>
      </c>
      <c r="H35" s="21"/>
      <c r="I35" s="21">
        <v>0.84</v>
      </c>
      <c r="J35" s="20"/>
      <c r="K35" s="20">
        <v>0.83</v>
      </c>
      <c r="L35" s="21"/>
      <c r="M35" s="21">
        <v>0.82</v>
      </c>
      <c r="N35" s="20"/>
      <c r="O35" s="20">
        <v>0.8</v>
      </c>
      <c r="P35" s="21"/>
      <c r="Q35" s="21">
        <v>0.83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35.799999999999997</v>
      </c>
      <c r="H36" s="21"/>
      <c r="I36" s="21">
        <v>36.299999999999997</v>
      </c>
      <c r="J36" s="20"/>
      <c r="K36" s="20">
        <v>36.200000000000003</v>
      </c>
      <c r="L36" s="21"/>
      <c r="M36" s="21">
        <v>36.1</v>
      </c>
      <c r="N36" s="20"/>
      <c r="O36" s="20">
        <v>35.5</v>
      </c>
      <c r="P36" s="21"/>
      <c r="Q36" s="21">
        <v>36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36.4</v>
      </c>
      <c r="H37" s="21"/>
      <c r="I37" s="21">
        <v>37.200000000000003</v>
      </c>
      <c r="J37" s="20"/>
      <c r="K37" s="20">
        <v>36.9</v>
      </c>
      <c r="L37" s="21"/>
      <c r="M37" s="21">
        <v>36.6</v>
      </c>
      <c r="N37" s="20"/>
      <c r="O37" s="20">
        <v>35.9</v>
      </c>
      <c r="P37" s="21"/>
      <c r="Q37" s="21">
        <v>36.799999999999997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1.6999999999999957</v>
      </c>
      <c r="H38" s="27">
        <v>1</v>
      </c>
      <c r="I38" s="27">
        <f t="shared" ref="I38:Q38" si="3">I37-I41</f>
        <v>3.2000000000000028</v>
      </c>
      <c r="J38" s="27">
        <f t="shared" si="3"/>
        <v>0</v>
      </c>
      <c r="K38" s="27">
        <f t="shared" si="3"/>
        <v>2.1000000000000014</v>
      </c>
      <c r="L38" s="27">
        <f>L37-L41</f>
        <v>0</v>
      </c>
      <c r="M38" s="27">
        <f>M37-M41</f>
        <v>1.8000000000000043</v>
      </c>
      <c r="N38" s="27">
        <f>N37-N41</f>
        <v>0</v>
      </c>
      <c r="O38" s="27">
        <f>O37-O41</f>
        <v>1.6000000000000014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29.3</v>
      </c>
      <c r="H40" s="21"/>
      <c r="I40" s="21">
        <v>29.2</v>
      </c>
      <c r="J40" s="20"/>
      <c r="K40" s="20">
        <v>29.3</v>
      </c>
      <c r="L40" s="21"/>
      <c r="M40" s="21">
        <v>29.3</v>
      </c>
      <c r="N40" s="20"/>
      <c r="O40" s="20">
        <v>29</v>
      </c>
      <c r="P40" s="21"/>
      <c r="Q40" s="21">
        <v>29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34.700000000000003</v>
      </c>
      <c r="H41" s="21"/>
      <c r="I41" s="21">
        <v>34</v>
      </c>
      <c r="J41" s="20"/>
      <c r="K41" s="20">
        <v>34.799999999999997</v>
      </c>
      <c r="L41" s="21"/>
      <c r="M41" s="21">
        <v>34.799999999999997</v>
      </c>
      <c r="N41" s="20"/>
      <c r="O41" s="20">
        <v>34.299999999999997</v>
      </c>
      <c r="P41" s="21"/>
      <c r="Q41" s="21">
        <v>34.299999999999997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5.4000000000000021</v>
      </c>
      <c r="H42" s="27">
        <f t="shared" ref="H42:Q42" si="4">H41-H40</f>
        <v>0</v>
      </c>
      <c r="I42" s="27">
        <f t="shared" si="4"/>
        <v>4.8000000000000007</v>
      </c>
      <c r="J42" s="27">
        <f t="shared" si="4"/>
        <v>0</v>
      </c>
      <c r="K42" s="27">
        <f t="shared" si="4"/>
        <v>5.4999999999999964</v>
      </c>
      <c r="L42" s="27">
        <f>L41-L40</f>
        <v>0</v>
      </c>
      <c r="M42" s="27">
        <f>M41-M40</f>
        <v>5.4999999999999964</v>
      </c>
      <c r="N42" s="27">
        <f>N41-N40</f>
        <v>0</v>
      </c>
      <c r="O42" s="27">
        <f>O41-O40</f>
        <v>5.2999999999999972</v>
      </c>
      <c r="P42" s="27">
        <f t="shared" si="4"/>
        <v>0</v>
      </c>
      <c r="Q42" s="27">
        <f t="shared" si="4"/>
        <v>5.2999999999999972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1296.3</v>
      </c>
      <c r="H43" s="21"/>
      <c r="I43" s="21">
        <v>1298.2</v>
      </c>
      <c r="J43" s="20"/>
      <c r="K43" s="20">
        <v>1293.0999999999999</v>
      </c>
      <c r="L43" s="21"/>
      <c r="M43" s="20">
        <v>1296.7</v>
      </c>
      <c r="N43" s="20"/>
      <c r="O43" s="20">
        <v>1294.8</v>
      </c>
      <c r="P43" s="21"/>
      <c r="Q43" s="21">
        <v>1298.3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8083.1639722863765</v>
      </c>
      <c r="H44" s="28">
        <f t="shared" ref="H44:Q44" si="5">H42*H43/0.866</f>
        <v>0</v>
      </c>
      <c r="I44" s="28">
        <f t="shared" si="5"/>
        <v>7195.5658198614337</v>
      </c>
      <c r="J44" s="28">
        <f t="shared" si="5"/>
        <v>0</v>
      </c>
      <c r="K44" s="28">
        <f t="shared" si="5"/>
        <v>8212.5288683602703</v>
      </c>
      <c r="L44" s="28">
        <f>L42*L43/0.866</f>
        <v>0</v>
      </c>
      <c r="M44" s="28">
        <f>M42*M43/0.866</f>
        <v>8235.3926096997639</v>
      </c>
      <c r="N44" s="28">
        <f>N42*N43/0.866</f>
        <v>0</v>
      </c>
      <c r="O44" s="28">
        <f>O42*O43/0.866</f>
        <v>7924.2956120092331</v>
      </c>
      <c r="P44" s="28">
        <f t="shared" si="5"/>
        <v>0</v>
      </c>
      <c r="Q44" s="28">
        <f t="shared" si="5"/>
        <v>7945.7159353348688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/>
      <c r="K45" s="20">
        <v>0.46</v>
      </c>
      <c r="L45" s="21"/>
      <c r="M45" s="21">
        <v>0.46</v>
      </c>
      <c r="N45" s="20"/>
      <c r="O45" s="20">
        <v>0.45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19.899999999999999</v>
      </c>
      <c r="H46" s="21"/>
      <c r="I46" s="21">
        <v>19.5</v>
      </c>
      <c r="J46" s="20"/>
      <c r="K46" s="20">
        <v>19.7</v>
      </c>
      <c r="L46" s="21"/>
      <c r="M46" s="21">
        <v>19.7</v>
      </c>
      <c r="N46" s="20"/>
      <c r="O46" s="20">
        <v>19.2</v>
      </c>
      <c r="P46" s="21"/>
      <c r="Q46" s="21">
        <v>20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198.8</v>
      </c>
      <c r="H47" s="21"/>
      <c r="I47" s="21">
        <v>122.9</v>
      </c>
      <c r="J47" s="20"/>
      <c r="K47" s="20">
        <v>214.5</v>
      </c>
      <c r="L47" s="21"/>
      <c r="M47" s="21">
        <v>209.4</v>
      </c>
      <c r="N47" s="20"/>
      <c r="O47" s="20">
        <v>160.4</v>
      </c>
      <c r="P47" s="21"/>
      <c r="Q47" s="21">
        <v>195.3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47">
        <v>5.89</v>
      </c>
      <c r="F49" s="20"/>
      <c r="G49" s="20">
        <v>5.97</v>
      </c>
      <c r="H49" s="21"/>
      <c r="I49" s="21">
        <v>5.62</v>
      </c>
      <c r="J49" s="20"/>
      <c r="K49" s="20">
        <v>5.64</v>
      </c>
      <c r="L49" s="21"/>
      <c r="M49" s="21">
        <v>6</v>
      </c>
      <c r="N49" s="20"/>
      <c r="O49" s="20">
        <v>5.73</v>
      </c>
      <c r="P49" s="21"/>
      <c r="Q49" s="21">
        <v>5.34</v>
      </c>
    </row>
    <row r="50" spans="2:17" ht="20.100000000000001" customHeight="1">
      <c r="B50" s="92" t="s">
        <v>91</v>
      </c>
      <c r="C50" s="92"/>
      <c r="D50" s="92"/>
      <c r="E50" s="4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4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Q19" sqref="Q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45786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49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/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68.2</v>
      </c>
      <c r="H11" s="21"/>
      <c r="I11" s="21">
        <v>77.3</v>
      </c>
      <c r="J11" s="20">
        <v>74.5</v>
      </c>
      <c r="K11" s="20">
        <v>74</v>
      </c>
      <c r="L11" s="21"/>
      <c r="M11" s="21">
        <v>73.900000000000006</v>
      </c>
      <c r="N11" s="20">
        <v>78.2</v>
      </c>
      <c r="O11" s="20">
        <v>74.5</v>
      </c>
      <c r="P11" s="21"/>
      <c r="Q11" s="21">
        <v>73.7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0.1</v>
      </c>
      <c r="H12" s="21"/>
      <c r="I12" s="21">
        <v>0</v>
      </c>
      <c r="J12" s="20">
        <v>0</v>
      </c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61.8</v>
      </c>
      <c r="H13" s="21"/>
      <c r="I13" s="21">
        <v>72.7</v>
      </c>
      <c r="J13" s="20">
        <v>69.2</v>
      </c>
      <c r="K13" s="20">
        <v>68</v>
      </c>
      <c r="L13" s="21"/>
      <c r="M13" s="21">
        <v>70.2</v>
      </c>
      <c r="N13" s="20">
        <v>74</v>
      </c>
      <c r="O13" s="20">
        <v>69.7</v>
      </c>
      <c r="P13" s="21"/>
      <c r="Q13" s="21">
        <v>68.400000000000006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69.8</v>
      </c>
      <c r="H14" s="21"/>
      <c r="I14" s="21">
        <v>70.900000000000006</v>
      </c>
      <c r="J14" s="20">
        <v>64.099999999999994</v>
      </c>
      <c r="K14" s="20">
        <v>64.599999999999994</v>
      </c>
      <c r="L14" s="21"/>
      <c r="M14" s="21">
        <v>68.3</v>
      </c>
      <c r="N14" s="20">
        <v>74.400000000000006</v>
      </c>
      <c r="O14" s="20">
        <v>75.2</v>
      </c>
      <c r="P14" s="21"/>
      <c r="Q14" s="21">
        <v>73.599999999999994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36</v>
      </c>
      <c r="H15" s="21"/>
      <c r="I15" s="21">
        <v>51.3</v>
      </c>
      <c r="J15" s="20">
        <v>38.200000000000003</v>
      </c>
      <c r="K15" s="20">
        <v>38.9</v>
      </c>
      <c r="L15" s="21"/>
      <c r="M15" s="21">
        <v>34.1</v>
      </c>
      <c r="N15" s="20">
        <v>54.7</v>
      </c>
      <c r="O15" s="20">
        <v>53.3</v>
      </c>
      <c r="P15" s="21"/>
      <c r="Q15" s="21">
        <v>43.9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115.9</v>
      </c>
      <c r="H17" s="21"/>
      <c r="I17" s="21">
        <v>117.1</v>
      </c>
      <c r="J17" s="20">
        <v>117.8</v>
      </c>
      <c r="K17" s="20">
        <v>117.9</v>
      </c>
      <c r="L17" s="21"/>
      <c r="M17" s="21">
        <v>117.9</v>
      </c>
      <c r="N17" s="20">
        <v>120.5</v>
      </c>
      <c r="O17" s="20">
        <v>118.5</v>
      </c>
      <c r="P17" s="21"/>
      <c r="Q17" s="21">
        <v>119.2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1130</v>
      </c>
      <c r="H18" s="21"/>
      <c r="I18" s="21">
        <v>1175</v>
      </c>
      <c r="J18" s="20">
        <v>1195</v>
      </c>
      <c r="K18" s="20">
        <v>1186</v>
      </c>
      <c r="L18" s="21"/>
      <c r="M18" s="21">
        <v>1191</v>
      </c>
      <c r="N18" s="20">
        <v>1221</v>
      </c>
      <c r="O18" s="20">
        <v>1191</v>
      </c>
      <c r="P18" s="21"/>
      <c r="Q18" s="21">
        <v>1201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50277.3</v>
      </c>
      <c r="H19" s="21"/>
      <c r="I19" s="21">
        <v>51360.5</v>
      </c>
      <c r="J19" s="20">
        <v>49204.800000000003</v>
      </c>
      <c r="K19" s="20">
        <v>49195.7</v>
      </c>
      <c r="L19" s="21"/>
      <c r="M19" s="21">
        <v>51612.1</v>
      </c>
      <c r="N19" s="20">
        <v>50791.3</v>
      </c>
      <c r="O19" s="20">
        <v>50782.2</v>
      </c>
      <c r="P19" s="21"/>
      <c r="Q19" s="21">
        <v>50739.9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58.2</v>
      </c>
      <c r="H22" s="21"/>
      <c r="I22" s="21">
        <v>59.2</v>
      </c>
      <c r="J22" s="20">
        <v>57.6</v>
      </c>
      <c r="K22" s="20">
        <v>57.5</v>
      </c>
      <c r="L22" s="21"/>
      <c r="M22" s="21">
        <v>57.6</v>
      </c>
      <c r="N22" s="20">
        <v>44.9</v>
      </c>
      <c r="O22" s="20">
        <v>58.8</v>
      </c>
      <c r="P22" s="21"/>
      <c r="Q22" s="21">
        <v>59.3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0.59</v>
      </c>
      <c r="K23" s="20">
        <v>0.59</v>
      </c>
      <c r="L23" s="21"/>
      <c r="M23" s="21">
        <v>0.52</v>
      </c>
      <c r="N23" s="20">
        <v>0.47</v>
      </c>
      <c r="O23" s="20">
        <v>0.48</v>
      </c>
      <c r="P23" s="21"/>
      <c r="Q23" s="21">
        <v>0.5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1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44.8</v>
      </c>
      <c r="H25" s="21"/>
      <c r="I25" s="21">
        <v>44.9</v>
      </c>
      <c r="J25" s="20">
        <v>45.2</v>
      </c>
      <c r="K25" s="20">
        <v>45</v>
      </c>
      <c r="L25" s="21"/>
      <c r="M25" s="21">
        <v>44.8</v>
      </c>
      <c r="N25" s="20">
        <v>44.9</v>
      </c>
      <c r="O25" s="20">
        <v>44.9</v>
      </c>
      <c r="P25" s="21"/>
      <c r="Q25" s="21">
        <v>44.8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>
        <v>0.22</v>
      </c>
      <c r="K26" s="20">
        <v>0.22</v>
      </c>
      <c r="L26" s="21"/>
      <c r="M26" s="21">
        <v>0.22</v>
      </c>
      <c r="N26" s="20">
        <v>0.22</v>
      </c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4.5</v>
      </c>
      <c r="H27" s="21"/>
      <c r="I27" s="21">
        <v>3.4</v>
      </c>
      <c r="J27" s="20">
        <v>4</v>
      </c>
      <c r="K27" s="20">
        <v>4.0999999999999996</v>
      </c>
      <c r="L27" s="21"/>
      <c r="M27" s="21">
        <v>4.2</v>
      </c>
      <c r="N27" s="20">
        <v>4.2</v>
      </c>
      <c r="O27" s="20">
        <v>4.4000000000000004</v>
      </c>
      <c r="P27" s="21"/>
      <c r="Q27" s="21">
        <v>4.9000000000000004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4</v>
      </c>
      <c r="H28" s="21"/>
      <c r="I28" s="21">
        <v>2.5</v>
      </c>
      <c r="J28" s="20">
        <v>3.2</v>
      </c>
      <c r="K28" s="20">
        <v>3.3</v>
      </c>
      <c r="L28" s="21"/>
      <c r="M28" s="21">
        <v>3.1</v>
      </c>
      <c r="N28" s="20">
        <v>3</v>
      </c>
      <c r="O28" s="20">
        <v>3.2</v>
      </c>
      <c r="P28" s="21"/>
      <c r="Q28" s="21">
        <v>3.9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/>
      <c r="G29" s="27">
        <f>G32-G28</f>
        <v>0.79999999999999982</v>
      </c>
      <c r="H29" s="27">
        <f t="shared" ref="H29:Q29" si="0">H32-H28</f>
        <v>0</v>
      </c>
      <c r="I29" s="27">
        <f t="shared" si="0"/>
        <v>2.5</v>
      </c>
      <c r="J29" s="27">
        <f t="shared" si="0"/>
        <v>1.3999999999999995</v>
      </c>
      <c r="K29" s="27">
        <f t="shared" si="0"/>
        <v>0.70000000000000018</v>
      </c>
      <c r="L29" s="27">
        <f>L32-L28</f>
        <v>0</v>
      </c>
      <c r="M29" s="27">
        <f>M32-M28</f>
        <v>1.3000000000000003</v>
      </c>
      <c r="N29" s="27">
        <f>N32-N28</f>
        <v>1.2999999999999998</v>
      </c>
      <c r="O29" s="27">
        <f>O32-O28</f>
        <v>1.2999999999999998</v>
      </c>
      <c r="P29" s="27">
        <f t="shared" si="0"/>
        <v>0</v>
      </c>
      <c r="Q29" s="27">
        <f t="shared" si="0"/>
        <v>1.1000000000000001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638.1</v>
      </c>
      <c r="H30" s="21"/>
      <c r="I30" s="21">
        <v>626.29999999999995</v>
      </c>
      <c r="J30" s="20">
        <v>639.20000000000005</v>
      </c>
      <c r="K30" s="20">
        <v>648.9</v>
      </c>
      <c r="L30" s="21"/>
      <c r="M30" s="21">
        <v>638.4</v>
      </c>
      <c r="N30" s="20">
        <v>636.9</v>
      </c>
      <c r="O30" s="20">
        <v>637.70000000000005</v>
      </c>
      <c r="P30" s="21"/>
      <c r="Q30" s="21">
        <v>631.79999999999995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13.9</v>
      </c>
      <c r="H31" s="21"/>
      <c r="I31" s="21">
        <v>13.9</v>
      </c>
      <c r="J31" s="20">
        <v>13.5</v>
      </c>
      <c r="K31" s="20">
        <v>13</v>
      </c>
      <c r="L31" s="21"/>
      <c r="M31" s="21">
        <v>13.5</v>
      </c>
      <c r="N31" s="20">
        <v>13.5</v>
      </c>
      <c r="O31" s="20">
        <v>13.5</v>
      </c>
      <c r="P31" s="21"/>
      <c r="Q31" s="21">
        <v>13.7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4.8</v>
      </c>
      <c r="H32" s="21"/>
      <c r="I32" s="21">
        <v>5</v>
      </c>
      <c r="J32" s="20">
        <v>4.5999999999999996</v>
      </c>
      <c r="K32" s="20">
        <v>4</v>
      </c>
      <c r="L32" s="21"/>
      <c r="M32" s="21">
        <v>4.4000000000000004</v>
      </c>
      <c r="N32" s="20">
        <v>4.3</v>
      </c>
      <c r="O32" s="20">
        <v>4.5</v>
      </c>
      <c r="P32" s="21"/>
      <c r="Q32" s="21">
        <v>5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9.1000000000000014</v>
      </c>
      <c r="H33" s="27">
        <f t="shared" ref="H33:Q33" si="1">H31-H32</f>
        <v>0</v>
      </c>
      <c r="I33" s="27">
        <f t="shared" si="1"/>
        <v>8.9</v>
      </c>
      <c r="J33" s="27">
        <f t="shared" si="1"/>
        <v>8.9</v>
      </c>
      <c r="K33" s="27">
        <f t="shared" si="1"/>
        <v>9</v>
      </c>
      <c r="L33" s="27">
        <f>L31-L32</f>
        <v>0</v>
      </c>
      <c r="M33" s="27">
        <f>M31-M32</f>
        <v>9.1</v>
      </c>
      <c r="N33" s="27">
        <f>N31-N32</f>
        <v>9.1999999999999993</v>
      </c>
      <c r="O33" s="27">
        <f>O31-O32</f>
        <v>9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6705.2078521939966</v>
      </c>
      <c r="H34" s="28">
        <f t="shared" ref="H34:Q34" si="2">(H33*H30)/0.866</f>
        <v>0</v>
      </c>
      <c r="I34" s="28">
        <f t="shared" si="2"/>
        <v>6436.5704387990763</v>
      </c>
      <c r="J34" s="28">
        <f t="shared" si="2"/>
        <v>6569.145496535798</v>
      </c>
      <c r="K34" s="28">
        <f t="shared" si="2"/>
        <v>6743.7644341801379</v>
      </c>
      <c r="L34" s="28">
        <f>(L33*L30)/0.866</f>
        <v>0</v>
      </c>
      <c r="M34" s="28">
        <f>(M33*M30)/0.866</f>
        <v>6708.3602771362584</v>
      </c>
      <c r="N34" s="28">
        <f>(N33*N30)/0.866</f>
        <v>6766.143187066974</v>
      </c>
      <c r="O34" s="28">
        <f>(O33*O30)/0.866</f>
        <v>6627.3672055427251</v>
      </c>
      <c r="P34" s="28">
        <f t="shared" si="2"/>
        <v>0</v>
      </c>
      <c r="Q34" s="28">
        <f t="shared" si="2"/>
        <v>6347.1824480369505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0.81</v>
      </c>
      <c r="H35" s="21"/>
      <c r="I35" s="21">
        <v>0.84</v>
      </c>
      <c r="J35" s="20">
        <v>0.83</v>
      </c>
      <c r="K35" s="20">
        <v>0.83</v>
      </c>
      <c r="L35" s="21"/>
      <c r="M35" s="21">
        <v>0.81</v>
      </c>
      <c r="N35" s="20">
        <v>0.8</v>
      </c>
      <c r="O35" s="20">
        <v>0.8</v>
      </c>
      <c r="P35" s="21"/>
      <c r="Q35" s="21">
        <v>0.83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35.9</v>
      </c>
      <c r="H36" s="21"/>
      <c r="I36" s="21">
        <v>36.299999999999997</v>
      </c>
      <c r="J36" s="20">
        <v>36.200000000000003</v>
      </c>
      <c r="K36" s="20">
        <v>36.200000000000003</v>
      </c>
      <c r="L36" s="21"/>
      <c r="M36" s="21">
        <v>36.200000000000003</v>
      </c>
      <c r="N36" s="20">
        <v>35.4</v>
      </c>
      <c r="O36" s="20">
        <v>35.6</v>
      </c>
      <c r="P36" s="21"/>
      <c r="Q36" s="21">
        <v>36.1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36.299999999999997</v>
      </c>
      <c r="H37" s="21"/>
      <c r="I37" s="21">
        <v>37.200000000000003</v>
      </c>
      <c r="J37" s="20">
        <v>36.9</v>
      </c>
      <c r="K37" s="20">
        <v>36.9</v>
      </c>
      <c r="L37" s="21"/>
      <c r="M37" s="21">
        <v>36.700000000000003</v>
      </c>
      <c r="N37" s="20">
        <v>35.799999999999997</v>
      </c>
      <c r="O37" s="20">
        <v>35.9</v>
      </c>
      <c r="P37" s="21"/>
      <c r="Q37" s="21">
        <v>36.9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1.5999999999999943</v>
      </c>
      <c r="H38" s="27">
        <f>H37-H41</f>
        <v>0</v>
      </c>
      <c r="I38" s="27">
        <f>I37-I41</f>
        <v>3.1000000000000014</v>
      </c>
      <c r="J38" s="27">
        <f t="shared" ref="J38:Q38" si="3">J37-J41</f>
        <v>2.1000000000000014</v>
      </c>
      <c r="K38" s="27">
        <f t="shared" si="3"/>
        <v>2.1000000000000014</v>
      </c>
      <c r="L38" s="27">
        <f>L37-L41</f>
        <v>0</v>
      </c>
      <c r="M38" s="27">
        <f>M37-M41</f>
        <v>2.2000000000000028</v>
      </c>
      <c r="N38" s="27">
        <f>N37-N41</f>
        <v>1.3999999999999986</v>
      </c>
      <c r="O38" s="27">
        <f>O37-O41</f>
        <v>1.5</v>
      </c>
      <c r="P38" s="27">
        <f t="shared" si="3"/>
        <v>0</v>
      </c>
      <c r="Q38" s="27">
        <f t="shared" si="3"/>
        <v>2.3999999999999986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29.3</v>
      </c>
      <c r="H40" s="21"/>
      <c r="I40" s="21">
        <v>29.2</v>
      </c>
      <c r="J40" s="20">
        <v>29.4</v>
      </c>
      <c r="K40" s="20">
        <v>29.4</v>
      </c>
      <c r="L40" s="21"/>
      <c r="M40" s="21">
        <v>29.2</v>
      </c>
      <c r="N40" s="20">
        <v>28.8</v>
      </c>
      <c r="O40" s="20">
        <v>29</v>
      </c>
      <c r="P40" s="21"/>
      <c r="Q40" s="21">
        <v>29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34.700000000000003</v>
      </c>
      <c r="H41" s="21"/>
      <c r="I41" s="21">
        <v>34.1</v>
      </c>
      <c r="J41" s="20">
        <v>34.799999999999997</v>
      </c>
      <c r="K41" s="20">
        <v>34.799999999999997</v>
      </c>
      <c r="L41" s="21"/>
      <c r="M41" s="21">
        <v>34.5</v>
      </c>
      <c r="N41" s="20">
        <v>34.4</v>
      </c>
      <c r="O41" s="20">
        <v>34.4</v>
      </c>
      <c r="P41" s="21"/>
      <c r="Q41" s="21">
        <v>34.5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5.4000000000000021</v>
      </c>
      <c r="H42" s="27">
        <f t="shared" ref="H42:Q42" si="4">H41-H40</f>
        <v>0</v>
      </c>
      <c r="I42" s="27">
        <f t="shared" si="4"/>
        <v>4.9000000000000021</v>
      </c>
      <c r="J42" s="27">
        <f t="shared" si="4"/>
        <v>5.3999999999999986</v>
      </c>
      <c r="K42" s="27">
        <f t="shared" si="4"/>
        <v>5.3999999999999986</v>
      </c>
      <c r="L42" s="27">
        <f>L41-L40</f>
        <v>0</v>
      </c>
      <c r="M42" s="27">
        <f>M41-M40</f>
        <v>5.3000000000000007</v>
      </c>
      <c r="N42" s="27">
        <f>N41-N40</f>
        <v>5.5999999999999979</v>
      </c>
      <c r="O42" s="27">
        <f>O41-O40</f>
        <v>5.3999999999999986</v>
      </c>
      <c r="P42" s="27">
        <f t="shared" si="4"/>
        <v>0</v>
      </c>
      <c r="Q42" s="27">
        <f t="shared" si="4"/>
        <v>5.5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1303.5</v>
      </c>
      <c r="H43" s="21"/>
      <c r="I43" s="21">
        <v>1293.8</v>
      </c>
      <c r="J43" s="20">
        <v>1290.0999999999999</v>
      </c>
      <c r="K43" s="20">
        <v>1302.9000000000001</v>
      </c>
      <c r="L43" s="21"/>
      <c r="M43" s="20">
        <v>1298.5</v>
      </c>
      <c r="N43" s="20">
        <v>1299.4000000000001</v>
      </c>
      <c r="O43" s="20">
        <v>1293.5999999999999</v>
      </c>
      <c r="P43" s="21"/>
      <c r="Q43" s="21">
        <v>1297.7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8128.0600461893791</v>
      </c>
      <c r="H44" s="28">
        <f t="shared" ref="H44:Q44" si="5">H42*H43/0.866</f>
        <v>0</v>
      </c>
      <c r="I44" s="28">
        <f t="shared" si="5"/>
        <v>7320.5773672055457</v>
      </c>
      <c r="J44" s="28">
        <f t="shared" si="5"/>
        <v>8044.5034642032306</v>
      </c>
      <c r="K44" s="28">
        <f t="shared" si="5"/>
        <v>8124.3187066974588</v>
      </c>
      <c r="L44" s="28">
        <f>L42*L43/0.866</f>
        <v>0</v>
      </c>
      <c r="M44" s="28">
        <f>M42*M43/0.866</f>
        <v>7946.9399538106245</v>
      </c>
      <c r="N44" s="28">
        <f>N42*N43/0.866</f>
        <v>8402.586605080829</v>
      </c>
      <c r="O44" s="28">
        <f>O42*O43/0.866</f>
        <v>8066.3279445727458</v>
      </c>
      <c r="P44" s="28">
        <f t="shared" si="5"/>
        <v>0</v>
      </c>
      <c r="Q44" s="28">
        <f t="shared" si="5"/>
        <v>8241.7436489607389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0.46</v>
      </c>
      <c r="K45" s="20">
        <v>0.46</v>
      </c>
      <c r="L45" s="21"/>
      <c r="M45" s="21">
        <v>0.46</v>
      </c>
      <c r="N45" s="20">
        <v>0.45</v>
      </c>
      <c r="O45" s="20">
        <v>0.46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20.100000000000001</v>
      </c>
      <c r="H46" s="21"/>
      <c r="I46" s="21">
        <v>19.3</v>
      </c>
      <c r="J46" s="20">
        <v>19.399999999999999</v>
      </c>
      <c r="K46" s="20">
        <v>19.600000000000001</v>
      </c>
      <c r="L46" s="21"/>
      <c r="M46" s="21">
        <v>19.8</v>
      </c>
      <c r="N46" s="20">
        <v>19.600000000000001</v>
      </c>
      <c r="O46" s="20">
        <v>19.2</v>
      </c>
      <c r="P46" s="21"/>
      <c r="Q46" s="21">
        <v>20.100000000000001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200.7</v>
      </c>
      <c r="H47" s="21"/>
      <c r="I47" s="21">
        <v>120.1</v>
      </c>
      <c r="J47" s="20">
        <v>206.4</v>
      </c>
      <c r="K47" s="20">
        <v>202.2</v>
      </c>
      <c r="L47" s="21"/>
      <c r="M47" s="21">
        <v>203.2</v>
      </c>
      <c r="N47" s="20">
        <v>164.8</v>
      </c>
      <c r="O47" s="20">
        <v>158.69999999999999</v>
      </c>
      <c r="P47" s="21"/>
      <c r="Q47" s="21">
        <v>200.3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49">
        <v>5.89</v>
      </c>
      <c r="F49" s="20"/>
      <c r="G49" s="20">
        <v>6.06</v>
      </c>
      <c r="H49" s="21"/>
      <c r="I49" s="21">
        <v>5.53</v>
      </c>
      <c r="J49" s="20">
        <v>5.61</v>
      </c>
      <c r="K49" s="20">
        <v>5.6</v>
      </c>
      <c r="L49" s="21"/>
      <c r="M49" s="21">
        <v>5.6</v>
      </c>
      <c r="N49" s="20">
        <v>5.63</v>
      </c>
      <c r="O49" s="20">
        <v>5.65</v>
      </c>
      <c r="P49" s="21"/>
      <c r="Q49" s="21">
        <v>5.35</v>
      </c>
    </row>
    <row r="50" spans="2:17" ht="20.100000000000001" customHeight="1">
      <c r="B50" s="92" t="s">
        <v>91</v>
      </c>
      <c r="C50" s="92"/>
      <c r="D50" s="92"/>
      <c r="E50" s="4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4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Q20" sqref="Q2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45787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51" t="s">
        <v>18</v>
      </c>
      <c r="E10" s="15"/>
      <c r="F10" s="16" t="s">
        <v>19</v>
      </c>
      <c r="G10" s="17" t="s">
        <v>19</v>
      </c>
      <c r="H10" s="18" t="s">
        <v>19</v>
      </c>
      <c r="I10" s="18" t="s">
        <v>19</v>
      </c>
      <c r="J10" s="17"/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71.099999999999994</v>
      </c>
      <c r="G11" s="20">
        <v>70.400000000000006</v>
      </c>
      <c r="H11" s="21"/>
      <c r="I11" s="21">
        <v>79.5</v>
      </c>
      <c r="J11" s="20"/>
      <c r="K11" s="20">
        <v>74.099999999999994</v>
      </c>
      <c r="L11" s="21">
        <v>71.5</v>
      </c>
      <c r="M11" s="21">
        <v>72.099999999999994</v>
      </c>
      <c r="N11" s="20"/>
      <c r="O11" s="20">
        <v>77.5</v>
      </c>
      <c r="P11" s="21"/>
      <c r="Q11" s="21">
        <v>76.2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0.6</v>
      </c>
      <c r="G12" s="20">
        <v>0.6</v>
      </c>
      <c r="H12" s="21"/>
      <c r="I12" s="21">
        <v>0</v>
      </c>
      <c r="J12" s="20"/>
      <c r="K12" s="20">
        <v>0</v>
      </c>
      <c r="L12" s="21">
        <v>0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67.3</v>
      </c>
      <c r="G13" s="20">
        <v>64.5</v>
      </c>
      <c r="H13" s="21"/>
      <c r="I13" s="21">
        <v>76</v>
      </c>
      <c r="J13" s="20"/>
      <c r="K13" s="20">
        <v>69.599999999999994</v>
      </c>
      <c r="L13" s="21">
        <v>66.2</v>
      </c>
      <c r="M13" s="21">
        <v>66</v>
      </c>
      <c r="N13" s="20"/>
      <c r="O13" s="20">
        <v>73.400000000000006</v>
      </c>
      <c r="P13" s="21"/>
      <c r="Q13" s="21">
        <v>71.2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66.900000000000006</v>
      </c>
      <c r="G14" s="20">
        <v>69.5</v>
      </c>
      <c r="H14" s="21"/>
      <c r="I14" s="21">
        <v>70.599999999999994</v>
      </c>
      <c r="J14" s="20"/>
      <c r="K14" s="20">
        <v>64.400000000000006</v>
      </c>
      <c r="L14" s="21">
        <v>66.099999999999994</v>
      </c>
      <c r="M14" s="21">
        <v>66.400000000000006</v>
      </c>
      <c r="N14" s="20"/>
      <c r="O14" s="20">
        <v>75.400000000000006</v>
      </c>
      <c r="P14" s="21"/>
      <c r="Q14" s="21">
        <v>74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39</v>
      </c>
      <c r="G15" s="20">
        <v>39.4</v>
      </c>
      <c r="H15" s="21"/>
      <c r="I15" s="21">
        <v>55.8</v>
      </c>
      <c r="J15" s="20"/>
      <c r="K15" s="20">
        <v>40.200000000000003</v>
      </c>
      <c r="L15" s="21">
        <v>33</v>
      </c>
      <c r="M15" s="21">
        <v>32.799999999999997</v>
      </c>
      <c r="N15" s="20"/>
      <c r="O15" s="20">
        <v>2.7</v>
      </c>
      <c r="P15" s="21"/>
      <c r="Q15" s="21">
        <v>3.9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0"/>
      <c r="I16" s="20">
        <v>6.6</v>
      </c>
      <c r="J16" s="20"/>
      <c r="K16" s="20">
        <v>6.6</v>
      </c>
      <c r="L16" s="20">
        <v>6.6</v>
      </c>
      <c r="M16" s="20">
        <v>6.6</v>
      </c>
      <c r="N16" s="20"/>
      <c r="O16" s="20">
        <v>6.6</v>
      </c>
      <c r="P16" s="20"/>
      <c r="Q16" s="20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118.7</v>
      </c>
      <c r="G17" s="20">
        <v>116</v>
      </c>
      <c r="H17" s="21"/>
      <c r="I17" s="21">
        <v>116.5</v>
      </c>
      <c r="J17" s="20"/>
      <c r="K17" s="20">
        <v>116.6</v>
      </c>
      <c r="L17" s="21">
        <v>113.6</v>
      </c>
      <c r="M17" s="21">
        <v>113</v>
      </c>
      <c r="N17" s="20"/>
      <c r="O17" s="20">
        <v>119.8</v>
      </c>
      <c r="P17" s="21"/>
      <c r="Q17" s="21">
        <v>116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1162</v>
      </c>
      <c r="G18" s="20">
        <v>1141</v>
      </c>
      <c r="H18" s="21"/>
      <c r="I18" s="21">
        <v>1180</v>
      </c>
      <c r="J18" s="20"/>
      <c r="K18" s="20">
        <v>1191</v>
      </c>
      <c r="L18" s="21">
        <v>1156</v>
      </c>
      <c r="M18" s="21">
        <v>1142</v>
      </c>
      <c r="N18" s="20"/>
      <c r="O18" s="20">
        <v>1213</v>
      </c>
      <c r="P18" s="21"/>
      <c r="Q18" s="21">
        <v>1141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>
        <v>50287</v>
      </c>
      <c r="G19" s="20">
        <v>50278.1</v>
      </c>
      <c r="H19" s="21"/>
      <c r="I19" s="21">
        <v>51369.8</v>
      </c>
      <c r="J19" s="20"/>
      <c r="K19" s="20">
        <v>49216.3</v>
      </c>
      <c r="L19" s="21">
        <v>51631</v>
      </c>
      <c r="M19" s="21">
        <v>51622</v>
      </c>
      <c r="N19" s="20"/>
      <c r="O19" s="20">
        <v>50806</v>
      </c>
      <c r="P19" s="21"/>
      <c r="Q19" s="21">
        <v>50748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58.2</v>
      </c>
      <c r="G22" s="20">
        <v>58.2</v>
      </c>
      <c r="H22" s="21"/>
      <c r="I22" s="21">
        <v>59.2</v>
      </c>
      <c r="J22" s="20"/>
      <c r="K22" s="20">
        <v>58</v>
      </c>
      <c r="L22" s="21">
        <v>57.5</v>
      </c>
      <c r="M22" s="21">
        <v>57.2</v>
      </c>
      <c r="N22" s="20"/>
      <c r="O22" s="20">
        <v>58.7</v>
      </c>
      <c r="P22" s="21"/>
      <c r="Q22" s="21">
        <v>58.9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0.48</v>
      </c>
      <c r="J23" s="20"/>
      <c r="K23" s="20">
        <v>0.59</v>
      </c>
      <c r="L23" s="21">
        <v>0.52</v>
      </c>
      <c r="M23" s="21">
        <v>0.52</v>
      </c>
      <c r="N23" s="20"/>
      <c r="O23" s="20">
        <v>0.48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45.1</v>
      </c>
      <c r="G25" s="20">
        <v>44.7</v>
      </c>
      <c r="H25" s="21"/>
      <c r="I25" s="21">
        <v>44.8</v>
      </c>
      <c r="J25" s="20"/>
      <c r="K25" s="20">
        <v>44.8</v>
      </c>
      <c r="L25" s="21">
        <v>45</v>
      </c>
      <c r="M25" s="21">
        <v>45.1</v>
      </c>
      <c r="N25" s="20"/>
      <c r="O25" s="20">
        <v>44.9</v>
      </c>
      <c r="P25" s="21"/>
      <c r="Q25" s="21">
        <v>45.1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0.25</v>
      </c>
      <c r="G26" s="20">
        <v>0.23</v>
      </c>
      <c r="H26" s="21"/>
      <c r="I26" s="21">
        <v>0.21</v>
      </c>
      <c r="J26" s="20"/>
      <c r="K26" s="20">
        <v>0.22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4.2</v>
      </c>
      <c r="G27" s="20">
        <v>4.2</v>
      </c>
      <c r="H27" s="21"/>
      <c r="I27" s="21">
        <v>3.3</v>
      </c>
      <c r="J27" s="20"/>
      <c r="K27" s="20">
        <v>4.3</v>
      </c>
      <c r="L27" s="21">
        <v>3.9</v>
      </c>
      <c r="M27" s="21">
        <v>3.6</v>
      </c>
      <c r="N27" s="20"/>
      <c r="O27" s="20">
        <v>4.5</v>
      </c>
      <c r="P27" s="21"/>
      <c r="Q27" s="21">
        <v>4.5999999999999996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3.7</v>
      </c>
      <c r="G28" s="20">
        <v>3.6</v>
      </c>
      <c r="H28" s="21"/>
      <c r="I28" s="21">
        <v>2.2000000000000002</v>
      </c>
      <c r="J28" s="20"/>
      <c r="K28" s="20">
        <v>3.4</v>
      </c>
      <c r="L28" s="21">
        <v>2.8</v>
      </c>
      <c r="M28" s="21">
        <v>2.7</v>
      </c>
      <c r="N28" s="20"/>
      <c r="O28" s="20">
        <v>3.3</v>
      </c>
      <c r="P28" s="21"/>
      <c r="Q28" s="21">
        <v>3.6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1</v>
      </c>
      <c r="G29" s="27">
        <f>G32-G28</f>
        <v>1.1000000000000001</v>
      </c>
      <c r="H29" s="27">
        <f t="shared" ref="H29:Q29" si="0">H32-H28</f>
        <v>0</v>
      </c>
      <c r="I29" s="27">
        <f t="shared" si="0"/>
        <v>2.7</v>
      </c>
      <c r="J29" s="27">
        <f t="shared" si="0"/>
        <v>0</v>
      </c>
      <c r="K29" s="27">
        <f t="shared" si="0"/>
        <v>0.69999999999999973</v>
      </c>
      <c r="L29" s="27">
        <f>L32-L28</f>
        <v>1</v>
      </c>
      <c r="M29" s="27">
        <f>M32-M28</f>
        <v>1.2999999999999998</v>
      </c>
      <c r="N29" s="27">
        <f>N32-N28</f>
        <v>0</v>
      </c>
      <c r="O29" s="27">
        <f>O32-O28</f>
        <v>1.4000000000000004</v>
      </c>
      <c r="P29" s="27">
        <f t="shared" si="0"/>
        <v>0</v>
      </c>
      <c r="Q29" s="27">
        <f t="shared" si="0"/>
        <v>1.1000000000000001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695.3</v>
      </c>
      <c r="G30" s="20">
        <v>640.79999999999995</v>
      </c>
      <c r="H30" s="21"/>
      <c r="I30" s="21">
        <v>649.5</v>
      </c>
      <c r="J30" s="20"/>
      <c r="K30" s="20">
        <v>643.5</v>
      </c>
      <c r="L30" s="21">
        <v>627.9</v>
      </c>
      <c r="M30" s="21">
        <v>637.4</v>
      </c>
      <c r="N30" s="20"/>
      <c r="O30" s="20">
        <v>637.5</v>
      </c>
      <c r="P30" s="21"/>
      <c r="Q30" s="21">
        <v>634.4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13.2</v>
      </c>
      <c r="G31" s="20">
        <v>13.7</v>
      </c>
      <c r="H31" s="21"/>
      <c r="I31" s="21">
        <v>13.6</v>
      </c>
      <c r="J31" s="20"/>
      <c r="K31" s="20">
        <v>13.2</v>
      </c>
      <c r="L31" s="21">
        <v>13.2</v>
      </c>
      <c r="M31" s="21">
        <v>13.1</v>
      </c>
      <c r="N31" s="20"/>
      <c r="O31" s="20">
        <v>14.1</v>
      </c>
      <c r="P31" s="21"/>
      <c r="Q31" s="21">
        <v>13.8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4.7</v>
      </c>
      <c r="G32" s="20">
        <v>4.7</v>
      </c>
      <c r="H32" s="21"/>
      <c r="I32" s="21">
        <v>4.9000000000000004</v>
      </c>
      <c r="J32" s="20"/>
      <c r="K32" s="20">
        <v>4.0999999999999996</v>
      </c>
      <c r="L32" s="21">
        <v>3.8</v>
      </c>
      <c r="M32" s="21">
        <v>4</v>
      </c>
      <c r="N32" s="20"/>
      <c r="O32" s="20">
        <v>4.7</v>
      </c>
      <c r="P32" s="21"/>
      <c r="Q32" s="21">
        <v>4.7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8.5</v>
      </c>
      <c r="G33" s="27">
        <f>G31-G32</f>
        <v>9</v>
      </c>
      <c r="H33" s="27">
        <f t="shared" ref="H33:Q33" si="1">H31-H32</f>
        <v>0</v>
      </c>
      <c r="I33" s="27">
        <f t="shared" si="1"/>
        <v>8.6999999999999993</v>
      </c>
      <c r="J33" s="27">
        <f t="shared" si="1"/>
        <v>0</v>
      </c>
      <c r="K33" s="27">
        <f t="shared" si="1"/>
        <v>9.1</v>
      </c>
      <c r="L33" s="27">
        <f>L31-L32</f>
        <v>9.3999999999999986</v>
      </c>
      <c r="M33" s="27">
        <f>M31-M32</f>
        <v>9.1</v>
      </c>
      <c r="N33" s="27">
        <f>N31-N32</f>
        <v>0</v>
      </c>
      <c r="O33" s="27">
        <f>O31-O32</f>
        <v>9.3999999999999986</v>
      </c>
      <c r="P33" s="27">
        <f t="shared" si="1"/>
        <v>0</v>
      </c>
      <c r="Q33" s="27">
        <f t="shared" si="1"/>
        <v>9.1000000000000014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6824.5381062355655</v>
      </c>
      <c r="G34" s="28">
        <f>(G33*G30)/0.866</f>
        <v>6659.5842956120086</v>
      </c>
      <c r="H34" s="28">
        <f t="shared" ref="H34:Q34" si="2">(H33*H30)/0.866</f>
        <v>0</v>
      </c>
      <c r="I34" s="28">
        <f t="shared" si="2"/>
        <v>6525</v>
      </c>
      <c r="J34" s="28">
        <f t="shared" si="2"/>
        <v>0</v>
      </c>
      <c r="K34" s="28">
        <f t="shared" si="2"/>
        <v>6761.9515011547337</v>
      </c>
      <c r="L34" s="28">
        <f>(L33*L30)/0.866</f>
        <v>6815.5427251732099</v>
      </c>
      <c r="M34" s="28">
        <f>(M33*M30)/0.866</f>
        <v>6697.8521939953798</v>
      </c>
      <c r="N34" s="28">
        <f>(N33*N30)/0.866</f>
        <v>0</v>
      </c>
      <c r="O34" s="28">
        <f>(O33*O30)/0.866</f>
        <v>6919.7459584295602</v>
      </c>
      <c r="P34" s="28">
        <f t="shared" si="2"/>
        <v>0</v>
      </c>
      <c r="Q34" s="28">
        <f t="shared" si="2"/>
        <v>6666.3279445727494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0.8</v>
      </c>
      <c r="G35" s="20">
        <v>0.8</v>
      </c>
      <c r="H35" s="21"/>
      <c r="I35" s="21">
        <v>0.82</v>
      </c>
      <c r="J35" s="20"/>
      <c r="K35" s="20">
        <v>0.81</v>
      </c>
      <c r="L35" s="21">
        <v>0.81</v>
      </c>
      <c r="M35" s="21">
        <v>0.8</v>
      </c>
      <c r="N35" s="20"/>
      <c r="O35" s="20">
        <v>0.8</v>
      </c>
      <c r="P35" s="21"/>
      <c r="Q35" s="21">
        <v>0.81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35.4</v>
      </c>
      <c r="G36" s="20">
        <v>35.1</v>
      </c>
      <c r="H36" s="21"/>
      <c r="I36" s="21">
        <v>35.6</v>
      </c>
      <c r="J36" s="20"/>
      <c r="K36" s="20">
        <v>35.4</v>
      </c>
      <c r="L36" s="21">
        <v>35.6</v>
      </c>
      <c r="M36" s="21">
        <v>35.1</v>
      </c>
      <c r="N36" s="20"/>
      <c r="O36" s="20">
        <v>34.799999999999997</v>
      </c>
      <c r="P36" s="21"/>
      <c r="Q36" s="21">
        <v>35.299999999999997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35.9</v>
      </c>
      <c r="G37" s="20">
        <v>35.5</v>
      </c>
      <c r="H37" s="21"/>
      <c r="I37" s="21">
        <v>36.4</v>
      </c>
      <c r="J37" s="20"/>
      <c r="K37" s="20">
        <v>36.1</v>
      </c>
      <c r="L37" s="21">
        <v>36</v>
      </c>
      <c r="M37" s="21">
        <v>35.6</v>
      </c>
      <c r="N37" s="20"/>
      <c r="O37" s="20">
        <v>35.299999999999997</v>
      </c>
      <c r="P37" s="21"/>
      <c r="Q37" s="21">
        <v>36.200000000000003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1.6999999999999957</v>
      </c>
      <c r="G38" s="27">
        <f>G37-G41</f>
        <v>1.6000000000000014</v>
      </c>
      <c r="H38" s="27">
        <v>1</v>
      </c>
      <c r="I38" s="27">
        <f t="shared" ref="I38:Q38" si="3">I37-I41</f>
        <v>3.1000000000000014</v>
      </c>
      <c r="J38" s="27">
        <f t="shared" si="3"/>
        <v>0</v>
      </c>
      <c r="K38" s="27">
        <f t="shared" si="3"/>
        <v>2.2000000000000028</v>
      </c>
      <c r="L38" s="27">
        <f>L37-L41</f>
        <v>2.2000000000000028</v>
      </c>
      <c r="M38" s="27">
        <f>M37-M41</f>
        <v>2.3000000000000043</v>
      </c>
      <c r="N38" s="27">
        <f>N37-N41</f>
        <v>0</v>
      </c>
      <c r="O38" s="27">
        <f>O37-O41</f>
        <v>1.5999999999999943</v>
      </c>
      <c r="P38" s="27">
        <f t="shared" si="3"/>
        <v>0</v>
      </c>
      <c r="Q38" s="27">
        <f t="shared" si="3"/>
        <v>2.6000000000000014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28.7</v>
      </c>
      <c r="G40" s="20">
        <v>28.3</v>
      </c>
      <c r="H40" s="21"/>
      <c r="I40" s="21">
        <v>28.3</v>
      </c>
      <c r="J40" s="20"/>
      <c r="K40" s="20">
        <v>28.5</v>
      </c>
      <c r="L40" s="21">
        <v>28.7</v>
      </c>
      <c r="M40" s="21">
        <v>28.4</v>
      </c>
      <c r="N40" s="20"/>
      <c r="O40" s="20">
        <v>28.1</v>
      </c>
      <c r="P40" s="21"/>
      <c r="Q40" s="21">
        <v>28.3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34.200000000000003</v>
      </c>
      <c r="G41" s="20">
        <v>33.9</v>
      </c>
      <c r="H41" s="21"/>
      <c r="I41" s="21">
        <v>33.299999999999997</v>
      </c>
      <c r="J41" s="20"/>
      <c r="K41" s="20">
        <v>33.9</v>
      </c>
      <c r="L41" s="21">
        <v>33.799999999999997</v>
      </c>
      <c r="M41" s="21">
        <v>33.299999999999997</v>
      </c>
      <c r="N41" s="20"/>
      <c r="O41" s="20">
        <v>33.700000000000003</v>
      </c>
      <c r="P41" s="21"/>
      <c r="Q41" s="21">
        <v>33.6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5.5000000000000036</v>
      </c>
      <c r="G42" s="27">
        <f>G41-G40</f>
        <v>5.5999999999999979</v>
      </c>
      <c r="H42" s="27">
        <f t="shared" ref="H42:Q42" si="4">H41-H40</f>
        <v>0</v>
      </c>
      <c r="I42" s="27">
        <f t="shared" si="4"/>
        <v>4.9999999999999964</v>
      </c>
      <c r="J42" s="27">
        <f t="shared" si="4"/>
        <v>0</v>
      </c>
      <c r="K42" s="27">
        <f t="shared" si="4"/>
        <v>5.3999999999999986</v>
      </c>
      <c r="L42" s="27">
        <f>L41-L40</f>
        <v>5.0999999999999979</v>
      </c>
      <c r="M42" s="27">
        <f>M41-M40</f>
        <v>4.8999999999999986</v>
      </c>
      <c r="N42" s="27">
        <f>N41-N40</f>
        <v>0</v>
      </c>
      <c r="O42" s="27">
        <f>O41-O40</f>
        <v>5.6000000000000014</v>
      </c>
      <c r="P42" s="27">
        <f t="shared" si="4"/>
        <v>0</v>
      </c>
      <c r="Q42" s="27">
        <f t="shared" si="4"/>
        <v>5.3000000000000007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1291.2</v>
      </c>
      <c r="G43" s="20">
        <v>1297.8</v>
      </c>
      <c r="H43" s="21"/>
      <c r="I43" s="21">
        <v>1304</v>
      </c>
      <c r="J43" s="20"/>
      <c r="K43" s="20">
        <v>1294.8</v>
      </c>
      <c r="L43" s="21">
        <v>1305.9000000000001</v>
      </c>
      <c r="M43" s="20">
        <v>1296.2</v>
      </c>
      <c r="N43" s="20"/>
      <c r="O43" s="20">
        <v>1288.5</v>
      </c>
      <c r="P43" s="21"/>
      <c r="Q43" s="21">
        <v>1296.8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8200.4618937644391</v>
      </c>
      <c r="G44" s="28">
        <f>G42*G43/0.866</f>
        <v>8392.240184757502</v>
      </c>
      <c r="H44" s="28">
        <f t="shared" ref="H44:Q44" si="5">H42*H43/0.866</f>
        <v>0</v>
      </c>
      <c r="I44" s="28">
        <f t="shared" si="5"/>
        <v>7528.8683602771307</v>
      </c>
      <c r="J44" s="28">
        <f t="shared" si="5"/>
        <v>0</v>
      </c>
      <c r="K44" s="28">
        <f t="shared" si="5"/>
        <v>8073.8106235565801</v>
      </c>
      <c r="L44" s="28">
        <f>L42*L43/0.866</f>
        <v>7690.6351039260944</v>
      </c>
      <c r="M44" s="28">
        <f>M42*M43/0.866</f>
        <v>7334.1570438799054</v>
      </c>
      <c r="N44" s="28">
        <f>N42*N43/0.866</f>
        <v>0</v>
      </c>
      <c r="O44" s="28">
        <f>O42*O43/0.866</f>
        <v>8332.1016166281788</v>
      </c>
      <c r="P44" s="28">
        <f t="shared" si="5"/>
        <v>0</v>
      </c>
      <c r="Q44" s="28">
        <f t="shared" si="5"/>
        <v>7936.5357967667451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0.46</v>
      </c>
      <c r="H45" s="21"/>
      <c r="I45" s="21">
        <v>0.45</v>
      </c>
      <c r="J45" s="20"/>
      <c r="K45" s="20">
        <v>0.45</v>
      </c>
      <c r="L45" s="21">
        <v>0.46</v>
      </c>
      <c r="M45" s="21">
        <v>0.46</v>
      </c>
      <c r="N45" s="20"/>
      <c r="O45" s="20">
        <v>0.45</v>
      </c>
      <c r="P45" s="21"/>
      <c r="Q45" s="21">
        <v>0.46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19.5</v>
      </c>
      <c r="G46" s="20">
        <v>19.399999999999999</v>
      </c>
      <c r="H46" s="21"/>
      <c r="I46" s="21">
        <v>18.7</v>
      </c>
      <c r="J46" s="20"/>
      <c r="K46" s="20">
        <v>19.100000000000001</v>
      </c>
      <c r="L46" s="21">
        <v>19.399999999999999</v>
      </c>
      <c r="M46" s="21">
        <v>19.3</v>
      </c>
      <c r="N46" s="20"/>
      <c r="O46" s="20">
        <v>18.899999999999999</v>
      </c>
      <c r="P46" s="21"/>
      <c r="Q46" s="21">
        <v>19.600000000000001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198.7</v>
      </c>
      <c r="G47" s="20">
        <v>200.2</v>
      </c>
      <c r="H47" s="21"/>
      <c r="I47" s="21">
        <v>120</v>
      </c>
      <c r="J47" s="20"/>
      <c r="K47" s="20">
        <v>216.9</v>
      </c>
      <c r="L47" s="21">
        <v>200.8</v>
      </c>
      <c r="M47" s="21">
        <v>218.9</v>
      </c>
      <c r="N47" s="20"/>
      <c r="O47" s="20">
        <v>163.80000000000001</v>
      </c>
      <c r="P47" s="21"/>
      <c r="Q47" s="21">
        <v>200.8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51">
        <v>5.89</v>
      </c>
      <c r="F49" s="20">
        <v>5.59</v>
      </c>
      <c r="G49" s="20">
        <v>5.84</v>
      </c>
      <c r="H49" s="21"/>
      <c r="I49" s="21">
        <v>5.58</v>
      </c>
      <c r="J49" s="20"/>
      <c r="K49" s="20">
        <v>5.65</v>
      </c>
      <c r="L49" s="21">
        <v>5.75</v>
      </c>
      <c r="M49" s="21">
        <v>5.9</v>
      </c>
      <c r="N49" s="20"/>
      <c r="O49" s="20">
        <v>5.78</v>
      </c>
      <c r="P49" s="21"/>
      <c r="Q49" s="21">
        <v>5.53</v>
      </c>
    </row>
    <row r="50" spans="2:17" ht="20.100000000000001" customHeight="1">
      <c r="B50" s="92" t="s">
        <v>91</v>
      </c>
      <c r="C50" s="92"/>
      <c r="D50" s="92"/>
      <c r="E50" s="5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5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7" zoomScale="85" zoomScaleNormal="60" workbookViewId="0">
      <selection activeCell="L20" sqref="L2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45788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53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73.099999999999994</v>
      </c>
      <c r="G11" s="20">
        <v>71.400000000000006</v>
      </c>
      <c r="H11" s="21"/>
      <c r="I11" s="21">
        <v>81.3</v>
      </c>
      <c r="J11" s="20"/>
      <c r="K11" s="20">
        <v>72</v>
      </c>
      <c r="L11" s="21">
        <v>75.900000000000006</v>
      </c>
      <c r="M11" s="21">
        <v>70.400000000000006</v>
      </c>
      <c r="N11" s="20"/>
      <c r="O11" s="20">
        <v>78.5</v>
      </c>
      <c r="P11" s="21"/>
      <c r="Q11" s="21">
        <v>74.900000000000006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0.6</v>
      </c>
      <c r="G12" s="20">
        <v>0.4</v>
      </c>
      <c r="H12" s="21"/>
      <c r="I12" s="21">
        <v>0</v>
      </c>
      <c r="J12" s="20"/>
      <c r="K12" s="20">
        <v>0</v>
      </c>
      <c r="L12" s="21">
        <v>0.1</v>
      </c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67.900000000000006</v>
      </c>
      <c r="G13" s="20">
        <v>66.3</v>
      </c>
      <c r="H13" s="21"/>
      <c r="I13" s="21">
        <v>77.099999999999994</v>
      </c>
      <c r="J13" s="20"/>
      <c r="K13" s="20">
        <v>68.2</v>
      </c>
      <c r="L13" s="21">
        <v>73.3</v>
      </c>
      <c r="M13" s="21">
        <v>65</v>
      </c>
      <c r="N13" s="20"/>
      <c r="O13" s="20">
        <v>74.099999999999994</v>
      </c>
      <c r="P13" s="21"/>
      <c r="Q13" s="21">
        <v>69.7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68.599999999999994</v>
      </c>
      <c r="G14" s="20">
        <v>69.5</v>
      </c>
      <c r="H14" s="21"/>
      <c r="I14" s="21">
        <v>70.400000000000006</v>
      </c>
      <c r="J14" s="20"/>
      <c r="K14" s="20">
        <v>64.7</v>
      </c>
      <c r="L14" s="21">
        <v>67.5</v>
      </c>
      <c r="M14" s="21">
        <v>66.5</v>
      </c>
      <c r="N14" s="20"/>
      <c r="O14" s="20">
        <v>74.8</v>
      </c>
      <c r="P14" s="21"/>
      <c r="Q14" s="21">
        <v>72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43.6</v>
      </c>
      <c r="G15" s="20">
        <v>42</v>
      </c>
      <c r="H15" s="21"/>
      <c r="I15" s="21">
        <v>56</v>
      </c>
      <c r="J15" s="20"/>
      <c r="K15" s="20">
        <v>42.1</v>
      </c>
      <c r="L15" s="21">
        <v>36.5</v>
      </c>
      <c r="M15" s="21">
        <v>34.9</v>
      </c>
      <c r="N15" s="20"/>
      <c r="O15" s="20">
        <v>58.2</v>
      </c>
      <c r="P15" s="21"/>
      <c r="Q15" s="21">
        <v>42.6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115.1</v>
      </c>
      <c r="G17" s="20">
        <v>115.9</v>
      </c>
      <c r="H17" s="21"/>
      <c r="I17" s="21">
        <v>116.7</v>
      </c>
      <c r="J17" s="20"/>
      <c r="K17" s="20">
        <v>114.6</v>
      </c>
      <c r="L17" s="21">
        <v>116.3</v>
      </c>
      <c r="M17" s="21">
        <v>111.9</v>
      </c>
      <c r="N17" s="20"/>
      <c r="O17" s="20">
        <v>118.9</v>
      </c>
      <c r="P17" s="21"/>
      <c r="Q17" s="21">
        <v>116.8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1125</v>
      </c>
      <c r="G18" s="20">
        <v>1125</v>
      </c>
      <c r="H18" s="21"/>
      <c r="I18" s="21">
        <v>1175</v>
      </c>
      <c r="J18" s="20"/>
      <c r="K18" s="20">
        <v>1153</v>
      </c>
      <c r="L18" s="21">
        <v>1177</v>
      </c>
      <c r="M18" s="21">
        <v>1133</v>
      </c>
      <c r="N18" s="20"/>
      <c r="O18" s="20">
        <v>1200</v>
      </c>
      <c r="P18" s="21"/>
      <c r="Q18" s="21">
        <v>1179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/>
      <c r="H19" s="21"/>
      <c r="I19" s="21"/>
      <c r="J19" s="20"/>
      <c r="K19" s="20"/>
      <c r="L19" s="21"/>
      <c r="M19" s="21"/>
      <c r="N19" s="20"/>
      <c r="O19" s="20"/>
      <c r="P19" s="21"/>
      <c r="Q19" s="21"/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58.1</v>
      </c>
      <c r="G22" s="20">
        <v>58</v>
      </c>
      <c r="H22" s="21"/>
      <c r="I22" s="21">
        <v>58.9</v>
      </c>
      <c r="J22" s="20"/>
      <c r="K22" s="20">
        <v>57.7</v>
      </c>
      <c r="L22" s="21">
        <v>57.4</v>
      </c>
      <c r="M22" s="21">
        <v>57.2</v>
      </c>
      <c r="N22" s="20"/>
      <c r="O22" s="20">
        <v>58.6</v>
      </c>
      <c r="P22" s="21"/>
      <c r="Q22" s="21">
        <v>59.1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0.48</v>
      </c>
      <c r="J23" s="20"/>
      <c r="K23" s="20">
        <v>0.57999999999999996</v>
      </c>
      <c r="L23" s="21">
        <v>0.52</v>
      </c>
      <c r="M23" s="21">
        <v>0.52</v>
      </c>
      <c r="N23" s="20"/>
      <c r="O23" s="20">
        <v>0.56999999999999995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45.1</v>
      </c>
      <c r="G25" s="20">
        <v>45</v>
      </c>
      <c r="H25" s="21"/>
      <c r="I25" s="21">
        <v>45</v>
      </c>
      <c r="J25" s="20"/>
      <c r="K25" s="20">
        <v>45.1</v>
      </c>
      <c r="L25" s="21">
        <v>45.3</v>
      </c>
      <c r="M25" s="21">
        <v>45</v>
      </c>
      <c r="N25" s="20"/>
      <c r="O25" s="20">
        <v>45</v>
      </c>
      <c r="P25" s="21"/>
      <c r="Q25" s="21">
        <v>44.9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0.22</v>
      </c>
      <c r="G26" s="20">
        <v>0.21</v>
      </c>
      <c r="H26" s="21"/>
      <c r="I26" s="21">
        <v>0.21</v>
      </c>
      <c r="J26" s="20"/>
      <c r="K26" s="20">
        <v>0.23</v>
      </c>
      <c r="L26" s="21">
        <v>0.22</v>
      </c>
      <c r="M26" s="21">
        <v>0.22</v>
      </c>
      <c r="N26" s="20"/>
      <c r="O26" s="20">
        <v>0.22</v>
      </c>
      <c r="P26" s="21"/>
      <c r="Q26" s="21">
        <v>0.22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3.5</v>
      </c>
      <c r="G27" s="20">
        <v>3.9</v>
      </c>
      <c r="H27" s="21"/>
      <c r="I27" s="21">
        <v>2.8</v>
      </c>
      <c r="J27" s="20"/>
      <c r="K27" s="20">
        <v>4</v>
      </c>
      <c r="L27" s="21">
        <v>3.6</v>
      </c>
      <c r="M27" s="21">
        <v>3.9</v>
      </c>
      <c r="N27" s="20"/>
      <c r="O27" s="20">
        <v>4</v>
      </c>
      <c r="P27" s="21"/>
      <c r="Q27" s="21">
        <v>4.2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3</v>
      </c>
      <c r="G28" s="20">
        <v>3.3</v>
      </c>
      <c r="H28" s="21"/>
      <c r="I28" s="21">
        <v>2</v>
      </c>
      <c r="J28" s="20"/>
      <c r="K28" s="20">
        <v>3.2</v>
      </c>
      <c r="L28" s="21">
        <v>2.6</v>
      </c>
      <c r="M28" s="21">
        <v>2.4</v>
      </c>
      <c r="N28" s="20"/>
      <c r="O28" s="20">
        <v>2.8</v>
      </c>
      <c r="P28" s="21"/>
      <c r="Q28" s="21">
        <v>3.1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1</v>
      </c>
      <c r="G29" s="27">
        <f>G32-G28</f>
        <v>1.2999999999999998</v>
      </c>
      <c r="H29" s="27">
        <f t="shared" ref="H29:Q29" si="0">H32-H28</f>
        <v>0</v>
      </c>
      <c r="I29" s="27">
        <f t="shared" si="0"/>
        <v>2.4000000000000004</v>
      </c>
      <c r="J29" s="27">
        <f t="shared" si="0"/>
        <v>0</v>
      </c>
      <c r="K29" s="27">
        <f t="shared" si="0"/>
        <v>1.2999999999999998</v>
      </c>
      <c r="L29" s="27">
        <f>L32-L28</f>
        <v>1.2999999999999998</v>
      </c>
      <c r="M29" s="27">
        <f>M32-M28</f>
        <v>1.6</v>
      </c>
      <c r="N29" s="27">
        <f>N32-N28</f>
        <v>0</v>
      </c>
      <c r="O29" s="27">
        <f>O32-O28</f>
        <v>1.2000000000000002</v>
      </c>
      <c r="P29" s="27">
        <f t="shared" si="0"/>
        <v>0</v>
      </c>
      <c r="Q29" s="27">
        <f t="shared" si="0"/>
        <v>1.3000000000000003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624.70000000000005</v>
      </c>
      <c r="G30" s="20">
        <v>646.55999999999995</v>
      </c>
      <c r="H30" s="21"/>
      <c r="I30" s="21">
        <v>630.55999999999995</v>
      </c>
      <c r="J30" s="20"/>
      <c r="K30" s="20">
        <v>639.52</v>
      </c>
      <c r="L30" s="21">
        <v>650.1</v>
      </c>
      <c r="M30" s="21">
        <v>643.67999999999995</v>
      </c>
      <c r="N30" s="20"/>
      <c r="O30" s="20">
        <v>633.12</v>
      </c>
      <c r="P30" s="21"/>
      <c r="Q30" s="21">
        <v>633.52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13.4</v>
      </c>
      <c r="G31" s="20">
        <v>13.3</v>
      </c>
      <c r="H31" s="21"/>
      <c r="I31" s="21">
        <v>13.2</v>
      </c>
      <c r="J31" s="20"/>
      <c r="K31" s="20">
        <v>13.5</v>
      </c>
      <c r="L31" s="21">
        <v>13.1</v>
      </c>
      <c r="M31" s="21">
        <v>13.5</v>
      </c>
      <c r="N31" s="20"/>
      <c r="O31" s="20">
        <v>13.2</v>
      </c>
      <c r="P31" s="21"/>
      <c r="Q31" s="21">
        <v>13.1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4</v>
      </c>
      <c r="G32" s="20">
        <v>4.5999999999999996</v>
      </c>
      <c r="H32" s="21"/>
      <c r="I32" s="21">
        <v>4.4000000000000004</v>
      </c>
      <c r="J32" s="20"/>
      <c r="K32" s="20">
        <v>4.5</v>
      </c>
      <c r="L32" s="21">
        <v>3.9</v>
      </c>
      <c r="M32" s="21">
        <v>4</v>
      </c>
      <c r="N32" s="20"/>
      <c r="O32" s="20">
        <v>4</v>
      </c>
      <c r="P32" s="21"/>
      <c r="Q32" s="21">
        <v>4.4000000000000004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9.4</v>
      </c>
      <c r="G33" s="27">
        <f>G31-G32</f>
        <v>8.7000000000000011</v>
      </c>
      <c r="H33" s="27">
        <f t="shared" ref="H33:Q33" si="1">H31-H32</f>
        <v>0</v>
      </c>
      <c r="I33" s="27">
        <f t="shared" si="1"/>
        <v>8.7999999999999989</v>
      </c>
      <c r="J33" s="27">
        <f t="shared" si="1"/>
        <v>0</v>
      </c>
      <c r="K33" s="27">
        <f t="shared" si="1"/>
        <v>9</v>
      </c>
      <c r="L33" s="27">
        <f>L31-L32</f>
        <v>9.1999999999999993</v>
      </c>
      <c r="M33" s="27">
        <f>M31-M32</f>
        <v>9.5</v>
      </c>
      <c r="N33" s="27">
        <f>N31-N32</f>
        <v>0</v>
      </c>
      <c r="O33" s="27">
        <f>O31-O32</f>
        <v>9.1999999999999993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6780.8083140877607</v>
      </c>
      <c r="G34" s="28">
        <f>(G33*G30)/0.866</f>
        <v>6495.4642032332567</v>
      </c>
      <c r="H34" s="28">
        <f t="shared" ref="H34:Q34" si="2">(H33*H30)/0.866</f>
        <v>0</v>
      </c>
      <c r="I34" s="28">
        <f t="shared" si="2"/>
        <v>6407.5381062355646</v>
      </c>
      <c r="J34" s="28">
        <f t="shared" si="2"/>
        <v>0</v>
      </c>
      <c r="K34" s="28">
        <f t="shared" si="2"/>
        <v>6646.2817551963053</v>
      </c>
      <c r="L34" s="28">
        <f>(L33*L30)/0.866</f>
        <v>6906.3741339491917</v>
      </c>
      <c r="M34" s="28">
        <f>(M33*M30)/0.866</f>
        <v>7061.1547344110841</v>
      </c>
      <c r="N34" s="28">
        <f>(N33*N30)/0.866</f>
        <v>0</v>
      </c>
      <c r="O34" s="28">
        <f>(O33*O30)/0.866</f>
        <v>6725.9861431870668</v>
      </c>
      <c r="P34" s="28">
        <f t="shared" si="2"/>
        <v>0</v>
      </c>
      <c r="Q34" s="28">
        <f t="shared" si="2"/>
        <v>6364.4618937644336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0.78</v>
      </c>
      <c r="G35" s="20">
        <v>0.81</v>
      </c>
      <c r="H35" s="21"/>
      <c r="I35" s="21">
        <v>0.83</v>
      </c>
      <c r="J35" s="20"/>
      <c r="K35" s="20">
        <v>0.82</v>
      </c>
      <c r="L35" s="21">
        <v>0.79</v>
      </c>
      <c r="M35" s="21">
        <v>0.82</v>
      </c>
      <c r="N35" s="20"/>
      <c r="O35" s="20">
        <v>0.8</v>
      </c>
      <c r="P35" s="21"/>
      <c r="Q35" s="21">
        <v>0.82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34.4</v>
      </c>
      <c r="G36" s="20">
        <v>34.5</v>
      </c>
      <c r="H36" s="21"/>
      <c r="I36" s="21">
        <v>35</v>
      </c>
      <c r="J36" s="20"/>
      <c r="K36" s="20">
        <v>34.799999999999997</v>
      </c>
      <c r="L36" s="21">
        <v>34.700000000000003</v>
      </c>
      <c r="M36" s="21">
        <v>34.700000000000003</v>
      </c>
      <c r="N36" s="20"/>
      <c r="O36" s="20">
        <v>34.1</v>
      </c>
      <c r="P36" s="21"/>
      <c r="Q36" s="21">
        <v>34.700000000000003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34.9</v>
      </c>
      <c r="G37" s="20">
        <v>36</v>
      </c>
      <c r="H37" s="21"/>
      <c r="I37" s="21">
        <v>36.9</v>
      </c>
      <c r="J37" s="20"/>
      <c r="K37" s="20">
        <v>36.5</v>
      </c>
      <c r="L37" s="21">
        <v>35.4</v>
      </c>
      <c r="M37" s="21">
        <v>36.299999999999997</v>
      </c>
      <c r="N37" s="20"/>
      <c r="O37" s="20">
        <v>35.5</v>
      </c>
      <c r="P37" s="21"/>
      <c r="Q37" s="21">
        <v>36.4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1.6999999999999957</v>
      </c>
      <c r="G38" s="27">
        <f>G37-G41</f>
        <v>2.3999999999999986</v>
      </c>
      <c r="H38" s="27">
        <v>1</v>
      </c>
      <c r="I38" s="27">
        <f t="shared" ref="I38:Q38" si="3">I37-I41</f>
        <v>3.6000000000000014</v>
      </c>
      <c r="J38" s="27">
        <f t="shared" si="3"/>
        <v>0</v>
      </c>
      <c r="K38" s="27">
        <f t="shared" si="3"/>
        <v>2.8999999999999986</v>
      </c>
      <c r="L38" s="27">
        <f>L37-L41</f>
        <v>2.2999999999999972</v>
      </c>
      <c r="M38" s="27">
        <f>M37-M41</f>
        <v>3</v>
      </c>
      <c r="N38" s="27">
        <f>N37-N41</f>
        <v>0</v>
      </c>
      <c r="O38" s="27">
        <f>O37-O41</f>
        <v>2.2999999999999972</v>
      </c>
      <c r="P38" s="27">
        <f t="shared" si="3"/>
        <v>0</v>
      </c>
      <c r="Q38" s="27">
        <f t="shared" si="3"/>
        <v>2.7999999999999972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27.7</v>
      </c>
      <c r="G40" s="20">
        <v>28.4</v>
      </c>
      <c r="H40" s="21"/>
      <c r="I40" s="21">
        <v>28.3</v>
      </c>
      <c r="J40" s="20"/>
      <c r="K40" s="20">
        <v>28.3</v>
      </c>
      <c r="L40" s="21">
        <v>27.7</v>
      </c>
      <c r="M40" s="21">
        <v>28.1</v>
      </c>
      <c r="N40" s="20"/>
      <c r="O40" s="20">
        <v>28.3</v>
      </c>
      <c r="P40" s="21"/>
      <c r="Q40" s="21">
        <v>28.6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33.200000000000003</v>
      </c>
      <c r="G41" s="20">
        <v>33.6</v>
      </c>
      <c r="H41" s="21"/>
      <c r="I41" s="21">
        <v>33.299999999999997</v>
      </c>
      <c r="J41" s="20"/>
      <c r="K41" s="20">
        <v>33.6</v>
      </c>
      <c r="L41" s="21">
        <v>33.1</v>
      </c>
      <c r="M41" s="21">
        <v>33.299999999999997</v>
      </c>
      <c r="N41" s="20"/>
      <c r="O41" s="20">
        <v>33.200000000000003</v>
      </c>
      <c r="P41" s="21"/>
      <c r="Q41" s="21">
        <v>33.6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5.5000000000000036</v>
      </c>
      <c r="G42" s="27">
        <f>G41-G40</f>
        <v>5.2000000000000028</v>
      </c>
      <c r="H42" s="27">
        <f t="shared" ref="H42:Q42" si="4">H41-H40</f>
        <v>0</v>
      </c>
      <c r="I42" s="27">
        <f t="shared" si="4"/>
        <v>4.9999999999999964</v>
      </c>
      <c r="J42" s="27">
        <f t="shared" si="4"/>
        <v>0</v>
      </c>
      <c r="K42" s="27">
        <f t="shared" si="4"/>
        <v>5.3000000000000007</v>
      </c>
      <c r="L42" s="27">
        <f>L41-L40</f>
        <v>5.4000000000000021</v>
      </c>
      <c r="M42" s="27">
        <f>M41-M40</f>
        <v>5.1999999999999957</v>
      </c>
      <c r="N42" s="27">
        <f>N41-N40</f>
        <v>0</v>
      </c>
      <c r="O42" s="27">
        <f>O41-O40</f>
        <v>4.9000000000000021</v>
      </c>
      <c r="P42" s="27">
        <f t="shared" si="4"/>
        <v>0</v>
      </c>
      <c r="Q42" s="27">
        <f t="shared" si="4"/>
        <v>5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1306.7</v>
      </c>
      <c r="G43" s="20">
        <v>1291.5</v>
      </c>
      <c r="H43" s="21"/>
      <c r="I43" s="21">
        <v>1296.82</v>
      </c>
      <c r="J43" s="20"/>
      <c r="K43" s="20">
        <v>1293.5999999999999</v>
      </c>
      <c r="L43" s="21">
        <v>1295.5999999999999</v>
      </c>
      <c r="M43" s="20">
        <v>1293.18</v>
      </c>
      <c r="N43" s="20"/>
      <c r="O43" s="20">
        <v>1299.9000000000001</v>
      </c>
      <c r="P43" s="21"/>
      <c r="Q43" s="21">
        <v>1295.7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8298.9030023094747</v>
      </c>
      <c r="G44" s="28">
        <f>G42*G43/0.866</f>
        <v>7754.9653579676715</v>
      </c>
      <c r="H44" s="28">
        <f t="shared" ref="H44:Q44" si="5">H42*H43/0.866</f>
        <v>0</v>
      </c>
      <c r="I44" s="28">
        <f t="shared" si="5"/>
        <v>7487.4133949191628</v>
      </c>
      <c r="J44" s="28">
        <f t="shared" si="5"/>
        <v>0</v>
      </c>
      <c r="K44" s="28">
        <f t="shared" si="5"/>
        <v>7916.9515011547355</v>
      </c>
      <c r="L44" s="28">
        <f>L42*L43/0.866</f>
        <v>8078.7990762124737</v>
      </c>
      <c r="M44" s="28">
        <f>M42*M43/0.866</f>
        <v>7765.0531177829034</v>
      </c>
      <c r="N44" s="28">
        <f>N42*N43/0.866</f>
        <v>0</v>
      </c>
      <c r="O44" s="28">
        <f>O42*O43/0.866</f>
        <v>7355.09237875289</v>
      </c>
      <c r="P44" s="28">
        <f t="shared" si="5"/>
        <v>0</v>
      </c>
      <c r="Q44" s="28">
        <f t="shared" si="5"/>
        <v>7480.9468822170902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0.44</v>
      </c>
      <c r="G45" s="20">
        <v>0.45</v>
      </c>
      <c r="H45" s="21"/>
      <c r="I45" s="21">
        <v>0.44</v>
      </c>
      <c r="J45" s="20"/>
      <c r="K45" s="20">
        <v>0.45</v>
      </c>
      <c r="L45" s="21">
        <v>0.44</v>
      </c>
      <c r="M45" s="21">
        <v>0.45</v>
      </c>
      <c r="N45" s="20"/>
      <c r="O45" s="20">
        <v>0.44</v>
      </c>
      <c r="P45" s="21"/>
      <c r="Q45" s="21">
        <v>0.45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18.5</v>
      </c>
      <c r="G46" s="20">
        <v>18.899999999999999</v>
      </c>
      <c r="H46" s="21"/>
      <c r="I46" s="21">
        <v>18.2</v>
      </c>
      <c r="J46" s="20"/>
      <c r="K46" s="20">
        <v>19</v>
      </c>
      <c r="L46" s="21">
        <v>18.7</v>
      </c>
      <c r="M46" s="21">
        <v>19.100000000000001</v>
      </c>
      <c r="N46" s="20"/>
      <c r="O46" s="20">
        <v>18.100000000000001</v>
      </c>
      <c r="P46" s="21"/>
      <c r="Q46" s="21">
        <v>18.899999999999999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195.6</v>
      </c>
      <c r="G47" s="20">
        <v>201.7</v>
      </c>
      <c r="H47" s="21"/>
      <c r="I47" s="21">
        <v>117.8</v>
      </c>
      <c r="J47" s="20"/>
      <c r="K47" s="20">
        <v>200.8</v>
      </c>
      <c r="L47" s="21">
        <v>198.6</v>
      </c>
      <c r="M47" s="21">
        <v>206.4</v>
      </c>
      <c r="N47" s="20"/>
      <c r="O47" s="20">
        <v>160</v>
      </c>
      <c r="P47" s="21"/>
      <c r="Q47" s="21">
        <v>199.8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53">
        <v>5.89</v>
      </c>
      <c r="F49" s="20">
        <v>6.32</v>
      </c>
      <c r="G49" s="20">
        <v>5.54</v>
      </c>
      <c r="H49" s="21"/>
      <c r="I49" s="21">
        <v>5.72</v>
      </c>
      <c r="J49" s="20"/>
      <c r="K49" s="20">
        <v>5.9</v>
      </c>
      <c r="L49" s="21">
        <v>5.87</v>
      </c>
      <c r="M49" s="21">
        <v>5.68</v>
      </c>
      <c r="N49" s="20"/>
      <c r="O49" s="20">
        <v>5.68</v>
      </c>
      <c r="P49" s="21"/>
      <c r="Q49" s="21">
        <v>5.33</v>
      </c>
    </row>
    <row r="50" spans="2:17" ht="20.100000000000001" customHeight="1">
      <c r="B50" s="92" t="s">
        <v>91</v>
      </c>
      <c r="C50" s="92"/>
      <c r="D50" s="92"/>
      <c r="E50" s="5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5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N52" sqref="N52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45789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53" t="s">
        <v>18</v>
      </c>
      <c r="E10" s="15"/>
      <c r="F10" s="17" t="s">
        <v>19</v>
      </c>
      <c r="G10" s="17" t="s">
        <v>19</v>
      </c>
      <c r="H10" s="18"/>
      <c r="I10" s="18" t="s">
        <v>19</v>
      </c>
      <c r="J10" s="17"/>
      <c r="K10" s="17" t="s">
        <v>19</v>
      </c>
      <c r="L10" s="18" t="s">
        <v>19</v>
      </c>
      <c r="M10" s="18" t="s">
        <v>19</v>
      </c>
      <c r="N10" s="16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75</v>
      </c>
      <c r="G11" s="20">
        <v>69.900000000000006</v>
      </c>
      <c r="H11" s="21"/>
      <c r="I11" s="21">
        <v>78.400000000000006</v>
      </c>
      <c r="J11" s="20"/>
      <c r="K11" s="20">
        <v>74</v>
      </c>
      <c r="L11" s="21">
        <v>78.5</v>
      </c>
      <c r="M11" s="21">
        <v>73.900000000000006</v>
      </c>
      <c r="N11" s="20"/>
      <c r="O11" s="20">
        <v>76.7</v>
      </c>
      <c r="P11" s="21"/>
      <c r="Q11" s="21">
        <v>74.900000000000006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0.8</v>
      </c>
      <c r="G12" s="20">
        <v>0.6</v>
      </c>
      <c r="H12" s="21"/>
      <c r="I12" s="21">
        <v>0</v>
      </c>
      <c r="J12" s="20"/>
      <c r="K12" s="20">
        <v>0</v>
      </c>
      <c r="L12" s="21">
        <v>0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70.099999999999994</v>
      </c>
      <c r="G13" s="20">
        <v>64.3</v>
      </c>
      <c r="H13" s="21"/>
      <c r="I13" s="21">
        <v>74.2</v>
      </c>
      <c r="J13" s="20"/>
      <c r="K13" s="20">
        <v>70</v>
      </c>
      <c r="L13" s="21">
        <v>73.900000000000006</v>
      </c>
      <c r="M13" s="21">
        <v>69.099999999999994</v>
      </c>
      <c r="N13" s="20"/>
      <c r="O13" s="20">
        <v>71.900000000000006</v>
      </c>
      <c r="P13" s="21"/>
      <c r="Q13" s="21">
        <v>70.5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67.3</v>
      </c>
      <c r="G14" s="20">
        <v>69.2</v>
      </c>
      <c r="H14" s="21"/>
      <c r="I14" s="21">
        <v>69.7</v>
      </c>
      <c r="J14" s="20"/>
      <c r="K14" s="20">
        <v>64.2</v>
      </c>
      <c r="L14" s="21">
        <v>67.599999999999994</v>
      </c>
      <c r="M14" s="21">
        <v>68.7</v>
      </c>
      <c r="N14" s="20"/>
      <c r="O14" s="20">
        <v>74.7</v>
      </c>
      <c r="P14" s="21"/>
      <c r="Q14" s="21">
        <v>73.900000000000006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40</v>
      </c>
      <c r="G15" s="20">
        <v>37.9</v>
      </c>
      <c r="H15" s="21"/>
      <c r="I15" s="21">
        <v>54.1</v>
      </c>
      <c r="J15" s="20"/>
      <c r="K15" s="20">
        <v>38.5</v>
      </c>
      <c r="L15" s="21">
        <v>37.799999999999997</v>
      </c>
      <c r="M15" s="21">
        <v>34.6</v>
      </c>
      <c r="N15" s="20"/>
      <c r="O15" s="20">
        <v>56.5</v>
      </c>
      <c r="P15" s="21"/>
      <c r="Q15" s="21">
        <v>45.6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0"/>
      <c r="I16" s="20">
        <v>6.6</v>
      </c>
      <c r="J16" s="20"/>
      <c r="K16" s="20">
        <v>6.6</v>
      </c>
      <c r="L16" s="20">
        <v>6.6</v>
      </c>
      <c r="M16" s="20">
        <v>6.6</v>
      </c>
      <c r="N16" s="20"/>
      <c r="O16" s="20">
        <v>6.6</v>
      </c>
      <c r="P16" s="20"/>
      <c r="Q16" s="20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119.9</v>
      </c>
      <c r="G17" s="20">
        <v>115.2</v>
      </c>
      <c r="H17" s="21"/>
      <c r="I17" s="21">
        <v>115.8</v>
      </c>
      <c r="J17" s="20"/>
      <c r="K17" s="20">
        <v>116.4</v>
      </c>
      <c r="L17" s="21">
        <v>121.1</v>
      </c>
      <c r="M17" s="21">
        <v>115</v>
      </c>
      <c r="N17" s="20"/>
      <c r="O17" s="20">
        <v>117.5</v>
      </c>
      <c r="P17" s="21"/>
      <c r="Q17" s="21">
        <v>117.6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1172</v>
      </c>
      <c r="G18" s="20">
        <v>1124</v>
      </c>
      <c r="H18" s="21"/>
      <c r="I18" s="21">
        <v>1175</v>
      </c>
      <c r="J18" s="20"/>
      <c r="K18" s="20">
        <v>1178</v>
      </c>
      <c r="L18" s="21">
        <v>1230</v>
      </c>
      <c r="M18" s="21">
        <v>1172</v>
      </c>
      <c r="N18" s="20"/>
      <c r="O18" s="20">
        <v>1196</v>
      </c>
      <c r="P18" s="21"/>
      <c r="Q18" s="21">
        <v>1199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>
        <v>50316.4</v>
      </c>
      <c r="G19" s="20">
        <v>50306.8</v>
      </c>
      <c r="H19" s="21"/>
      <c r="I19" s="21">
        <v>51389.9</v>
      </c>
      <c r="J19" s="20"/>
      <c r="K19" s="20">
        <v>49246.2</v>
      </c>
      <c r="L19" s="21">
        <v>51663.7</v>
      </c>
      <c r="M19" s="21">
        <v>51654.1</v>
      </c>
      <c r="N19" s="20"/>
      <c r="O19" s="20">
        <v>50833.3</v>
      </c>
      <c r="P19" s="21"/>
      <c r="Q19" s="21">
        <v>50775.8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58.2</v>
      </c>
      <c r="G22" s="20">
        <v>59.9</v>
      </c>
      <c r="H22" s="21"/>
      <c r="I22" s="21">
        <v>59.2</v>
      </c>
      <c r="J22" s="20"/>
      <c r="K22" s="20">
        <v>57.9</v>
      </c>
      <c r="L22" s="21">
        <v>57.3</v>
      </c>
      <c r="M22" s="21">
        <v>57.5</v>
      </c>
      <c r="N22" s="20"/>
      <c r="O22" s="20">
        <v>58.7</v>
      </c>
      <c r="P22" s="21"/>
      <c r="Q22" s="21">
        <v>59.2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0.5</v>
      </c>
      <c r="J23" s="20"/>
      <c r="K23" s="20">
        <v>0.59</v>
      </c>
      <c r="L23" s="21">
        <v>0.59</v>
      </c>
      <c r="M23" s="21">
        <v>0.52</v>
      </c>
      <c r="N23" s="20"/>
      <c r="O23" s="20">
        <v>0.48</v>
      </c>
      <c r="P23" s="21"/>
      <c r="Q23" s="21">
        <v>0.5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45.2</v>
      </c>
      <c r="G25" s="20">
        <v>45.9</v>
      </c>
      <c r="H25" s="21"/>
      <c r="I25" s="21">
        <v>45.1</v>
      </c>
      <c r="J25" s="20"/>
      <c r="K25" s="20">
        <v>45</v>
      </c>
      <c r="L25" s="21">
        <v>44.2</v>
      </c>
      <c r="M25" s="21">
        <v>44.8</v>
      </c>
      <c r="N25" s="20"/>
      <c r="O25" s="20">
        <v>44.9</v>
      </c>
      <c r="P25" s="21"/>
      <c r="Q25" s="21">
        <v>44.9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0.25</v>
      </c>
      <c r="G26" s="20">
        <v>0.23</v>
      </c>
      <c r="H26" s="21"/>
      <c r="I26" s="21">
        <v>0.22</v>
      </c>
      <c r="J26" s="20"/>
      <c r="K26" s="20">
        <v>0.22</v>
      </c>
      <c r="L26" s="21">
        <v>0.23</v>
      </c>
      <c r="M26" s="21">
        <v>0.22</v>
      </c>
      <c r="N26" s="20"/>
      <c r="O26" s="20">
        <v>0.23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4</v>
      </c>
      <c r="G27" s="20">
        <v>4.7</v>
      </c>
      <c r="H27" s="21"/>
      <c r="I27" s="21">
        <v>3.5</v>
      </c>
      <c r="J27" s="20"/>
      <c r="K27" s="20">
        <v>4.0999999999999996</v>
      </c>
      <c r="L27" s="21">
        <v>4.4000000000000004</v>
      </c>
      <c r="M27" s="21">
        <v>3.8</v>
      </c>
      <c r="N27" s="20"/>
      <c r="O27" s="20">
        <v>4.5999999999999996</v>
      </c>
      <c r="P27" s="21"/>
      <c r="Q27" s="21">
        <v>4.8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3.5</v>
      </c>
      <c r="G28" s="20">
        <v>4</v>
      </c>
      <c r="H28" s="21"/>
      <c r="I28" s="21">
        <v>2.6</v>
      </c>
      <c r="J28" s="20"/>
      <c r="K28" s="20">
        <v>3.2</v>
      </c>
      <c r="L28" s="21">
        <v>2.5</v>
      </c>
      <c r="M28" s="21">
        <v>2.4</v>
      </c>
      <c r="N28" s="20"/>
      <c r="O28" s="20">
        <v>3.5</v>
      </c>
      <c r="P28" s="21"/>
      <c r="Q28" s="21">
        <v>3.8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1</v>
      </c>
      <c r="G29" s="27">
        <f>G32-G28</f>
        <v>1</v>
      </c>
      <c r="H29" s="27">
        <f t="shared" ref="H29:Q29" si="0">H32-H28</f>
        <v>0</v>
      </c>
      <c r="I29" s="27">
        <f t="shared" si="0"/>
        <v>2.3000000000000003</v>
      </c>
      <c r="J29" s="27">
        <f t="shared" si="0"/>
        <v>0</v>
      </c>
      <c r="K29" s="27">
        <f t="shared" si="0"/>
        <v>0.69999999999999973</v>
      </c>
      <c r="L29" s="27">
        <f>L32-L28</f>
        <v>2</v>
      </c>
      <c r="M29" s="27">
        <f>M32-M28</f>
        <v>1.6</v>
      </c>
      <c r="N29" s="27">
        <f>N32-N28</f>
        <v>0</v>
      </c>
      <c r="O29" s="27">
        <f>O32-O28</f>
        <v>1.2999999999999998</v>
      </c>
      <c r="P29" s="27">
        <f t="shared" si="0"/>
        <v>0</v>
      </c>
      <c r="Q29" s="27">
        <f t="shared" si="0"/>
        <v>1.1000000000000005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690.32</v>
      </c>
      <c r="G30" s="20">
        <v>667.8</v>
      </c>
      <c r="H30" s="21"/>
      <c r="I30" s="21">
        <v>649.20000000000005</v>
      </c>
      <c r="J30" s="20"/>
      <c r="K30" s="20">
        <v>640.70000000000005</v>
      </c>
      <c r="L30" s="21">
        <v>699.76</v>
      </c>
      <c r="M30" s="21">
        <v>643.4</v>
      </c>
      <c r="N30" s="20"/>
      <c r="O30" s="20">
        <v>656.3</v>
      </c>
      <c r="P30" s="21"/>
      <c r="Q30" s="21">
        <v>647.4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12.9</v>
      </c>
      <c r="G31" s="20">
        <v>13.7</v>
      </c>
      <c r="H31" s="21"/>
      <c r="I31" s="21">
        <v>13.8</v>
      </c>
      <c r="J31" s="20"/>
      <c r="K31" s="20">
        <v>13</v>
      </c>
      <c r="L31" s="21">
        <v>13.3</v>
      </c>
      <c r="M31" s="21">
        <v>13.2</v>
      </c>
      <c r="N31" s="20"/>
      <c r="O31" s="20">
        <v>13.7</v>
      </c>
      <c r="P31" s="21"/>
      <c r="Q31" s="21">
        <v>13.4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4.5</v>
      </c>
      <c r="G32" s="20">
        <v>5</v>
      </c>
      <c r="H32" s="21"/>
      <c r="I32" s="21">
        <v>4.9000000000000004</v>
      </c>
      <c r="J32" s="20"/>
      <c r="K32" s="20">
        <v>3.9</v>
      </c>
      <c r="L32" s="21">
        <v>4.5</v>
      </c>
      <c r="M32" s="21">
        <v>4</v>
      </c>
      <c r="N32" s="20"/>
      <c r="O32" s="20">
        <v>4.8</v>
      </c>
      <c r="P32" s="21"/>
      <c r="Q32" s="21">
        <v>4.9000000000000004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8.4</v>
      </c>
      <c r="G33" s="27">
        <f>G31-G32</f>
        <v>8.6999999999999993</v>
      </c>
      <c r="H33" s="27">
        <f t="shared" ref="H33:Q33" si="1">H31-H32</f>
        <v>0</v>
      </c>
      <c r="I33" s="27">
        <f t="shared" si="1"/>
        <v>8.9</v>
      </c>
      <c r="J33" s="27">
        <f t="shared" si="1"/>
        <v>0</v>
      </c>
      <c r="K33" s="27">
        <f t="shared" si="1"/>
        <v>9.1</v>
      </c>
      <c r="L33" s="27">
        <f>L31-L32</f>
        <v>8.8000000000000007</v>
      </c>
      <c r="M33" s="27">
        <f>M31-M32</f>
        <v>9.1999999999999993</v>
      </c>
      <c r="N33" s="27">
        <f>N31-N32</f>
        <v>0</v>
      </c>
      <c r="O33" s="27">
        <f>O31-O32</f>
        <v>8.8999999999999986</v>
      </c>
      <c r="P33" s="27">
        <f t="shared" si="1"/>
        <v>0</v>
      </c>
      <c r="Q33" s="27">
        <f t="shared" si="1"/>
        <v>8.5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6695.9445727482689</v>
      </c>
      <c r="G34" s="28">
        <f>(G33*G30)/0.866</f>
        <v>6708.8452655889132</v>
      </c>
      <c r="H34" s="28">
        <f t="shared" ref="H34:Q34" si="2">(H33*H30)/0.866</f>
        <v>0</v>
      </c>
      <c r="I34" s="28">
        <f t="shared" si="2"/>
        <v>6671.9168591224034</v>
      </c>
      <c r="J34" s="28">
        <f t="shared" si="2"/>
        <v>0</v>
      </c>
      <c r="K34" s="28">
        <f t="shared" si="2"/>
        <v>6732.5288683602766</v>
      </c>
      <c r="L34" s="28">
        <f>(L33*L30)/0.866</f>
        <v>7110.7251732101631</v>
      </c>
      <c r="M34" s="28">
        <f>(M33*M30)/0.866</f>
        <v>6835.1963048498847</v>
      </c>
      <c r="N34" s="28">
        <f>(N33*N30)/0.866</f>
        <v>0</v>
      </c>
      <c r="O34" s="28">
        <f>(O33*O30)/0.866</f>
        <v>6744.8845265588898</v>
      </c>
      <c r="P34" s="28">
        <f t="shared" si="2"/>
        <v>0</v>
      </c>
      <c r="Q34" s="28">
        <f t="shared" si="2"/>
        <v>6354.387990762124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0.81</v>
      </c>
      <c r="G35" s="20">
        <v>0.82</v>
      </c>
      <c r="H35" s="21"/>
      <c r="I35" s="21">
        <v>0.84</v>
      </c>
      <c r="J35" s="20"/>
      <c r="K35" s="20">
        <v>0.83</v>
      </c>
      <c r="L35" s="21">
        <v>0.83</v>
      </c>
      <c r="M35" s="21">
        <v>0.81</v>
      </c>
      <c r="N35" s="20"/>
      <c r="O35" s="20">
        <v>0.8</v>
      </c>
      <c r="P35" s="21"/>
      <c r="Q35" s="21">
        <v>0.83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35.700000000000003</v>
      </c>
      <c r="G36" s="20">
        <v>36</v>
      </c>
      <c r="H36" s="21"/>
      <c r="I36" s="21">
        <v>36.4</v>
      </c>
      <c r="J36" s="20"/>
      <c r="K36" s="20">
        <v>36.299999999999997</v>
      </c>
      <c r="L36" s="21">
        <v>36.1</v>
      </c>
      <c r="M36" s="21">
        <v>36.200000000000003</v>
      </c>
      <c r="N36" s="20"/>
      <c r="O36" s="20">
        <v>35.6</v>
      </c>
      <c r="P36" s="21"/>
      <c r="Q36" s="21">
        <v>36.1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36.200000000000003</v>
      </c>
      <c r="G37" s="20">
        <v>36.4</v>
      </c>
      <c r="H37" s="21"/>
      <c r="I37" s="21">
        <v>37.299999999999997</v>
      </c>
      <c r="J37" s="20"/>
      <c r="K37" s="20">
        <v>37</v>
      </c>
      <c r="L37" s="21">
        <v>36.6</v>
      </c>
      <c r="M37" s="21">
        <v>36.6</v>
      </c>
      <c r="N37" s="20"/>
      <c r="O37" s="20">
        <v>36</v>
      </c>
      <c r="P37" s="21"/>
      <c r="Q37" s="21">
        <v>36.799999999999997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2.5</v>
      </c>
      <c r="G38" s="27">
        <f>G37-G41</f>
        <v>1.5</v>
      </c>
      <c r="H38" s="27">
        <v>1</v>
      </c>
      <c r="I38" s="27">
        <f t="shared" ref="I38:Q38" si="3">I37-I41</f>
        <v>3.1999999999999957</v>
      </c>
      <c r="J38" s="27">
        <f t="shared" si="3"/>
        <v>0</v>
      </c>
      <c r="K38" s="27">
        <f t="shared" si="3"/>
        <v>2.1000000000000014</v>
      </c>
      <c r="L38" s="27">
        <f>L37-L41</f>
        <v>3</v>
      </c>
      <c r="M38" s="27">
        <f>M37-M41</f>
        <v>2.1000000000000014</v>
      </c>
      <c r="N38" s="27">
        <f>N37-N41</f>
        <v>0</v>
      </c>
      <c r="O38" s="27">
        <f>O37-O41</f>
        <v>1.5</v>
      </c>
      <c r="P38" s="27">
        <f t="shared" si="3"/>
        <v>0</v>
      </c>
      <c r="Q38" s="27">
        <f t="shared" si="3"/>
        <v>2.3999999999999986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28.4</v>
      </c>
      <c r="G40" s="20">
        <v>29.3</v>
      </c>
      <c r="H40" s="21"/>
      <c r="I40" s="21">
        <v>29.4</v>
      </c>
      <c r="J40" s="20"/>
      <c r="K40" s="20">
        <v>29.4</v>
      </c>
      <c r="L40" s="21">
        <v>28.2</v>
      </c>
      <c r="M40" s="21">
        <v>29.2</v>
      </c>
      <c r="N40" s="20"/>
      <c r="O40" s="20">
        <v>29.1</v>
      </c>
      <c r="P40" s="21"/>
      <c r="Q40" s="21">
        <v>29.1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33.700000000000003</v>
      </c>
      <c r="G41" s="20">
        <v>34.9</v>
      </c>
      <c r="H41" s="21"/>
      <c r="I41" s="21">
        <v>34.1</v>
      </c>
      <c r="J41" s="20"/>
      <c r="K41" s="20">
        <v>34.9</v>
      </c>
      <c r="L41" s="21">
        <v>33.6</v>
      </c>
      <c r="M41" s="21">
        <v>34.5</v>
      </c>
      <c r="N41" s="20"/>
      <c r="O41" s="20">
        <v>34.5</v>
      </c>
      <c r="P41" s="21"/>
      <c r="Q41" s="21">
        <v>34.4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5.3000000000000043</v>
      </c>
      <c r="G42" s="27">
        <f>G41-G40</f>
        <v>5.5999999999999979</v>
      </c>
      <c r="H42" s="27">
        <f t="shared" ref="H42:Q42" si="4">H41-H40</f>
        <v>0</v>
      </c>
      <c r="I42" s="27">
        <f t="shared" si="4"/>
        <v>4.7000000000000028</v>
      </c>
      <c r="J42" s="27">
        <f t="shared" si="4"/>
        <v>0</v>
      </c>
      <c r="K42" s="27">
        <f t="shared" si="4"/>
        <v>5.5</v>
      </c>
      <c r="L42" s="27">
        <f>L41-L40</f>
        <v>5.4000000000000021</v>
      </c>
      <c r="M42" s="27">
        <f>M41-M40</f>
        <v>5.3000000000000007</v>
      </c>
      <c r="N42" s="27">
        <f>N41-N40</f>
        <v>0</v>
      </c>
      <c r="O42" s="27">
        <f>O41-O40</f>
        <v>5.3999999999999986</v>
      </c>
      <c r="P42" s="27">
        <f t="shared" si="4"/>
        <v>0</v>
      </c>
      <c r="Q42" s="27">
        <f t="shared" si="4"/>
        <v>5.2999999999999972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1295.1400000000001</v>
      </c>
      <c r="G43" s="20">
        <v>1299.3</v>
      </c>
      <c r="H43" s="21"/>
      <c r="I43" s="21">
        <v>1294.5</v>
      </c>
      <c r="J43" s="20"/>
      <c r="K43" s="20">
        <v>1295.9000000000001</v>
      </c>
      <c r="L43" s="21">
        <v>1291.08</v>
      </c>
      <c r="M43" s="20">
        <v>1293.8</v>
      </c>
      <c r="N43" s="20"/>
      <c r="O43" s="20">
        <v>1287.0999999999999</v>
      </c>
      <c r="P43" s="21"/>
      <c r="Q43" s="21">
        <v>1295.5999999999999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7926.3764434180202</v>
      </c>
      <c r="G44" s="28">
        <f>G42*G43/0.866</f>
        <v>8401.9399538106209</v>
      </c>
      <c r="H44" s="28">
        <f t="shared" ref="H44:Q44" si="5">H42*H43/0.866</f>
        <v>0</v>
      </c>
      <c r="I44" s="28">
        <f t="shared" si="5"/>
        <v>7025.5773672055466</v>
      </c>
      <c r="J44" s="28">
        <f t="shared" si="5"/>
        <v>0</v>
      </c>
      <c r="K44" s="28">
        <f t="shared" si="5"/>
        <v>8230.311778290994</v>
      </c>
      <c r="L44" s="28">
        <f>L42*L43/0.866</f>
        <v>8050.6143187067</v>
      </c>
      <c r="M44" s="28">
        <f>M42*M43/0.866</f>
        <v>7918.1755196304857</v>
      </c>
      <c r="N44" s="28">
        <f>N42*N43/0.866</f>
        <v>0</v>
      </c>
      <c r="O44" s="28">
        <f>O42*O43/0.866</f>
        <v>8025.796766743646</v>
      </c>
      <c r="P44" s="28">
        <f t="shared" si="5"/>
        <v>0</v>
      </c>
      <c r="Q44" s="28">
        <f t="shared" si="5"/>
        <v>7929.1916859122357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0.47</v>
      </c>
      <c r="H45" s="21"/>
      <c r="I45" s="21">
        <v>0.46</v>
      </c>
      <c r="J45" s="20"/>
      <c r="K45" s="20">
        <v>0.46</v>
      </c>
      <c r="L45" s="21">
        <v>0.46</v>
      </c>
      <c r="M45" s="21">
        <v>0.46</v>
      </c>
      <c r="N45" s="20"/>
      <c r="O45" s="20">
        <v>0.46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19.5</v>
      </c>
      <c r="G46" s="20">
        <v>20.2</v>
      </c>
      <c r="H46" s="21"/>
      <c r="I46" s="21">
        <v>19.5</v>
      </c>
      <c r="J46" s="20"/>
      <c r="K46" s="20">
        <v>19.399999999999999</v>
      </c>
      <c r="L46" s="21">
        <v>19.7</v>
      </c>
      <c r="M46" s="21">
        <v>19.5</v>
      </c>
      <c r="N46" s="20"/>
      <c r="O46" s="20">
        <v>19.3</v>
      </c>
      <c r="P46" s="21"/>
      <c r="Q46" s="21">
        <v>20.2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198.7</v>
      </c>
      <c r="G47" s="20">
        <v>200.8</v>
      </c>
      <c r="H47" s="21"/>
      <c r="I47" s="21">
        <v>125.7</v>
      </c>
      <c r="J47" s="20"/>
      <c r="K47" s="20">
        <v>206</v>
      </c>
      <c r="L47" s="21">
        <v>215.2</v>
      </c>
      <c r="M47" s="21">
        <v>207.3</v>
      </c>
      <c r="N47" s="20"/>
      <c r="O47" s="20">
        <v>159.4</v>
      </c>
      <c r="P47" s="21"/>
      <c r="Q47" s="21">
        <v>193.1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53">
        <v>5.89</v>
      </c>
      <c r="F49" s="20">
        <v>5.62</v>
      </c>
      <c r="G49" s="20">
        <v>5.64</v>
      </c>
      <c r="H49" s="21"/>
      <c r="I49" s="21">
        <v>5.38</v>
      </c>
      <c r="J49" s="20"/>
      <c r="K49" s="20">
        <v>5.55</v>
      </c>
      <c r="L49" s="21">
        <v>5.12</v>
      </c>
      <c r="M49" s="21">
        <v>5.68</v>
      </c>
      <c r="N49" s="20"/>
      <c r="O49" s="20">
        <v>5.54</v>
      </c>
      <c r="P49" s="21"/>
      <c r="Q49" s="21">
        <v>5.27</v>
      </c>
    </row>
    <row r="50" spans="2:17" ht="20.100000000000001" customHeight="1">
      <c r="B50" s="92" t="s">
        <v>91</v>
      </c>
      <c r="C50" s="92"/>
      <c r="D50" s="92"/>
      <c r="E50" s="5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5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N50" sqref="N5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45790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55" t="s">
        <v>18</v>
      </c>
      <c r="E10" s="15"/>
      <c r="F10" s="17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/>
      <c r="M10" s="18" t="s">
        <v>19</v>
      </c>
      <c r="N10" s="16" t="s">
        <v>101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70.5</v>
      </c>
      <c r="H11" s="21"/>
      <c r="I11" s="21">
        <v>76</v>
      </c>
      <c r="J11" s="20">
        <v>76.099999999999994</v>
      </c>
      <c r="K11" s="20">
        <v>72.599999999999994</v>
      </c>
      <c r="L11" s="21"/>
      <c r="M11" s="21">
        <v>74.400000000000006</v>
      </c>
      <c r="N11" s="20">
        <v>74.400000000000006</v>
      </c>
      <c r="O11" s="20">
        <v>75.8</v>
      </c>
      <c r="P11" s="21"/>
      <c r="Q11" s="21">
        <v>71.099999999999994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65</v>
      </c>
      <c r="H13" s="21"/>
      <c r="I13" s="21">
        <v>71.099999999999994</v>
      </c>
      <c r="J13" s="20">
        <v>70.900000000000006</v>
      </c>
      <c r="K13" s="20">
        <v>68</v>
      </c>
      <c r="L13" s="21"/>
      <c r="M13" s="21">
        <v>58.3</v>
      </c>
      <c r="N13" s="20">
        <v>71.7</v>
      </c>
      <c r="O13" s="20">
        <v>71.7</v>
      </c>
      <c r="P13" s="21"/>
      <c r="Q13" s="21">
        <v>65.7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69.5</v>
      </c>
      <c r="H14" s="21"/>
      <c r="I14" s="21">
        <v>70.400000000000006</v>
      </c>
      <c r="J14" s="20">
        <v>64.3</v>
      </c>
      <c r="K14" s="20">
        <v>63.6</v>
      </c>
      <c r="L14" s="21"/>
      <c r="M14" s="21">
        <v>68.5</v>
      </c>
      <c r="N14" s="20">
        <v>72.900000000000006</v>
      </c>
      <c r="O14" s="20">
        <v>74.7</v>
      </c>
      <c r="P14" s="21"/>
      <c r="Q14" s="21">
        <v>74.2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36.799999999999997</v>
      </c>
      <c r="H15" s="21"/>
      <c r="I15" s="21">
        <v>53.3</v>
      </c>
      <c r="J15" s="20">
        <v>37.4</v>
      </c>
      <c r="K15" s="20">
        <v>37.9</v>
      </c>
      <c r="L15" s="21"/>
      <c r="M15" s="21">
        <v>32.9</v>
      </c>
      <c r="N15" s="20">
        <v>51.5</v>
      </c>
      <c r="O15" s="20">
        <v>51.2</v>
      </c>
      <c r="P15" s="21"/>
      <c r="Q15" s="21">
        <v>40.200000000000003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118.2</v>
      </c>
      <c r="H17" s="21"/>
      <c r="I17" s="21">
        <v>117.6</v>
      </c>
      <c r="J17" s="20">
        <v>117.7</v>
      </c>
      <c r="K17" s="20">
        <v>115.8</v>
      </c>
      <c r="L17" s="21"/>
      <c r="M17" s="21">
        <v>116.4</v>
      </c>
      <c r="N17" s="20">
        <v>118</v>
      </c>
      <c r="O17" s="20">
        <v>120.1</v>
      </c>
      <c r="P17" s="21"/>
      <c r="Q17" s="21">
        <v>117.4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1140</v>
      </c>
      <c r="H18" s="21"/>
      <c r="I18" s="21">
        <v>1178</v>
      </c>
      <c r="J18" s="20">
        <v>1205</v>
      </c>
      <c r="K18" s="20">
        <v>1174</v>
      </c>
      <c r="L18" s="21"/>
      <c r="M18" s="21">
        <v>1178</v>
      </c>
      <c r="N18" s="20">
        <v>1208</v>
      </c>
      <c r="O18" s="20">
        <v>1211</v>
      </c>
      <c r="P18" s="21"/>
      <c r="Q18" s="21">
        <v>1183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50324.9</v>
      </c>
      <c r="H19" s="21"/>
      <c r="I19" s="21">
        <v>51398.2</v>
      </c>
      <c r="J19" s="20">
        <v>49266.5</v>
      </c>
      <c r="K19" s="20">
        <v>49255.4</v>
      </c>
      <c r="L19" s="21"/>
      <c r="M19" s="21">
        <v>51675</v>
      </c>
      <c r="N19" s="20">
        <v>50853.9</v>
      </c>
      <c r="O19" s="20">
        <v>50842.8</v>
      </c>
      <c r="P19" s="21"/>
      <c r="Q19" s="21">
        <v>50784.9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58.1</v>
      </c>
      <c r="H22" s="21"/>
      <c r="I22" s="21">
        <v>59.3</v>
      </c>
      <c r="J22" s="20">
        <v>57.9</v>
      </c>
      <c r="K22" s="20">
        <v>58.4</v>
      </c>
      <c r="L22" s="21"/>
      <c r="M22" s="21">
        <v>57.7</v>
      </c>
      <c r="N22" s="20">
        <v>58.5</v>
      </c>
      <c r="O22" s="20">
        <v>58.6</v>
      </c>
      <c r="P22" s="21"/>
      <c r="Q22" s="21">
        <v>61.6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0.59</v>
      </c>
      <c r="K23" s="20">
        <v>0.59</v>
      </c>
      <c r="L23" s="21"/>
      <c r="M23" s="21">
        <v>0.59</v>
      </c>
      <c r="N23" s="20">
        <v>0.57999999999999996</v>
      </c>
      <c r="O23" s="20">
        <v>0.48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45.1</v>
      </c>
      <c r="H25" s="21"/>
      <c r="I25" s="21">
        <v>45</v>
      </c>
      <c r="J25" s="20">
        <v>45.1</v>
      </c>
      <c r="K25" s="20">
        <v>45.3</v>
      </c>
      <c r="L25" s="21"/>
      <c r="M25" s="21">
        <v>45.5</v>
      </c>
      <c r="N25" s="20">
        <v>45.1</v>
      </c>
      <c r="O25" s="20">
        <v>45.1</v>
      </c>
      <c r="P25" s="21"/>
      <c r="Q25" s="21">
        <v>47.3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0.24</v>
      </c>
      <c r="H26" s="21"/>
      <c r="I26" s="21">
        <v>0.22</v>
      </c>
      <c r="J26" s="20">
        <v>0.23</v>
      </c>
      <c r="K26" s="20">
        <v>0.23</v>
      </c>
      <c r="L26" s="21"/>
      <c r="M26" s="21">
        <v>0.23</v>
      </c>
      <c r="N26" s="20">
        <v>0.22</v>
      </c>
      <c r="O26" s="20">
        <v>0.23</v>
      </c>
      <c r="P26" s="21"/>
      <c r="Q26" s="21">
        <v>0.24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4.3</v>
      </c>
      <c r="H27" s="21"/>
      <c r="I27" s="21">
        <v>3.8</v>
      </c>
      <c r="J27" s="20">
        <v>4</v>
      </c>
      <c r="K27" s="20">
        <v>4.3</v>
      </c>
      <c r="L27" s="21"/>
      <c r="M27" s="21">
        <v>4.0999999999999996</v>
      </c>
      <c r="N27" s="20">
        <v>4.4000000000000004</v>
      </c>
      <c r="O27" s="20">
        <v>4.5</v>
      </c>
      <c r="P27" s="21"/>
      <c r="Q27" s="21">
        <v>5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4</v>
      </c>
      <c r="H28" s="21"/>
      <c r="I28" s="21">
        <v>2.9</v>
      </c>
      <c r="J28" s="20">
        <v>3.1</v>
      </c>
      <c r="K28" s="20">
        <v>3.5</v>
      </c>
      <c r="L28" s="21"/>
      <c r="M28" s="21">
        <v>3.2</v>
      </c>
      <c r="N28" s="20">
        <v>3.7</v>
      </c>
      <c r="O28" s="20">
        <v>3.3</v>
      </c>
      <c r="P28" s="21"/>
      <c r="Q28" s="21">
        <v>4.0999999999999996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0.59999999999999964</v>
      </c>
      <c r="H29" s="27">
        <f t="shared" ref="H29:Q29" si="0">H32-H28</f>
        <v>0</v>
      </c>
      <c r="I29" s="27">
        <f t="shared" si="0"/>
        <v>2.0000000000000004</v>
      </c>
      <c r="J29" s="27">
        <f t="shared" si="0"/>
        <v>1.4999999999999996</v>
      </c>
      <c r="K29" s="27">
        <f t="shared" si="0"/>
        <v>1.2000000000000002</v>
      </c>
      <c r="L29" s="27">
        <f>L32-L28</f>
        <v>0</v>
      </c>
      <c r="M29" s="27">
        <f>M32-M28</f>
        <v>1.0999999999999996</v>
      </c>
      <c r="N29" s="27">
        <f>N32-N28</f>
        <v>1.2999999999999998</v>
      </c>
      <c r="O29" s="27">
        <f>O32-O28</f>
        <v>1</v>
      </c>
      <c r="P29" s="27">
        <f t="shared" si="0"/>
        <v>0</v>
      </c>
      <c r="Q29" s="27">
        <f t="shared" si="0"/>
        <v>0.90000000000000036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642.79999999999995</v>
      </c>
      <c r="H30" s="21"/>
      <c r="I30" s="21">
        <v>630</v>
      </c>
      <c r="J30" s="20">
        <v>636</v>
      </c>
      <c r="K30" s="20">
        <v>628.64</v>
      </c>
      <c r="L30" s="21"/>
      <c r="M30" s="21">
        <v>637.36</v>
      </c>
      <c r="N30" s="20">
        <v>684.8</v>
      </c>
      <c r="O30" s="20">
        <v>621.12</v>
      </c>
      <c r="P30" s="21"/>
      <c r="Q30" s="21">
        <v>656.32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>
        <v>13.6</v>
      </c>
      <c r="J31" s="20">
        <v>13.7</v>
      </c>
      <c r="K31" s="20">
        <v>13.6</v>
      </c>
      <c r="L31" s="21"/>
      <c r="M31" s="21">
        <v>13.6</v>
      </c>
      <c r="N31" s="20">
        <v>13.6</v>
      </c>
      <c r="O31" s="20">
        <v>13.6</v>
      </c>
      <c r="P31" s="21"/>
      <c r="Q31" s="21">
        <v>13.5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4.5999999999999996</v>
      </c>
      <c r="H32" s="21"/>
      <c r="I32" s="21">
        <v>4.9000000000000004</v>
      </c>
      <c r="J32" s="20">
        <v>4.5999999999999996</v>
      </c>
      <c r="K32" s="20">
        <v>4.7</v>
      </c>
      <c r="L32" s="21"/>
      <c r="M32" s="21">
        <v>4.3</v>
      </c>
      <c r="N32" s="20">
        <v>5</v>
      </c>
      <c r="O32" s="20">
        <v>4.3</v>
      </c>
      <c r="P32" s="21"/>
      <c r="Q32" s="21">
        <v>5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8.9</v>
      </c>
      <c r="H33" s="27">
        <f t="shared" ref="H33:Q33" si="1">H31-H32</f>
        <v>0</v>
      </c>
      <c r="I33" s="27">
        <f t="shared" si="1"/>
        <v>8.6999999999999993</v>
      </c>
      <c r="J33" s="27">
        <f t="shared" si="1"/>
        <v>9.1</v>
      </c>
      <c r="K33" s="27">
        <f t="shared" si="1"/>
        <v>8.8999999999999986</v>
      </c>
      <c r="L33" s="27">
        <f>L31-L32</f>
        <v>0</v>
      </c>
      <c r="M33" s="27">
        <f>M31-M32</f>
        <v>9.3000000000000007</v>
      </c>
      <c r="N33" s="27">
        <f>N31-N32</f>
        <v>8.6</v>
      </c>
      <c r="O33" s="27">
        <f>O31-O32</f>
        <v>9.3000000000000007</v>
      </c>
      <c r="P33" s="27">
        <f t="shared" si="1"/>
        <v>0</v>
      </c>
      <c r="Q33" s="27">
        <f t="shared" si="1"/>
        <v>8.5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6606.1431870669749</v>
      </c>
      <c r="H34" s="28">
        <f t="shared" ref="H34:Q34" si="2">(H33*H30)/0.866</f>
        <v>0</v>
      </c>
      <c r="I34" s="28">
        <f t="shared" si="2"/>
        <v>6329.099307159353</v>
      </c>
      <c r="J34" s="28">
        <f t="shared" si="2"/>
        <v>6683.1408775981517</v>
      </c>
      <c r="K34" s="28">
        <f t="shared" si="2"/>
        <v>6460.6189376443408</v>
      </c>
      <c r="L34" s="28">
        <f>(L33*L30)/0.866</f>
        <v>0</v>
      </c>
      <c r="M34" s="28">
        <f>(M33*M30)/0.866</f>
        <v>6844.6281755196305</v>
      </c>
      <c r="N34" s="28">
        <f>(N33*N30)/0.866</f>
        <v>6800.5542725173209</v>
      </c>
      <c r="O34" s="28">
        <f>(O33*O30)/0.866</f>
        <v>6670.2263279445733</v>
      </c>
      <c r="P34" s="28">
        <f t="shared" si="2"/>
        <v>0</v>
      </c>
      <c r="Q34" s="28">
        <f t="shared" si="2"/>
        <v>6441.9399538106236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0.83</v>
      </c>
      <c r="H35" s="21"/>
      <c r="I35" s="21">
        <v>0.85</v>
      </c>
      <c r="J35" s="20">
        <v>0.84</v>
      </c>
      <c r="K35" s="20">
        <v>0.84</v>
      </c>
      <c r="L35" s="21"/>
      <c r="M35" s="21">
        <v>0.83</v>
      </c>
      <c r="N35" s="20">
        <v>0.82</v>
      </c>
      <c r="O35" s="20">
        <v>0.82</v>
      </c>
      <c r="P35" s="21"/>
      <c r="Q35" s="21">
        <v>0.84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36</v>
      </c>
      <c r="H36" s="21"/>
      <c r="I36" s="21">
        <v>36.4</v>
      </c>
      <c r="J36" s="20">
        <v>36.6</v>
      </c>
      <c r="K36" s="20">
        <v>36.299999999999997</v>
      </c>
      <c r="L36" s="21"/>
      <c r="M36" s="21">
        <v>36.4</v>
      </c>
      <c r="N36" s="20">
        <v>35.700000000000003</v>
      </c>
      <c r="O36" s="20">
        <v>35.799999999999997</v>
      </c>
      <c r="P36" s="21"/>
      <c r="Q36" s="21">
        <v>36.299999999999997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36.700000000000003</v>
      </c>
      <c r="H37" s="21"/>
      <c r="I37" s="21">
        <v>37.5</v>
      </c>
      <c r="J37" s="20">
        <v>37.200000000000003</v>
      </c>
      <c r="K37" s="20">
        <v>37.200000000000003</v>
      </c>
      <c r="L37" s="21"/>
      <c r="M37" s="21">
        <v>36.9</v>
      </c>
      <c r="N37" s="20">
        <v>36.200000000000003</v>
      </c>
      <c r="O37" s="20">
        <v>36.200000000000003</v>
      </c>
      <c r="P37" s="21"/>
      <c r="Q37" s="21">
        <v>37.1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2.5</v>
      </c>
      <c r="H38" s="27">
        <v>1</v>
      </c>
      <c r="I38" s="27">
        <f t="shared" ref="I38:Q38" si="3">I37-I41</f>
        <v>3.6000000000000014</v>
      </c>
      <c r="J38" s="27">
        <f t="shared" si="3"/>
        <v>2</v>
      </c>
      <c r="K38" s="27">
        <f t="shared" si="3"/>
        <v>2.8000000000000043</v>
      </c>
      <c r="L38" s="27">
        <f>L37-L41</f>
        <v>0</v>
      </c>
      <c r="M38" s="27">
        <f>M37-M41</f>
        <v>2.8999999999999986</v>
      </c>
      <c r="N38" s="27">
        <f>N37-N41</f>
        <v>1.6000000000000014</v>
      </c>
      <c r="O38" s="27">
        <f>O37-O41</f>
        <v>2.2000000000000028</v>
      </c>
      <c r="P38" s="27">
        <f t="shared" si="3"/>
        <v>0</v>
      </c>
      <c r="Q38" s="27">
        <f t="shared" si="3"/>
        <v>2.7000000000000028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29.1</v>
      </c>
      <c r="H40" s="21"/>
      <c r="I40" s="21">
        <v>29</v>
      </c>
      <c r="J40" s="20">
        <v>29.7</v>
      </c>
      <c r="K40" s="20">
        <v>29</v>
      </c>
      <c r="L40" s="21"/>
      <c r="M40" s="21">
        <v>28.8</v>
      </c>
      <c r="N40" s="20">
        <v>29.3</v>
      </c>
      <c r="O40" s="20">
        <v>28.9</v>
      </c>
      <c r="P40" s="21"/>
      <c r="Q40" s="21">
        <v>29.1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34.200000000000003</v>
      </c>
      <c r="H41" s="21"/>
      <c r="I41" s="21">
        <v>33.9</v>
      </c>
      <c r="J41" s="20">
        <v>35.200000000000003</v>
      </c>
      <c r="K41" s="20">
        <v>34.4</v>
      </c>
      <c r="L41" s="21"/>
      <c r="M41" s="21">
        <v>34</v>
      </c>
      <c r="N41" s="20">
        <v>34.6</v>
      </c>
      <c r="O41" s="20">
        <v>34</v>
      </c>
      <c r="P41" s="21"/>
      <c r="Q41" s="21">
        <v>34.4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5.1000000000000014</v>
      </c>
      <c r="H42" s="27">
        <f t="shared" ref="H42:Q42" si="4">H41-H40</f>
        <v>0</v>
      </c>
      <c r="I42" s="27">
        <f t="shared" si="4"/>
        <v>4.8999999999999986</v>
      </c>
      <c r="J42" s="27">
        <f t="shared" si="4"/>
        <v>5.5000000000000036</v>
      </c>
      <c r="K42" s="27">
        <f t="shared" si="4"/>
        <v>5.3999999999999986</v>
      </c>
      <c r="L42" s="27">
        <f>L41-L40</f>
        <v>0</v>
      </c>
      <c r="M42" s="27">
        <f>M41-M40</f>
        <v>5.1999999999999993</v>
      </c>
      <c r="N42" s="27">
        <f>N41-N40</f>
        <v>5.3000000000000007</v>
      </c>
      <c r="O42" s="27">
        <f>O41-O40</f>
        <v>5.1000000000000014</v>
      </c>
      <c r="P42" s="27">
        <f t="shared" si="4"/>
        <v>0</v>
      </c>
      <c r="Q42" s="27">
        <f t="shared" si="4"/>
        <v>5.2999999999999972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1291.5</v>
      </c>
      <c r="H43" s="21"/>
      <c r="I43" s="21">
        <v>1303.26</v>
      </c>
      <c r="J43" s="20">
        <v>1310.2</v>
      </c>
      <c r="K43" s="20">
        <v>1292.48</v>
      </c>
      <c r="L43" s="21"/>
      <c r="M43" s="20">
        <v>1300.32</v>
      </c>
      <c r="N43" s="20">
        <v>1288.7</v>
      </c>
      <c r="O43" s="20">
        <v>1288.42</v>
      </c>
      <c r="P43" s="21"/>
      <c r="Q43" s="21">
        <v>1301.02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7605.8314087759836</v>
      </c>
      <c r="H44" s="28">
        <f t="shared" ref="H44:Q44" si="5">H42*H43/0.866</f>
        <v>0</v>
      </c>
      <c r="I44" s="28">
        <f t="shared" si="5"/>
        <v>7374.1039260969956</v>
      </c>
      <c r="J44" s="28">
        <f t="shared" si="5"/>
        <v>8321.1316397228693</v>
      </c>
      <c r="K44" s="28">
        <f t="shared" si="5"/>
        <v>8059.3441108545012</v>
      </c>
      <c r="L44" s="28">
        <f>L42*L43/0.866</f>
        <v>0</v>
      </c>
      <c r="M44" s="28">
        <f>M42*M43/0.866</f>
        <v>7807.9260969976895</v>
      </c>
      <c r="N44" s="28">
        <f>N42*N43/0.866</f>
        <v>7886.9630484988475</v>
      </c>
      <c r="O44" s="28">
        <f>O42*O43/0.866</f>
        <v>7587.6928406466532</v>
      </c>
      <c r="P44" s="28">
        <f t="shared" si="5"/>
        <v>0</v>
      </c>
      <c r="Q44" s="28">
        <f t="shared" si="5"/>
        <v>7962.362586605077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0.46</v>
      </c>
      <c r="K45" s="20">
        <v>0.46</v>
      </c>
      <c r="L45" s="21"/>
      <c r="M45" s="21">
        <v>0.46</v>
      </c>
      <c r="N45" s="20">
        <v>0.46</v>
      </c>
      <c r="O45" s="20">
        <v>0.46</v>
      </c>
      <c r="P45" s="21"/>
      <c r="Q45" s="21">
        <v>0.48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20.100000000000001</v>
      </c>
      <c r="H46" s="21"/>
      <c r="I46" s="21">
        <v>19.8</v>
      </c>
      <c r="J46" s="20">
        <v>19.5</v>
      </c>
      <c r="K46" s="20">
        <v>19.8</v>
      </c>
      <c r="L46" s="21"/>
      <c r="M46" s="21">
        <v>19.8</v>
      </c>
      <c r="N46" s="20">
        <v>19.399999999999999</v>
      </c>
      <c r="O46" s="20">
        <v>19.5</v>
      </c>
      <c r="P46" s="21"/>
      <c r="Q46" s="21">
        <v>20.399999999999999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204.4</v>
      </c>
      <c r="H47" s="21"/>
      <c r="I47" s="21">
        <v>118.4</v>
      </c>
      <c r="J47" s="20">
        <v>206.6</v>
      </c>
      <c r="K47" s="20">
        <v>195</v>
      </c>
      <c r="L47" s="21"/>
      <c r="M47" s="21">
        <v>195.1</v>
      </c>
      <c r="N47" s="20">
        <v>152.19999999999999</v>
      </c>
      <c r="O47" s="20">
        <v>151.1</v>
      </c>
      <c r="P47" s="21"/>
      <c r="Q47" s="21">
        <v>223.4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55">
        <v>5.89</v>
      </c>
      <c r="F49" s="20"/>
      <c r="G49" s="20">
        <v>6.12</v>
      </c>
      <c r="H49" s="21"/>
      <c r="I49" s="21">
        <v>5.43</v>
      </c>
      <c r="J49" s="20">
        <v>5.67</v>
      </c>
      <c r="K49" s="20">
        <v>5.67</v>
      </c>
      <c r="L49" s="21"/>
      <c r="M49" s="21">
        <v>5.76</v>
      </c>
      <c r="N49" s="20">
        <v>5.36</v>
      </c>
      <c r="O49" s="20">
        <v>5.75</v>
      </c>
      <c r="P49" s="21"/>
      <c r="Q49" s="21">
        <v>5.17</v>
      </c>
    </row>
    <row r="50" spans="2:17" ht="20.100000000000001" customHeight="1">
      <c r="B50" s="92" t="s">
        <v>91</v>
      </c>
      <c r="C50" s="92"/>
      <c r="D50" s="92"/>
      <c r="E50" s="5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5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16" zoomScale="85" zoomScaleNormal="60" workbookViewId="0">
      <selection activeCell="L50" sqref="L5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45791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57" t="s">
        <v>18</v>
      </c>
      <c r="E10" s="15"/>
      <c r="F10" s="16" t="s">
        <v>19</v>
      </c>
      <c r="G10" s="17" t="s">
        <v>19</v>
      </c>
      <c r="H10" s="18" t="s">
        <v>19</v>
      </c>
      <c r="I10" s="18" t="s">
        <v>19</v>
      </c>
      <c r="J10" s="17"/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75.3</v>
      </c>
      <c r="G11" s="20">
        <v>70.400000000000006</v>
      </c>
      <c r="H11" s="21"/>
      <c r="I11" s="21">
        <v>79.5</v>
      </c>
      <c r="J11" s="20"/>
      <c r="K11" s="20">
        <v>74.099999999999994</v>
      </c>
      <c r="L11" s="21">
        <v>77.2</v>
      </c>
      <c r="M11" s="21">
        <v>72.099999999999994</v>
      </c>
      <c r="N11" s="20"/>
      <c r="O11" s="20">
        <v>77.5</v>
      </c>
      <c r="P11" s="21"/>
      <c r="Q11" s="21">
        <v>76.2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0.6</v>
      </c>
      <c r="G12" s="20">
        <v>0.6</v>
      </c>
      <c r="H12" s="21"/>
      <c r="I12" s="21">
        <v>0</v>
      </c>
      <c r="J12" s="20"/>
      <c r="K12" s="20">
        <v>0</v>
      </c>
      <c r="L12" s="21">
        <v>0.1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70.8</v>
      </c>
      <c r="G13" s="20">
        <v>64.5</v>
      </c>
      <c r="H13" s="21"/>
      <c r="I13" s="21">
        <v>76</v>
      </c>
      <c r="J13" s="20"/>
      <c r="K13" s="20">
        <v>69.599999999999994</v>
      </c>
      <c r="L13" s="21">
        <v>74.5</v>
      </c>
      <c r="M13" s="21">
        <v>66</v>
      </c>
      <c r="N13" s="20"/>
      <c r="O13" s="20">
        <v>73.400000000000006</v>
      </c>
      <c r="P13" s="21"/>
      <c r="Q13" s="21">
        <v>71.2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66.7</v>
      </c>
      <c r="G14" s="20">
        <v>69.5</v>
      </c>
      <c r="H14" s="21"/>
      <c r="I14" s="21">
        <v>70.599999999999994</v>
      </c>
      <c r="J14" s="20"/>
      <c r="K14" s="20">
        <v>64.400000000000006</v>
      </c>
      <c r="L14" s="21">
        <v>67.599999999999994</v>
      </c>
      <c r="M14" s="21">
        <v>66.400000000000006</v>
      </c>
      <c r="N14" s="20"/>
      <c r="O14" s="20">
        <v>75.400000000000006</v>
      </c>
      <c r="P14" s="21"/>
      <c r="Q14" s="21">
        <v>74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40</v>
      </c>
      <c r="G15" s="20">
        <v>39.4</v>
      </c>
      <c r="H15" s="21"/>
      <c r="I15" s="21">
        <v>55.8</v>
      </c>
      <c r="J15" s="20"/>
      <c r="K15" s="20">
        <v>40.200000000000003</v>
      </c>
      <c r="L15" s="21">
        <v>35.799999999999997</v>
      </c>
      <c r="M15" s="21">
        <v>32.799999999999997</v>
      </c>
      <c r="N15" s="20"/>
      <c r="O15" s="20">
        <v>2.7</v>
      </c>
      <c r="P15" s="21"/>
      <c r="Q15" s="21">
        <v>3.9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0"/>
      <c r="I16" s="20">
        <v>6.6</v>
      </c>
      <c r="J16" s="20"/>
      <c r="K16" s="20">
        <v>6.6</v>
      </c>
      <c r="L16" s="20">
        <v>6.6</v>
      </c>
      <c r="M16" s="20">
        <v>6.6</v>
      </c>
      <c r="N16" s="20"/>
      <c r="O16" s="20">
        <v>6.6</v>
      </c>
      <c r="P16" s="20"/>
      <c r="Q16" s="20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119.4</v>
      </c>
      <c r="G17" s="20">
        <v>116</v>
      </c>
      <c r="H17" s="21"/>
      <c r="I17" s="21">
        <v>116.5</v>
      </c>
      <c r="J17" s="20"/>
      <c r="K17" s="20">
        <v>116.6</v>
      </c>
      <c r="L17" s="21">
        <v>118.8</v>
      </c>
      <c r="M17" s="21">
        <v>113</v>
      </c>
      <c r="N17" s="20"/>
      <c r="O17" s="20">
        <v>119.8</v>
      </c>
      <c r="P17" s="21"/>
      <c r="Q17" s="21">
        <v>116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1175</v>
      </c>
      <c r="G18" s="20">
        <v>1141</v>
      </c>
      <c r="H18" s="21"/>
      <c r="I18" s="21">
        <v>1180</v>
      </c>
      <c r="J18" s="20"/>
      <c r="K18" s="20">
        <v>1191</v>
      </c>
      <c r="L18" s="21">
        <v>1213</v>
      </c>
      <c r="M18" s="21">
        <v>1142</v>
      </c>
      <c r="N18" s="20"/>
      <c r="O18" s="20">
        <v>1213</v>
      </c>
      <c r="P18" s="21"/>
      <c r="Q18" s="21">
        <v>1141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>
        <v>50345.2</v>
      </c>
      <c r="G19" s="20">
        <v>50335.1</v>
      </c>
      <c r="H19" s="21"/>
      <c r="I19" s="21">
        <v>51408.7</v>
      </c>
      <c r="J19" s="20"/>
      <c r="K19" s="20">
        <v>49275.8</v>
      </c>
      <c r="L19" s="21">
        <v>51695.6</v>
      </c>
      <c r="M19" s="21">
        <v>51685.599999999999</v>
      </c>
      <c r="N19" s="20"/>
      <c r="O19" s="20">
        <v>50865.599999999999</v>
      </c>
      <c r="P19" s="21"/>
      <c r="Q19" s="21">
        <v>50795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58.2</v>
      </c>
      <c r="G22" s="20">
        <v>58.2</v>
      </c>
      <c r="H22" s="21"/>
      <c r="I22" s="21">
        <v>59.2</v>
      </c>
      <c r="J22" s="20"/>
      <c r="K22" s="20">
        <v>58</v>
      </c>
      <c r="L22" s="21">
        <v>57.3</v>
      </c>
      <c r="M22" s="21">
        <v>57.2</v>
      </c>
      <c r="N22" s="20"/>
      <c r="O22" s="20">
        <v>58.7</v>
      </c>
      <c r="P22" s="21"/>
      <c r="Q22" s="21">
        <v>58.9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0.48</v>
      </c>
      <c r="J23" s="20"/>
      <c r="K23" s="20">
        <v>0.59</v>
      </c>
      <c r="L23" s="21">
        <v>0.52</v>
      </c>
      <c r="M23" s="21">
        <v>0.52</v>
      </c>
      <c r="N23" s="20"/>
      <c r="O23" s="20">
        <v>0.48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45.1</v>
      </c>
      <c r="G25" s="20">
        <v>44.7</v>
      </c>
      <c r="H25" s="21"/>
      <c r="I25" s="21">
        <v>44.8</v>
      </c>
      <c r="J25" s="20"/>
      <c r="K25" s="20">
        <v>44.8</v>
      </c>
      <c r="L25" s="21">
        <v>45</v>
      </c>
      <c r="M25" s="21">
        <v>45.1</v>
      </c>
      <c r="N25" s="20"/>
      <c r="O25" s="20">
        <v>44.9</v>
      </c>
      <c r="P25" s="21"/>
      <c r="Q25" s="21">
        <v>45.1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0.21</v>
      </c>
      <c r="J26" s="20"/>
      <c r="K26" s="20">
        <v>0.22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4.0999999999999996</v>
      </c>
      <c r="G27" s="20">
        <v>4.2</v>
      </c>
      <c r="H27" s="21"/>
      <c r="I27" s="21">
        <v>3.3</v>
      </c>
      <c r="J27" s="20"/>
      <c r="K27" s="20">
        <v>4.3</v>
      </c>
      <c r="L27" s="21">
        <v>4.0999999999999996</v>
      </c>
      <c r="M27" s="21">
        <v>3.6</v>
      </c>
      <c r="N27" s="20"/>
      <c r="O27" s="20">
        <v>4.5</v>
      </c>
      <c r="P27" s="21"/>
      <c r="Q27" s="21">
        <v>4.5999999999999996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3.6</v>
      </c>
      <c r="G28" s="20">
        <v>3.6</v>
      </c>
      <c r="H28" s="21"/>
      <c r="I28" s="21">
        <v>2.2000000000000002</v>
      </c>
      <c r="J28" s="20"/>
      <c r="K28" s="20">
        <v>3.4</v>
      </c>
      <c r="L28" s="21">
        <v>3.4</v>
      </c>
      <c r="M28" s="21">
        <v>2.7</v>
      </c>
      <c r="N28" s="20"/>
      <c r="O28" s="20">
        <v>3.3</v>
      </c>
      <c r="P28" s="21"/>
      <c r="Q28" s="21">
        <v>3.6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0.99999999999999956</v>
      </c>
      <c r="G29" s="27">
        <f>G32-G28</f>
        <v>0.89999999999999991</v>
      </c>
      <c r="H29" s="27">
        <f t="shared" ref="H29:Q29" si="0">H32-H28</f>
        <v>0</v>
      </c>
      <c r="I29" s="27">
        <f t="shared" si="0"/>
        <v>2.7</v>
      </c>
      <c r="J29" s="27">
        <f t="shared" si="0"/>
        <v>0</v>
      </c>
      <c r="K29" s="27">
        <f t="shared" si="0"/>
        <v>1.1000000000000001</v>
      </c>
      <c r="L29" s="27">
        <f>L32-L28</f>
        <v>1.1000000000000001</v>
      </c>
      <c r="M29" s="27">
        <f>M32-M28</f>
        <v>1.5</v>
      </c>
      <c r="N29" s="27">
        <f>N32-N28</f>
        <v>0</v>
      </c>
      <c r="O29" s="27">
        <f>O32-O28</f>
        <v>1</v>
      </c>
      <c r="P29" s="27">
        <f t="shared" si="0"/>
        <v>0</v>
      </c>
      <c r="Q29" s="27">
        <f t="shared" si="0"/>
        <v>0.80000000000000027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697.6</v>
      </c>
      <c r="G30" s="20">
        <v>628.32000000000005</v>
      </c>
      <c r="H30" s="21"/>
      <c r="I30" s="21">
        <v>639.84</v>
      </c>
      <c r="J30" s="20"/>
      <c r="K30" s="20">
        <v>628.48</v>
      </c>
      <c r="L30" s="21">
        <v>675.4</v>
      </c>
      <c r="M30" s="21">
        <v>627.28</v>
      </c>
      <c r="N30" s="20"/>
      <c r="O30" s="20">
        <v>629.52</v>
      </c>
      <c r="P30" s="21"/>
      <c r="Q30" s="21">
        <v>606.4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13.5</v>
      </c>
      <c r="G31" s="20">
        <v>13.3</v>
      </c>
      <c r="H31" s="21"/>
      <c r="I31" s="21">
        <v>13.5</v>
      </c>
      <c r="J31" s="20"/>
      <c r="K31" s="20">
        <v>13.5</v>
      </c>
      <c r="L31" s="21">
        <v>13.5</v>
      </c>
      <c r="M31" s="21">
        <v>13.6</v>
      </c>
      <c r="N31" s="20"/>
      <c r="O31" s="20">
        <v>13.3</v>
      </c>
      <c r="P31" s="21"/>
      <c r="Q31" s="21">
        <v>13.5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4.5999999999999996</v>
      </c>
      <c r="G32" s="20">
        <v>4.5</v>
      </c>
      <c r="H32" s="21"/>
      <c r="I32" s="21">
        <v>4.9000000000000004</v>
      </c>
      <c r="J32" s="20"/>
      <c r="K32" s="20">
        <v>4.5</v>
      </c>
      <c r="L32" s="21">
        <v>4.5</v>
      </c>
      <c r="M32" s="21">
        <v>4.2</v>
      </c>
      <c r="N32" s="20"/>
      <c r="O32" s="20">
        <v>4.3</v>
      </c>
      <c r="P32" s="21"/>
      <c r="Q32" s="21">
        <v>4.4000000000000004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8.9</v>
      </c>
      <c r="G33" s="27">
        <f>G31-G32</f>
        <v>8.8000000000000007</v>
      </c>
      <c r="H33" s="27">
        <f t="shared" ref="H33:Q33" si="1">H31-H32</f>
        <v>0</v>
      </c>
      <c r="I33" s="27">
        <f t="shared" si="1"/>
        <v>8.6</v>
      </c>
      <c r="J33" s="27">
        <f t="shared" si="1"/>
        <v>0</v>
      </c>
      <c r="K33" s="27">
        <f t="shared" si="1"/>
        <v>9</v>
      </c>
      <c r="L33" s="27">
        <f>L31-L32</f>
        <v>9</v>
      </c>
      <c r="M33" s="27">
        <f>M31-M32</f>
        <v>9.3999999999999986</v>
      </c>
      <c r="N33" s="27">
        <f>N31-N32</f>
        <v>0</v>
      </c>
      <c r="O33" s="27">
        <f>O31-O32</f>
        <v>9</v>
      </c>
      <c r="P33" s="27">
        <f t="shared" si="1"/>
        <v>0</v>
      </c>
      <c r="Q33" s="27">
        <f t="shared" si="1"/>
        <v>9.1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7169.3302540415707</v>
      </c>
      <c r="G34" s="28">
        <f>(G33*G30)/0.866</f>
        <v>6384.7759815242507</v>
      </c>
      <c r="H34" s="28">
        <f t="shared" ref="H34:Q34" si="2">(H33*H30)/0.866</f>
        <v>0</v>
      </c>
      <c r="I34" s="28">
        <f t="shared" si="2"/>
        <v>6354.0692840646652</v>
      </c>
      <c r="J34" s="28">
        <f t="shared" si="2"/>
        <v>0</v>
      </c>
      <c r="K34" s="28">
        <f t="shared" si="2"/>
        <v>6531.5473441108543</v>
      </c>
      <c r="L34" s="28">
        <f>(L33*L30)/0.866</f>
        <v>7019.1685912240182</v>
      </c>
      <c r="M34" s="28">
        <f>(M33*M30)/0.866</f>
        <v>6808.8129330254033</v>
      </c>
      <c r="N34" s="28">
        <f>(N33*N30)/0.866</f>
        <v>0</v>
      </c>
      <c r="O34" s="28">
        <f>(O33*O30)/0.866</f>
        <v>6542.3556581986149</v>
      </c>
      <c r="P34" s="28">
        <f t="shared" si="2"/>
        <v>0</v>
      </c>
      <c r="Q34" s="28">
        <f t="shared" si="2"/>
        <v>6372.1016166281752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0.81</v>
      </c>
      <c r="G35" s="20">
        <v>0.82</v>
      </c>
      <c r="H35" s="21"/>
      <c r="I35" s="21">
        <v>0.84</v>
      </c>
      <c r="J35" s="20"/>
      <c r="K35" s="20">
        <v>0.83</v>
      </c>
      <c r="L35" s="21">
        <v>0.82</v>
      </c>
      <c r="M35" s="21">
        <v>0.83</v>
      </c>
      <c r="N35" s="20"/>
      <c r="O35" s="20">
        <v>0.81</v>
      </c>
      <c r="P35" s="21"/>
      <c r="Q35" s="21">
        <v>0.83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35.6</v>
      </c>
      <c r="G36" s="20">
        <v>35.1</v>
      </c>
      <c r="H36" s="21"/>
      <c r="I36" s="21">
        <v>35.6</v>
      </c>
      <c r="J36" s="20"/>
      <c r="K36" s="20">
        <v>35.4</v>
      </c>
      <c r="L36" s="21">
        <v>35.799999999999997</v>
      </c>
      <c r="M36" s="21">
        <v>35.1</v>
      </c>
      <c r="N36" s="20"/>
      <c r="O36" s="20">
        <v>34.799999999999997</v>
      </c>
      <c r="P36" s="21"/>
      <c r="Q36" s="21">
        <v>35.299999999999997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36.1</v>
      </c>
      <c r="G37" s="20">
        <v>36.200000000000003</v>
      </c>
      <c r="H37" s="21"/>
      <c r="I37" s="21">
        <v>37.299999999999997</v>
      </c>
      <c r="J37" s="20"/>
      <c r="K37" s="20">
        <v>36.9</v>
      </c>
      <c r="L37" s="21">
        <v>36.5</v>
      </c>
      <c r="M37" s="21">
        <v>36.799999999999997</v>
      </c>
      <c r="N37" s="20"/>
      <c r="O37" s="20">
        <v>36</v>
      </c>
      <c r="P37" s="21"/>
      <c r="Q37" s="21">
        <v>36.6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1.7000000000000028</v>
      </c>
      <c r="G38" s="27">
        <f>G37-G41</f>
        <v>2.3000000000000043</v>
      </c>
      <c r="H38" s="27">
        <v>1</v>
      </c>
      <c r="I38" s="27">
        <f t="shared" ref="I38:Q38" si="3">I37-I41</f>
        <v>3.6999999999999957</v>
      </c>
      <c r="J38" s="27">
        <f t="shared" si="3"/>
        <v>0</v>
      </c>
      <c r="K38" s="27">
        <f t="shared" si="3"/>
        <v>2.8999999999999986</v>
      </c>
      <c r="L38" s="27">
        <f>L37-L41</f>
        <v>2.3999999999999986</v>
      </c>
      <c r="M38" s="27">
        <f>M37-M41</f>
        <v>3</v>
      </c>
      <c r="N38" s="27">
        <f>N37-N41</f>
        <v>0</v>
      </c>
      <c r="O38" s="27">
        <f>O37-O41</f>
        <v>2.2999999999999972</v>
      </c>
      <c r="P38" s="27">
        <f t="shared" si="3"/>
        <v>0</v>
      </c>
      <c r="Q38" s="27">
        <f t="shared" si="3"/>
        <v>2.6000000000000014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28.9</v>
      </c>
      <c r="G40" s="20">
        <v>28.7</v>
      </c>
      <c r="H40" s="21"/>
      <c r="I40" s="21">
        <v>28.7</v>
      </c>
      <c r="J40" s="20"/>
      <c r="K40" s="20">
        <v>28.7</v>
      </c>
      <c r="L40" s="21">
        <v>28.8</v>
      </c>
      <c r="M40" s="21">
        <v>28.5</v>
      </c>
      <c r="N40" s="20"/>
      <c r="O40" s="20">
        <v>28.7</v>
      </c>
      <c r="P40" s="21"/>
      <c r="Q40" s="21">
        <v>29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34.4</v>
      </c>
      <c r="G41" s="20">
        <v>33.9</v>
      </c>
      <c r="H41" s="21"/>
      <c r="I41" s="21">
        <v>33.6</v>
      </c>
      <c r="J41" s="20"/>
      <c r="K41" s="20">
        <v>34</v>
      </c>
      <c r="L41" s="21">
        <v>34.1</v>
      </c>
      <c r="M41" s="21">
        <v>33.799999999999997</v>
      </c>
      <c r="N41" s="20"/>
      <c r="O41" s="20">
        <v>33.700000000000003</v>
      </c>
      <c r="P41" s="21"/>
      <c r="Q41" s="21">
        <v>34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5.5</v>
      </c>
      <c r="G42" s="27">
        <f>G41-G40</f>
        <v>5.1999999999999993</v>
      </c>
      <c r="H42" s="27">
        <f t="shared" ref="H42:Q42" si="4">H41-H40</f>
        <v>0</v>
      </c>
      <c r="I42" s="27">
        <f t="shared" si="4"/>
        <v>4.9000000000000021</v>
      </c>
      <c r="J42" s="27">
        <f t="shared" si="4"/>
        <v>0</v>
      </c>
      <c r="K42" s="27">
        <f t="shared" si="4"/>
        <v>5.3000000000000007</v>
      </c>
      <c r="L42" s="27">
        <f>L41-L40</f>
        <v>5.3000000000000007</v>
      </c>
      <c r="M42" s="27">
        <f>M41-M40</f>
        <v>5.2999999999999972</v>
      </c>
      <c r="N42" s="27">
        <f>N41-N40</f>
        <v>0</v>
      </c>
      <c r="O42" s="27">
        <f>O41-O40</f>
        <v>5.0000000000000036</v>
      </c>
      <c r="P42" s="27">
        <f t="shared" si="4"/>
        <v>0</v>
      </c>
      <c r="Q42" s="27">
        <f t="shared" si="4"/>
        <v>5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1296.5</v>
      </c>
      <c r="G43" s="20">
        <v>1294.44</v>
      </c>
      <c r="H43" s="21"/>
      <c r="I43" s="21">
        <v>1299.76</v>
      </c>
      <c r="J43" s="20"/>
      <c r="K43" s="20">
        <v>1296.68</v>
      </c>
      <c r="L43" s="21">
        <v>1302.2</v>
      </c>
      <c r="M43" s="20">
        <v>1291.08</v>
      </c>
      <c r="N43" s="20"/>
      <c r="O43" s="20">
        <v>1292.76</v>
      </c>
      <c r="P43" s="21"/>
      <c r="Q43" s="21">
        <v>1297.0999999999999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8234.122401847575</v>
      </c>
      <c r="G44" s="28">
        <f>G42*G43/0.866</f>
        <v>7772.6189376443417</v>
      </c>
      <c r="H44" s="28">
        <f t="shared" ref="H44:Q44" si="5">H42*H43/0.866</f>
        <v>0</v>
      </c>
      <c r="I44" s="28">
        <f t="shared" si="5"/>
        <v>7354.3002309468848</v>
      </c>
      <c r="J44" s="28">
        <f t="shared" si="5"/>
        <v>0</v>
      </c>
      <c r="K44" s="28">
        <f t="shared" si="5"/>
        <v>7935.801385681295</v>
      </c>
      <c r="L44" s="28">
        <f>L42*L43/0.866</f>
        <v>7969.5842956120105</v>
      </c>
      <c r="M44" s="28">
        <f>M42*M43/0.866</f>
        <v>7901.5288683602721</v>
      </c>
      <c r="N44" s="28">
        <f>N42*N43/0.866</f>
        <v>0</v>
      </c>
      <c r="O44" s="28">
        <f>O42*O43/0.866</f>
        <v>7463.9722863741399</v>
      </c>
      <c r="P44" s="28">
        <f t="shared" si="5"/>
        <v>0</v>
      </c>
      <c r="Q44" s="28">
        <f t="shared" si="5"/>
        <v>7489.0300230946887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0.46</v>
      </c>
      <c r="H45" s="21"/>
      <c r="I45" s="21">
        <v>0.45</v>
      </c>
      <c r="J45" s="20"/>
      <c r="K45" s="20">
        <v>0.45</v>
      </c>
      <c r="L45" s="21">
        <v>0.46</v>
      </c>
      <c r="M45" s="21">
        <v>0.46</v>
      </c>
      <c r="N45" s="20"/>
      <c r="O45" s="20">
        <v>0.45</v>
      </c>
      <c r="P45" s="21"/>
      <c r="Q45" s="21">
        <v>0.46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19.3</v>
      </c>
      <c r="G46" s="20">
        <v>19.399999999999999</v>
      </c>
      <c r="H46" s="21"/>
      <c r="I46" s="21">
        <v>18.7</v>
      </c>
      <c r="J46" s="20"/>
      <c r="K46" s="20">
        <v>19.100000000000001</v>
      </c>
      <c r="L46" s="21">
        <v>19.399999999999999</v>
      </c>
      <c r="M46" s="21">
        <v>19.3</v>
      </c>
      <c r="N46" s="20"/>
      <c r="O46" s="20">
        <v>18.899999999999999</v>
      </c>
      <c r="P46" s="21"/>
      <c r="Q46" s="21">
        <v>19.600000000000001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202.9</v>
      </c>
      <c r="G47" s="20">
        <v>200.2</v>
      </c>
      <c r="H47" s="21"/>
      <c r="I47" s="21">
        <v>120</v>
      </c>
      <c r="J47" s="20"/>
      <c r="K47" s="20">
        <v>216.9</v>
      </c>
      <c r="L47" s="21">
        <v>208.9</v>
      </c>
      <c r="M47" s="21">
        <v>218.9</v>
      </c>
      <c r="N47" s="20"/>
      <c r="O47" s="20">
        <v>163.80000000000001</v>
      </c>
      <c r="P47" s="21"/>
      <c r="Q47" s="21">
        <v>200.8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57">
        <v>5.89</v>
      </c>
      <c r="F49" s="20">
        <v>5.6</v>
      </c>
      <c r="G49" s="20">
        <v>5.84</v>
      </c>
      <c r="H49" s="21"/>
      <c r="I49" s="21">
        <v>5.58</v>
      </c>
      <c r="J49" s="20"/>
      <c r="K49" s="20">
        <v>5.65</v>
      </c>
      <c r="L49" s="21">
        <v>5.48</v>
      </c>
      <c r="M49" s="21">
        <v>5.9</v>
      </c>
      <c r="N49" s="20"/>
      <c r="O49" s="20">
        <v>5.78</v>
      </c>
      <c r="P49" s="21"/>
      <c r="Q49" s="21">
        <v>5.53</v>
      </c>
    </row>
    <row r="50" spans="2:17" ht="20.100000000000001" customHeight="1">
      <c r="B50" s="92" t="s">
        <v>91</v>
      </c>
      <c r="C50" s="92"/>
      <c r="D50" s="92"/>
      <c r="E50" s="5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5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21" zoomScale="85" zoomScaleNormal="60" workbookViewId="0">
      <selection activeCell="L26" sqref="L26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45792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59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/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68</v>
      </c>
      <c r="H11" s="21"/>
      <c r="I11" s="21">
        <v>77.5</v>
      </c>
      <c r="J11" s="20">
        <v>74</v>
      </c>
      <c r="K11" s="20">
        <v>72.900000000000006</v>
      </c>
      <c r="L11" s="21"/>
      <c r="M11" s="21">
        <v>75.8</v>
      </c>
      <c r="N11" s="20">
        <v>76.599999999999994</v>
      </c>
      <c r="O11" s="20">
        <v>73.599999999999994</v>
      </c>
      <c r="P11" s="21"/>
      <c r="Q11" s="21">
        <v>73.3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61.3</v>
      </c>
      <c r="H13" s="21"/>
      <c r="I13" s="21">
        <v>73.3</v>
      </c>
      <c r="J13" s="20">
        <v>71.8</v>
      </c>
      <c r="K13" s="20">
        <v>68.2</v>
      </c>
      <c r="L13" s="21"/>
      <c r="M13" s="21">
        <v>73</v>
      </c>
      <c r="N13" s="20">
        <v>72.099999999999994</v>
      </c>
      <c r="O13" s="20">
        <v>68.099999999999994</v>
      </c>
      <c r="P13" s="21"/>
      <c r="Q13" s="21">
        <v>67.2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69.2</v>
      </c>
      <c r="H14" s="21"/>
      <c r="I14" s="21">
        <v>71.3</v>
      </c>
      <c r="J14" s="20">
        <v>63.1</v>
      </c>
      <c r="K14" s="20">
        <v>63.9</v>
      </c>
      <c r="L14" s="21"/>
      <c r="M14" s="21">
        <v>67</v>
      </c>
      <c r="N14" s="20">
        <v>73.900000000000006</v>
      </c>
      <c r="O14" s="20">
        <v>74.8</v>
      </c>
      <c r="P14" s="21"/>
      <c r="Q14" s="21">
        <v>727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35.799999999999997</v>
      </c>
      <c r="H15" s="21"/>
      <c r="I15" s="21">
        <v>49.9</v>
      </c>
      <c r="J15" s="20">
        <v>37.200000000000003</v>
      </c>
      <c r="K15" s="20">
        <v>36.5</v>
      </c>
      <c r="L15" s="21"/>
      <c r="M15" s="21">
        <v>33</v>
      </c>
      <c r="N15" s="20">
        <v>58.3</v>
      </c>
      <c r="O15" s="20">
        <v>81</v>
      </c>
      <c r="P15" s="21"/>
      <c r="Q15" s="21">
        <v>41.5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116.6</v>
      </c>
      <c r="H17" s="21"/>
      <c r="I17" s="21">
        <v>123.2</v>
      </c>
      <c r="J17" s="20">
        <v>118.2</v>
      </c>
      <c r="K17" s="20">
        <v>117</v>
      </c>
      <c r="L17" s="21"/>
      <c r="M17" s="21">
        <v>118.5</v>
      </c>
      <c r="N17" s="20">
        <v>118.5</v>
      </c>
      <c r="O17" s="20">
        <v>118.2</v>
      </c>
      <c r="P17" s="21"/>
      <c r="Q17" s="21">
        <v>117.4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1141</v>
      </c>
      <c r="H18" s="21"/>
      <c r="I18" s="21">
        <v>1191</v>
      </c>
      <c r="J18" s="20">
        <v>1209</v>
      </c>
      <c r="K18" s="20">
        <v>1190</v>
      </c>
      <c r="L18" s="21"/>
      <c r="M18" s="21">
        <v>1200</v>
      </c>
      <c r="N18" s="20">
        <v>1212</v>
      </c>
      <c r="O18" s="20">
        <v>1196</v>
      </c>
      <c r="P18" s="21"/>
      <c r="Q18" s="21">
        <v>1186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50355</v>
      </c>
      <c r="H19" s="21"/>
      <c r="I19" s="21">
        <v>51417.5</v>
      </c>
      <c r="J19" s="20">
        <v>49295.1</v>
      </c>
      <c r="K19" s="20">
        <v>49284.5</v>
      </c>
      <c r="L19" s="21"/>
      <c r="M19" s="21">
        <v>51708.800000000003</v>
      </c>
      <c r="N19" s="20">
        <v>50884.800000000003</v>
      </c>
      <c r="O19" s="20">
        <v>50874.2</v>
      </c>
      <c r="P19" s="21"/>
      <c r="Q19" s="21">
        <v>50803.7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60.5</v>
      </c>
      <c r="H22" s="21"/>
      <c r="I22" s="21">
        <v>59.8</v>
      </c>
      <c r="J22" s="20">
        <v>57.9</v>
      </c>
      <c r="K22" s="20">
        <v>59.1</v>
      </c>
      <c r="L22" s="21"/>
      <c r="M22" s="21">
        <v>57.6</v>
      </c>
      <c r="N22" s="20">
        <v>58.7</v>
      </c>
      <c r="O22" s="20">
        <v>59.2</v>
      </c>
      <c r="P22" s="21"/>
      <c r="Q22" s="21">
        <v>60.5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0.59</v>
      </c>
      <c r="K23" s="20">
        <v>0.59</v>
      </c>
      <c r="L23" s="21"/>
      <c r="M23" s="21">
        <v>0.52</v>
      </c>
      <c r="N23" s="20">
        <v>0.46</v>
      </c>
      <c r="O23" s="20">
        <v>0.48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47.2</v>
      </c>
      <c r="H25" s="21"/>
      <c r="I25" s="21">
        <v>45.1</v>
      </c>
      <c r="J25" s="20">
        <v>44.9</v>
      </c>
      <c r="K25" s="20">
        <v>45.2</v>
      </c>
      <c r="L25" s="21"/>
      <c r="M25" s="21">
        <v>45</v>
      </c>
      <c r="N25" s="20">
        <v>44.9</v>
      </c>
      <c r="O25" s="20">
        <v>44.9</v>
      </c>
      <c r="P25" s="21"/>
      <c r="Q25" s="21">
        <v>46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0.21</v>
      </c>
      <c r="H26" s="21"/>
      <c r="I26" s="21">
        <v>0.22</v>
      </c>
      <c r="J26" s="20">
        <v>0.23</v>
      </c>
      <c r="K26" s="20">
        <v>0.23</v>
      </c>
      <c r="L26" s="21"/>
      <c r="M26" s="21">
        <v>0.22</v>
      </c>
      <c r="N26" s="20">
        <v>0.23</v>
      </c>
      <c r="O26" s="20">
        <v>0.28000000000000003</v>
      </c>
      <c r="P26" s="21"/>
      <c r="Q26" s="21">
        <v>0.22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5</v>
      </c>
      <c r="H27" s="21"/>
      <c r="I27" s="21">
        <v>3.7</v>
      </c>
      <c r="J27" s="20">
        <v>4.2</v>
      </c>
      <c r="K27" s="20">
        <v>4.5999999999999996</v>
      </c>
      <c r="L27" s="21"/>
      <c r="M27" s="21">
        <v>3.9</v>
      </c>
      <c r="N27" s="20">
        <v>4.3</v>
      </c>
      <c r="O27" s="20">
        <v>4.5999999999999996</v>
      </c>
      <c r="P27" s="21"/>
      <c r="Q27" s="21">
        <v>4.5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4.4000000000000004</v>
      </c>
      <c r="H28" s="21"/>
      <c r="I28" s="21">
        <v>2.9</v>
      </c>
      <c r="J28" s="20">
        <v>3.3</v>
      </c>
      <c r="K28" s="20">
        <v>3.6</v>
      </c>
      <c r="L28" s="21"/>
      <c r="M28" s="21">
        <v>3.7</v>
      </c>
      <c r="N28" s="20">
        <v>3.3</v>
      </c>
      <c r="O28" s="20">
        <v>3.7</v>
      </c>
      <c r="P28" s="21"/>
      <c r="Q28" s="21">
        <v>3.4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0.59999999999999964</v>
      </c>
      <c r="H29" s="27">
        <f t="shared" ref="H29:Q29" si="0">H32-H28</f>
        <v>0</v>
      </c>
      <c r="I29" s="27">
        <f t="shared" si="0"/>
        <v>2.1</v>
      </c>
      <c r="J29" s="27">
        <f t="shared" si="0"/>
        <v>1.1000000000000005</v>
      </c>
      <c r="K29" s="27">
        <f t="shared" si="0"/>
        <v>0.99999999999999956</v>
      </c>
      <c r="L29" s="27">
        <f>L32-L28</f>
        <v>0</v>
      </c>
      <c r="M29" s="27">
        <f>M32-M28</f>
        <v>0.59999999999999964</v>
      </c>
      <c r="N29" s="27">
        <f>N32-N28</f>
        <v>1.1000000000000005</v>
      </c>
      <c r="O29" s="27">
        <f>O32-O28</f>
        <v>0.89999999999999947</v>
      </c>
      <c r="P29" s="27">
        <f t="shared" si="0"/>
        <v>0</v>
      </c>
      <c r="Q29" s="27">
        <f t="shared" si="0"/>
        <v>0.89999999999999991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375.2</v>
      </c>
      <c r="H30" s="21"/>
      <c r="I30" s="21">
        <v>647.20000000000005</v>
      </c>
      <c r="J30" s="20">
        <v>630.55999999999995</v>
      </c>
      <c r="K30" s="20">
        <v>632.70000000000005</v>
      </c>
      <c r="L30" s="21"/>
      <c r="M30" s="21">
        <v>639.6</v>
      </c>
      <c r="N30" s="20">
        <v>637.84</v>
      </c>
      <c r="O30" s="20">
        <v>639</v>
      </c>
      <c r="P30" s="21"/>
      <c r="Q30" s="21">
        <v>594.79999999999995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>
        <v>13.5</v>
      </c>
      <c r="J31" s="20">
        <v>13.4</v>
      </c>
      <c r="K31" s="20">
        <v>13.6</v>
      </c>
      <c r="L31" s="21"/>
      <c r="M31" s="21">
        <v>13.7</v>
      </c>
      <c r="N31" s="20">
        <v>13.5</v>
      </c>
      <c r="O31" s="20">
        <v>13.5</v>
      </c>
      <c r="P31" s="21"/>
      <c r="Q31" s="21">
        <v>13.4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5</v>
      </c>
      <c r="H32" s="21"/>
      <c r="I32" s="21">
        <v>5</v>
      </c>
      <c r="J32" s="20">
        <v>4.4000000000000004</v>
      </c>
      <c r="K32" s="20">
        <v>4.5999999999999996</v>
      </c>
      <c r="L32" s="21"/>
      <c r="M32" s="21">
        <v>4.3</v>
      </c>
      <c r="N32" s="20">
        <v>4.4000000000000004</v>
      </c>
      <c r="O32" s="20">
        <v>4.5999999999999996</v>
      </c>
      <c r="P32" s="21"/>
      <c r="Q32" s="21">
        <v>4.3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8.5</v>
      </c>
      <c r="H33" s="27">
        <f t="shared" ref="H33:Q33" si="1">H31-H32</f>
        <v>0</v>
      </c>
      <c r="I33" s="27">
        <f t="shared" si="1"/>
        <v>8.5</v>
      </c>
      <c r="J33" s="27">
        <f t="shared" si="1"/>
        <v>9</v>
      </c>
      <c r="K33" s="27">
        <f t="shared" si="1"/>
        <v>9</v>
      </c>
      <c r="L33" s="27">
        <f>L31-L32</f>
        <v>0</v>
      </c>
      <c r="M33" s="27">
        <f>M31-M32</f>
        <v>9.3999999999999986</v>
      </c>
      <c r="N33" s="27">
        <f>N31-N32</f>
        <v>9.1</v>
      </c>
      <c r="O33" s="27">
        <f>O31-O32</f>
        <v>8.9</v>
      </c>
      <c r="P33" s="27">
        <f t="shared" si="1"/>
        <v>0</v>
      </c>
      <c r="Q33" s="27">
        <f t="shared" si="1"/>
        <v>9.1000000000000014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3682.6789838337181</v>
      </c>
      <c r="H34" s="28">
        <f t="shared" ref="H34:Q34" si="2">(H33*H30)/0.866</f>
        <v>0</v>
      </c>
      <c r="I34" s="28">
        <f t="shared" si="2"/>
        <v>6352.4249422632802</v>
      </c>
      <c r="J34" s="28">
        <f t="shared" si="2"/>
        <v>6553.1639722863729</v>
      </c>
      <c r="K34" s="28">
        <f t="shared" si="2"/>
        <v>6575.4041570438803</v>
      </c>
      <c r="L34" s="28">
        <f>(L33*L30)/0.866</f>
        <v>0</v>
      </c>
      <c r="M34" s="28">
        <f>(M33*M30)/0.866</f>
        <v>6942.5404157043868</v>
      </c>
      <c r="N34" s="28">
        <f>(N33*N30)/0.866</f>
        <v>6702.4757505773678</v>
      </c>
      <c r="O34" s="28">
        <f>(O33*O30)/0.866</f>
        <v>6567.0900692840651</v>
      </c>
      <c r="P34" s="28">
        <f t="shared" si="2"/>
        <v>0</v>
      </c>
      <c r="Q34" s="28">
        <f t="shared" si="2"/>
        <v>6250.2078521939957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0.83</v>
      </c>
      <c r="H35" s="21"/>
      <c r="I35" s="21">
        <v>0.85</v>
      </c>
      <c r="J35" s="20">
        <v>0.84</v>
      </c>
      <c r="K35" s="20">
        <v>0.84</v>
      </c>
      <c r="L35" s="21"/>
      <c r="M35" s="21">
        <v>0.84</v>
      </c>
      <c r="N35" s="20">
        <v>0.81</v>
      </c>
      <c r="O35" s="20">
        <v>0.62</v>
      </c>
      <c r="P35" s="21"/>
      <c r="Q35" s="21">
        <v>0.84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36.5</v>
      </c>
      <c r="H36" s="21"/>
      <c r="I36" s="21">
        <v>36.9</v>
      </c>
      <c r="J36" s="20">
        <v>36.6</v>
      </c>
      <c r="K36" s="20">
        <v>36.700000000000003</v>
      </c>
      <c r="L36" s="21"/>
      <c r="M36" s="21">
        <v>36.799999999999997</v>
      </c>
      <c r="N36" s="20">
        <v>35.700000000000003</v>
      </c>
      <c r="O36" s="20">
        <v>36.1</v>
      </c>
      <c r="P36" s="21"/>
      <c r="Q36" s="21">
        <v>36.6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36.9</v>
      </c>
      <c r="H37" s="21"/>
      <c r="I37" s="21">
        <v>37.799999999999997</v>
      </c>
      <c r="J37" s="20">
        <v>37.200000000000003</v>
      </c>
      <c r="K37" s="20">
        <v>37.4</v>
      </c>
      <c r="L37" s="21"/>
      <c r="M37" s="21">
        <v>37.200000000000003</v>
      </c>
      <c r="N37" s="20">
        <v>36.200000000000003</v>
      </c>
      <c r="O37" s="20">
        <v>36.4</v>
      </c>
      <c r="P37" s="21"/>
      <c r="Q37" s="21">
        <v>37.200000000000003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1.6999999999999957</v>
      </c>
      <c r="H38" s="27">
        <v>1</v>
      </c>
      <c r="I38" s="27">
        <f t="shared" ref="I38:Q38" si="3">I37-I41</f>
        <v>3.2999999999999972</v>
      </c>
      <c r="J38" s="27">
        <f t="shared" si="3"/>
        <v>2.8000000000000043</v>
      </c>
      <c r="K38" s="27">
        <f t="shared" si="3"/>
        <v>2.1000000000000014</v>
      </c>
      <c r="L38" s="27">
        <f>L37-L41</f>
        <v>0</v>
      </c>
      <c r="M38" s="27">
        <f>M37-M41</f>
        <v>2.2000000000000028</v>
      </c>
      <c r="N38" s="27">
        <f>N37-N41</f>
        <v>2.3000000000000043</v>
      </c>
      <c r="O38" s="27">
        <f>O37-O41</f>
        <v>1.5</v>
      </c>
      <c r="P38" s="27">
        <f t="shared" si="3"/>
        <v>0</v>
      </c>
      <c r="Q38" s="27">
        <f t="shared" si="3"/>
        <v>2.3000000000000043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29.9</v>
      </c>
      <c r="H40" s="21"/>
      <c r="I40" s="21">
        <v>29.8</v>
      </c>
      <c r="J40" s="20">
        <v>29</v>
      </c>
      <c r="K40" s="20">
        <v>29.9</v>
      </c>
      <c r="L40" s="21"/>
      <c r="M40" s="21">
        <v>29.8</v>
      </c>
      <c r="N40" s="20">
        <v>28.8</v>
      </c>
      <c r="O40" s="20">
        <v>29.6</v>
      </c>
      <c r="P40" s="21"/>
      <c r="Q40" s="21">
        <v>29.6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35.200000000000003</v>
      </c>
      <c r="H41" s="21"/>
      <c r="I41" s="21">
        <v>34.5</v>
      </c>
      <c r="J41" s="20">
        <v>34.4</v>
      </c>
      <c r="K41" s="20">
        <v>35.299999999999997</v>
      </c>
      <c r="L41" s="21"/>
      <c r="M41" s="21">
        <v>35</v>
      </c>
      <c r="N41" s="20">
        <v>33.9</v>
      </c>
      <c r="O41" s="20">
        <v>34.9</v>
      </c>
      <c r="P41" s="21"/>
      <c r="Q41" s="21">
        <v>34.9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5.3000000000000043</v>
      </c>
      <c r="H42" s="27">
        <f t="shared" ref="H42:Q42" si="4">H41-H40</f>
        <v>0</v>
      </c>
      <c r="I42" s="27">
        <f t="shared" si="4"/>
        <v>4.6999999999999993</v>
      </c>
      <c r="J42" s="27">
        <f t="shared" si="4"/>
        <v>5.3999999999999986</v>
      </c>
      <c r="K42" s="27">
        <f t="shared" si="4"/>
        <v>5.3999999999999986</v>
      </c>
      <c r="L42" s="27">
        <f>L41-L40</f>
        <v>0</v>
      </c>
      <c r="M42" s="27">
        <f>M41-M40</f>
        <v>5.1999999999999993</v>
      </c>
      <c r="N42" s="27">
        <f>N41-N40</f>
        <v>5.0999999999999979</v>
      </c>
      <c r="O42" s="27">
        <f>O41-O40</f>
        <v>5.2999999999999972</v>
      </c>
      <c r="P42" s="27">
        <f t="shared" si="4"/>
        <v>0</v>
      </c>
      <c r="Q42" s="27">
        <f t="shared" si="4"/>
        <v>5.2999999999999972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1293.8</v>
      </c>
      <c r="H43" s="21"/>
      <c r="I43" s="21">
        <v>1300.3</v>
      </c>
      <c r="J43" s="20">
        <v>1290.8</v>
      </c>
      <c r="K43" s="20">
        <v>1295.7</v>
      </c>
      <c r="L43" s="21"/>
      <c r="M43" s="20">
        <v>1298</v>
      </c>
      <c r="N43" s="20">
        <v>1294.02</v>
      </c>
      <c r="O43" s="20">
        <v>1294.3</v>
      </c>
      <c r="P43" s="21"/>
      <c r="Q43" s="21">
        <v>1293.3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7918.1755196304903</v>
      </c>
      <c r="H44" s="28">
        <f t="shared" ref="H44:Q44" si="5">H42*H43/0.866</f>
        <v>0</v>
      </c>
      <c r="I44" s="28">
        <f t="shared" si="5"/>
        <v>7057.0554272517311</v>
      </c>
      <c r="J44" s="28">
        <f t="shared" si="5"/>
        <v>8048.8683602771343</v>
      </c>
      <c r="K44" s="28">
        <f t="shared" si="5"/>
        <v>8079.4226327944561</v>
      </c>
      <c r="L44" s="28">
        <f>L42*L43/0.866</f>
        <v>0</v>
      </c>
      <c r="M44" s="28">
        <f>M42*M43/0.866</f>
        <v>7793.9953810623547</v>
      </c>
      <c r="N44" s="28">
        <f>N42*N43/0.866</f>
        <v>7620.6720554272479</v>
      </c>
      <c r="O44" s="28">
        <f>O42*O43/0.866</f>
        <v>7921.2355658198576</v>
      </c>
      <c r="P44" s="28">
        <f t="shared" si="5"/>
        <v>0</v>
      </c>
      <c r="Q44" s="28">
        <f t="shared" si="5"/>
        <v>7915.1154734411039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0.48</v>
      </c>
      <c r="H45" s="21"/>
      <c r="I45" s="21">
        <v>0.47</v>
      </c>
      <c r="J45" s="20">
        <v>0.46</v>
      </c>
      <c r="K45" s="20">
        <v>0.47</v>
      </c>
      <c r="L45" s="21"/>
      <c r="M45" s="21">
        <v>0.46</v>
      </c>
      <c r="N45" s="20">
        <v>0.46</v>
      </c>
      <c r="O45" s="20">
        <v>0.46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20.6</v>
      </c>
      <c r="H46" s="21"/>
      <c r="I46" s="21">
        <v>20</v>
      </c>
      <c r="J46" s="20">
        <v>19.600000000000001</v>
      </c>
      <c r="K46" s="20">
        <v>20</v>
      </c>
      <c r="L46" s="21"/>
      <c r="M46" s="21">
        <v>19.8</v>
      </c>
      <c r="N46" s="20">
        <v>19.899999999999999</v>
      </c>
      <c r="O46" s="20">
        <v>19.899999999999999</v>
      </c>
      <c r="P46" s="21"/>
      <c r="Q46" s="21">
        <v>20.2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188.6</v>
      </c>
      <c r="H47" s="21"/>
      <c r="I47" s="21">
        <v>123.2</v>
      </c>
      <c r="J47" s="20">
        <v>204.1</v>
      </c>
      <c r="K47" s="20">
        <v>204.2</v>
      </c>
      <c r="L47" s="21"/>
      <c r="M47" s="21">
        <v>198.5</v>
      </c>
      <c r="N47" s="20">
        <v>165.2</v>
      </c>
      <c r="O47" s="20">
        <v>159.9</v>
      </c>
      <c r="P47" s="21"/>
      <c r="Q47" s="21">
        <v>206.8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59">
        <v>5.89</v>
      </c>
      <c r="F49" s="20"/>
      <c r="G49" s="20">
        <v>5.63</v>
      </c>
      <c r="H49" s="21"/>
      <c r="I49" s="21">
        <v>5.53</v>
      </c>
      <c r="J49" s="20">
        <v>5.63</v>
      </c>
      <c r="K49" s="20">
        <v>5.58</v>
      </c>
      <c r="L49" s="21"/>
      <c r="M49" s="21">
        <v>5.58</v>
      </c>
      <c r="N49" s="20">
        <v>5.64</v>
      </c>
      <c r="O49" s="20">
        <v>5.6</v>
      </c>
      <c r="P49" s="21"/>
      <c r="Q49" s="21">
        <v>5.5</v>
      </c>
    </row>
    <row r="50" spans="2:17" ht="20.100000000000001" customHeight="1">
      <c r="B50" s="92" t="s">
        <v>91</v>
      </c>
      <c r="C50" s="92"/>
      <c r="D50" s="92"/>
      <c r="E50" s="5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5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10" zoomScale="85" zoomScaleNormal="60" workbookViewId="0">
      <selection activeCell="N39" sqref="N3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45793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61" t="s">
        <v>18</v>
      </c>
      <c r="E10" s="15"/>
      <c r="F10" s="17" t="s">
        <v>19</v>
      </c>
      <c r="G10" s="17" t="s">
        <v>19</v>
      </c>
      <c r="H10" s="18"/>
      <c r="I10" s="18" t="s">
        <v>19</v>
      </c>
      <c r="J10" s="17"/>
      <c r="K10" s="17" t="s">
        <v>19</v>
      </c>
      <c r="L10" s="18" t="s">
        <v>19</v>
      </c>
      <c r="M10" s="18" t="s">
        <v>19</v>
      </c>
      <c r="N10" s="16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73.400000000000006</v>
      </c>
      <c r="G11" s="20">
        <v>69.400000000000006</v>
      </c>
      <c r="H11" s="21"/>
      <c r="I11" s="21">
        <v>80.7</v>
      </c>
      <c r="J11" s="20"/>
      <c r="K11" s="20">
        <v>73.400000000000006</v>
      </c>
      <c r="L11" s="21">
        <v>74.5</v>
      </c>
      <c r="M11" s="21">
        <v>74.5</v>
      </c>
      <c r="N11" s="20"/>
      <c r="O11" s="20">
        <v>74.400000000000006</v>
      </c>
      <c r="P11" s="21"/>
      <c r="Q11" s="21">
        <v>74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0.1</v>
      </c>
      <c r="G12" s="20">
        <v>0.1</v>
      </c>
      <c r="H12" s="21"/>
      <c r="I12" s="21">
        <v>0</v>
      </c>
      <c r="J12" s="20"/>
      <c r="K12" s="20">
        <v>0</v>
      </c>
      <c r="L12" s="21">
        <v>0.1</v>
      </c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68.5</v>
      </c>
      <c r="G13" s="20">
        <v>63.6</v>
      </c>
      <c r="H13" s="21"/>
      <c r="I13" s="21">
        <v>76.7</v>
      </c>
      <c r="J13" s="20"/>
      <c r="K13" s="20">
        <v>67.5</v>
      </c>
      <c r="L13" s="21">
        <v>70</v>
      </c>
      <c r="M13" s="21">
        <v>70</v>
      </c>
      <c r="N13" s="20"/>
      <c r="O13" s="20">
        <v>72.2</v>
      </c>
      <c r="P13" s="21"/>
      <c r="Q13" s="21">
        <v>69.099999999999994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68.5</v>
      </c>
      <c r="G14" s="20">
        <v>69.599999999999994</v>
      </c>
      <c r="H14" s="21"/>
      <c r="I14" s="21">
        <v>70.400000000000006</v>
      </c>
      <c r="J14" s="20"/>
      <c r="K14" s="20">
        <v>63.3</v>
      </c>
      <c r="L14" s="21">
        <v>67.5</v>
      </c>
      <c r="M14" s="21">
        <v>67.7</v>
      </c>
      <c r="N14" s="20"/>
      <c r="O14" s="20">
        <v>72.400000000000006</v>
      </c>
      <c r="P14" s="21"/>
      <c r="Q14" s="21">
        <v>72.3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36.9</v>
      </c>
      <c r="G15" s="20">
        <v>35.4</v>
      </c>
      <c r="H15" s="21"/>
      <c r="I15" s="21">
        <v>48.2</v>
      </c>
      <c r="J15" s="20"/>
      <c r="K15" s="20">
        <v>36.4</v>
      </c>
      <c r="L15" s="21">
        <v>33.1</v>
      </c>
      <c r="M15" s="21">
        <v>32.4</v>
      </c>
      <c r="N15" s="20"/>
      <c r="O15" s="20">
        <v>56.1</v>
      </c>
      <c r="P15" s="21"/>
      <c r="Q15" s="21">
        <v>38.9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117.5</v>
      </c>
      <c r="G17" s="20">
        <v>116</v>
      </c>
      <c r="H17" s="21"/>
      <c r="I17" s="21">
        <v>118</v>
      </c>
      <c r="J17" s="20"/>
      <c r="K17" s="20">
        <v>115</v>
      </c>
      <c r="L17" s="21">
        <v>117.7</v>
      </c>
      <c r="M17" s="21">
        <v>116</v>
      </c>
      <c r="N17" s="20"/>
      <c r="O17" s="20">
        <v>117.8</v>
      </c>
      <c r="P17" s="21"/>
      <c r="Q17" s="21">
        <v>117.5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1161</v>
      </c>
      <c r="G18" s="20">
        <v>1140</v>
      </c>
      <c r="H18" s="21"/>
      <c r="I18" s="21">
        <v>1203</v>
      </c>
      <c r="J18" s="20"/>
      <c r="K18" s="20">
        <v>1176</v>
      </c>
      <c r="L18" s="21">
        <v>1189</v>
      </c>
      <c r="M18" s="21">
        <v>1188</v>
      </c>
      <c r="N18" s="20"/>
      <c r="O18" s="20">
        <v>1207</v>
      </c>
      <c r="P18" s="21"/>
      <c r="Q18" s="21">
        <v>1197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>
        <v>50374.3</v>
      </c>
      <c r="G19" s="20">
        <v>50365.599999999999</v>
      </c>
      <c r="H19" s="21"/>
      <c r="I19" s="21">
        <v>51428.4</v>
      </c>
      <c r="J19" s="20"/>
      <c r="K19" s="20">
        <v>49303.4</v>
      </c>
      <c r="L19" s="21">
        <v>51728.4</v>
      </c>
      <c r="M19" s="21">
        <v>51719.7</v>
      </c>
      <c r="N19" s="20"/>
      <c r="O19" s="20">
        <v>50899.4</v>
      </c>
      <c r="P19" s="21"/>
      <c r="Q19" s="21">
        <v>50814.2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</v>
      </c>
      <c r="G22" s="20">
        <v>58.1</v>
      </c>
      <c r="H22" s="21"/>
      <c r="I22" s="21">
        <v>59.5</v>
      </c>
      <c r="J22" s="20"/>
      <c r="K22" s="20">
        <v>57.7</v>
      </c>
      <c r="L22" s="21">
        <v>57.4</v>
      </c>
      <c r="M22" s="21">
        <v>57.4</v>
      </c>
      <c r="N22" s="20"/>
      <c r="O22" s="20">
        <v>58.7</v>
      </c>
      <c r="P22" s="21"/>
      <c r="Q22" s="21">
        <v>59.2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0.49</v>
      </c>
      <c r="J23" s="20"/>
      <c r="K23" s="20">
        <v>0.59</v>
      </c>
      <c r="L23" s="21">
        <v>0.52</v>
      </c>
      <c r="M23" s="21">
        <v>0.52</v>
      </c>
      <c r="N23" s="20"/>
      <c r="O23" s="20">
        <v>0.47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45.2</v>
      </c>
      <c r="G25" s="20">
        <v>45</v>
      </c>
      <c r="H25" s="21"/>
      <c r="I25" s="21">
        <v>44.8</v>
      </c>
      <c r="J25" s="20"/>
      <c r="K25" s="20">
        <v>45</v>
      </c>
      <c r="L25" s="21">
        <v>44.8</v>
      </c>
      <c r="M25" s="21">
        <v>45.1</v>
      </c>
      <c r="N25" s="20"/>
      <c r="O25" s="20">
        <v>45.1</v>
      </c>
      <c r="P25" s="21"/>
      <c r="Q25" s="21">
        <v>44.9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0.21</v>
      </c>
      <c r="J26" s="20"/>
      <c r="K26" s="20">
        <v>0.22</v>
      </c>
      <c r="L26" s="21">
        <v>0.22</v>
      </c>
      <c r="M26" s="21">
        <v>0.22</v>
      </c>
      <c r="N26" s="20"/>
      <c r="O26" s="20">
        <v>0.22</v>
      </c>
      <c r="P26" s="21"/>
      <c r="Q26" s="21">
        <v>0.22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4</v>
      </c>
      <c r="G27" s="20">
        <v>4.3</v>
      </c>
      <c r="H27" s="21"/>
      <c r="I27" s="21">
        <v>3.3</v>
      </c>
      <c r="J27" s="20"/>
      <c r="K27" s="20">
        <v>4</v>
      </c>
      <c r="L27" s="21">
        <v>4.0999999999999996</v>
      </c>
      <c r="M27" s="21">
        <v>3.8</v>
      </c>
      <c r="N27" s="20"/>
      <c r="O27" s="20">
        <v>4.2</v>
      </c>
      <c r="P27" s="21"/>
      <c r="Q27" s="21">
        <v>4.4000000000000004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3.6</v>
      </c>
      <c r="G28" s="20">
        <v>4</v>
      </c>
      <c r="H28" s="21"/>
      <c r="I28" s="21">
        <v>2.4</v>
      </c>
      <c r="J28" s="20"/>
      <c r="K28" s="20">
        <v>3.3</v>
      </c>
      <c r="L28" s="21">
        <v>3.6</v>
      </c>
      <c r="M28" s="21">
        <v>3.7</v>
      </c>
      <c r="N28" s="20"/>
      <c r="O28" s="20">
        <v>3.1</v>
      </c>
      <c r="P28" s="21"/>
      <c r="Q28" s="21">
        <v>3.4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0.69999999999999973</v>
      </c>
      <c r="G29" s="27">
        <f>G32-G28</f>
        <v>0.70000000000000018</v>
      </c>
      <c r="H29" s="27">
        <f t="shared" ref="H29:Q29" si="0">H32-H28</f>
        <v>0</v>
      </c>
      <c r="I29" s="27">
        <f t="shared" si="0"/>
        <v>2.6</v>
      </c>
      <c r="J29" s="27"/>
      <c r="K29" s="27">
        <f t="shared" si="0"/>
        <v>0.70000000000000018</v>
      </c>
      <c r="L29" s="27">
        <f>L32-L28</f>
        <v>0.49999999999999956</v>
      </c>
      <c r="M29" s="27">
        <f>M32-M28</f>
        <v>0.39999999999999947</v>
      </c>
      <c r="N29" s="27">
        <f>N32-N28</f>
        <v>0</v>
      </c>
      <c r="O29" s="27">
        <f>O32-O28</f>
        <v>1.1000000000000001</v>
      </c>
      <c r="P29" s="27">
        <f t="shared" si="0"/>
        <v>0</v>
      </c>
      <c r="Q29" s="27">
        <f t="shared" si="0"/>
        <v>1.5000000000000004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628.64</v>
      </c>
      <c r="G30" s="20">
        <v>632.4</v>
      </c>
      <c r="H30" s="21"/>
      <c r="I30" s="21">
        <v>633.1</v>
      </c>
      <c r="J30" s="20"/>
      <c r="K30" s="20">
        <v>636.63</v>
      </c>
      <c r="L30" s="21">
        <v>640.08000000000004</v>
      </c>
      <c r="M30" s="21">
        <v>639.6</v>
      </c>
      <c r="N30" s="20"/>
      <c r="O30" s="20">
        <v>641.79999999999995</v>
      </c>
      <c r="P30" s="21"/>
      <c r="Q30" s="21">
        <v>607.29999999999995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13.5</v>
      </c>
      <c r="G31" s="20">
        <v>14</v>
      </c>
      <c r="H31" s="21"/>
      <c r="I31" s="21">
        <v>13.9</v>
      </c>
      <c r="J31" s="20"/>
      <c r="K31" s="20">
        <v>12.9</v>
      </c>
      <c r="L31" s="21">
        <v>13.5</v>
      </c>
      <c r="M31" s="21">
        <v>13.3</v>
      </c>
      <c r="N31" s="20"/>
      <c r="O31" s="20">
        <v>13.4</v>
      </c>
      <c r="P31" s="21"/>
      <c r="Q31" s="21">
        <v>13.4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4.3</v>
      </c>
      <c r="G32" s="20">
        <v>4.7</v>
      </c>
      <c r="H32" s="21"/>
      <c r="I32" s="21">
        <v>5</v>
      </c>
      <c r="J32" s="20"/>
      <c r="K32" s="20">
        <v>4</v>
      </c>
      <c r="L32" s="21">
        <v>4.0999999999999996</v>
      </c>
      <c r="M32" s="21">
        <v>4.0999999999999996</v>
      </c>
      <c r="N32" s="20"/>
      <c r="O32" s="20">
        <v>4.2</v>
      </c>
      <c r="P32" s="21"/>
      <c r="Q32" s="21">
        <v>4.9000000000000004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9.1999999999999993</v>
      </c>
      <c r="G33" s="27">
        <f>G31-G32</f>
        <v>9.3000000000000007</v>
      </c>
      <c r="H33" s="27">
        <f t="shared" ref="H33:Q33" si="1">H31-H32</f>
        <v>0</v>
      </c>
      <c r="I33" s="27">
        <f t="shared" si="1"/>
        <v>8.9</v>
      </c>
      <c r="J33" s="27">
        <f t="shared" si="1"/>
        <v>0</v>
      </c>
      <c r="K33" s="27">
        <f t="shared" si="1"/>
        <v>8.9</v>
      </c>
      <c r="L33" s="27">
        <f>L31-L32</f>
        <v>9.4</v>
      </c>
      <c r="M33" s="27">
        <f>M31-M32</f>
        <v>9.2000000000000011</v>
      </c>
      <c r="N33" s="27">
        <f>N31-N32</f>
        <v>0</v>
      </c>
      <c r="O33" s="27">
        <f>O31-O32</f>
        <v>9.1999999999999993</v>
      </c>
      <c r="P33" s="27">
        <f t="shared" si="1"/>
        <v>0</v>
      </c>
      <c r="Q33" s="27">
        <f t="shared" si="1"/>
        <v>8.5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6678.3926096997684</v>
      </c>
      <c r="G34" s="28">
        <f>(G33*G30)/0.866</f>
        <v>6791.3625866050816</v>
      </c>
      <c r="H34" s="28">
        <f t="shared" ref="H34:Q34" si="2">(H33*H30)/0.866</f>
        <v>0</v>
      </c>
      <c r="I34" s="28">
        <f t="shared" si="2"/>
        <v>6506.4549653579679</v>
      </c>
      <c r="J34" s="28">
        <f t="shared" si="2"/>
        <v>0</v>
      </c>
      <c r="K34" s="28">
        <f t="shared" si="2"/>
        <v>6542.7332563510399</v>
      </c>
      <c r="L34" s="28">
        <f>(L33*L30)/0.866</f>
        <v>6947.7505773672065</v>
      </c>
      <c r="M34" s="28">
        <f>(M33*M30)/0.866</f>
        <v>6794.8267898383383</v>
      </c>
      <c r="N34" s="28">
        <f>(N33*N30)/0.866</f>
        <v>0</v>
      </c>
      <c r="O34" s="28">
        <f>(O33*O30)/0.866</f>
        <v>6818.1986143187059</v>
      </c>
      <c r="P34" s="28">
        <f t="shared" si="2"/>
        <v>0</v>
      </c>
      <c r="Q34" s="28">
        <f t="shared" si="2"/>
        <v>5960.7967667436478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0.82</v>
      </c>
      <c r="G35" s="20">
        <v>0.83</v>
      </c>
      <c r="H35" s="21"/>
      <c r="I35" s="21">
        <v>0.85</v>
      </c>
      <c r="J35" s="20"/>
      <c r="K35" s="20">
        <v>0.84</v>
      </c>
      <c r="L35" s="21">
        <v>0.83</v>
      </c>
      <c r="M35" s="21">
        <v>0.81</v>
      </c>
      <c r="N35" s="20"/>
      <c r="O35" s="20">
        <v>0.62</v>
      </c>
      <c r="P35" s="21"/>
      <c r="Q35" s="21">
        <v>0.84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36.1</v>
      </c>
      <c r="G36" s="20">
        <v>36.5</v>
      </c>
      <c r="H36" s="21"/>
      <c r="I36" s="21">
        <v>37.1</v>
      </c>
      <c r="J36" s="20"/>
      <c r="K36" s="20">
        <v>36.799999999999997</v>
      </c>
      <c r="L36" s="21">
        <v>36.299999999999997</v>
      </c>
      <c r="M36" s="21">
        <v>36.700000000000003</v>
      </c>
      <c r="N36" s="20"/>
      <c r="O36" s="20">
        <v>36.200000000000003</v>
      </c>
      <c r="P36" s="21"/>
      <c r="Q36" s="21">
        <v>36.700000000000003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36.6</v>
      </c>
      <c r="G37" s="20">
        <v>37</v>
      </c>
      <c r="H37" s="21"/>
      <c r="I37" s="21">
        <v>37.9</v>
      </c>
      <c r="J37" s="20"/>
      <c r="K37" s="20">
        <v>37.4</v>
      </c>
      <c r="L37" s="21">
        <v>36.9</v>
      </c>
      <c r="M37" s="21">
        <v>37.200000000000003</v>
      </c>
      <c r="N37" s="20"/>
      <c r="O37" s="20">
        <v>36.4</v>
      </c>
      <c r="P37" s="21"/>
      <c r="Q37" s="21">
        <v>37.299999999999997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2.3999999999999986</v>
      </c>
      <c r="G38" s="27">
        <f>G37-G41</f>
        <v>1.7000000000000028</v>
      </c>
      <c r="H38" s="27">
        <v>1</v>
      </c>
      <c r="I38" s="27">
        <f t="shared" ref="I38:Q38" si="3">I37-I41</f>
        <v>3.1999999999999957</v>
      </c>
      <c r="J38" s="27">
        <f t="shared" si="3"/>
        <v>0</v>
      </c>
      <c r="K38" s="27">
        <f t="shared" si="3"/>
        <v>2</v>
      </c>
      <c r="L38" s="27">
        <f>L37-L41</f>
        <v>2.8999999999999986</v>
      </c>
      <c r="M38" s="27">
        <f>M37-M41</f>
        <v>2.2000000000000028</v>
      </c>
      <c r="N38" s="27">
        <f>N37-N41</f>
        <v>0</v>
      </c>
      <c r="O38" s="27">
        <f>O37-O41</f>
        <v>1.3999999999999986</v>
      </c>
      <c r="P38" s="27">
        <f t="shared" si="3"/>
        <v>0</v>
      </c>
      <c r="Q38" s="27">
        <f t="shared" si="3"/>
        <v>2.3999999999999986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28.9</v>
      </c>
      <c r="G40" s="20">
        <v>30</v>
      </c>
      <c r="H40" s="21"/>
      <c r="I40" s="21">
        <v>29.9</v>
      </c>
      <c r="J40" s="20"/>
      <c r="K40" s="20">
        <v>30</v>
      </c>
      <c r="L40" s="21">
        <v>28.7</v>
      </c>
      <c r="M40" s="21">
        <v>29.9</v>
      </c>
      <c r="N40" s="20"/>
      <c r="O40" s="20">
        <v>29.7</v>
      </c>
      <c r="P40" s="21"/>
      <c r="Q40" s="21">
        <v>29.7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34.200000000000003</v>
      </c>
      <c r="G41" s="20">
        <v>35.299999999999997</v>
      </c>
      <c r="H41" s="21"/>
      <c r="I41" s="21">
        <v>34.700000000000003</v>
      </c>
      <c r="J41" s="20"/>
      <c r="K41" s="20">
        <v>35.4</v>
      </c>
      <c r="L41" s="21">
        <v>34</v>
      </c>
      <c r="M41" s="21">
        <v>35</v>
      </c>
      <c r="N41" s="20"/>
      <c r="O41" s="20">
        <v>35</v>
      </c>
      <c r="P41" s="21"/>
      <c r="Q41" s="21">
        <v>34.9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5.3000000000000043</v>
      </c>
      <c r="G42" s="27">
        <f>G41-G40</f>
        <v>5.2999999999999972</v>
      </c>
      <c r="H42" s="27">
        <f t="shared" ref="H42:Q42" si="4">H41-H40</f>
        <v>0</v>
      </c>
      <c r="I42" s="27">
        <f t="shared" si="4"/>
        <v>4.8000000000000043</v>
      </c>
      <c r="J42" s="27">
        <f t="shared" si="4"/>
        <v>0</v>
      </c>
      <c r="K42" s="27">
        <f t="shared" si="4"/>
        <v>5.3999999999999986</v>
      </c>
      <c r="L42" s="27">
        <f>L41-L40</f>
        <v>5.3000000000000007</v>
      </c>
      <c r="M42" s="27">
        <f>M41-M40</f>
        <v>5.1000000000000014</v>
      </c>
      <c r="N42" s="27">
        <f>N41-N40</f>
        <v>0</v>
      </c>
      <c r="O42" s="27">
        <f>O41-O40</f>
        <v>5.3000000000000007</v>
      </c>
      <c r="P42" s="27">
        <f t="shared" si="4"/>
        <v>0</v>
      </c>
      <c r="Q42" s="27">
        <f t="shared" si="4"/>
        <v>5.1999999999999993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1307.5999999999999</v>
      </c>
      <c r="G43" s="20">
        <v>1295.9000000000001</v>
      </c>
      <c r="H43" s="21"/>
      <c r="I43" s="21">
        <v>1300.2</v>
      </c>
      <c r="J43" s="20"/>
      <c r="K43" s="20">
        <v>1297.7</v>
      </c>
      <c r="L43" s="21">
        <v>1287.02</v>
      </c>
      <c r="M43" s="20">
        <v>1298</v>
      </c>
      <c r="N43" s="20"/>
      <c r="O43" s="20">
        <v>1292.5</v>
      </c>
      <c r="P43" s="21"/>
      <c r="Q43" s="21">
        <v>1298.9000000000001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8002.6327944572813</v>
      </c>
      <c r="G44" s="28">
        <f>G42*G43/0.866</f>
        <v>7931.0277136258628</v>
      </c>
      <c r="H44" s="28">
        <f t="shared" ref="H44:Q44" si="5">H42*H43/0.866</f>
        <v>0</v>
      </c>
      <c r="I44" s="28">
        <f t="shared" si="5"/>
        <v>7206.6512702078589</v>
      </c>
      <c r="J44" s="28">
        <f t="shared" si="5"/>
        <v>0</v>
      </c>
      <c r="K44" s="28">
        <f t="shared" si="5"/>
        <v>8091.8937644341777</v>
      </c>
      <c r="L44" s="28">
        <f>L42*L43/0.866</f>
        <v>7876.6812933025421</v>
      </c>
      <c r="M44" s="28">
        <f>M42*M43/0.866</f>
        <v>7644.1108545034667</v>
      </c>
      <c r="N44" s="28">
        <f>N42*N43/0.866</f>
        <v>0</v>
      </c>
      <c r="O44" s="28">
        <f>O42*O43/0.866</f>
        <v>7910.2193995381076</v>
      </c>
      <c r="P44" s="28">
        <f t="shared" si="5"/>
        <v>0</v>
      </c>
      <c r="Q44" s="28">
        <f t="shared" si="5"/>
        <v>7799.399538106235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0.48</v>
      </c>
      <c r="H45" s="21"/>
      <c r="I45" s="21">
        <v>0.46</v>
      </c>
      <c r="J45" s="20"/>
      <c r="K45" s="20">
        <v>0.47</v>
      </c>
      <c r="L45" s="21">
        <v>0.47</v>
      </c>
      <c r="M45" s="21">
        <v>0.47</v>
      </c>
      <c r="N45" s="20"/>
      <c r="O45" s="20">
        <v>0.46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19.7</v>
      </c>
      <c r="G46" s="20">
        <v>20.399999999999999</v>
      </c>
      <c r="H46" s="21"/>
      <c r="I46" s="21">
        <v>19.7</v>
      </c>
      <c r="J46" s="20"/>
      <c r="K46" s="20">
        <v>20.100000000000001</v>
      </c>
      <c r="L46" s="21">
        <v>19.8</v>
      </c>
      <c r="M46" s="21">
        <v>20</v>
      </c>
      <c r="N46" s="20"/>
      <c r="O46" s="20">
        <v>19.399999999999999</v>
      </c>
      <c r="P46" s="21"/>
      <c r="Q46" s="21">
        <v>20.2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199.2</v>
      </c>
      <c r="G47" s="20">
        <v>200.9</v>
      </c>
      <c r="H47" s="21"/>
      <c r="I47" s="21">
        <v>120.6</v>
      </c>
      <c r="J47" s="20"/>
      <c r="K47" s="20">
        <v>204.4</v>
      </c>
      <c r="L47" s="21">
        <v>213.6</v>
      </c>
      <c r="M47" s="21">
        <v>211.2</v>
      </c>
      <c r="N47" s="20"/>
      <c r="O47" s="20">
        <v>161.30000000000001</v>
      </c>
      <c r="P47" s="21"/>
      <c r="Q47" s="21">
        <v>203.3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61">
        <v>5.89</v>
      </c>
      <c r="F49" s="20">
        <v>6.03</v>
      </c>
      <c r="G49" s="20">
        <v>6.03</v>
      </c>
      <c r="H49" s="21"/>
      <c r="I49" s="21">
        <v>5.47</v>
      </c>
      <c r="J49" s="20"/>
      <c r="K49" s="20">
        <v>5.59</v>
      </c>
      <c r="L49" s="21">
        <v>5.68</v>
      </c>
      <c r="M49" s="21">
        <v>5.71</v>
      </c>
      <c r="N49" s="20"/>
      <c r="O49" s="20">
        <v>5.62</v>
      </c>
      <c r="P49" s="21"/>
      <c r="Q49" s="21">
        <v>5.57</v>
      </c>
    </row>
    <row r="50" spans="2:17" ht="20.100000000000001" customHeight="1">
      <c r="B50" s="92" t="s">
        <v>91</v>
      </c>
      <c r="C50" s="92"/>
      <c r="D50" s="92"/>
      <c r="E50" s="6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6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22" zoomScale="85" zoomScaleNormal="60" workbookViewId="0">
      <selection activeCell="Q10" sqref="Q10:Q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45794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63" t="s">
        <v>18</v>
      </c>
      <c r="E10" s="15"/>
      <c r="F10" s="17" t="s">
        <v>19</v>
      </c>
      <c r="G10" s="17" t="s">
        <v>19</v>
      </c>
      <c r="H10" s="18" t="s">
        <v>19</v>
      </c>
      <c r="I10" s="18" t="s">
        <v>19</v>
      </c>
      <c r="J10" s="17"/>
      <c r="K10" s="17" t="s">
        <v>19</v>
      </c>
      <c r="L10" s="18" t="s">
        <v>19</v>
      </c>
      <c r="M10" s="18" t="s">
        <v>19</v>
      </c>
      <c r="N10" s="16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71.8</v>
      </c>
      <c r="G11" s="20">
        <v>73.400000000000006</v>
      </c>
      <c r="H11" s="21">
        <v>82.8</v>
      </c>
      <c r="I11" s="21">
        <v>77.3</v>
      </c>
      <c r="J11" s="20"/>
      <c r="K11" s="20">
        <v>73.3</v>
      </c>
      <c r="L11" s="21"/>
      <c r="M11" s="21">
        <v>74.400000000000006</v>
      </c>
      <c r="N11" s="20"/>
      <c r="O11" s="20">
        <v>74.3</v>
      </c>
      <c r="P11" s="21"/>
      <c r="Q11" s="21">
        <v>75.2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0.1</v>
      </c>
      <c r="G12" s="20">
        <v>0.1</v>
      </c>
      <c r="H12" s="21">
        <v>0</v>
      </c>
      <c r="I12" s="21">
        <v>0</v>
      </c>
      <c r="J12" s="20"/>
      <c r="K12" s="20">
        <v>0</v>
      </c>
      <c r="L12" s="21"/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68.7</v>
      </c>
      <c r="G13" s="20">
        <v>68.5</v>
      </c>
      <c r="H13" s="21">
        <v>79.099999999999994</v>
      </c>
      <c r="I13" s="21">
        <v>72.3</v>
      </c>
      <c r="J13" s="20"/>
      <c r="K13" s="20">
        <v>67.099999999999994</v>
      </c>
      <c r="L13" s="21"/>
      <c r="M13" s="21">
        <v>70</v>
      </c>
      <c r="N13" s="20"/>
      <c r="O13" s="20">
        <v>69.099999999999994</v>
      </c>
      <c r="P13" s="21"/>
      <c r="Q13" s="21">
        <v>69.900000000000006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66.8</v>
      </c>
      <c r="G14" s="20">
        <v>68.8</v>
      </c>
      <c r="H14" s="21">
        <v>69.2</v>
      </c>
      <c r="I14" s="21">
        <v>70.900000000000006</v>
      </c>
      <c r="J14" s="20"/>
      <c r="K14" s="20">
        <v>65.400000000000006</v>
      </c>
      <c r="L14" s="21"/>
      <c r="M14" s="21">
        <v>67.900000000000006</v>
      </c>
      <c r="N14" s="20"/>
      <c r="O14" s="20">
        <v>75</v>
      </c>
      <c r="P14" s="21"/>
      <c r="Q14" s="21">
        <v>72.7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39</v>
      </c>
      <c r="G15" s="20">
        <v>39</v>
      </c>
      <c r="H15" s="21">
        <v>52.1</v>
      </c>
      <c r="I15" s="21">
        <v>53.5</v>
      </c>
      <c r="J15" s="20"/>
      <c r="K15" s="20">
        <v>37.1</v>
      </c>
      <c r="L15" s="21"/>
      <c r="M15" s="21">
        <v>35.700000000000003</v>
      </c>
      <c r="N15" s="20"/>
      <c r="O15" s="20">
        <v>54.6</v>
      </c>
      <c r="P15" s="21"/>
      <c r="Q15" s="21">
        <v>45.6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>
        <v>6.6</v>
      </c>
      <c r="I16" s="21">
        <v>6.6</v>
      </c>
      <c r="J16" s="20"/>
      <c r="K16" s="20">
        <v>6.6</v>
      </c>
      <c r="L16" s="21"/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118.3</v>
      </c>
      <c r="G17" s="20">
        <v>119.6</v>
      </c>
      <c r="H17" s="21">
        <v>118.1</v>
      </c>
      <c r="I17" s="21">
        <v>117.6</v>
      </c>
      <c r="J17" s="20"/>
      <c r="K17" s="20">
        <v>116.4</v>
      </c>
      <c r="L17" s="21"/>
      <c r="M17" s="21">
        <v>117</v>
      </c>
      <c r="N17" s="20"/>
      <c r="O17" s="20">
        <v>117.4</v>
      </c>
      <c r="P17" s="21"/>
      <c r="Q17" s="21">
        <v>119.4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1153</v>
      </c>
      <c r="G18" s="20">
        <v>1160</v>
      </c>
      <c r="H18" s="21">
        <v>1195</v>
      </c>
      <c r="I18" s="21">
        <v>1180</v>
      </c>
      <c r="J18" s="20"/>
      <c r="K18" s="20">
        <v>1166</v>
      </c>
      <c r="L18" s="21"/>
      <c r="M18" s="21">
        <v>1178</v>
      </c>
      <c r="N18" s="20"/>
      <c r="O18" s="20">
        <v>1183</v>
      </c>
      <c r="P18" s="21"/>
      <c r="Q18" s="21">
        <v>1201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>
        <v>50398.3</v>
      </c>
      <c r="G19" s="20">
        <v>50388.5</v>
      </c>
      <c r="H19" s="21">
        <v>51446.7</v>
      </c>
      <c r="I19" s="21">
        <v>51436.9</v>
      </c>
      <c r="J19" s="20"/>
      <c r="K19" s="20">
        <v>49311.8</v>
      </c>
      <c r="L19" s="21"/>
      <c r="M19" s="21">
        <v>51742.6</v>
      </c>
      <c r="N19" s="20"/>
      <c r="O19" s="20">
        <v>50908</v>
      </c>
      <c r="P19" s="21"/>
      <c r="Q19" s="21">
        <v>50822.9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58.4</v>
      </c>
      <c r="G22" s="20">
        <v>58.8</v>
      </c>
      <c r="H22" s="21">
        <v>59.1</v>
      </c>
      <c r="I22" s="21">
        <v>59.3</v>
      </c>
      <c r="J22" s="20"/>
      <c r="K22" s="20">
        <v>58.1</v>
      </c>
      <c r="L22" s="21"/>
      <c r="M22" s="21">
        <v>57.3</v>
      </c>
      <c r="N22" s="20"/>
      <c r="O22" s="20">
        <v>58.7</v>
      </c>
      <c r="P22" s="21"/>
      <c r="Q22" s="21">
        <v>59.2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>
        <v>0.48</v>
      </c>
      <c r="I23" s="21">
        <v>0.49</v>
      </c>
      <c r="J23" s="20"/>
      <c r="K23" s="20">
        <v>0.57999999999999996</v>
      </c>
      <c r="L23" s="21"/>
      <c r="M23" s="21">
        <v>0.52</v>
      </c>
      <c r="N23" s="20"/>
      <c r="O23" s="20">
        <v>0.48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44.8</v>
      </c>
      <c r="G25" s="20">
        <v>45</v>
      </c>
      <c r="H25" s="21">
        <v>45.1</v>
      </c>
      <c r="I25" s="21">
        <v>45.1</v>
      </c>
      <c r="J25" s="20"/>
      <c r="K25" s="20">
        <v>45</v>
      </c>
      <c r="L25" s="21"/>
      <c r="M25" s="21">
        <v>45.1</v>
      </c>
      <c r="N25" s="20"/>
      <c r="O25" s="20">
        <v>45.1</v>
      </c>
      <c r="P25" s="21"/>
      <c r="Q25" s="21">
        <v>44.8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0.25</v>
      </c>
      <c r="G26" s="20">
        <v>0.23</v>
      </c>
      <c r="H26" s="21">
        <v>0.21</v>
      </c>
      <c r="I26" s="21">
        <v>0.22</v>
      </c>
      <c r="J26" s="20"/>
      <c r="K26" s="20">
        <v>0.22</v>
      </c>
      <c r="L26" s="21"/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4.0999999999999996</v>
      </c>
      <c r="G27" s="20">
        <v>4</v>
      </c>
      <c r="H27" s="21">
        <v>2.9</v>
      </c>
      <c r="I27" s="21">
        <v>3.6</v>
      </c>
      <c r="J27" s="20"/>
      <c r="K27" s="20">
        <v>3.9</v>
      </c>
      <c r="L27" s="21"/>
      <c r="M27" s="21">
        <v>3.8</v>
      </c>
      <c r="N27" s="20"/>
      <c r="O27" s="20">
        <v>4.0999999999999996</v>
      </c>
      <c r="P27" s="21"/>
      <c r="Q27" s="21">
        <v>4.5999999999999996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3.8</v>
      </c>
      <c r="G28" s="20">
        <v>3.7</v>
      </c>
      <c r="H28" s="21">
        <v>2.1</v>
      </c>
      <c r="I28" s="21">
        <v>2.8</v>
      </c>
      <c r="J28" s="20"/>
      <c r="K28" s="20">
        <v>3.2</v>
      </c>
      <c r="L28" s="21"/>
      <c r="M28" s="21">
        <v>2.8</v>
      </c>
      <c r="N28" s="20"/>
      <c r="O28" s="20">
        <v>3.3</v>
      </c>
      <c r="P28" s="21"/>
      <c r="Q28" s="21">
        <v>3.5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0.79999999999999982</v>
      </c>
      <c r="G29" s="27">
        <f>G32-G28</f>
        <v>0.89999999999999947</v>
      </c>
      <c r="H29" s="27">
        <f t="shared" ref="H29:Q29" si="0">H32-H28</f>
        <v>2.6999999999999997</v>
      </c>
      <c r="I29" s="27">
        <f t="shared" si="0"/>
        <v>2.1000000000000005</v>
      </c>
      <c r="J29" s="27"/>
      <c r="K29" s="27">
        <f t="shared" si="0"/>
        <v>0.79999999999999982</v>
      </c>
      <c r="L29" s="27">
        <f>L32-L28</f>
        <v>0</v>
      </c>
      <c r="M29" s="27">
        <f>M32-M28</f>
        <v>1.2999999999999998</v>
      </c>
      <c r="N29" s="27">
        <f>N32-N28</f>
        <v>0</v>
      </c>
      <c r="O29" s="27">
        <f>O32-O28</f>
        <v>1</v>
      </c>
      <c r="P29" s="27">
        <f t="shared" si="0"/>
        <v>0</v>
      </c>
      <c r="Q29" s="27">
        <f t="shared" si="0"/>
        <v>1.2000000000000002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697.2</v>
      </c>
      <c r="G30" s="20">
        <v>635.70000000000005</v>
      </c>
      <c r="H30" s="21">
        <v>678.1</v>
      </c>
      <c r="I30" s="21">
        <v>639.20000000000005</v>
      </c>
      <c r="J30" s="20"/>
      <c r="K30" s="20">
        <v>639.9</v>
      </c>
      <c r="L30" s="21"/>
      <c r="M30" s="21">
        <v>628.79999999999995</v>
      </c>
      <c r="N30" s="20"/>
      <c r="O30" s="20">
        <v>634.5</v>
      </c>
      <c r="P30" s="21"/>
      <c r="Q30" s="21">
        <v>630.9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13.1</v>
      </c>
      <c r="G31" s="20">
        <v>14.1</v>
      </c>
      <c r="H31" s="21">
        <v>13.2</v>
      </c>
      <c r="I31" s="21">
        <v>14.1</v>
      </c>
      <c r="J31" s="20"/>
      <c r="K31" s="20">
        <v>13</v>
      </c>
      <c r="L31" s="21"/>
      <c r="M31" s="21">
        <v>13.4</v>
      </c>
      <c r="N31" s="20"/>
      <c r="O31" s="20">
        <v>13.6</v>
      </c>
      <c r="P31" s="21"/>
      <c r="Q31" s="21">
        <v>13.4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4.5999999999999996</v>
      </c>
      <c r="G32" s="20">
        <v>4.5999999999999996</v>
      </c>
      <c r="H32" s="21">
        <v>4.8</v>
      </c>
      <c r="I32" s="21">
        <v>4.9000000000000004</v>
      </c>
      <c r="J32" s="20"/>
      <c r="K32" s="20">
        <v>4</v>
      </c>
      <c r="L32" s="21"/>
      <c r="M32" s="21">
        <v>4.0999999999999996</v>
      </c>
      <c r="N32" s="20"/>
      <c r="O32" s="20">
        <v>4.3</v>
      </c>
      <c r="P32" s="21"/>
      <c r="Q32" s="21">
        <v>4.7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8.5</v>
      </c>
      <c r="G33" s="27">
        <f>G31-G32</f>
        <v>9.5</v>
      </c>
      <c r="H33" s="27">
        <f t="shared" ref="H33:Q33" si="1">H31-H32</f>
        <v>8.3999999999999986</v>
      </c>
      <c r="I33" s="27">
        <f t="shared" si="1"/>
        <v>9.1999999999999993</v>
      </c>
      <c r="J33" s="27">
        <f t="shared" si="1"/>
        <v>0</v>
      </c>
      <c r="K33" s="27">
        <f t="shared" si="1"/>
        <v>9</v>
      </c>
      <c r="L33" s="27">
        <f>L31-L32</f>
        <v>0</v>
      </c>
      <c r="M33" s="27">
        <f>M31-M32</f>
        <v>9.3000000000000007</v>
      </c>
      <c r="N33" s="27">
        <f>N31-N32</f>
        <v>0</v>
      </c>
      <c r="O33" s="27">
        <f>O31-O32</f>
        <v>9.3000000000000007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6843.1870669745967</v>
      </c>
      <c r="G34" s="28">
        <f>(G33*G30)/0.866</f>
        <v>6973.6143187066982</v>
      </c>
      <c r="H34" s="28">
        <f t="shared" ref="H34:Q34" si="2">(H33*H30)/0.866</f>
        <v>6577.4133949191673</v>
      </c>
      <c r="I34" s="28">
        <f t="shared" si="2"/>
        <v>6790.5773672055429</v>
      </c>
      <c r="J34" s="28">
        <f t="shared" si="2"/>
        <v>0</v>
      </c>
      <c r="K34" s="28">
        <f t="shared" si="2"/>
        <v>6650.2309468822168</v>
      </c>
      <c r="L34" s="28">
        <f>(L33*L30)/0.866</f>
        <v>0</v>
      </c>
      <c r="M34" s="28">
        <f>(M33*M30)/0.866</f>
        <v>6752.7020785219402</v>
      </c>
      <c r="N34" s="28">
        <f>(N33*N30)/0.866</f>
        <v>0</v>
      </c>
      <c r="O34" s="28">
        <f>(O33*O30)/0.866</f>
        <v>6813.9145496535803</v>
      </c>
      <c r="P34" s="28">
        <f t="shared" si="2"/>
        <v>0</v>
      </c>
      <c r="Q34" s="28">
        <f t="shared" si="2"/>
        <v>6338.1408775981517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0.88</v>
      </c>
      <c r="G35" s="20">
        <v>0.81</v>
      </c>
      <c r="H35" s="21">
        <v>0.83</v>
      </c>
      <c r="I35" s="21">
        <v>0.83</v>
      </c>
      <c r="J35" s="20"/>
      <c r="K35" s="20">
        <v>0.82</v>
      </c>
      <c r="L35" s="21"/>
      <c r="M35" s="21">
        <v>0.82</v>
      </c>
      <c r="N35" s="20"/>
      <c r="O35" s="20">
        <v>0.82</v>
      </c>
      <c r="P35" s="21"/>
      <c r="Q35" s="21">
        <v>0.82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35.4</v>
      </c>
      <c r="G36" s="20">
        <v>35.799999999999997</v>
      </c>
      <c r="H36" s="21">
        <v>35.9</v>
      </c>
      <c r="I36" s="21">
        <v>36.1</v>
      </c>
      <c r="J36" s="20"/>
      <c r="K36" s="20">
        <v>35.9</v>
      </c>
      <c r="L36" s="21"/>
      <c r="M36" s="21">
        <v>35.9</v>
      </c>
      <c r="N36" s="20"/>
      <c r="O36" s="20">
        <v>35.200000000000003</v>
      </c>
      <c r="P36" s="21"/>
      <c r="Q36" s="21">
        <v>35.9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36</v>
      </c>
      <c r="G37" s="20">
        <v>36.200000000000003</v>
      </c>
      <c r="H37" s="21">
        <v>36.799999999999997</v>
      </c>
      <c r="I37" s="21">
        <v>37</v>
      </c>
      <c r="J37" s="20"/>
      <c r="K37" s="20">
        <v>36.6</v>
      </c>
      <c r="L37" s="21"/>
      <c r="M37" s="21">
        <v>36.4</v>
      </c>
      <c r="N37" s="20"/>
      <c r="O37" s="20">
        <v>35.6</v>
      </c>
      <c r="P37" s="21"/>
      <c r="Q37" s="21">
        <v>36.6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1.7000000000000028</v>
      </c>
      <c r="G38" s="27">
        <f>G37-G41</f>
        <v>1.7000000000000028</v>
      </c>
      <c r="H38" s="27">
        <v>1</v>
      </c>
      <c r="I38" s="27">
        <f t="shared" ref="I38:Q38" si="3">I37-I41</f>
        <v>3.2000000000000028</v>
      </c>
      <c r="J38" s="27">
        <f t="shared" si="3"/>
        <v>0</v>
      </c>
      <c r="K38" s="27">
        <f t="shared" si="3"/>
        <v>2.1000000000000014</v>
      </c>
      <c r="L38" s="27">
        <f>L37-L41</f>
        <v>0</v>
      </c>
      <c r="M38" s="27">
        <f>M37-M41</f>
        <v>2.2999999999999972</v>
      </c>
      <c r="N38" s="27">
        <f>N37-N41</f>
        <v>0</v>
      </c>
      <c r="O38" s="27">
        <f>O37-O41</f>
        <v>1.6000000000000014</v>
      </c>
      <c r="P38" s="27">
        <f t="shared" si="3"/>
        <v>0</v>
      </c>
      <c r="Q38" s="27">
        <f t="shared" si="3"/>
        <v>2.3999999999999986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28.7</v>
      </c>
      <c r="G40" s="20">
        <v>29.1</v>
      </c>
      <c r="H40" s="21">
        <v>28.7</v>
      </c>
      <c r="I40" s="21">
        <v>29</v>
      </c>
      <c r="J40" s="20"/>
      <c r="K40" s="20">
        <v>29.1</v>
      </c>
      <c r="L40" s="21"/>
      <c r="M40" s="21">
        <v>29</v>
      </c>
      <c r="N40" s="20"/>
      <c r="O40" s="20">
        <v>28.8</v>
      </c>
      <c r="P40" s="21"/>
      <c r="Q40" s="21">
        <v>28.8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34.299999999999997</v>
      </c>
      <c r="G41" s="20">
        <v>34.5</v>
      </c>
      <c r="H41" s="21">
        <v>33.6</v>
      </c>
      <c r="I41" s="21">
        <v>33.799999999999997</v>
      </c>
      <c r="J41" s="20"/>
      <c r="K41" s="20">
        <v>34.5</v>
      </c>
      <c r="L41" s="21"/>
      <c r="M41" s="21">
        <v>34.1</v>
      </c>
      <c r="N41" s="20"/>
      <c r="O41" s="20">
        <v>34</v>
      </c>
      <c r="P41" s="21"/>
      <c r="Q41" s="21">
        <v>34.200000000000003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5.5999999999999979</v>
      </c>
      <c r="G42" s="27">
        <f>G41-G40</f>
        <v>5.3999999999999986</v>
      </c>
      <c r="H42" s="27">
        <f t="shared" ref="H42:Q42" si="4">H41-H40</f>
        <v>4.9000000000000021</v>
      </c>
      <c r="I42" s="27">
        <f t="shared" si="4"/>
        <v>4.7999999999999972</v>
      </c>
      <c r="J42" s="27">
        <f t="shared" si="4"/>
        <v>0</v>
      </c>
      <c r="K42" s="27">
        <f t="shared" si="4"/>
        <v>5.3999999999999986</v>
      </c>
      <c r="L42" s="27">
        <f>L41-L40</f>
        <v>0</v>
      </c>
      <c r="M42" s="27">
        <f>M41-M40</f>
        <v>5.1000000000000014</v>
      </c>
      <c r="N42" s="27">
        <f>N41-N40</f>
        <v>0</v>
      </c>
      <c r="O42" s="27">
        <f>O41-O40</f>
        <v>5.1999999999999993</v>
      </c>
      <c r="P42" s="27">
        <f t="shared" si="4"/>
        <v>0</v>
      </c>
      <c r="Q42" s="27">
        <f t="shared" si="4"/>
        <v>5.4000000000000021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1278</v>
      </c>
      <c r="G43" s="20">
        <v>1292.3</v>
      </c>
      <c r="H43" s="21">
        <v>1278</v>
      </c>
      <c r="I43" s="21">
        <v>1293.5999999999999</v>
      </c>
      <c r="J43" s="20"/>
      <c r="K43" s="20">
        <v>1296.0999999999999</v>
      </c>
      <c r="L43" s="21"/>
      <c r="M43" s="20">
        <v>1297.5999999999999</v>
      </c>
      <c r="N43" s="20"/>
      <c r="O43" s="20">
        <v>1297.2</v>
      </c>
      <c r="P43" s="21"/>
      <c r="Q43" s="21">
        <v>1291.3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8264.2032332563485</v>
      </c>
      <c r="G44" s="28">
        <f>G42*G43/0.866</f>
        <v>8058.2217090069262</v>
      </c>
      <c r="H44" s="28">
        <f t="shared" ref="H44:Q44" si="5">H42*H43/0.866</f>
        <v>7231.1778290993097</v>
      </c>
      <c r="I44" s="28">
        <f t="shared" si="5"/>
        <v>7170.0692840646607</v>
      </c>
      <c r="J44" s="28">
        <f t="shared" si="5"/>
        <v>0</v>
      </c>
      <c r="K44" s="28">
        <f t="shared" si="5"/>
        <v>8081.9168591223997</v>
      </c>
      <c r="L44" s="28">
        <f>L42*L43/0.866</f>
        <v>0</v>
      </c>
      <c r="M44" s="28">
        <f>M42*M43/0.866</f>
        <v>7641.7551963048509</v>
      </c>
      <c r="N44" s="28">
        <f>N42*N43/0.866</f>
        <v>0</v>
      </c>
      <c r="O44" s="28">
        <f>O42*O43/0.866</f>
        <v>7789.1916859122402</v>
      </c>
      <c r="P44" s="28">
        <f t="shared" si="5"/>
        <v>0</v>
      </c>
      <c r="Q44" s="28">
        <f t="shared" si="5"/>
        <v>8051.9861431870695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0.46</v>
      </c>
      <c r="H45" s="21">
        <v>0.45</v>
      </c>
      <c r="I45" s="21">
        <v>0.46</v>
      </c>
      <c r="J45" s="20"/>
      <c r="K45" s="20">
        <v>0.46</v>
      </c>
      <c r="L45" s="21"/>
      <c r="M45" s="21">
        <v>0.46</v>
      </c>
      <c r="N45" s="20"/>
      <c r="O45" s="20">
        <v>0.45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19.399999999999999</v>
      </c>
      <c r="G46" s="20">
        <v>19.600000000000001</v>
      </c>
      <c r="H46" s="21">
        <v>18.8</v>
      </c>
      <c r="I46" s="21">
        <v>19.5</v>
      </c>
      <c r="J46" s="20"/>
      <c r="K46" s="20">
        <v>19.7</v>
      </c>
      <c r="L46" s="21"/>
      <c r="M46" s="21">
        <v>19.5</v>
      </c>
      <c r="N46" s="20"/>
      <c r="O46" s="20">
        <v>19</v>
      </c>
      <c r="P46" s="21"/>
      <c r="Q46" s="21">
        <v>19.8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197.6</v>
      </c>
      <c r="G47" s="20">
        <v>198.2</v>
      </c>
      <c r="H47" s="21">
        <v>127.4</v>
      </c>
      <c r="I47" s="21">
        <v>124.7</v>
      </c>
      <c r="J47" s="20"/>
      <c r="K47" s="20">
        <v>204</v>
      </c>
      <c r="L47" s="21"/>
      <c r="M47" s="21">
        <v>207.5</v>
      </c>
      <c r="N47" s="20"/>
      <c r="O47" s="20">
        <v>159</v>
      </c>
      <c r="P47" s="21"/>
      <c r="Q47" s="21">
        <v>195.7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63">
        <v>5.89</v>
      </c>
      <c r="F49" s="20">
        <v>5.56</v>
      </c>
      <c r="G49" s="20">
        <v>6.09</v>
      </c>
      <c r="H49" s="21">
        <v>5.37</v>
      </c>
      <c r="I49" s="21">
        <v>5.58</v>
      </c>
      <c r="J49" s="20"/>
      <c r="K49" s="20">
        <v>5.73</v>
      </c>
      <c r="L49" s="21"/>
      <c r="M49" s="21">
        <v>5.83</v>
      </c>
      <c r="N49" s="20"/>
      <c r="O49" s="20">
        <v>5.78</v>
      </c>
      <c r="P49" s="21"/>
      <c r="Q49" s="21">
        <v>5.48</v>
      </c>
    </row>
    <row r="50" spans="2:17" ht="20.100000000000001" customHeight="1">
      <c r="B50" s="92" t="s">
        <v>91</v>
      </c>
      <c r="C50" s="92"/>
      <c r="D50" s="92"/>
      <c r="E50" s="6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6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19" zoomScale="85" zoomScaleNormal="60" workbookViewId="0">
      <selection activeCell="M10" sqref="M10:M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45795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65" t="s">
        <v>18</v>
      </c>
      <c r="E10" s="15"/>
      <c r="F10" s="16" t="s">
        <v>19</v>
      </c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70.400000000000006</v>
      </c>
      <c r="H11" s="21"/>
      <c r="I11" s="21">
        <v>79.5</v>
      </c>
      <c r="J11" s="20">
        <v>73.900000000000006</v>
      </c>
      <c r="K11" s="20">
        <v>74.099999999999994</v>
      </c>
      <c r="L11" s="21">
        <v>76.8</v>
      </c>
      <c r="M11" s="21">
        <v>72.099999999999994</v>
      </c>
      <c r="N11" s="20"/>
      <c r="O11" s="20">
        <v>77.5</v>
      </c>
      <c r="P11" s="21"/>
      <c r="Q11" s="21">
        <v>76.2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>
        <v>0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64.5</v>
      </c>
      <c r="H13" s="21"/>
      <c r="I13" s="21">
        <v>76</v>
      </c>
      <c r="J13" s="20">
        <v>70.5</v>
      </c>
      <c r="K13" s="20">
        <v>69.599999999999994</v>
      </c>
      <c r="L13" s="21">
        <v>72.7</v>
      </c>
      <c r="M13" s="21">
        <v>66</v>
      </c>
      <c r="N13" s="20"/>
      <c r="O13" s="20">
        <v>73.400000000000006</v>
      </c>
      <c r="P13" s="21"/>
      <c r="Q13" s="21">
        <v>71.2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69.5</v>
      </c>
      <c r="H14" s="21"/>
      <c r="I14" s="21">
        <v>70.599999999999994</v>
      </c>
      <c r="J14" s="20">
        <v>63.3</v>
      </c>
      <c r="K14" s="20">
        <v>64.400000000000006</v>
      </c>
      <c r="L14" s="21">
        <v>67.3</v>
      </c>
      <c r="M14" s="21">
        <v>66.400000000000006</v>
      </c>
      <c r="N14" s="20"/>
      <c r="O14" s="20">
        <v>75.400000000000006</v>
      </c>
      <c r="P14" s="21"/>
      <c r="Q14" s="21">
        <v>74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39.4</v>
      </c>
      <c r="H15" s="21"/>
      <c r="I15" s="21">
        <v>55.8</v>
      </c>
      <c r="J15" s="20">
        <v>38.799999999999997</v>
      </c>
      <c r="K15" s="20">
        <v>40.200000000000003</v>
      </c>
      <c r="L15" s="21">
        <v>34.6</v>
      </c>
      <c r="M15" s="21">
        <v>32.799999999999997</v>
      </c>
      <c r="N15" s="20"/>
      <c r="O15" s="20">
        <v>2.7</v>
      </c>
      <c r="P15" s="21"/>
      <c r="Q15" s="21">
        <v>3.9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0"/>
      <c r="I16" s="20">
        <v>6.6</v>
      </c>
      <c r="J16" s="20">
        <v>6.6</v>
      </c>
      <c r="K16" s="20">
        <v>6.6</v>
      </c>
      <c r="L16" s="20">
        <v>6.6</v>
      </c>
      <c r="M16" s="20">
        <v>6.6</v>
      </c>
      <c r="N16" s="20"/>
      <c r="O16" s="20">
        <v>6.6</v>
      </c>
      <c r="P16" s="20"/>
      <c r="Q16" s="20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116</v>
      </c>
      <c r="H17" s="21"/>
      <c r="I17" s="21">
        <v>116.5</v>
      </c>
      <c r="J17" s="20">
        <v>117.6</v>
      </c>
      <c r="K17" s="20">
        <v>116.6</v>
      </c>
      <c r="L17" s="21">
        <v>119.4</v>
      </c>
      <c r="M17" s="21">
        <v>113</v>
      </c>
      <c r="N17" s="20"/>
      <c r="O17" s="20">
        <v>119.8</v>
      </c>
      <c r="P17" s="21"/>
      <c r="Q17" s="21">
        <v>116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1141</v>
      </c>
      <c r="H18" s="21"/>
      <c r="I18" s="21">
        <v>1180</v>
      </c>
      <c r="J18" s="20">
        <v>1191</v>
      </c>
      <c r="K18" s="20">
        <v>1191</v>
      </c>
      <c r="L18" s="21">
        <v>1210</v>
      </c>
      <c r="M18" s="21">
        <v>1142</v>
      </c>
      <c r="N18" s="20"/>
      <c r="O18" s="20">
        <v>1213</v>
      </c>
      <c r="P18" s="21"/>
      <c r="Q18" s="21">
        <v>1141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50409</v>
      </c>
      <c r="H19" s="21"/>
      <c r="I19" s="21">
        <v>51461</v>
      </c>
      <c r="J19" s="20">
        <v>49332.2</v>
      </c>
      <c r="K19" s="20">
        <v>49322</v>
      </c>
      <c r="L19" s="21">
        <v>51763.3</v>
      </c>
      <c r="M19" s="21">
        <v>51752</v>
      </c>
      <c r="N19" s="20"/>
      <c r="O19" s="20">
        <v>50918</v>
      </c>
      <c r="P19" s="21"/>
      <c r="Q19" s="21">
        <v>50833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58.2</v>
      </c>
      <c r="H22" s="21"/>
      <c r="I22" s="21">
        <v>59.2</v>
      </c>
      <c r="J22" s="20">
        <v>57.5</v>
      </c>
      <c r="K22" s="20">
        <v>58</v>
      </c>
      <c r="L22" s="21">
        <v>57.5</v>
      </c>
      <c r="M22" s="21">
        <v>57.2</v>
      </c>
      <c r="N22" s="20"/>
      <c r="O22" s="20">
        <v>58.7</v>
      </c>
      <c r="P22" s="21"/>
      <c r="Q22" s="21">
        <v>58.9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0.48</v>
      </c>
      <c r="J23" s="20">
        <v>0.59</v>
      </c>
      <c r="K23" s="20">
        <v>0.59</v>
      </c>
      <c r="L23" s="21">
        <v>0.52</v>
      </c>
      <c r="M23" s="21">
        <v>0.52</v>
      </c>
      <c r="N23" s="20"/>
      <c r="O23" s="20">
        <v>0.48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44.7</v>
      </c>
      <c r="H25" s="21"/>
      <c r="I25" s="21">
        <v>44.8</v>
      </c>
      <c r="J25" s="20">
        <v>45.4</v>
      </c>
      <c r="K25" s="20">
        <v>44.8</v>
      </c>
      <c r="L25" s="21">
        <v>45</v>
      </c>
      <c r="M25" s="21">
        <v>45.1</v>
      </c>
      <c r="N25" s="20"/>
      <c r="O25" s="20">
        <v>44.9</v>
      </c>
      <c r="P25" s="21"/>
      <c r="Q25" s="21">
        <v>45.1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0.21</v>
      </c>
      <c r="J26" s="20">
        <v>0.23</v>
      </c>
      <c r="K26" s="20">
        <v>0.22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4.2</v>
      </c>
      <c r="H27" s="21"/>
      <c r="I27" s="21">
        <v>3.3</v>
      </c>
      <c r="J27" s="20">
        <v>4.2</v>
      </c>
      <c r="K27" s="20">
        <v>4.3</v>
      </c>
      <c r="L27" s="21">
        <v>4.2</v>
      </c>
      <c r="M27" s="21">
        <v>3.6</v>
      </c>
      <c r="N27" s="20"/>
      <c r="O27" s="20">
        <v>4.5</v>
      </c>
      <c r="P27" s="21"/>
      <c r="Q27" s="21">
        <v>4.5999999999999996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3.6</v>
      </c>
      <c r="H28" s="21"/>
      <c r="I28" s="21">
        <v>2.2000000000000002</v>
      </c>
      <c r="J28" s="20">
        <v>3.4</v>
      </c>
      <c r="K28" s="20">
        <v>3.4</v>
      </c>
      <c r="L28" s="21">
        <v>3</v>
      </c>
      <c r="M28" s="21">
        <v>2.7</v>
      </c>
      <c r="N28" s="20"/>
      <c r="O28" s="20">
        <v>3.3</v>
      </c>
      <c r="P28" s="21"/>
      <c r="Q28" s="21">
        <v>3.6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0.89999999999999991</v>
      </c>
      <c r="H29" s="27">
        <f t="shared" ref="H29:Q29" si="0">H32-H28</f>
        <v>0</v>
      </c>
      <c r="I29" s="27">
        <f t="shared" si="0"/>
        <v>2.0999999999999996</v>
      </c>
      <c r="J29" s="27">
        <f t="shared" si="0"/>
        <v>0.60000000000000009</v>
      </c>
      <c r="K29" s="27">
        <f t="shared" si="0"/>
        <v>1.1000000000000001</v>
      </c>
      <c r="L29" s="27">
        <f>L32-L28</f>
        <v>1.2999999999999998</v>
      </c>
      <c r="M29" s="27">
        <f>M32-M28</f>
        <v>1.1999999999999997</v>
      </c>
      <c r="N29" s="27">
        <f>N32-N28</f>
        <v>0</v>
      </c>
      <c r="O29" s="27">
        <f>O32-O28</f>
        <v>0.79999999999999982</v>
      </c>
      <c r="P29" s="27">
        <f t="shared" si="0"/>
        <v>0</v>
      </c>
      <c r="Q29" s="27">
        <f t="shared" si="0"/>
        <v>0.69999999999999973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642</v>
      </c>
      <c r="H30" s="21"/>
      <c r="I30" s="21">
        <v>631.84</v>
      </c>
      <c r="J30" s="20">
        <v>641.41999999999996</v>
      </c>
      <c r="K30" s="20">
        <v>630</v>
      </c>
      <c r="L30" s="21">
        <v>639.79999999999995</v>
      </c>
      <c r="M30" s="21">
        <v>639.12</v>
      </c>
      <c r="N30" s="20"/>
      <c r="O30" s="20">
        <v>635.52</v>
      </c>
      <c r="P30" s="21"/>
      <c r="Q30" s="21">
        <v>635.52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>
        <v>13.3</v>
      </c>
      <c r="J31" s="20">
        <v>13.1</v>
      </c>
      <c r="K31" s="20">
        <v>13.4</v>
      </c>
      <c r="L31" s="21">
        <v>13.5</v>
      </c>
      <c r="M31" s="21">
        <v>13.1</v>
      </c>
      <c r="N31" s="20"/>
      <c r="O31" s="20">
        <v>13.3</v>
      </c>
      <c r="P31" s="21"/>
      <c r="Q31" s="21">
        <v>13.2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4.5</v>
      </c>
      <c r="H32" s="21"/>
      <c r="I32" s="21">
        <v>4.3</v>
      </c>
      <c r="J32" s="20">
        <v>4</v>
      </c>
      <c r="K32" s="20">
        <v>4.5</v>
      </c>
      <c r="L32" s="21">
        <v>4.3</v>
      </c>
      <c r="M32" s="21">
        <v>3.9</v>
      </c>
      <c r="N32" s="20"/>
      <c r="O32" s="20">
        <v>4.0999999999999996</v>
      </c>
      <c r="P32" s="21"/>
      <c r="Q32" s="21">
        <v>4.3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</v>
      </c>
      <c r="H33" s="27">
        <f t="shared" ref="H33:Q33" si="1">H31-H32</f>
        <v>0</v>
      </c>
      <c r="I33" s="27">
        <f t="shared" si="1"/>
        <v>9</v>
      </c>
      <c r="J33" s="27">
        <f t="shared" si="1"/>
        <v>9.1</v>
      </c>
      <c r="K33" s="27">
        <f t="shared" si="1"/>
        <v>8.9</v>
      </c>
      <c r="L33" s="27">
        <f>L31-L32</f>
        <v>9.1999999999999993</v>
      </c>
      <c r="M33" s="27">
        <f>M31-M32</f>
        <v>9.1999999999999993</v>
      </c>
      <c r="N33" s="27">
        <f>N31-N32</f>
        <v>0</v>
      </c>
      <c r="O33" s="27">
        <f>O31-O32</f>
        <v>9.2000000000000011</v>
      </c>
      <c r="P33" s="27">
        <f t="shared" si="1"/>
        <v>0</v>
      </c>
      <c r="Q33" s="27">
        <f t="shared" si="1"/>
        <v>8.8999999999999986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6672.055427251732</v>
      </c>
      <c r="H34" s="28">
        <f t="shared" ref="H34:Q34" si="2">(H33*H30)/0.866</f>
        <v>0</v>
      </c>
      <c r="I34" s="28">
        <f t="shared" si="2"/>
        <v>6566.4665127020789</v>
      </c>
      <c r="J34" s="28">
        <f t="shared" si="2"/>
        <v>6740.0946882217086</v>
      </c>
      <c r="K34" s="28">
        <f t="shared" si="2"/>
        <v>6474.5958429561206</v>
      </c>
      <c r="L34" s="28">
        <f>(L33*L30)/0.866</f>
        <v>6796.9515011547337</v>
      </c>
      <c r="M34" s="28">
        <f>(M33*M30)/0.866</f>
        <v>6789.7274826789835</v>
      </c>
      <c r="N34" s="28">
        <f>(N33*N30)/0.866</f>
        <v>0</v>
      </c>
      <c r="O34" s="28">
        <f>(O33*O30)/0.866</f>
        <v>6751.4826789838344</v>
      </c>
      <c r="P34" s="28">
        <f t="shared" si="2"/>
        <v>0</v>
      </c>
      <c r="Q34" s="28">
        <f t="shared" si="2"/>
        <v>6531.3256351039245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</v>
      </c>
      <c r="H35" s="21"/>
      <c r="I35" s="21">
        <v>0.83</v>
      </c>
      <c r="J35" s="20">
        <v>0.84</v>
      </c>
      <c r="K35" s="20">
        <v>0.82</v>
      </c>
      <c r="L35" s="21">
        <v>0.81</v>
      </c>
      <c r="M35" s="21">
        <v>0.81</v>
      </c>
      <c r="N35" s="20"/>
      <c r="O35" s="20">
        <v>0.79</v>
      </c>
      <c r="P35" s="21"/>
      <c r="Q35" s="21">
        <v>0.82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35.1</v>
      </c>
      <c r="H36" s="21"/>
      <c r="I36" s="21">
        <v>35.6</v>
      </c>
      <c r="J36" s="20">
        <v>36.6</v>
      </c>
      <c r="K36" s="20">
        <v>35.4</v>
      </c>
      <c r="L36" s="21">
        <v>36.799999999999997</v>
      </c>
      <c r="M36" s="21">
        <v>35.1</v>
      </c>
      <c r="N36" s="20"/>
      <c r="O36" s="20">
        <v>34.799999999999997</v>
      </c>
      <c r="P36" s="21"/>
      <c r="Q36" s="21">
        <v>35.299999999999997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35.799999999999997</v>
      </c>
      <c r="H37" s="21"/>
      <c r="I37" s="21">
        <v>36.700000000000003</v>
      </c>
      <c r="J37" s="20">
        <v>37.4</v>
      </c>
      <c r="K37" s="20">
        <v>36.299999999999997</v>
      </c>
      <c r="L37" s="21">
        <v>37.299999999999997</v>
      </c>
      <c r="M37" s="21">
        <v>35.9</v>
      </c>
      <c r="N37" s="20"/>
      <c r="O37" s="20">
        <v>35.4</v>
      </c>
      <c r="P37" s="21"/>
      <c r="Q37" s="21">
        <v>36.299999999999997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2.5</v>
      </c>
      <c r="H38" s="27">
        <v>1</v>
      </c>
      <c r="I38" s="27">
        <f t="shared" ref="I38:Q38" si="3">I37-I41</f>
        <v>3.7000000000000028</v>
      </c>
      <c r="J38" s="27">
        <f t="shared" si="3"/>
        <v>2.1999999999999957</v>
      </c>
      <c r="K38" s="27">
        <f t="shared" si="3"/>
        <v>2.8999999999999986</v>
      </c>
      <c r="L38" s="27">
        <f>L37-L41</f>
        <v>2.2999999999999972</v>
      </c>
      <c r="M38" s="27">
        <f>M37-M41</f>
        <v>3</v>
      </c>
      <c r="N38" s="27">
        <f>N37-N41</f>
        <v>0</v>
      </c>
      <c r="O38" s="27">
        <f>O37-O41</f>
        <v>2.3999999999999986</v>
      </c>
      <c r="P38" s="27">
        <f t="shared" si="3"/>
        <v>0</v>
      </c>
      <c r="Q38" s="27">
        <f t="shared" si="3"/>
        <v>2.7999999999999972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28.2</v>
      </c>
      <c r="H40" s="21"/>
      <c r="I40" s="21">
        <v>28</v>
      </c>
      <c r="J40" s="20">
        <v>29.9</v>
      </c>
      <c r="K40" s="20">
        <v>28.1</v>
      </c>
      <c r="L40" s="21">
        <v>29.7</v>
      </c>
      <c r="M40" s="21">
        <v>27.9</v>
      </c>
      <c r="N40" s="20"/>
      <c r="O40" s="20">
        <v>28</v>
      </c>
      <c r="P40" s="21"/>
      <c r="Q40" s="21">
        <v>28.3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33.299999999999997</v>
      </c>
      <c r="H41" s="21"/>
      <c r="I41" s="21">
        <v>33</v>
      </c>
      <c r="J41" s="20">
        <v>35.200000000000003</v>
      </c>
      <c r="K41" s="20">
        <v>33.4</v>
      </c>
      <c r="L41" s="21">
        <v>35</v>
      </c>
      <c r="M41" s="21">
        <v>32.9</v>
      </c>
      <c r="N41" s="20"/>
      <c r="O41" s="20">
        <v>33</v>
      </c>
      <c r="P41" s="21"/>
      <c r="Q41" s="21">
        <v>33.5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5.0999999999999979</v>
      </c>
      <c r="H42" s="27">
        <f t="shared" ref="H42:Q42" si="4">H41-H40</f>
        <v>0</v>
      </c>
      <c r="I42" s="27">
        <f t="shared" si="4"/>
        <v>5</v>
      </c>
      <c r="J42" s="27">
        <f t="shared" si="4"/>
        <v>5.3000000000000043</v>
      </c>
      <c r="K42" s="27">
        <f t="shared" si="4"/>
        <v>5.2999999999999972</v>
      </c>
      <c r="L42" s="27">
        <f>L41-L40</f>
        <v>5.3000000000000007</v>
      </c>
      <c r="M42" s="27">
        <f>M41-M40</f>
        <v>5</v>
      </c>
      <c r="N42" s="27">
        <f>N41-N40</f>
        <v>0</v>
      </c>
      <c r="O42" s="27">
        <f>O41-O40</f>
        <v>5</v>
      </c>
      <c r="P42" s="27">
        <f t="shared" si="4"/>
        <v>0</v>
      </c>
      <c r="Q42" s="27">
        <f t="shared" si="4"/>
        <v>5.1999999999999993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1299.48</v>
      </c>
      <c r="H43" s="21"/>
      <c r="I43" s="21">
        <v>1296.96</v>
      </c>
      <c r="J43" s="20">
        <v>1298.5999999999999</v>
      </c>
      <c r="K43" s="20">
        <v>1292.3399999999999</v>
      </c>
      <c r="L43" s="21">
        <v>1291.7</v>
      </c>
      <c r="M43" s="20">
        <v>1292.06</v>
      </c>
      <c r="N43" s="20"/>
      <c r="O43" s="20">
        <v>1295.98</v>
      </c>
      <c r="P43" s="21"/>
      <c r="Q43" s="21">
        <v>1297.8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7652.8267898383338</v>
      </c>
      <c r="H44" s="28">
        <f t="shared" ref="H44:Q44" si="5">H42*H43/0.866</f>
        <v>0</v>
      </c>
      <c r="I44" s="28">
        <f t="shared" si="5"/>
        <v>7488.2217090069289</v>
      </c>
      <c r="J44" s="28">
        <f t="shared" si="5"/>
        <v>7947.5519630485051</v>
      </c>
      <c r="K44" s="28">
        <f t="shared" si="5"/>
        <v>7909.2401847575011</v>
      </c>
      <c r="L44" s="28">
        <f>L42*L43/0.866</f>
        <v>7905.323325635105</v>
      </c>
      <c r="M44" s="28">
        <f>M42*M43/0.866</f>
        <v>7459.9307159353339</v>
      </c>
      <c r="N44" s="28">
        <f>N42*N43/0.866</f>
        <v>0</v>
      </c>
      <c r="O44" s="28">
        <f>O42*O43/0.866</f>
        <v>7482.5635103926097</v>
      </c>
      <c r="P44" s="28">
        <f t="shared" si="5"/>
        <v>0</v>
      </c>
      <c r="Q44" s="28">
        <f t="shared" si="5"/>
        <v>7792.7944572748256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0.45</v>
      </c>
      <c r="J45" s="20">
        <v>0.47</v>
      </c>
      <c r="K45" s="20">
        <v>0.45</v>
      </c>
      <c r="L45" s="21">
        <v>0.47</v>
      </c>
      <c r="M45" s="21">
        <v>0.46</v>
      </c>
      <c r="N45" s="20"/>
      <c r="O45" s="20">
        <v>0.45</v>
      </c>
      <c r="P45" s="21"/>
      <c r="Q45" s="21">
        <v>0.46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19.399999999999999</v>
      </c>
      <c r="H46" s="21"/>
      <c r="I46" s="21">
        <v>18.7</v>
      </c>
      <c r="J46" s="20">
        <v>19.8</v>
      </c>
      <c r="K46" s="20">
        <v>19.100000000000001</v>
      </c>
      <c r="L46" s="21">
        <v>20.100000000000001</v>
      </c>
      <c r="M46" s="21">
        <v>19.3</v>
      </c>
      <c r="N46" s="20"/>
      <c r="O46" s="20">
        <v>18.899999999999999</v>
      </c>
      <c r="P46" s="21"/>
      <c r="Q46" s="21">
        <v>19.600000000000001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200.2</v>
      </c>
      <c r="H47" s="21"/>
      <c r="I47" s="21">
        <v>120</v>
      </c>
      <c r="J47" s="20">
        <v>198.7</v>
      </c>
      <c r="K47" s="20">
        <v>216.9</v>
      </c>
      <c r="L47" s="21">
        <v>205.2</v>
      </c>
      <c r="M47" s="21">
        <v>218.9</v>
      </c>
      <c r="N47" s="20"/>
      <c r="O47" s="20">
        <v>163.80000000000001</v>
      </c>
      <c r="P47" s="21"/>
      <c r="Q47" s="21">
        <v>200.8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65">
        <v>5.89</v>
      </c>
      <c r="F49" s="20"/>
      <c r="G49" s="20">
        <v>5.69</v>
      </c>
      <c r="H49" s="21"/>
      <c r="I49" s="21">
        <v>5.38</v>
      </c>
      <c r="J49" s="20">
        <v>5.67</v>
      </c>
      <c r="K49" s="20">
        <v>5.36</v>
      </c>
      <c r="L49" s="21">
        <v>5.62</v>
      </c>
      <c r="M49" s="21">
        <v>5.9</v>
      </c>
      <c r="N49" s="20"/>
      <c r="O49" s="20">
        <v>5.87</v>
      </c>
      <c r="P49" s="21"/>
      <c r="Q49" s="21">
        <v>5.53</v>
      </c>
    </row>
    <row r="50" spans="2:17" ht="20.100000000000001" customHeight="1">
      <c r="B50" s="92" t="s">
        <v>91</v>
      </c>
      <c r="C50" s="92"/>
      <c r="D50" s="92"/>
      <c r="E50" s="6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6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6" zoomScale="85" zoomScaleNormal="60" workbookViewId="0">
      <selection activeCell="N42" sqref="N42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45796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67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/>
      <c r="K10" s="17" t="s">
        <v>19</v>
      </c>
      <c r="L10" s="18"/>
      <c r="M10" s="18" t="s">
        <v>19</v>
      </c>
      <c r="N10" s="17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74</v>
      </c>
      <c r="G11" s="20">
        <v>70.599999999999994</v>
      </c>
      <c r="H11" s="21"/>
      <c r="I11" s="21">
        <v>78.5</v>
      </c>
      <c r="J11" s="20"/>
      <c r="K11" s="20">
        <v>73.400000000000006</v>
      </c>
      <c r="L11" s="21"/>
      <c r="M11" s="21">
        <v>72</v>
      </c>
      <c r="N11" s="20">
        <v>76.8</v>
      </c>
      <c r="O11" s="20">
        <v>73.7</v>
      </c>
      <c r="P11" s="21"/>
      <c r="Q11" s="21">
        <v>73.3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0.8</v>
      </c>
      <c r="G12" s="20">
        <v>0.4</v>
      </c>
      <c r="H12" s="21"/>
      <c r="I12" s="21">
        <v>0</v>
      </c>
      <c r="J12" s="20"/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68.5</v>
      </c>
      <c r="G13" s="20">
        <v>64.599999999999994</v>
      </c>
      <c r="H13" s="21"/>
      <c r="I13" s="21">
        <v>73.3</v>
      </c>
      <c r="J13" s="20"/>
      <c r="K13" s="20">
        <v>58.1</v>
      </c>
      <c r="L13" s="21"/>
      <c r="M13" s="21">
        <v>68.7</v>
      </c>
      <c r="N13" s="20">
        <v>71.7</v>
      </c>
      <c r="O13" s="20">
        <v>71</v>
      </c>
      <c r="P13" s="21"/>
      <c r="Q13" s="21">
        <v>68.400000000000006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69.400000000000006</v>
      </c>
      <c r="G14" s="20">
        <v>69.2</v>
      </c>
      <c r="H14" s="21"/>
      <c r="I14" s="21">
        <v>71.7</v>
      </c>
      <c r="J14" s="20"/>
      <c r="K14" s="20">
        <v>64.400000000000006</v>
      </c>
      <c r="L14" s="21"/>
      <c r="M14" s="21">
        <v>68</v>
      </c>
      <c r="N14" s="20">
        <v>75</v>
      </c>
      <c r="O14" s="20">
        <v>739</v>
      </c>
      <c r="P14" s="21"/>
      <c r="Q14" s="21">
        <v>72.7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39.799999999999997</v>
      </c>
      <c r="G15" s="20">
        <v>36.6</v>
      </c>
      <c r="H15" s="21"/>
      <c r="I15" s="21">
        <v>51.7</v>
      </c>
      <c r="J15" s="20"/>
      <c r="K15" s="20">
        <v>38.6</v>
      </c>
      <c r="L15" s="21"/>
      <c r="M15" s="21">
        <v>32.4</v>
      </c>
      <c r="N15" s="20">
        <v>53.7</v>
      </c>
      <c r="O15" s="20">
        <v>53.8</v>
      </c>
      <c r="P15" s="21"/>
      <c r="Q15" s="21">
        <v>42.6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120</v>
      </c>
      <c r="G17" s="20">
        <v>117</v>
      </c>
      <c r="H17" s="21"/>
      <c r="I17" s="21">
        <v>115.9</v>
      </c>
      <c r="J17" s="20"/>
      <c r="K17" s="20">
        <v>117.6</v>
      </c>
      <c r="L17" s="21"/>
      <c r="M17" s="21">
        <v>115.6</v>
      </c>
      <c r="N17" s="20">
        <v>119.6</v>
      </c>
      <c r="O17" s="20">
        <v>118</v>
      </c>
      <c r="P17" s="21"/>
      <c r="Q17" s="21">
        <v>118.8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1170</v>
      </c>
      <c r="G18" s="20">
        <v>1138</v>
      </c>
      <c r="H18" s="21"/>
      <c r="I18" s="21">
        <v>1180</v>
      </c>
      <c r="J18" s="20"/>
      <c r="K18" s="20">
        <v>1192</v>
      </c>
      <c r="L18" s="21"/>
      <c r="M18" s="21">
        <v>1171</v>
      </c>
      <c r="N18" s="20">
        <v>1216</v>
      </c>
      <c r="O18" s="20">
        <v>1197</v>
      </c>
      <c r="P18" s="21"/>
      <c r="Q18" s="21">
        <v>1197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>
        <v>50428.2</v>
      </c>
      <c r="G19" s="20">
        <v>50497.599999999999</v>
      </c>
      <c r="H19" s="21"/>
      <c r="I19" s="21">
        <v>51471</v>
      </c>
      <c r="J19" s="20"/>
      <c r="K19" s="20">
        <v>49335</v>
      </c>
      <c r="L19" s="21"/>
      <c r="M19" s="21">
        <v>51769.2</v>
      </c>
      <c r="N19" s="20">
        <v>50937.7</v>
      </c>
      <c r="O19" s="20">
        <v>50925</v>
      </c>
      <c r="P19" s="21"/>
      <c r="Q19" s="21">
        <v>50839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58.2</v>
      </c>
      <c r="G22" s="20">
        <v>58.1</v>
      </c>
      <c r="H22" s="21"/>
      <c r="I22" s="21">
        <v>59</v>
      </c>
      <c r="J22" s="20"/>
      <c r="K22" s="20">
        <v>60.3</v>
      </c>
      <c r="L22" s="21"/>
      <c r="M22" s="21">
        <v>57.3</v>
      </c>
      <c r="N22" s="20">
        <v>58.7</v>
      </c>
      <c r="O22" s="20">
        <v>58.7</v>
      </c>
      <c r="P22" s="21"/>
      <c r="Q22" s="21">
        <v>59.2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0.53</v>
      </c>
      <c r="G23" s="20">
        <v>0.53</v>
      </c>
      <c r="H23" s="21"/>
      <c r="I23" s="21">
        <v>0.49</v>
      </c>
      <c r="J23" s="20"/>
      <c r="K23" s="20">
        <v>0.59</v>
      </c>
      <c r="L23" s="21"/>
      <c r="M23" s="21">
        <v>0.52</v>
      </c>
      <c r="N23" s="20">
        <v>0.48</v>
      </c>
      <c r="O23" s="20">
        <v>0.48</v>
      </c>
      <c r="P23" s="21"/>
      <c r="Q23" s="21">
        <v>0.5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1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44.9</v>
      </c>
      <c r="G25" s="20">
        <v>45.2</v>
      </c>
      <c r="H25" s="21"/>
      <c r="I25" s="21">
        <v>45.1</v>
      </c>
      <c r="J25" s="20"/>
      <c r="K25" s="20">
        <v>46.6</v>
      </c>
      <c r="L25" s="21"/>
      <c r="M25" s="21">
        <v>45</v>
      </c>
      <c r="N25" s="20">
        <v>44.9</v>
      </c>
      <c r="O25" s="20">
        <v>44.8</v>
      </c>
      <c r="P25" s="21"/>
      <c r="Q25" s="21">
        <v>45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0.22</v>
      </c>
      <c r="J26" s="20"/>
      <c r="K26" s="20">
        <v>0.23</v>
      </c>
      <c r="L26" s="21"/>
      <c r="M26" s="21">
        <v>0.22</v>
      </c>
      <c r="N26" s="20">
        <v>0.23</v>
      </c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4.4000000000000004</v>
      </c>
      <c r="G27" s="20">
        <v>4.3</v>
      </c>
      <c r="H27" s="21"/>
      <c r="I27" s="21">
        <v>3.3</v>
      </c>
      <c r="J27" s="20"/>
      <c r="K27" s="20">
        <v>4.4000000000000004</v>
      </c>
      <c r="L27" s="21"/>
      <c r="M27" s="21">
        <v>4</v>
      </c>
      <c r="N27" s="20">
        <v>4.5999999999999996</v>
      </c>
      <c r="O27" s="20">
        <v>4.5</v>
      </c>
      <c r="P27" s="21"/>
      <c r="Q27" s="21">
        <v>4.7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4</v>
      </c>
      <c r="G28" s="20">
        <v>3.9</v>
      </c>
      <c r="H28" s="21"/>
      <c r="I28" s="21">
        <v>2.6</v>
      </c>
      <c r="J28" s="20"/>
      <c r="K28" s="20">
        <v>3.5</v>
      </c>
      <c r="L28" s="21"/>
      <c r="M28" s="21">
        <v>3.1</v>
      </c>
      <c r="N28" s="20">
        <v>3.5</v>
      </c>
      <c r="O28" s="20">
        <v>3.5</v>
      </c>
      <c r="P28" s="21"/>
      <c r="Q28" s="21">
        <v>3.7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1</v>
      </c>
      <c r="G29" s="27">
        <f>G32-G28</f>
        <v>0.80000000000000027</v>
      </c>
      <c r="H29" s="27">
        <f t="shared" ref="H29:Q29" si="0">H32-H28</f>
        <v>0</v>
      </c>
      <c r="I29" s="27">
        <f t="shared" si="0"/>
        <v>2.3000000000000003</v>
      </c>
      <c r="J29" s="27">
        <f t="shared" si="0"/>
        <v>0</v>
      </c>
      <c r="K29" s="27">
        <f t="shared" si="0"/>
        <v>0.70000000000000018</v>
      </c>
      <c r="L29" s="27">
        <f>L32-L28</f>
        <v>0</v>
      </c>
      <c r="M29" s="27">
        <f>M32-M28</f>
        <v>1.1999999999999997</v>
      </c>
      <c r="N29" s="27">
        <f>N32-N28</f>
        <v>1.2999999999999998</v>
      </c>
      <c r="O29" s="27">
        <f>O32-O28</f>
        <v>1.0999999999999996</v>
      </c>
      <c r="P29" s="27">
        <f t="shared" si="0"/>
        <v>0</v>
      </c>
      <c r="Q29" s="27">
        <f t="shared" si="0"/>
        <v>1.0999999999999996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689.9</v>
      </c>
      <c r="G30" s="20">
        <v>657.2</v>
      </c>
      <c r="H30" s="21"/>
      <c r="I30" s="21">
        <v>634.9</v>
      </c>
      <c r="J30" s="20"/>
      <c r="K30" s="20">
        <v>635.97</v>
      </c>
      <c r="L30" s="21"/>
      <c r="M30" s="21">
        <v>622.20000000000005</v>
      </c>
      <c r="N30" s="20">
        <v>663.8</v>
      </c>
      <c r="O30" s="20">
        <v>639.20000000000005</v>
      </c>
      <c r="P30" s="21"/>
      <c r="Q30" s="21">
        <v>637.6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13.9</v>
      </c>
      <c r="G31" s="20">
        <v>13.9</v>
      </c>
      <c r="H31" s="21"/>
      <c r="I31" s="21">
        <v>13.8</v>
      </c>
      <c r="J31" s="20"/>
      <c r="K31" s="20">
        <v>13.3</v>
      </c>
      <c r="L31" s="21"/>
      <c r="M31" s="21">
        <v>13.8</v>
      </c>
      <c r="N31" s="20">
        <v>13.8</v>
      </c>
      <c r="O31" s="20">
        <v>13.9</v>
      </c>
      <c r="P31" s="21"/>
      <c r="Q31" s="21">
        <v>13.6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5</v>
      </c>
      <c r="G32" s="20">
        <v>4.7</v>
      </c>
      <c r="H32" s="21"/>
      <c r="I32" s="21">
        <v>4.9000000000000004</v>
      </c>
      <c r="J32" s="20"/>
      <c r="K32" s="20">
        <v>4.2</v>
      </c>
      <c r="L32" s="21"/>
      <c r="M32" s="21">
        <v>4.3</v>
      </c>
      <c r="N32" s="20">
        <v>4.8</v>
      </c>
      <c r="O32" s="20">
        <v>4.5999999999999996</v>
      </c>
      <c r="P32" s="21"/>
      <c r="Q32" s="21">
        <v>4.8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8.9</v>
      </c>
      <c r="G33" s="27">
        <f>G31-G32</f>
        <v>9.1999999999999993</v>
      </c>
      <c r="H33" s="27">
        <f t="shared" ref="H33:Q33" si="1">H31-H32</f>
        <v>0</v>
      </c>
      <c r="I33" s="27">
        <f t="shared" si="1"/>
        <v>8.9</v>
      </c>
      <c r="J33" s="27">
        <f t="shared" si="1"/>
        <v>0</v>
      </c>
      <c r="K33" s="27">
        <f t="shared" si="1"/>
        <v>9.1000000000000014</v>
      </c>
      <c r="L33" s="27">
        <f>L31-L32</f>
        <v>0</v>
      </c>
      <c r="M33" s="27">
        <f>M31-M32</f>
        <v>9.5</v>
      </c>
      <c r="N33" s="27">
        <f>N31-N32</f>
        <v>9</v>
      </c>
      <c r="O33" s="27">
        <f>O31-O32</f>
        <v>9.3000000000000007</v>
      </c>
      <c r="P33" s="27">
        <f t="shared" si="1"/>
        <v>0</v>
      </c>
      <c r="Q33" s="27">
        <f t="shared" si="1"/>
        <v>8.8000000000000007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7090.1963048498847</v>
      </c>
      <c r="G34" s="28">
        <f>(G33*G30)/0.866</f>
        <v>6981.8013856812931</v>
      </c>
      <c r="H34" s="28">
        <f t="shared" ref="H34:Q34" si="2">(H33*H30)/0.866</f>
        <v>0</v>
      </c>
      <c r="I34" s="28">
        <f t="shared" si="2"/>
        <v>6524.9538106235559</v>
      </c>
      <c r="J34" s="28">
        <f t="shared" si="2"/>
        <v>0</v>
      </c>
      <c r="K34" s="28">
        <f t="shared" si="2"/>
        <v>6682.8256351039272</v>
      </c>
      <c r="L34" s="28">
        <f>(L33*L30)/0.866</f>
        <v>0</v>
      </c>
      <c r="M34" s="28">
        <f>(M33*M30)/0.866</f>
        <v>6825.5196304849887</v>
      </c>
      <c r="N34" s="28">
        <f>(N33*N30)/0.866</f>
        <v>6898.6143187066973</v>
      </c>
      <c r="O34" s="28">
        <f>(O33*O30)/0.866</f>
        <v>6864.3879907621267</v>
      </c>
      <c r="P34" s="28">
        <f t="shared" si="2"/>
        <v>0</v>
      </c>
      <c r="Q34" s="28">
        <f t="shared" si="2"/>
        <v>6479.0762124711327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0.82</v>
      </c>
      <c r="G35" s="20">
        <v>0.82</v>
      </c>
      <c r="H35" s="21"/>
      <c r="I35" s="21">
        <v>0.84</v>
      </c>
      <c r="J35" s="20"/>
      <c r="K35" s="20">
        <v>0.83</v>
      </c>
      <c r="L35" s="21"/>
      <c r="M35" s="21">
        <v>0.82</v>
      </c>
      <c r="N35" s="20">
        <v>0.81</v>
      </c>
      <c r="O35" s="20">
        <v>0.8</v>
      </c>
      <c r="P35" s="21"/>
      <c r="Q35" s="21">
        <v>0.83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36</v>
      </c>
      <c r="G36" s="20">
        <v>35.799999999999997</v>
      </c>
      <c r="H36" s="21"/>
      <c r="I36" s="21">
        <v>36.299999999999997</v>
      </c>
      <c r="J36" s="20"/>
      <c r="K36" s="20">
        <v>36.200000000000003</v>
      </c>
      <c r="L36" s="21"/>
      <c r="M36" s="21">
        <v>36.1</v>
      </c>
      <c r="N36" s="20">
        <v>35.700000000000003</v>
      </c>
      <c r="O36" s="20">
        <v>35.5</v>
      </c>
      <c r="P36" s="21"/>
      <c r="Q36" s="21">
        <v>36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36.6</v>
      </c>
      <c r="G37" s="20">
        <v>36.4</v>
      </c>
      <c r="H37" s="21"/>
      <c r="I37" s="21">
        <v>37.200000000000003</v>
      </c>
      <c r="J37" s="20"/>
      <c r="K37" s="20">
        <v>36.9</v>
      </c>
      <c r="L37" s="21"/>
      <c r="M37" s="21">
        <v>36.6</v>
      </c>
      <c r="N37" s="20">
        <v>36.1</v>
      </c>
      <c r="O37" s="20">
        <v>35.9</v>
      </c>
      <c r="P37" s="21"/>
      <c r="Q37" s="21">
        <v>36.799999999999997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1.7000000000000028</v>
      </c>
      <c r="G38" s="27">
        <f>G37-G41</f>
        <v>1.6999999999999957</v>
      </c>
      <c r="H38" s="27">
        <v>1</v>
      </c>
      <c r="I38" s="27">
        <f t="shared" ref="I38:Q38" si="3">I37-I41</f>
        <v>3.2000000000000028</v>
      </c>
      <c r="J38" s="27">
        <f t="shared" si="3"/>
        <v>0</v>
      </c>
      <c r="K38" s="27">
        <f t="shared" si="3"/>
        <v>2.1000000000000014</v>
      </c>
      <c r="L38" s="27">
        <f>L37-L41</f>
        <v>0</v>
      </c>
      <c r="M38" s="27">
        <f>M37-M41</f>
        <v>1.8000000000000043</v>
      </c>
      <c r="N38" s="27">
        <f>N37-N41</f>
        <v>1.5</v>
      </c>
      <c r="O38" s="27">
        <f>O37-O41</f>
        <v>1.6000000000000014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29.3</v>
      </c>
      <c r="G40" s="20">
        <v>29.3</v>
      </c>
      <c r="H40" s="21"/>
      <c r="I40" s="21">
        <v>29.2</v>
      </c>
      <c r="J40" s="20"/>
      <c r="K40" s="20">
        <v>29.3</v>
      </c>
      <c r="L40" s="21"/>
      <c r="M40" s="21">
        <v>29.3</v>
      </c>
      <c r="N40" s="20">
        <v>29.1</v>
      </c>
      <c r="O40" s="20">
        <v>29</v>
      </c>
      <c r="P40" s="21"/>
      <c r="Q40" s="21">
        <v>29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34.9</v>
      </c>
      <c r="G41" s="20">
        <v>34.700000000000003</v>
      </c>
      <c r="H41" s="21"/>
      <c r="I41" s="21">
        <v>34</v>
      </c>
      <c r="J41" s="20"/>
      <c r="K41" s="20">
        <v>34.799999999999997</v>
      </c>
      <c r="L41" s="21"/>
      <c r="M41" s="21">
        <v>34.799999999999997</v>
      </c>
      <c r="N41" s="20">
        <v>34.6</v>
      </c>
      <c r="O41" s="20">
        <v>34.299999999999997</v>
      </c>
      <c r="P41" s="21"/>
      <c r="Q41" s="21">
        <v>34.299999999999997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5.5999999999999979</v>
      </c>
      <c r="G42" s="27">
        <f>G41-G40</f>
        <v>5.4000000000000021</v>
      </c>
      <c r="H42" s="27">
        <f t="shared" ref="H42:Q42" si="4">H41-H40</f>
        <v>0</v>
      </c>
      <c r="I42" s="27">
        <f t="shared" si="4"/>
        <v>4.8000000000000007</v>
      </c>
      <c r="J42" s="27">
        <f t="shared" si="4"/>
        <v>0</v>
      </c>
      <c r="K42" s="27">
        <f t="shared" si="4"/>
        <v>5.4999999999999964</v>
      </c>
      <c r="L42" s="27">
        <f>L41-L40</f>
        <v>0</v>
      </c>
      <c r="M42" s="27">
        <f>M41-M40</f>
        <v>5.4999999999999964</v>
      </c>
      <c r="N42" s="27">
        <f>N41-N40</f>
        <v>5.5</v>
      </c>
      <c r="O42" s="27">
        <f>O41-O40</f>
        <v>5.2999999999999972</v>
      </c>
      <c r="P42" s="27">
        <f t="shared" si="4"/>
        <v>0</v>
      </c>
      <c r="Q42" s="27">
        <f t="shared" si="4"/>
        <v>5.2999999999999972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1297.3</v>
      </c>
      <c r="G43" s="20">
        <v>1296.3</v>
      </c>
      <c r="H43" s="21"/>
      <c r="I43" s="21">
        <v>1298.2</v>
      </c>
      <c r="J43" s="20"/>
      <c r="K43" s="20">
        <v>1293.0999999999999</v>
      </c>
      <c r="L43" s="21"/>
      <c r="M43" s="20">
        <v>1296.7</v>
      </c>
      <c r="N43" s="20">
        <v>1297.4000000000001</v>
      </c>
      <c r="O43" s="20">
        <v>1294.8</v>
      </c>
      <c r="P43" s="21"/>
      <c r="Q43" s="21">
        <v>1298.3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8389.006928406463</v>
      </c>
      <c r="G44" s="28">
        <f>G42*G43/0.866</f>
        <v>8083.1639722863765</v>
      </c>
      <c r="H44" s="28">
        <f t="shared" ref="H44:Q44" si="5">H42*H43/0.866</f>
        <v>0</v>
      </c>
      <c r="I44" s="28">
        <f t="shared" si="5"/>
        <v>7195.5658198614337</v>
      </c>
      <c r="J44" s="28">
        <f t="shared" si="5"/>
        <v>0</v>
      </c>
      <c r="K44" s="28">
        <f t="shared" si="5"/>
        <v>8212.5288683602703</v>
      </c>
      <c r="L44" s="28">
        <f>L42*L43/0.866</f>
        <v>0</v>
      </c>
      <c r="M44" s="28">
        <f>M42*M43/0.866</f>
        <v>8235.3926096997639</v>
      </c>
      <c r="N44" s="28">
        <f>N42*N43/0.866</f>
        <v>8239.8383371824493</v>
      </c>
      <c r="O44" s="28">
        <f>O42*O43/0.866</f>
        <v>7924.2956120092331</v>
      </c>
      <c r="P44" s="28">
        <f t="shared" si="5"/>
        <v>0</v>
      </c>
      <c r="Q44" s="28">
        <f t="shared" si="5"/>
        <v>7945.7159353348688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0.47</v>
      </c>
      <c r="G45" s="20">
        <v>0.47</v>
      </c>
      <c r="H45" s="21"/>
      <c r="I45" s="21">
        <v>0.46</v>
      </c>
      <c r="J45" s="20"/>
      <c r="K45" s="20">
        <v>0.46</v>
      </c>
      <c r="L45" s="21"/>
      <c r="M45" s="21">
        <v>0.46</v>
      </c>
      <c r="N45" s="20">
        <v>0.46</v>
      </c>
      <c r="O45" s="20">
        <v>0.45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19.899999999999999</v>
      </c>
      <c r="G46" s="20">
        <v>19.899999999999999</v>
      </c>
      <c r="H46" s="21"/>
      <c r="I46" s="21">
        <v>19.5</v>
      </c>
      <c r="J46" s="20"/>
      <c r="K46" s="20">
        <v>19.7</v>
      </c>
      <c r="L46" s="21"/>
      <c r="M46" s="21">
        <v>19.7</v>
      </c>
      <c r="N46" s="20">
        <v>19.399999999999999</v>
      </c>
      <c r="O46" s="20">
        <v>19.2</v>
      </c>
      <c r="P46" s="21"/>
      <c r="Q46" s="21">
        <v>20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199.3</v>
      </c>
      <c r="G47" s="20">
        <v>198.8</v>
      </c>
      <c r="H47" s="21"/>
      <c r="I47" s="21">
        <v>122.9</v>
      </c>
      <c r="J47" s="20"/>
      <c r="K47" s="20">
        <v>214.5</v>
      </c>
      <c r="L47" s="21"/>
      <c r="M47" s="21">
        <v>209.4</v>
      </c>
      <c r="N47" s="20">
        <v>159.69999999999999</v>
      </c>
      <c r="O47" s="20">
        <v>160.4</v>
      </c>
      <c r="P47" s="21"/>
      <c r="Q47" s="21">
        <v>195.3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67">
        <v>5.89</v>
      </c>
      <c r="F49" s="20">
        <v>5.6</v>
      </c>
      <c r="G49" s="20">
        <v>5.97</v>
      </c>
      <c r="H49" s="21"/>
      <c r="I49" s="21">
        <v>5.62</v>
      </c>
      <c r="J49" s="20"/>
      <c r="K49" s="20">
        <v>5.64</v>
      </c>
      <c r="L49" s="21"/>
      <c r="M49" s="21">
        <v>5.9</v>
      </c>
      <c r="N49" s="20">
        <v>5.47</v>
      </c>
      <c r="O49" s="20">
        <v>5.73</v>
      </c>
      <c r="P49" s="21"/>
      <c r="Q49" s="21">
        <v>5.34</v>
      </c>
    </row>
    <row r="50" spans="2:17" ht="20.100000000000001" customHeight="1">
      <c r="B50" s="92" t="s">
        <v>91</v>
      </c>
      <c r="C50" s="92"/>
      <c r="D50" s="92"/>
      <c r="E50" s="6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6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19" zoomScale="85" zoomScaleNormal="60" workbookViewId="0">
      <selection activeCell="O10" sqref="O10:O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45797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69" t="s">
        <v>18</v>
      </c>
      <c r="E10" s="15"/>
      <c r="F10" s="17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70.8</v>
      </c>
      <c r="H11" s="21"/>
      <c r="I11" s="21">
        <v>81</v>
      </c>
      <c r="J11" s="20">
        <v>75.2</v>
      </c>
      <c r="K11" s="20">
        <v>74.099999999999994</v>
      </c>
      <c r="L11" s="21">
        <v>75.400000000000006</v>
      </c>
      <c r="M11" s="21">
        <v>76.400000000000006</v>
      </c>
      <c r="N11" s="20"/>
      <c r="O11" s="20">
        <v>76.8</v>
      </c>
      <c r="P11" s="21"/>
      <c r="Q11" s="21">
        <v>74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</v>
      </c>
      <c r="H12" s="21"/>
      <c r="I12" s="21">
        <v>0</v>
      </c>
      <c r="J12" s="20">
        <v>0</v>
      </c>
      <c r="K12" s="20">
        <v>0</v>
      </c>
      <c r="L12" s="21">
        <v>0.1</v>
      </c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65.599999999999994</v>
      </c>
      <c r="H13" s="21"/>
      <c r="I13" s="21">
        <v>76.2</v>
      </c>
      <c r="J13" s="20">
        <v>71</v>
      </c>
      <c r="K13" s="20">
        <v>68.5</v>
      </c>
      <c r="L13" s="21">
        <v>70.900000000000006</v>
      </c>
      <c r="M13" s="21">
        <v>70.900000000000006</v>
      </c>
      <c r="N13" s="20"/>
      <c r="O13" s="20">
        <v>71.7</v>
      </c>
      <c r="P13" s="21"/>
      <c r="Q13" s="21">
        <v>69.099999999999994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69.3</v>
      </c>
      <c r="H14" s="21"/>
      <c r="I14" s="21">
        <v>70.7</v>
      </c>
      <c r="J14" s="20">
        <v>64.099999999999994</v>
      </c>
      <c r="K14" s="20">
        <v>63.8</v>
      </c>
      <c r="L14" s="21">
        <v>67.3</v>
      </c>
      <c r="M14" s="21">
        <v>68.2</v>
      </c>
      <c r="N14" s="20"/>
      <c r="O14" s="20">
        <v>74.7</v>
      </c>
      <c r="P14" s="21"/>
      <c r="Q14" s="21">
        <v>73.900000000000006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41.3</v>
      </c>
      <c r="H15" s="21"/>
      <c r="I15" s="21">
        <v>52.6</v>
      </c>
      <c r="J15" s="20">
        <v>39.299999999999997</v>
      </c>
      <c r="K15" s="20">
        <v>37.6</v>
      </c>
      <c r="L15" s="21">
        <v>38.1</v>
      </c>
      <c r="M15" s="21">
        <v>37.4</v>
      </c>
      <c r="N15" s="20"/>
      <c r="O15" s="20">
        <v>55.4</v>
      </c>
      <c r="P15" s="21"/>
      <c r="Q15" s="21">
        <v>44.9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0"/>
      <c r="I16" s="20">
        <v>6.6</v>
      </c>
      <c r="J16" s="20">
        <v>6.6</v>
      </c>
      <c r="K16" s="20">
        <v>6.6</v>
      </c>
      <c r="L16" s="20">
        <v>6.6</v>
      </c>
      <c r="M16" s="20">
        <v>6.6</v>
      </c>
      <c r="N16" s="20"/>
      <c r="O16" s="20">
        <v>6.6</v>
      </c>
      <c r="P16" s="20"/>
      <c r="Q16" s="20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117.6</v>
      </c>
      <c r="H17" s="21"/>
      <c r="I17" s="21">
        <v>117.8</v>
      </c>
      <c r="J17" s="20">
        <v>116.1</v>
      </c>
      <c r="K17" s="20">
        <v>117</v>
      </c>
      <c r="L17" s="21">
        <v>118.8</v>
      </c>
      <c r="M17" s="21">
        <v>117.8</v>
      </c>
      <c r="N17" s="20"/>
      <c r="O17" s="20">
        <v>119.4</v>
      </c>
      <c r="P17" s="21"/>
      <c r="Q17" s="21">
        <v>118.3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1136</v>
      </c>
      <c r="H18" s="21"/>
      <c r="I18" s="21">
        <v>1191</v>
      </c>
      <c r="J18" s="20">
        <v>1191</v>
      </c>
      <c r="K18" s="20">
        <v>1187</v>
      </c>
      <c r="L18" s="21">
        <v>1211</v>
      </c>
      <c r="M18" s="21">
        <v>1185</v>
      </c>
      <c r="N18" s="20"/>
      <c r="O18" s="20">
        <v>1200</v>
      </c>
      <c r="P18" s="21"/>
      <c r="Q18" s="21">
        <v>1190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50436.800000000003</v>
      </c>
      <c r="H19" s="21"/>
      <c r="I19" s="21">
        <v>51479</v>
      </c>
      <c r="J19" s="20">
        <v>49359.6</v>
      </c>
      <c r="K19" s="20">
        <v>49349.3</v>
      </c>
      <c r="L19" s="21">
        <v>51796.3</v>
      </c>
      <c r="M19" s="21">
        <v>51786.1</v>
      </c>
      <c r="N19" s="20"/>
      <c r="O19" s="20">
        <v>50951.4</v>
      </c>
      <c r="P19" s="21"/>
      <c r="Q19" s="21">
        <v>50851.9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59.9</v>
      </c>
      <c r="H22" s="21"/>
      <c r="I22" s="21">
        <v>59.2</v>
      </c>
      <c r="J22" s="20">
        <v>57.8</v>
      </c>
      <c r="K22" s="20">
        <v>57.9</v>
      </c>
      <c r="L22" s="21">
        <v>57.5</v>
      </c>
      <c r="M22" s="21">
        <v>57.5</v>
      </c>
      <c r="N22" s="20"/>
      <c r="O22" s="20">
        <v>58.7</v>
      </c>
      <c r="P22" s="21"/>
      <c r="Q22" s="21">
        <v>59.2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0.5</v>
      </c>
      <c r="J23" s="20">
        <v>0.59</v>
      </c>
      <c r="K23" s="20">
        <v>0.59</v>
      </c>
      <c r="L23" s="21">
        <v>0.53</v>
      </c>
      <c r="M23" s="21">
        <v>0.52</v>
      </c>
      <c r="N23" s="20"/>
      <c r="O23" s="20">
        <v>0.48</v>
      </c>
      <c r="P23" s="21"/>
      <c r="Q23" s="21">
        <v>0.5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45.9</v>
      </c>
      <c r="H25" s="21"/>
      <c r="I25" s="21">
        <v>45.1</v>
      </c>
      <c r="J25" s="20">
        <v>45.1</v>
      </c>
      <c r="K25" s="20">
        <v>45</v>
      </c>
      <c r="L25" s="21">
        <v>44.8</v>
      </c>
      <c r="M25" s="21">
        <v>44.8</v>
      </c>
      <c r="N25" s="20"/>
      <c r="O25" s="20">
        <v>44.9</v>
      </c>
      <c r="P25" s="21"/>
      <c r="Q25" s="21">
        <v>44.9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>
        <v>0.23</v>
      </c>
      <c r="K26" s="20">
        <v>0.22</v>
      </c>
      <c r="L26" s="21">
        <v>0.23</v>
      </c>
      <c r="M26" s="21">
        <v>0.22</v>
      </c>
      <c r="N26" s="20"/>
      <c r="O26" s="20">
        <v>0.23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4.3</v>
      </c>
      <c r="H27" s="21"/>
      <c r="I27" s="21">
        <v>3.3</v>
      </c>
      <c r="J27" s="20">
        <v>4.0999999999999996</v>
      </c>
      <c r="K27" s="20">
        <v>4.2</v>
      </c>
      <c r="L27" s="21">
        <v>4.5999999999999996</v>
      </c>
      <c r="M27" s="21">
        <v>3.7</v>
      </c>
      <c r="N27" s="20"/>
      <c r="O27" s="20">
        <v>4.3</v>
      </c>
      <c r="P27" s="21"/>
      <c r="Q27" s="21">
        <v>4.8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3.8</v>
      </c>
      <c r="H28" s="21"/>
      <c r="I28" s="21">
        <v>2.4</v>
      </c>
      <c r="J28" s="20">
        <v>3.2</v>
      </c>
      <c r="K28" s="20">
        <v>3.3</v>
      </c>
      <c r="L28" s="21">
        <v>3.6</v>
      </c>
      <c r="M28" s="21">
        <v>2.8</v>
      </c>
      <c r="N28" s="20"/>
      <c r="O28" s="20">
        <v>3.2</v>
      </c>
      <c r="P28" s="21"/>
      <c r="Q28" s="21">
        <v>3.7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1</v>
      </c>
      <c r="H29" s="27">
        <f t="shared" ref="H29:Q29" si="0">H32-H28</f>
        <v>0</v>
      </c>
      <c r="I29" s="27">
        <f t="shared" si="0"/>
        <v>2.3000000000000003</v>
      </c>
      <c r="J29" s="27">
        <f t="shared" si="0"/>
        <v>0.69999999999999973</v>
      </c>
      <c r="K29" s="27">
        <f t="shared" si="0"/>
        <v>0.70000000000000018</v>
      </c>
      <c r="L29" s="27">
        <f>L32-L28</f>
        <v>1.3000000000000003</v>
      </c>
      <c r="M29" s="27">
        <f>M32-M28</f>
        <v>1.2999999999999998</v>
      </c>
      <c r="N29" s="27">
        <f>N32-N28</f>
        <v>0</v>
      </c>
      <c r="O29" s="27">
        <f>O32-O28</f>
        <v>1.3999999999999995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668.6</v>
      </c>
      <c r="H30" s="21"/>
      <c r="I30" s="21">
        <v>643.9</v>
      </c>
      <c r="J30" s="20">
        <v>628.9</v>
      </c>
      <c r="K30" s="20">
        <v>640.5</v>
      </c>
      <c r="L30" s="21">
        <v>708.7</v>
      </c>
      <c r="M30" s="21">
        <v>625.70000000000005</v>
      </c>
      <c r="N30" s="20"/>
      <c r="O30" s="20">
        <v>648.6</v>
      </c>
      <c r="P30" s="21"/>
      <c r="Q30" s="21">
        <v>629.20000000000005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13.9</v>
      </c>
      <c r="H31" s="21"/>
      <c r="I31" s="21">
        <v>13.9</v>
      </c>
      <c r="J31" s="20">
        <v>13.1</v>
      </c>
      <c r="K31" s="20">
        <v>13.1</v>
      </c>
      <c r="L31" s="21">
        <v>13.3</v>
      </c>
      <c r="M31" s="21">
        <v>13.5</v>
      </c>
      <c r="N31" s="20"/>
      <c r="O31" s="20">
        <v>13.8</v>
      </c>
      <c r="P31" s="21"/>
      <c r="Q31" s="21">
        <v>13.6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4.8</v>
      </c>
      <c r="H32" s="21"/>
      <c r="I32" s="21">
        <v>4.7</v>
      </c>
      <c r="J32" s="20">
        <v>3.9</v>
      </c>
      <c r="K32" s="20">
        <v>4</v>
      </c>
      <c r="L32" s="21">
        <v>4.9000000000000004</v>
      </c>
      <c r="M32" s="21">
        <v>4.0999999999999996</v>
      </c>
      <c r="N32" s="20"/>
      <c r="O32" s="20">
        <v>4.5999999999999996</v>
      </c>
      <c r="P32" s="21"/>
      <c r="Q32" s="21">
        <v>4.7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9.1000000000000014</v>
      </c>
      <c r="H33" s="27">
        <f t="shared" ref="H33:Q33" si="1">H31-H32</f>
        <v>0</v>
      </c>
      <c r="I33" s="27">
        <f t="shared" si="1"/>
        <v>9.1999999999999993</v>
      </c>
      <c r="J33" s="27">
        <f t="shared" si="1"/>
        <v>9.1999999999999993</v>
      </c>
      <c r="K33" s="27">
        <f t="shared" si="1"/>
        <v>9.1</v>
      </c>
      <c r="L33" s="27">
        <f>L31-L32</f>
        <v>8.4</v>
      </c>
      <c r="M33" s="27">
        <f>M31-M32</f>
        <v>9.4</v>
      </c>
      <c r="N33" s="27">
        <f>N31-N32</f>
        <v>0</v>
      </c>
      <c r="O33" s="27">
        <f>O31-O32</f>
        <v>9.2000000000000011</v>
      </c>
      <c r="P33" s="27">
        <f t="shared" si="1"/>
        <v>0</v>
      </c>
      <c r="Q33" s="27">
        <f t="shared" si="1"/>
        <v>8.8999999999999986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7025.7043879907633</v>
      </c>
      <c r="H34" s="28">
        <f t="shared" ref="H34:Q34" si="2">(H33*H30)/0.866</f>
        <v>0</v>
      </c>
      <c r="I34" s="28">
        <f t="shared" si="2"/>
        <v>6840.5080831408768</v>
      </c>
      <c r="J34" s="28">
        <f t="shared" si="2"/>
        <v>6681.154734411085</v>
      </c>
      <c r="K34" s="28">
        <f t="shared" si="2"/>
        <v>6730.4272517321015</v>
      </c>
      <c r="L34" s="28">
        <f>(L33*L30)/0.866</f>
        <v>6874.2263279445742</v>
      </c>
      <c r="M34" s="28">
        <f>(M33*M30)/0.866</f>
        <v>6791.6628175519645</v>
      </c>
      <c r="N34" s="28">
        <f>(N33*N30)/0.866</f>
        <v>0</v>
      </c>
      <c r="O34" s="28">
        <f>(O33*O30)/0.866</f>
        <v>6890.4387990762134</v>
      </c>
      <c r="P34" s="28">
        <f t="shared" si="2"/>
        <v>0</v>
      </c>
      <c r="Q34" s="28">
        <f t="shared" si="2"/>
        <v>6466.3741339491908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0.82</v>
      </c>
      <c r="H35" s="21"/>
      <c r="I35" s="21">
        <v>0.84</v>
      </c>
      <c r="J35" s="20">
        <v>0.83</v>
      </c>
      <c r="K35" s="20">
        <v>0.83</v>
      </c>
      <c r="L35" s="21">
        <v>0.83</v>
      </c>
      <c r="M35" s="21">
        <v>0.81</v>
      </c>
      <c r="N35" s="20"/>
      <c r="O35" s="20">
        <v>0.8</v>
      </c>
      <c r="P35" s="21"/>
      <c r="Q35" s="21">
        <v>0.83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35.4</v>
      </c>
      <c r="H36" s="21"/>
      <c r="I36" s="21">
        <v>36</v>
      </c>
      <c r="J36" s="20">
        <v>36.1</v>
      </c>
      <c r="K36" s="20">
        <v>35.700000000000003</v>
      </c>
      <c r="L36" s="21">
        <v>36.299999999999997</v>
      </c>
      <c r="M36" s="21">
        <v>35.6</v>
      </c>
      <c r="N36" s="20"/>
      <c r="O36" s="20">
        <v>35</v>
      </c>
      <c r="P36" s="21"/>
      <c r="Q36" s="21">
        <v>35.700000000000003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35.9</v>
      </c>
      <c r="H37" s="21"/>
      <c r="I37" s="21">
        <v>36.9</v>
      </c>
      <c r="J37" s="20">
        <v>36.9</v>
      </c>
      <c r="K37" s="20">
        <v>36.4</v>
      </c>
      <c r="L37" s="21"/>
      <c r="M37" s="21">
        <v>36.200000000000003</v>
      </c>
      <c r="N37" s="20"/>
      <c r="O37" s="20">
        <v>35.6</v>
      </c>
      <c r="P37" s="21"/>
      <c r="Q37" s="21">
        <v>36.4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1.6999999999999957</v>
      </c>
      <c r="H38" s="27">
        <v>1</v>
      </c>
      <c r="I38" s="27">
        <f t="shared" ref="I38:Q38" si="3">I37-I41</f>
        <v>3.3999999999999986</v>
      </c>
      <c r="J38" s="27">
        <f t="shared" si="3"/>
        <v>2.1999999999999957</v>
      </c>
      <c r="K38" s="27">
        <f t="shared" si="3"/>
        <v>2.1999999999999957</v>
      </c>
      <c r="L38" s="27">
        <f>L37-L41</f>
        <v>-34.6</v>
      </c>
      <c r="M38" s="27">
        <f>M37-M41</f>
        <v>2.3000000000000043</v>
      </c>
      <c r="N38" s="27">
        <f>N37-N41</f>
        <v>0</v>
      </c>
      <c r="O38" s="27">
        <f>O37-O41</f>
        <v>1.7000000000000028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28.8</v>
      </c>
      <c r="H40" s="21"/>
      <c r="I40" s="21">
        <v>28.9</v>
      </c>
      <c r="J40" s="20">
        <v>29.3</v>
      </c>
      <c r="K40" s="20">
        <v>28.8</v>
      </c>
      <c r="L40" s="21">
        <v>29.1</v>
      </c>
      <c r="M40" s="21">
        <v>28.7</v>
      </c>
      <c r="N40" s="20"/>
      <c r="O40" s="20">
        <v>28.5</v>
      </c>
      <c r="P40" s="21"/>
      <c r="Q40" s="21">
        <v>28.6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34.200000000000003</v>
      </c>
      <c r="H41" s="21"/>
      <c r="I41" s="21">
        <v>33.5</v>
      </c>
      <c r="J41" s="20">
        <v>34.700000000000003</v>
      </c>
      <c r="K41" s="20">
        <v>34.200000000000003</v>
      </c>
      <c r="L41" s="21">
        <v>34.6</v>
      </c>
      <c r="M41" s="21">
        <v>33.9</v>
      </c>
      <c r="N41" s="20"/>
      <c r="O41" s="20">
        <v>33.9</v>
      </c>
      <c r="P41" s="21"/>
      <c r="Q41" s="21">
        <v>33.9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5.4000000000000021</v>
      </c>
      <c r="H42" s="27">
        <f t="shared" ref="H42:Q42" si="4">H41-H40</f>
        <v>0</v>
      </c>
      <c r="I42" s="27">
        <f t="shared" si="4"/>
        <v>4.6000000000000014</v>
      </c>
      <c r="J42" s="27">
        <f t="shared" si="4"/>
        <v>5.4000000000000021</v>
      </c>
      <c r="K42" s="27">
        <f t="shared" si="4"/>
        <v>5.4000000000000021</v>
      </c>
      <c r="L42" s="27">
        <f>L41-L40</f>
        <v>5.5</v>
      </c>
      <c r="M42" s="27">
        <f>M41-M40</f>
        <v>5.1999999999999993</v>
      </c>
      <c r="N42" s="27">
        <f>N41-N40</f>
        <v>0</v>
      </c>
      <c r="O42" s="27">
        <f>O41-O40</f>
        <v>5.3999999999999986</v>
      </c>
      <c r="P42" s="27">
        <f t="shared" si="4"/>
        <v>0</v>
      </c>
      <c r="Q42" s="27">
        <f t="shared" si="4"/>
        <v>5.2999999999999972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1302.2</v>
      </c>
      <c r="H43" s="21"/>
      <c r="I43" s="21">
        <v>1296.3</v>
      </c>
      <c r="J43" s="20">
        <v>1283.9000000000001</v>
      </c>
      <c r="K43" s="20">
        <v>1298.5999999999999</v>
      </c>
      <c r="L43" s="21">
        <v>1295.0999999999999</v>
      </c>
      <c r="M43" s="20">
        <v>1293.5999999999999</v>
      </c>
      <c r="N43" s="20"/>
      <c r="O43" s="20">
        <v>1292.9000000000001</v>
      </c>
      <c r="P43" s="21"/>
      <c r="Q43" s="21">
        <v>1290.9000000000001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8119.9538106235595</v>
      </c>
      <c r="H44" s="28">
        <f t="shared" ref="H44:Q44" si="5">H42*H43/0.866</f>
        <v>0</v>
      </c>
      <c r="I44" s="28">
        <f t="shared" si="5"/>
        <v>6885.6581986143201</v>
      </c>
      <c r="J44" s="28">
        <f t="shared" si="5"/>
        <v>8005.8429561200965</v>
      </c>
      <c r="K44" s="28">
        <f t="shared" si="5"/>
        <v>8097.5057736720582</v>
      </c>
      <c r="L44" s="28">
        <f>L42*L43/0.866</f>
        <v>8225.2309468822168</v>
      </c>
      <c r="M44" s="28">
        <f>M42*M43/0.866</f>
        <v>7767.5750577367189</v>
      </c>
      <c r="N44" s="28">
        <f>N42*N43/0.866</f>
        <v>0</v>
      </c>
      <c r="O44" s="28">
        <f>O42*O43/0.866</f>
        <v>8061.9630484988438</v>
      </c>
      <c r="P44" s="28">
        <f t="shared" si="5"/>
        <v>0</v>
      </c>
      <c r="Q44" s="28">
        <f t="shared" si="5"/>
        <v>7900.4272517320978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0.46</v>
      </c>
      <c r="K45" s="20">
        <v>0.46</v>
      </c>
      <c r="L45" s="21">
        <v>0.47</v>
      </c>
      <c r="M45" s="21">
        <v>0.46</v>
      </c>
      <c r="N45" s="20"/>
      <c r="O45" s="20">
        <v>0.46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20.2</v>
      </c>
      <c r="H46" s="21"/>
      <c r="I46" s="21">
        <v>19.5</v>
      </c>
      <c r="J46" s="20">
        <v>19.5</v>
      </c>
      <c r="K46" s="20">
        <v>19.399999999999999</v>
      </c>
      <c r="L46" s="21">
        <v>20.2</v>
      </c>
      <c r="M46" s="21">
        <v>19.5</v>
      </c>
      <c r="N46" s="20"/>
      <c r="O46" s="20">
        <v>19.3</v>
      </c>
      <c r="P46" s="21"/>
      <c r="Q46" s="21">
        <v>20.2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200.4</v>
      </c>
      <c r="H47" s="21"/>
      <c r="I47" s="21">
        <v>125.6</v>
      </c>
      <c r="J47" s="20">
        <v>200.1</v>
      </c>
      <c r="K47" s="20">
        <v>204</v>
      </c>
      <c r="L47" s="21">
        <v>203.3</v>
      </c>
      <c r="M47" s="21">
        <v>207.2</v>
      </c>
      <c r="N47" s="20"/>
      <c r="O47" s="20">
        <v>160</v>
      </c>
      <c r="P47" s="21"/>
      <c r="Q47" s="21">
        <v>193.5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69">
        <v>5.89</v>
      </c>
      <c r="F49" s="20"/>
      <c r="G49" s="20">
        <v>5.87</v>
      </c>
      <c r="H49" s="21"/>
      <c r="I49" s="21">
        <v>5.67</v>
      </c>
      <c r="J49" s="20">
        <v>5.71</v>
      </c>
      <c r="K49" s="20">
        <v>5.65</v>
      </c>
      <c r="L49" s="21">
        <v>5.12</v>
      </c>
      <c r="M49" s="21">
        <v>5.83</v>
      </c>
      <c r="N49" s="20"/>
      <c r="O49" s="20">
        <v>5.75</v>
      </c>
      <c r="P49" s="21"/>
      <c r="Q49" s="21">
        <v>5.56</v>
      </c>
    </row>
    <row r="50" spans="2:17" ht="20.100000000000001" customHeight="1">
      <c r="B50" s="92" t="s">
        <v>91</v>
      </c>
      <c r="C50" s="92"/>
      <c r="D50" s="92"/>
      <c r="E50" s="6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6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K25" sqref="K25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45798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71" t="s">
        <v>18</v>
      </c>
      <c r="E10" s="15"/>
      <c r="F10" s="17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/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74.599999999999994</v>
      </c>
      <c r="H11" s="21"/>
      <c r="I11" s="21">
        <v>80.7</v>
      </c>
      <c r="J11" s="20">
        <v>74.3</v>
      </c>
      <c r="K11" s="20">
        <v>74.599999999999994</v>
      </c>
      <c r="L11" s="21"/>
      <c r="M11" s="21">
        <v>74</v>
      </c>
      <c r="N11" s="20">
        <v>76.8</v>
      </c>
      <c r="O11" s="20">
        <v>78</v>
      </c>
      <c r="P11" s="21"/>
      <c r="Q11" s="21">
        <v>73.400000000000006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0.1</v>
      </c>
      <c r="H12" s="21"/>
      <c r="I12" s="21">
        <v>0</v>
      </c>
      <c r="J12" s="20">
        <v>0</v>
      </c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68.7</v>
      </c>
      <c r="H13" s="21"/>
      <c r="I13" s="21">
        <v>76.3</v>
      </c>
      <c r="J13" s="20">
        <v>69.5</v>
      </c>
      <c r="K13" s="20">
        <v>69.5</v>
      </c>
      <c r="L13" s="21"/>
      <c r="M13" s="21">
        <v>71.5</v>
      </c>
      <c r="N13" s="20">
        <v>72.3</v>
      </c>
      <c r="O13" s="20">
        <v>74</v>
      </c>
      <c r="P13" s="21"/>
      <c r="Q13" s="21">
        <v>67.3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69.8</v>
      </c>
      <c r="H14" s="21"/>
      <c r="I14" s="21">
        <v>70.2</v>
      </c>
      <c r="J14" s="20">
        <v>63.7</v>
      </c>
      <c r="K14" s="20">
        <v>64</v>
      </c>
      <c r="L14" s="21"/>
      <c r="M14" s="21">
        <v>68</v>
      </c>
      <c r="N14" s="20">
        <v>74</v>
      </c>
      <c r="O14" s="20">
        <v>75.3</v>
      </c>
      <c r="P14" s="21"/>
      <c r="Q14" s="21">
        <v>73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38.6</v>
      </c>
      <c r="H15" s="21"/>
      <c r="I15" s="21">
        <v>53.3</v>
      </c>
      <c r="J15" s="20">
        <v>35.700000000000003</v>
      </c>
      <c r="K15" s="20">
        <v>38.799999999999997</v>
      </c>
      <c r="L15" s="21"/>
      <c r="M15" s="21">
        <v>34.299999999999997</v>
      </c>
      <c r="N15" s="20">
        <v>54.6</v>
      </c>
      <c r="O15" s="20">
        <v>56.8</v>
      </c>
      <c r="P15" s="21"/>
      <c r="Q15" s="21">
        <v>45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119.4</v>
      </c>
      <c r="H17" s="21"/>
      <c r="I17" s="21">
        <v>118.3</v>
      </c>
      <c r="J17" s="20">
        <v>117</v>
      </c>
      <c r="K17" s="20">
        <v>117.2</v>
      </c>
      <c r="L17" s="21"/>
      <c r="M17" s="21">
        <v>117.9</v>
      </c>
      <c r="N17" s="20">
        <v>121</v>
      </c>
      <c r="O17" s="20">
        <v>119.9</v>
      </c>
      <c r="P17" s="21"/>
      <c r="Q17" s="21">
        <v>117.5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1172</v>
      </c>
      <c r="H18" s="21"/>
      <c r="I18" s="21">
        <v>1197</v>
      </c>
      <c r="J18" s="20">
        <v>1187</v>
      </c>
      <c r="K18" s="20">
        <v>1193</v>
      </c>
      <c r="L18" s="21"/>
      <c r="M18" s="21">
        <v>1193</v>
      </c>
      <c r="N18" s="20">
        <v>1232</v>
      </c>
      <c r="O18" s="20">
        <v>1215</v>
      </c>
      <c r="P18" s="21"/>
      <c r="Q18" s="21">
        <v>1189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50446.400000000001</v>
      </c>
      <c r="H19" s="21"/>
      <c r="I19" s="21">
        <v>51488.6</v>
      </c>
      <c r="J19" s="20">
        <v>49379.9</v>
      </c>
      <c r="K19" s="20">
        <v>49367.6</v>
      </c>
      <c r="L19" s="21"/>
      <c r="M19" s="21">
        <v>51807.5</v>
      </c>
      <c r="N19" s="20">
        <v>50973.4</v>
      </c>
      <c r="O19" s="20">
        <v>50961.1</v>
      </c>
      <c r="P19" s="21"/>
      <c r="Q19" s="21">
        <v>50861.2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58.4</v>
      </c>
      <c r="H22" s="21"/>
      <c r="I22" s="21">
        <v>59.4</v>
      </c>
      <c r="J22" s="20">
        <v>57.5</v>
      </c>
      <c r="K22" s="20">
        <v>57.7</v>
      </c>
      <c r="L22" s="21"/>
      <c r="M22" s="21">
        <v>57.2</v>
      </c>
      <c r="N22" s="20">
        <v>58.6</v>
      </c>
      <c r="O22" s="20">
        <v>58.6</v>
      </c>
      <c r="P22" s="21"/>
      <c r="Q22" s="21">
        <v>59.7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0.49</v>
      </c>
      <c r="J23" s="20">
        <v>0.59</v>
      </c>
      <c r="K23" s="20">
        <v>0.57999999999999996</v>
      </c>
      <c r="L23" s="21"/>
      <c r="M23" s="21">
        <v>0.52</v>
      </c>
      <c r="N23" s="20">
        <v>0.48</v>
      </c>
      <c r="O23" s="20">
        <v>0.49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44.8</v>
      </c>
      <c r="H25" s="21"/>
      <c r="I25" s="21">
        <v>44.8</v>
      </c>
      <c r="J25" s="20">
        <v>45</v>
      </c>
      <c r="K25" s="20">
        <v>44.9</v>
      </c>
      <c r="L25" s="21"/>
      <c r="M25" s="21">
        <v>45</v>
      </c>
      <c r="N25" s="20">
        <v>45</v>
      </c>
      <c r="O25" s="20">
        <v>44.6</v>
      </c>
      <c r="P25" s="21"/>
      <c r="Q25" s="21">
        <v>45.4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>
        <v>0.22</v>
      </c>
      <c r="K26" s="20">
        <v>0.23</v>
      </c>
      <c r="L26" s="21"/>
      <c r="M26" s="21">
        <v>0.23</v>
      </c>
      <c r="N26" s="20">
        <v>0.23</v>
      </c>
      <c r="O26" s="20">
        <v>0.23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4.3</v>
      </c>
      <c r="H27" s="21"/>
      <c r="I27" s="21">
        <v>3.3</v>
      </c>
      <c r="J27" s="20">
        <v>4.0999999999999996</v>
      </c>
      <c r="K27" s="20">
        <v>4</v>
      </c>
      <c r="L27" s="21"/>
      <c r="M27" s="21">
        <v>3.9</v>
      </c>
      <c r="N27" s="20">
        <v>4.7</v>
      </c>
      <c r="O27" s="20">
        <v>4.2</v>
      </c>
      <c r="P27" s="21"/>
      <c r="Q27" s="21">
        <v>4.8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3.6</v>
      </c>
      <c r="H28" s="21"/>
      <c r="I28" s="21">
        <v>2.2999999999999998</v>
      </c>
      <c r="J28" s="20">
        <v>3.1</v>
      </c>
      <c r="K28" s="20">
        <v>3.4</v>
      </c>
      <c r="L28" s="21"/>
      <c r="M28" s="21">
        <v>3.1</v>
      </c>
      <c r="N28" s="20">
        <v>3.8</v>
      </c>
      <c r="O28" s="20">
        <v>3.1</v>
      </c>
      <c r="P28" s="21"/>
      <c r="Q28" s="21">
        <v>3.7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0.89999999999999991</v>
      </c>
      <c r="H29" s="27">
        <f t="shared" ref="H29:Q29" si="0">H32-H28</f>
        <v>0</v>
      </c>
      <c r="I29" s="27">
        <f t="shared" si="0"/>
        <v>2.2999999999999998</v>
      </c>
      <c r="J29" s="27">
        <f t="shared" si="0"/>
        <v>0.99999999999999956</v>
      </c>
      <c r="K29" s="27">
        <f t="shared" si="0"/>
        <v>1.1999999999999997</v>
      </c>
      <c r="L29" s="27">
        <f>L32-L28</f>
        <v>0</v>
      </c>
      <c r="M29" s="27">
        <f>M32-M28</f>
        <v>0.99999999999999956</v>
      </c>
      <c r="N29" s="27">
        <f>N32-N28</f>
        <v>1.2000000000000002</v>
      </c>
      <c r="O29" s="27">
        <f>O32-O28</f>
        <v>0.99999999999999956</v>
      </c>
      <c r="P29" s="27">
        <f t="shared" si="0"/>
        <v>0</v>
      </c>
      <c r="Q29" s="27">
        <f t="shared" si="0"/>
        <v>0.89999999999999947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662.24</v>
      </c>
      <c r="H30" s="21"/>
      <c r="I30" s="21">
        <v>640</v>
      </c>
      <c r="J30" s="20">
        <v>631.9</v>
      </c>
      <c r="K30" s="20">
        <v>638.4</v>
      </c>
      <c r="L30" s="21"/>
      <c r="M30" s="21">
        <v>639.84</v>
      </c>
      <c r="N30" s="20">
        <v>689.9</v>
      </c>
      <c r="O30" s="20">
        <v>643.67999999999995</v>
      </c>
      <c r="P30" s="21"/>
      <c r="Q30" s="21">
        <v>636.16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13.3</v>
      </c>
      <c r="H31" s="21"/>
      <c r="I31" s="21">
        <v>13.3</v>
      </c>
      <c r="J31" s="20">
        <v>13.2</v>
      </c>
      <c r="K31" s="20">
        <v>13.6</v>
      </c>
      <c r="L31" s="21"/>
      <c r="M31" s="21">
        <v>13.5</v>
      </c>
      <c r="N31" s="20">
        <v>13.8</v>
      </c>
      <c r="O31" s="20">
        <v>13.3</v>
      </c>
      <c r="P31" s="21"/>
      <c r="Q31" s="21">
        <v>13.4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4.5</v>
      </c>
      <c r="H32" s="21"/>
      <c r="I32" s="21">
        <v>4.5999999999999996</v>
      </c>
      <c r="J32" s="20">
        <v>4.0999999999999996</v>
      </c>
      <c r="K32" s="20">
        <v>4.5999999999999996</v>
      </c>
      <c r="L32" s="21"/>
      <c r="M32" s="21">
        <v>4.0999999999999996</v>
      </c>
      <c r="N32" s="20">
        <v>5</v>
      </c>
      <c r="O32" s="20">
        <v>4.0999999999999996</v>
      </c>
      <c r="P32" s="21"/>
      <c r="Q32" s="21">
        <v>4.5999999999999996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8.8000000000000007</v>
      </c>
      <c r="H33" s="27">
        <f t="shared" ref="H33:Q33" si="1">H31-H32</f>
        <v>0</v>
      </c>
      <c r="I33" s="27">
        <f t="shared" si="1"/>
        <v>8.7000000000000011</v>
      </c>
      <c r="J33" s="27">
        <f t="shared" si="1"/>
        <v>9.1</v>
      </c>
      <c r="K33" s="27">
        <f t="shared" si="1"/>
        <v>9</v>
      </c>
      <c r="L33" s="27">
        <f>L31-L32</f>
        <v>0</v>
      </c>
      <c r="M33" s="27">
        <f>M31-M32</f>
        <v>9.4</v>
      </c>
      <c r="N33" s="27">
        <f>N31-N32</f>
        <v>8.8000000000000007</v>
      </c>
      <c r="O33" s="27">
        <f>O31-O32</f>
        <v>9.2000000000000011</v>
      </c>
      <c r="P33" s="27">
        <f t="shared" si="1"/>
        <v>0</v>
      </c>
      <c r="Q33" s="27">
        <f t="shared" si="1"/>
        <v>8.8000000000000007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6729.4595842956123</v>
      </c>
      <c r="H34" s="28">
        <f t="shared" ref="H34:Q34" si="2">(H33*H30)/0.866</f>
        <v>0</v>
      </c>
      <c r="I34" s="28">
        <f t="shared" si="2"/>
        <v>6429.5612009237884</v>
      </c>
      <c r="J34" s="28">
        <f t="shared" si="2"/>
        <v>6640.0577367205542</v>
      </c>
      <c r="K34" s="28">
        <f t="shared" si="2"/>
        <v>6634.6420323325628</v>
      </c>
      <c r="L34" s="28">
        <f>(L33*L30)/0.866</f>
        <v>0</v>
      </c>
      <c r="M34" s="28">
        <f>(M33*M30)/0.866</f>
        <v>6945.1454965357971</v>
      </c>
      <c r="N34" s="28">
        <f>(N33*N30)/0.866</f>
        <v>7010.5311778290989</v>
      </c>
      <c r="O34" s="28">
        <f>(O33*O30)/0.866</f>
        <v>6838.1709006928413</v>
      </c>
      <c r="P34" s="28">
        <f t="shared" si="2"/>
        <v>0</v>
      </c>
      <c r="Q34" s="28">
        <f t="shared" si="2"/>
        <v>6464.4434180138578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0.81</v>
      </c>
      <c r="H35" s="21"/>
      <c r="I35" s="21">
        <v>0.83</v>
      </c>
      <c r="J35" s="20">
        <v>0.84</v>
      </c>
      <c r="K35" s="20">
        <v>0.82</v>
      </c>
      <c r="L35" s="21"/>
      <c r="M35" s="21">
        <v>0.81</v>
      </c>
      <c r="N35" s="20">
        <v>0.82</v>
      </c>
      <c r="O35" s="20">
        <v>0.8</v>
      </c>
      <c r="P35" s="21"/>
      <c r="Q35" s="21">
        <v>0.82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35.6</v>
      </c>
      <c r="H36" s="21"/>
      <c r="I36" s="21">
        <v>36.9</v>
      </c>
      <c r="J36" s="20">
        <v>37</v>
      </c>
      <c r="K36" s="20">
        <v>35.700000000000003</v>
      </c>
      <c r="L36" s="21"/>
      <c r="M36" s="21">
        <v>35.6</v>
      </c>
      <c r="N36" s="20">
        <v>36.299999999999997</v>
      </c>
      <c r="O36" s="20">
        <v>35</v>
      </c>
      <c r="P36" s="21"/>
      <c r="Q36" s="21">
        <v>35.6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35.9</v>
      </c>
      <c r="H37" s="21"/>
      <c r="I37" s="21">
        <v>36.799999999999997</v>
      </c>
      <c r="J37" s="20">
        <v>37.700000000000003</v>
      </c>
      <c r="K37" s="20">
        <v>36.4</v>
      </c>
      <c r="L37" s="21"/>
      <c r="M37" s="21">
        <v>36.200000000000003</v>
      </c>
      <c r="N37" s="20">
        <v>36.799999999999997</v>
      </c>
      <c r="O37" s="20">
        <v>35.5</v>
      </c>
      <c r="P37" s="21"/>
      <c r="Q37" s="21">
        <v>36.4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2.3999999999999986</v>
      </c>
      <c r="H38" s="27">
        <v>1</v>
      </c>
      <c r="I38" s="27">
        <f t="shared" ref="I38:Q38" si="3">I37-I41</f>
        <v>3.7999999999999972</v>
      </c>
      <c r="J38" s="27">
        <f t="shared" si="3"/>
        <v>2.1000000000000014</v>
      </c>
      <c r="K38" s="27">
        <f t="shared" si="3"/>
        <v>2.8999999999999986</v>
      </c>
      <c r="L38" s="27">
        <f>L37-L41</f>
        <v>0</v>
      </c>
      <c r="M38" s="27">
        <f>M37-M41</f>
        <v>3.2000000000000028</v>
      </c>
      <c r="N38" s="27">
        <f>N37-N41</f>
        <v>1.5999999999999943</v>
      </c>
      <c r="O38" s="27">
        <f>O37-O41</f>
        <v>2.5</v>
      </c>
      <c r="P38" s="27">
        <f t="shared" si="3"/>
        <v>0</v>
      </c>
      <c r="Q38" s="27">
        <f t="shared" si="3"/>
        <v>2.8999999999999986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28.3</v>
      </c>
      <c r="H40" s="21"/>
      <c r="I40" s="21">
        <v>28</v>
      </c>
      <c r="J40" s="20">
        <v>30.2</v>
      </c>
      <c r="K40" s="20">
        <v>28.1</v>
      </c>
      <c r="L40" s="21"/>
      <c r="M40" s="21">
        <v>27.9</v>
      </c>
      <c r="N40" s="20">
        <v>29.8</v>
      </c>
      <c r="O40" s="20">
        <v>27.9</v>
      </c>
      <c r="P40" s="21"/>
      <c r="Q40" s="21">
        <v>28.3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33.5</v>
      </c>
      <c r="H41" s="21"/>
      <c r="I41" s="21">
        <v>33</v>
      </c>
      <c r="J41" s="20">
        <v>35.6</v>
      </c>
      <c r="K41" s="20">
        <v>33.5</v>
      </c>
      <c r="L41" s="21"/>
      <c r="M41" s="21">
        <v>33</v>
      </c>
      <c r="N41" s="20">
        <v>35.200000000000003</v>
      </c>
      <c r="O41" s="20">
        <v>33</v>
      </c>
      <c r="P41" s="21"/>
      <c r="Q41" s="21">
        <v>33.5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5.1999999999999993</v>
      </c>
      <c r="H42" s="27">
        <f t="shared" ref="H42:Q42" si="4">H41-H40</f>
        <v>0</v>
      </c>
      <c r="I42" s="27">
        <f t="shared" si="4"/>
        <v>5</v>
      </c>
      <c r="J42" s="27">
        <f t="shared" si="4"/>
        <v>5.4000000000000021</v>
      </c>
      <c r="K42" s="27">
        <f t="shared" si="4"/>
        <v>5.3999999999999986</v>
      </c>
      <c r="L42" s="27">
        <f>L41-L40</f>
        <v>0</v>
      </c>
      <c r="M42" s="27">
        <f>M41-M40</f>
        <v>5.1000000000000014</v>
      </c>
      <c r="N42" s="27">
        <f>N41-N40</f>
        <v>5.4000000000000021</v>
      </c>
      <c r="O42" s="27">
        <f>O41-O40</f>
        <v>5.1000000000000014</v>
      </c>
      <c r="P42" s="27">
        <f t="shared" si="4"/>
        <v>0</v>
      </c>
      <c r="Q42" s="27">
        <f t="shared" si="4"/>
        <v>5.1999999999999993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1298.78</v>
      </c>
      <c r="H43" s="21"/>
      <c r="I43" s="21">
        <v>1296.54</v>
      </c>
      <c r="J43" s="20">
        <v>1294.3</v>
      </c>
      <c r="K43" s="20">
        <v>1296.26</v>
      </c>
      <c r="L43" s="21"/>
      <c r="M43" s="20">
        <v>1296.1199999999999</v>
      </c>
      <c r="N43" s="20">
        <v>1298.3</v>
      </c>
      <c r="O43" s="20">
        <v>1295.8399999999999</v>
      </c>
      <c r="P43" s="21"/>
      <c r="Q43" s="21">
        <v>1294.8599999999999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7798.6789838337172</v>
      </c>
      <c r="H44" s="28">
        <f t="shared" ref="H44:Q44" si="5">H42*H43/0.866</f>
        <v>0</v>
      </c>
      <c r="I44" s="28">
        <f t="shared" si="5"/>
        <v>7485.7967667436487</v>
      </c>
      <c r="J44" s="28">
        <f t="shared" si="5"/>
        <v>8070.6928406466541</v>
      </c>
      <c r="K44" s="28">
        <f t="shared" si="5"/>
        <v>8082.9145496535775</v>
      </c>
      <c r="L44" s="28">
        <f>L42*L43/0.866</f>
        <v>0</v>
      </c>
      <c r="M44" s="28">
        <f>M42*M43/0.866</f>
        <v>7633.0392609699784</v>
      </c>
      <c r="N44" s="28">
        <f>N42*N43/0.866</f>
        <v>8095.6351039260999</v>
      </c>
      <c r="O44" s="28">
        <f>O42*O43/0.866</f>
        <v>7631.3903002309489</v>
      </c>
      <c r="P44" s="28">
        <f t="shared" si="5"/>
        <v>0</v>
      </c>
      <c r="Q44" s="28">
        <f t="shared" si="5"/>
        <v>7775.1408775981499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0.45</v>
      </c>
      <c r="J45" s="20">
        <v>0.47</v>
      </c>
      <c r="K45" s="20">
        <v>0.46</v>
      </c>
      <c r="L45" s="21"/>
      <c r="M45" s="21">
        <v>0.46</v>
      </c>
      <c r="N45" s="20">
        <v>0.46</v>
      </c>
      <c r="O45" s="20">
        <v>0.45</v>
      </c>
      <c r="P45" s="21"/>
      <c r="Q45" s="21">
        <v>0.46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19.5</v>
      </c>
      <c r="H46" s="21"/>
      <c r="I46" s="21">
        <v>19</v>
      </c>
      <c r="J46" s="20">
        <v>20.100000000000001</v>
      </c>
      <c r="K46" s="20">
        <v>19.100000000000001</v>
      </c>
      <c r="L46" s="21"/>
      <c r="M46" s="21">
        <v>19.8</v>
      </c>
      <c r="N46" s="20">
        <v>19.8</v>
      </c>
      <c r="O46" s="20">
        <v>18.7</v>
      </c>
      <c r="P46" s="21"/>
      <c r="Q46" s="21">
        <v>19.8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197.3</v>
      </c>
      <c r="H47" s="21"/>
      <c r="I47" s="21">
        <v>118.5</v>
      </c>
      <c r="J47" s="20">
        <v>207.1</v>
      </c>
      <c r="K47" s="20">
        <v>210.2</v>
      </c>
      <c r="L47" s="21"/>
      <c r="M47" s="21">
        <v>203.5</v>
      </c>
      <c r="N47" s="20">
        <v>162.6</v>
      </c>
      <c r="O47" s="20">
        <v>154.5</v>
      </c>
      <c r="P47" s="21"/>
      <c r="Q47" s="21">
        <v>200.4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71">
        <v>5.89</v>
      </c>
      <c r="F49" s="20"/>
      <c r="G49" s="20">
        <v>5.71</v>
      </c>
      <c r="H49" s="21"/>
      <c r="I49" s="21">
        <v>5.4</v>
      </c>
      <c r="J49" s="20">
        <v>5.65</v>
      </c>
      <c r="K49" s="20">
        <v>5.64</v>
      </c>
      <c r="L49" s="21"/>
      <c r="M49" s="21">
        <v>5.83</v>
      </c>
      <c r="N49" s="20">
        <v>5.31</v>
      </c>
      <c r="O49" s="20">
        <v>5.78</v>
      </c>
      <c r="P49" s="21"/>
      <c r="Q49" s="21">
        <v>5.3</v>
      </c>
    </row>
    <row r="50" spans="2:17" ht="20.100000000000001" customHeight="1">
      <c r="B50" s="92" t="s">
        <v>91</v>
      </c>
      <c r="C50" s="92"/>
      <c r="D50" s="92"/>
      <c r="E50" s="7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7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K10" sqref="K10:K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45799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73" t="s">
        <v>18</v>
      </c>
      <c r="E10" s="15"/>
      <c r="F10" s="17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/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73.400000000000006</v>
      </c>
      <c r="G11" s="20">
        <v>74.599999999999994</v>
      </c>
      <c r="H11" s="21"/>
      <c r="I11" s="21">
        <v>80.7</v>
      </c>
      <c r="J11" s="20"/>
      <c r="K11" s="20">
        <v>74.599999999999994</v>
      </c>
      <c r="L11" s="21"/>
      <c r="M11" s="21">
        <v>74</v>
      </c>
      <c r="N11" s="20">
        <v>77.8</v>
      </c>
      <c r="O11" s="20">
        <v>78</v>
      </c>
      <c r="P11" s="21"/>
      <c r="Q11" s="21">
        <v>73.400000000000006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0.8</v>
      </c>
      <c r="G12" s="20">
        <v>0.1</v>
      </c>
      <c r="H12" s="21"/>
      <c r="I12" s="21">
        <v>0</v>
      </c>
      <c r="J12" s="20"/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67.599999999999994</v>
      </c>
      <c r="G13" s="20">
        <v>68.7</v>
      </c>
      <c r="H13" s="21"/>
      <c r="I13" s="21">
        <v>76.3</v>
      </c>
      <c r="J13" s="20"/>
      <c r="K13" s="20">
        <v>69.5</v>
      </c>
      <c r="L13" s="21"/>
      <c r="M13" s="21">
        <v>71.5</v>
      </c>
      <c r="N13" s="20">
        <v>74</v>
      </c>
      <c r="O13" s="20">
        <v>74</v>
      </c>
      <c r="P13" s="21"/>
      <c r="Q13" s="21">
        <v>67.3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68.2</v>
      </c>
      <c r="G14" s="20">
        <v>69.8</v>
      </c>
      <c r="H14" s="21"/>
      <c r="I14" s="21">
        <v>70.2</v>
      </c>
      <c r="J14" s="20"/>
      <c r="K14" s="20">
        <v>64</v>
      </c>
      <c r="L14" s="21"/>
      <c r="M14" s="21">
        <v>68</v>
      </c>
      <c r="N14" s="20">
        <v>74</v>
      </c>
      <c r="O14" s="20">
        <v>75.3</v>
      </c>
      <c r="P14" s="21"/>
      <c r="Q14" s="21">
        <v>73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38.200000000000003</v>
      </c>
      <c r="G15" s="20">
        <v>38.6</v>
      </c>
      <c r="H15" s="21"/>
      <c r="I15" s="21">
        <v>53.3</v>
      </c>
      <c r="J15" s="20"/>
      <c r="K15" s="20">
        <v>38.799999999999997</v>
      </c>
      <c r="L15" s="21"/>
      <c r="M15" s="21">
        <v>34.299999999999997</v>
      </c>
      <c r="N15" s="20">
        <v>50.1</v>
      </c>
      <c r="O15" s="20">
        <v>56.8</v>
      </c>
      <c r="P15" s="21"/>
      <c r="Q15" s="21">
        <v>45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119.8</v>
      </c>
      <c r="G17" s="20">
        <v>119.4</v>
      </c>
      <c r="H17" s="21"/>
      <c r="I17" s="21">
        <v>118.3</v>
      </c>
      <c r="J17" s="20"/>
      <c r="K17" s="20">
        <v>117.2</v>
      </c>
      <c r="L17" s="21"/>
      <c r="M17" s="21">
        <v>117.9</v>
      </c>
      <c r="N17" s="20">
        <v>121.2</v>
      </c>
      <c r="O17" s="20">
        <v>119.9</v>
      </c>
      <c r="P17" s="21"/>
      <c r="Q17" s="21">
        <v>117.5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1181</v>
      </c>
      <c r="G18" s="20">
        <v>1172</v>
      </c>
      <c r="H18" s="21"/>
      <c r="I18" s="21">
        <v>1197</v>
      </c>
      <c r="J18" s="20"/>
      <c r="K18" s="20">
        <v>1193</v>
      </c>
      <c r="L18" s="21"/>
      <c r="M18" s="21">
        <v>1193</v>
      </c>
      <c r="N18" s="20">
        <v>1241</v>
      </c>
      <c r="O18" s="20">
        <v>1215</v>
      </c>
      <c r="P18" s="21"/>
      <c r="Q18" s="21">
        <v>1189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>
        <v>50466.8</v>
      </c>
      <c r="G19" s="20">
        <v>50457.1</v>
      </c>
      <c r="H19" s="21"/>
      <c r="I19" s="21">
        <v>51499.1</v>
      </c>
      <c r="J19" s="20"/>
      <c r="K19" s="20">
        <v>49390.3</v>
      </c>
      <c r="L19" s="21"/>
      <c r="M19" s="21">
        <v>51818.2</v>
      </c>
      <c r="N19" s="20">
        <v>50990.400000000001</v>
      </c>
      <c r="O19" s="20">
        <v>50980.800000000003</v>
      </c>
      <c r="P19" s="21"/>
      <c r="Q19" s="21">
        <v>50871.5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58.4</v>
      </c>
      <c r="G22" s="20">
        <v>58.4</v>
      </c>
      <c r="H22" s="21"/>
      <c r="I22" s="21">
        <v>59.4</v>
      </c>
      <c r="J22" s="20"/>
      <c r="K22" s="20">
        <v>57.7</v>
      </c>
      <c r="L22" s="21"/>
      <c r="M22" s="21">
        <v>57.2</v>
      </c>
      <c r="N22" s="20">
        <v>58.7</v>
      </c>
      <c r="O22" s="20">
        <v>58.6</v>
      </c>
      <c r="P22" s="21"/>
      <c r="Q22" s="21">
        <v>59.7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0.53</v>
      </c>
      <c r="G23" s="20">
        <v>0.52</v>
      </c>
      <c r="H23" s="21"/>
      <c r="I23" s="21">
        <v>0.49</v>
      </c>
      <c r="J23" s="20"/>
      <c r="K23" s="20">
        <v>0.57999999999999996</v>
      </c>
      <c r="L23" s="21"/>
      <c r="M23" s="21">
        <v>0.52</v>
      </c>
      <c r="N23" s="20">
        <v>0.48</v>
      </c>
      <c r="O23" s="20">
        <v>0.49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44.9</v>
      </c>
      <c r="G25" s="20">
        <v>44.8</v>
      </c>
      <c r="H25" s="21"/>
      <c r="I25" s="21">
        <v>44.8</v>
      </c>
      <c r="J25" s="20"/>
      <c r="K25" s="20">
        <v>44.9</v>
      </c>
      <c r="L25" s="21"/>
      <c r="M25" s="21">
        <v>45</v>
      </c>
      <c r="N25" s="20">
        <v>44.9</v>
      </c>
      <c r="O25" s="20">
        <v>44.6</v>
      </c>
      <c r="P25" s="21"/>
      <c r="Q25" s="21">
        <v>45.4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0.22</v>
      </c>
      <c r="J26" s="20"/>
      <c r="K26" s="20">
        <v>0.23</v>
      </c>
      <c r="L26" s="21"/>
      <c r="M26" s="21">
        <v>0.23</v>
      </c>
      <c r="N26" s="20">
        <v>0.23</v>
      </c>
      <c r="O26" s="20">
        <v>0.23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4.5999999999999996</v>
      </c>
      <c r="G27" s="20">
        <v>4.3</v>
      </c>
      <c r="H27" s="21"/>
      <c r="I27" s="21">
        <v>3.3</v>
      </c>
      <c r="J27" s="20"/>
      <c r="K27" s="20">
        <v>4</v>
      </c>
      <c r="L27" s="21"/>
      <c r="M27" s="21">
        <v>3.9</v>
      </c>
      <c r="N27" s="20">
        <v>4.7</v>
      </c>
      <c r="O27" s="20">
        <v>4.2</v>
      </c>
      <c r="P27" s="21"/>
      <c r="Q27" s="21">
        <v>4.8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4.0999999999999996</v>
      </c>
      <c r="G28" s="20">
        <v>3.6</v>
      </c>
      <c r="H28" s="21"/>
      <c r="I28" s="21">
        <v>2.2999999999999998</v>
      </c>
      <c r="J28" s="20"/>
      <c r="K28" s="20">
        <v>3.4</v>
      </c>
      <c r="L28" s="21"/>
      <c r="M28" s="21">
        <v>3.1</v>
      </c>
      <c r="N28" s="20">
        <v>3.5</v>
      </c>
      <c r="O28" s="20">
        <v>3.1</v>
      </c>
      <c r="P28" s="21"/>
      <c r="Q28" s="21">
        <v>3.7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1.1000000000000005</v>
      </c>
      <c r="G29" s="27">
        <f>G32-G28</f>
        <v>1.1999999999999997</v>
      </c>
      <c r="H29" s="27">
        <f t="shared" ref="H29:Q29" si="0">H32-H28</f>
        <v>0</v>
      </c>
      <c r="I29" s="27">
        <f t="shared" si="0"/>
        <v>2.5</v>
      </c>
      <c r="J29" s="27">
        <f t="shared" si="0"/>
        <v>0</v>
      </c>
      <c r="K29" s="27">
        <f t="shared" si="0"/>
        <v>1.3000000000000003</v>
      </c>
      <c r="L29" s="27">
        <f>L32-L28</f>
        <v>0</v>
      </c>
      <c r="M29" s="27">
        <f>M32-M28</f>
        <v>0.79999999999999982</v>
      </c>
      <c r="N29" s="27">
        <f>N32-N28</f>
        <v>1.5</v>
      </c>
      <c r="O29" s="27">
        <f>O32-O28</f>
        <v>1.4999999999999996</v>
      </c>
      <c r="P29" s="27">
        <f t="shared" si="0"/>
        <v>0</v>
      </c>
      <c r="Q29" s="27">
        <f t="shared" si="0"/>
        <v>1.2000000000000002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701.1</v>
      </c>
      <c r="G30" s="20">
        <v>633.84</v>
      </c>
      <c r="H30" s="21"/>
      <c r="I30" s="21">
        <v>639.44000000000005</v>
      </c>
      <c r="J30" s="20"/>
      <c r="K30" s="20">
        <v>635.28</v>
      </c>
      <c r="L30" s="21"/>
      <c r="M30" s="21">
        <v>635.91999999999996</v>
      </c>
      <c r="N30" s="20">
        <v>688.6</v>
      </c>
      <c r="O30" s="20">
        <v>628.4</v>
      </c>
      <c r="P30" s="21"/>
      <c r="Q30" s="21">
        <v>640.96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13.7</v>
      </c>
      <c r="G31" s="20">
        <v>13.6</v>
      </c>
      <c r="H31" s="21"/>
      <c r="I31" s="21">
        <v>13.4</v>
      </c>
      <c r="J31" s="20"/>
      <c r="K31" s="20">
        <v>13.6</v>
      </c>
      <c r="L31" s="21"/>
      <c r="M31" s="21">
        <v>13.2</v>
      </c>
      <c r="N31" s="20">
        <v>13.8</v>
      </c>
      <c r="O31" s="20">
        <v>13.6</v>
      </c>
      <c r="P31" s="21"/>
      <c r="Q31" s="21">
        <v>13.5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5.2</v>
      </c>
      <c r="G32" s="20">
        <v>4.8</v>
      </c>
      <c r="H32" s="21"/>
      <c r="I32" s="21">
        <v>4.8</v>
      </c>
      <c r="J32" s="20"/>
      <c r="K32" s="20">
        <v>4.7</v>
      </c>
      <c r="L32" s="21"/>
      <c r="M32" s="21">
        <v>3.9</v>
      </c>
      <c r="N32" s="20">
        <v>5</v>
      </c>
      <c r="O32" s="20">
        <v>4.5999999999999996</v>
      </c>
      <c r="P32" s="21"/>
      <c r="Q32" s="21">
        <v>4.9000000000000004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8.5</v>
      </c>
      <c r="G33" s="27">
        <f>G31-G32</f>
        <v>8.8000000000000007</v>
      </c>
      <c r="H33" s="27">
        <f t="shared" ref="H33:Q33" si="1">H31-H32</f>
        <v>0</v>
      </c>
      <c r="I33" s="27">
        <f t="shared" si="1"/>
        <v>8.6000000000000014</v>
      </c>
      <c r="J33" s="27">
        <f t="shared" si="1"/>
        <v>0</v>
      </c>
      <c r="K33" s="27">
        <f t="shared" si="1"/>
        <v>8.8999999999999986</v>
      </c>
      <c r="L33" s="27">
        <f>L31-L32</f>
        <v>0</v>
      </c>
      <c r="M33" s="27">
        <f>M31-M32</f>
        <v>9.2999999999999989</v>
      </c>
      <c r="N33" s="27">
        <f>N31-N32</f>
        <v>8.8000000000000007</v>
      </c>
      <c r="O33" s="27">
        <f>O31-O32</f>
        <v>9</v>
      </c>
      <c r="P33" s="27">
        <f t="shared" si="1"/>
        <v>0</v>
      </c>
      <c r="Q33" s="27">
        <f t="shared" si="1"/>
        <v>8.6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6881.4665127020789</v>
      </c>
      <c r="G34" s="28">
        <f>(G33*G30)/0.866</f>
        <v>6440.8683602771371</v>
      </c>
      <c r="H34" s="28">
        <f t="shared" ref="H34:Q34" si="2">(H33*H30)/0.866</f>
        <v>0</v>
      </c>
      <c r="I34" s="28">
        <f t="shared" si="2"/>
        <v>6350.0969976905326</v>
      </c>
      <c r="J34" s="28">
        <f t="shared" si="2"/>
        <v>0</v>
      </c>
      <c r="K34" s="28">
        <f t="shared" si="2"/>
        <v>6528.8591224018464</v>
      </c>
      <c r="L34" s="28">
        <f>(L33*L30)/0.866</f>
        <v>0</v>
      </c>
      <c r="M34" s="28">
        <f>(M33*M30)/0.866</f>
        <v>6829.1639722863729</v>
      </c>
      <c r="N34" s="28">
        <f>(N33*N30)/0.866</f>
        <v>6997.3210161662819</v>
      </c>
      <c r="O34" s="28">
        <f>(O33*O30)/0.866</f>
        <v>6530.7159353348725</v>
      </c>
      <c r="P34" s="28">
        <f t="shared" si="2"/>
        <v>0</v>
      </c>
      <c r="Q34" s="28">
        <f t="shared" si="2"/>
        <v>6365.1916859122402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0.83</v>
      </c>
      <c r="G35" s="20">
        <v>0.83</v>
      </c>
      <c r="H35" s="21"/>
      <c r="I35" s="21">
        <v>0.85</v>
      </c>
      <c r="J35" s="20"/>
      <c r="K35" s="20">
        <v>0.84</v>
      </c>
      <c r="L35" s="21"/>
      <c r="M35" s="21">
        <v>0.84</v>
      </c>
      <c r="N35" s="20">
        <v>0.82</v>
      </c>
      <c r="O35" s="20">
        <v>0.82</v>
      </c>
      <c r="P35" s="21"/>
      <c r="Q35" s="21">
        <v>0.84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36.5</v>
      </c>
      <c r="G36" s="20">
        <v>35.6</v>
      </c>
      <c r="H36" s="21"/>
      <c r="I36" s="21">
        <v>36.9</v>
      </c>
      <c r="J36" s="20"/>
      <c r="K36" s="20">
        <v>35.700000000000003</v>
      </c>
      <c r="L36" s="21"/>
      <c r="M36" s="21">
        <v>35.6</v>
      </c>
      <c r="N36" s="20">
        <v>36.200000000000003</v>
      </c>
      <c r="O36" s="20">
        <v>35</v>
      </c>
      <c r="P36" s="21"/>
      <c r="Q36" s="21">
        <v>35.6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37</v>
      </c>
      <c r="G37" s="20">
        <v>36.9</v>
      </c>
      <c r="H37" s="21"/>
      <c r="I37" s="21">
        <v>37.700000000000003</v>
      </c>
      <c r="J37" s="20"/>
      <c r="K37" s="20">
        <v>37.4</v>
      </c>
      <c r="L37" s="21"/>
      <c r="M37" s="21">
        <v>37.1</v>
      </c>
      <c r="N37" s="20">
        <v>36.700000000000003</v>
      </c>
      <c r="O37" s="20">
        <v>36.4</v>
      </c>
      <c r="P37" s="21"/>
      <c r="Q37" s="21">
        <v>37.299999999999997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1.7000000000000028</v>
      </c>
      <c r="G38" s="27">
        <f>G37-G41</f>
        <v>2.3999999999999986</v>
      </c>
      <c r="H38" s="27">
        <v>1</v>
      </c>
      <c r="I38" s="27">
        <f t="shared" ref="I38:Q38" si="3">I37-I41</f>
        <v>3.6000000000000014</v>
      </c>
      <c r="J38" s="27">
        <f t="shared" si="3"/>
        <v>0</v>
      </c>
      <c r="K38" s="27">
        <f t="shared" si="3"/>
        <v>2.8999999999999986</v>
      </c>
      <c r="L38" s="27">
        <f>L37-L41</f>
        <v>0</v>
      </c>
      <c r="M38" s="27">
        <f>M37-M41</f>
        <v>2.8999999999999986</v>
      </c>
      <c r="N38" s="27">
        <f>N37-N41</f>
        <v>1.6000000000000014</v>
      </c>
      <c r="O38" s="27">
        <f>O37-O41</f>
        <v>2.2999999999999972</v>
      </c>
      <c r="P38" s="27">
        <f t="shared" si="3"/>
        <v>0</v>
      </c>
      <c r="Q38" s="27">
        <f t="shared" si="3"/>
        <v>2.6999999999999957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29.7</v>
      </c>
      <c r="G40" s="20">
        <v>29.4</v>
      </c>
      <c r="H40" s="21"/>
      <c r="I40" s="21">
        <v>29.2</v>
      </c>
      <c r="J40" s="20"/>
      <c r="K40" s="20">
        <v>29.2</v>
      </c>
      <c r="L40" s="21"/>
      <c r="M40" s="21">
        <v>29.1</v>
      </c>
      <c r="N40" s="20">
        <v>29.6</v>
      </c>
      <c r="O40" s="20">
        <v>29.2</v>
      </c>
      <c r="P40" s="21"/>
      <c r="Q40" s="21">
        <v>29.4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35.299999999999997</v>
      </c>
      <c r="G41" s="20">
        <v>34.5</v>
      </c>
      <c r="H41" s="21"/>
      <c r="I41" s="21">
        <v>34.1</v>
      </c>
      <c r="J41" s="20"/>
      <c r="K41" s="20">
        <v>34.5</v>
      </c>
      <c r="L41" s="21"/>
      <c r="M41" s="21">
        <v>34.200000000000003</v>
      </c>
      <c r="N41" s="20">
        <v>35.1</v>
      </c>
      <c r="O41" s="20">
        <v>34.1</v>
      </c>
      <c r="P41" s="21"/>
      <c r="Q41" s="21">
        <v>34.6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5.5999999999999979</v>
      </c>
      <c r="G42" s="27">
        <f>G41-G40</f>
        <v>5.1000000000000014</v>
      </c>
      <c r="H42" s="27">
        <f t="shared" ref="H42:Q42" si="4">H41-H40</f>
        <v>0</v>
      </c>
      <c r="I42" s="27">
        <f t="shared" si="4"/>
        <v>4.9000000000000021</v>
      </c>
      <c r="J42" s="27">
        <f t="shared" si="4"/>
        <v>0</v>
      </c>
      <c r="K42" s="27">
        <f t="shared" si="4"/>
        <v>5.3000000000000007</v>
      </c>
      <c r="L42" s="27">
        <f>L41-L40</f>
        <v>0</v>
      </c>
      <c r="M42" s="27">
        <f>M41-M40</f>
        <v>5.1000000000000014</v>
      </c>
      <c r="N42" s="27">
        <f>N41-N40</f>
        <v>5.5</v>
      </c>
      <c r="O42" s="27">
        <f>O41-O40</f>
        <v>4.9000000000000021</v>
      </c>
      <c r="P42" s="27">
        <f t="shared" si="4"/>
        <v>0</v>
      </c>
      <c r="Q42" s="27">
        <f t="shared" si="4"/>
        <v>5.2000000000000028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1298.8</v>
      </c>
      <c r="G43" s="20">
        <v>1294.58</v>
      </c>
      <c r="H43" s="21"/>
      <c r="I43" s="21">
        <v>1297.3800000000001</v>
      </c>
      <c r="J43" s="20"/>
      <c r="K43" s="20">
        <v>1299.2</v>
      </c>
      <c r="L43" s="21"/>
      <c r="M43" s="20">
        <v>1291.78</v>
      </c>
      <c r="N43" s="20">
        <v>1293</v>
      </c>
      <c r="O43" s="20">
        <v>1296.96</v>
      </c>
      <c r="P43" s="21"/>
      <c r="Q43" s="21">
        <v>1296.26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8398.70669745958</v>
      </c>
      <c r="G44" s="28">
        <f>G42*G43/0.866</f>
        <v>7623.9699769053132</v>
      </c>
      <c r="H44" s="28">
        <f t="shared" ref="H44:Q44" si="5">H42*H43/0.866</f>
        <v>0</v>
      </c>
      <c r="I44" s="28">
        <f t="shared" si="5"/>
        <v>7340.8337182448076</v>
      </c>
      <c r="J44" s="28">
        <f t="shared" si="5"/>
        <v>0</v>
      </c>
      <c r="K44" s="28">
        <f t="shared" si="5"/>
        <v>7951.224018475752</v>
      </c>
      <c r="L44" s="28">
        <f>L42*L43/0.866</f>
        <v>0</v>
      </c>
      <c r="M44" s="28">
        <f>M42*M43/0.866</f>
        <v>7607.4803695150131</v>
      </c>
      <c r="N44" s="28">
        <f>N42*N43/0.866</f>
        <v>8211.8937644341804</v>
      </c>
      <c r="O44" s="28">
        <f>O42*O43/0.866</f>
        <v>7338.4572748267938</v>
      </c>
      <c r="P44" s="28">
        <f t="shared" si="5"/>
        <v>0</v>
      </c>
      <c r="Q44" s="28">
        <f t="shared" si="5"/>
        <v>7783.5473441108588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0.47</v>
      </c>
      <c r="G45" s="20">
        <v>0.46</v>
      </c>
      <c r="H45" s="21"/>
      <c r="I45" s="21">
        <v>0.45</v>
      </c>
      <c r="J45" s="20"/>
      <c r="K45" s="20">
        <v>0.46</v>
      </c>
      <c r="L45" s="21"/>
      <c r="M45" s="21">
        <v>0.46</v>
      </c>
      <c r="N45" s="20">
        <v>0.46</v>
      </c>
      <c r="O45" s="20">
        <v>0.45</v>
      </c>
      <c r="P45" s="21"/>
      <c r="Q45" s="21">
        <v>0.46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20.3</v>
      </c>
      <c r="G46" s="20">
        <v>19.5</v>
      </c>
      <c r="H46" s="21"/>
      <c r="I46" s="21">
        <v>19</v>
      </c>
      <c r="J46" s="20"/>
      <c r="K46" s="20">
        <v>19.100000000000001</v>
      </c>
      <c r="L46" s="21"/>
      <c r="M46" s="21">
        <v>19.8</v>
      </c>
      <c r="N46" s="20">
        <v>19.7</v>
      </c>
      <c r="O46" s="20">
        <v>18.7</v>
      </c>
      <c r="P46" s="21"/>
      <c r="Q46" s="21">
        <v>19.8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211.4</v>
      </c>
      <c r="G47" s="20">
        <v>197.3</v>
      </c>
      <c r="H47" s="21"/>
      <c r="I47" s="21">
        <v>118.5</v>
      </c>
      <c r="J47" s="20"/>
      <c r="K47" s="20">
        <v>210.2</v>
      </c>
      <c r="L47" s="21"/>
      <c r="M47" s="21">
        <v>203.5</v>
      </c>
      <c r="N47" s="20">
        <v>162.1</v>
      </c>
      <c r="O47" s="20">
        <v>154.5</v>
      </c>
      <c r="P47" s="21"/>
      <c r="Q47" s="21">
        <v>200.4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73">
        <v>5.89</v>
      </c>
      <c r="F49" s="20">
        <v>5.36</v>
      </c>
      <c r="G49" s="20">
        <v>5.71</v>
      </c>
      <c r="H49" s="21"/>
      <c r="I49" s="21">
        <v>5.4</v>
      </c>
      <c r="J49" s="20"/>
      <c r="K49" s="20">
        <v>5.64</v>
      </c>
      <c r="L49" s="21"/>
      <c r="M49" s="21">
        <v>5.83</v>
      </c>
      <c r="N49" s="20">
        <v>5.31</v>
      </c>
      <c r="O49" s="20">
        <v>5.78</v>
      </c>
      <c r="P49" s="21"/>
      <c r="Q49" s="21">
        <v>5.3</v>
      </c>
    </row>
    <row r="50" spans="2:17" ht="20.100000000000001" customHeight="1">
      <c r="B50" s="92" t="s">
        <v>91</v>
      </c>
      <c r="C50" s="92"/>
      <c r="D50" s="92"/>
      <c r="E50" s="7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7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N19" sqref="N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45800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75" t="s">
        <v>18</v>
      </c>
      <c r="E10" s="15"/>
      <c r="F10" s="17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68.599999999999994</v>
      </c>
      <c r="H11" s="21"/>
      <c r="I11" s="21">
        <v>78.599999999999994</v>
      </c>
      <c r="J11" s="20">
        <v>74.2</v>
      </c>
      <c r="K11" s="20">
        <v>75.2</v>
      </c>
      <c r="L11" s="21">
        <v>75</v>
      </c>
      <c r="M11" s="21">
        <v>75</v>
      </c>
      <c r="N11" s="20"/>
      <c r="O11" s="20">
        <v>76.400000000000006</v>
      </c>
      <c r="P11" s="21"/>
      <c r="Q11" s="21">
        <v>73.900000000000006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0.4</v>
      </c>
      <c r="H12" s="21"/>
      <c r="I12" s="21">
        <v>0</v>
      </c>
      <c r="J12" s="20">
        <v>0</v>
      </c>
      <c r="K12" s="20">
        <v>0</v>
      </c>
      <c r="L12" s="21">
        <v>0.1</v>
      </c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61.5</v>
      </c>
      <c r="H13" s="21"/>
      <c r="I13" s="21">
        <v>73.3</v>
      </c>
      <c r="J13" s="20">
        <v>70.7</v>
      </c>
      <c r="K13" s="20">
        <v>70.7</v>
      </c>
      <c r="L13" s="21">
        <v>69.599999999999994</v>
      </c>
      <c r="M13" s="21">
        <v>69.599999999999994</v>
      </c>
      <c r="N13" s="20"/>
      <c r="O13" s="20">
        <v>74</v>
      </c>
      <c r="P13" s="21"/>
      <c r="Q13" s="21">
        <v>67.599999999999994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69.900000000000006</v>
      </c>
      <c r="H14" s="21"/>
      <c r="I14" s="21">
        <v>70.2</v>
      </c>
      <c r="J14" s="20">
        <v>63.9</v>
      </c>
      <c r="K14" s="20">
        <v>64.099999999999994</v>
      </c>
      <c r="L14" s="21">
        <v>67.8</v>
      </c>
      <c r="M14" s="21">
        <v>66.900000000000006</v>
      </c>
      <c r="N14" s="20"/>
      <c r="O14" s="20">
        <v>74</v>
      </c>
      <c r="P14" s="21"/>
      <c r="Q14" s="21">
        <v>73.5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35.6</v>
      </c>
      <c r="H15" s="21"/>
      <c r="I15" s="21">
        <v>50.9</v>
      </c>
      <c r="J15" s="20">
        <v>37.4</v>
      </c>
      <c r="K15" s="20">
        <v>39.5</v>
      </c>
      <c r="L15" s="21">
        <v>34.700000000000003</v>
      </c>
      <c r="M15" s="21">
        <v>35.6</v>
      </c>
      <c r="N15" s="20"/>
      <c r="O15" s="20">
        <v>53.6</v>
      </c>
      <c r="P15" s="21"/>
      <c r="Q15" s="21">
        <v>43.2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114.4</v>
      </c>
      <c r="H17" s="21"/>
      <c r="I17" s="21">
        <v>116.6</v>
      </c>
      <c r="J17" s="20">
        <v>117.9</v>
      </c>
      <c r="K17" s="20">
        <v>116.9</v>
      </c>
      <c r="L17" s="21">
        <v>117.8</v>
      </c>
      <c r="M17" s="21">
        <v>116.3</v>
      </c>
      <c r="N17" s="20"/>
      <c r="O17" s="20">
        <v>119.7</v>
      </c>
      <c r="P17" s="21"/>
      <c r="Q17" s="21">
        <v>117.4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1119</v>
      </c>
      <c r="H18" s="21"/>
      <c r="I18" s="21">
        <v>1182</v>
      </c>
      <c r="J18" s="20">
        <v>1197</v>
      </c>
      <c r="K18" s="20">
        <v>1194</v>
      </c>
      <c r="L18" s="21">
        <v>1187</v>
      </c>
      <c r="M18" s="21">
        <v>1186</v>
      </c>
      <c r="N18" s="20"/>
      <c r="O18" s="20">
        <v>1219</v>
      </c>
      <c r="P18" s="21"/>
      <c r="Q18" s="21">
        <v>1194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50477.4</v>
      </c>
      <c r="H19" s="21"/>
      <c r="I19" s="21">
        <v>51508.5</v>
      </c>
      <c r="J19" s="20">
        <v>49408.5</v>
      </c>
      <c r="K19" s="20">
        <v>49399.7</v>
      </c>
      <c r="L19" s="21">
        <v>51836.4</v>
      </c>
      <c r="M19" s="21">
        <v>51827.6</v>
      </c>
      <c r="N19" s="20"/>
      <c r="O19" s="20">
        <v>51004.5</v>
      </c>
      <c r="P19" s="21"/>
      <c r="Q19" s="21">
        <v>50880.7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58.1</v>
      </c>
      <c r="H22" s="21"/>
      <c r="I22" s="21">
        <v>59.2</v>
      </c>
      <c r="J22" s="20">
        <v>57.9</v>
      </c>
      <c r="K22" s="20">
        <v>57.9</v>
      </c>
      <c r="L22" s="21">
        <v>57.3</v>
      </c>
      <c r="M22" s="21">
        <v>57.2</v>
      </c>
      <c r="N22" s="20"/>
      <c r="O22" s="20">
        <v>58.7</v>
      </c>
      <c r="P22" s="21"/>
      <c r="Q22" s="21">
        <v>59.3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 t="s">
        <v>102</v>
      </c>
      <c r="H23" s="21"/>
      <c r="I23" s="21">
        <v>0.49</v>
      </c>
      <c r="J23" s="20">
        <v>0.59</v>
      </c>
      <c r="K23" s="20">
        <v>0.59</v>
      </c>
      <c r="L23" s="21">
        <v>0.52</v>
      </c>
      <c r="M23" s="21">
        <v>0.52</v>
      </c>
      <c r="N23" s="20"/>
      <c r="O23" s="20">
        <v>0.48</v>
      </c>
      <c r="P23" s="21"/>
      <c r="Q23" s="21">
        <v>0.5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45.1</v>
      </c>
      <c r="H25" s="21"/>
      <c r="I25" s="21">
        <v>45</v>
      </c>
      <c r="J25" s="20">
        <v>45.3</v>
      </c>
      <c r="K25" s="20">
        <v>45.1</v>
      </c>
      <c r="L25" s="21">
        <v>45.4</v>
      </c>
      <c r="M25" s="21">
        <v>45.1</v>
      </c>
      <c r="N25" s="20"/>
      <c r="O25" s="20">
        <v>44.5</v>
      </c>
      <c r="P25" s="21"/>
      <c r="Q25" s="21">
        <v>44.9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0.25</v>
      </c>
      <c r="H26" s="21"/>
      <c r="I26" s="21">
        <v>0.22</v>
      </c>
      <c r="J26" s="20">
        <v>0.23</v>
      </c>
      <c r="K26" s="20">
        <v>0.22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4.4000000000000004</v>
      </c>
      <c r="H27" s="21"/>
      <c r="I27" s="21">
        <v>3.4</v>
      </c>
      <c r="J27" s="20">
        <v>4.3</v>
      </c>
      <c r="K27" s="20">
        <v>4.2</v>
      </c>
      <c r="L27" s="21">
        <v>4</v>
      </c>
      <c r="M27" s="21">
        <v>3.9</v>
      </c>
      <c r="N27" s="20"/>
      <c r="O27" s="20">
        <v>4.3</v>
      </c>
      <c r="P27" s="21"/>
      <c r="Q27" s="21">
        <v>4.5999999999999996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3.9</v>
      </c>
      <c r="H28" s="21"/>
      <c r="I28" s="21">
        <v>2.5</v>
      </c>
      <c r="J28" s="20">
        <v>3.3</v>
      </c>
      <c r="K28" s="20">
        <v>3.3</v>
      </c>
      <c r="L28" s="21">
        <v>3</v>
      </c>
      <c r="M28" s="21">
        <v>3.4</v>
      </c>
      <c r="N28" s="20"/>
      <c r="O28" s="20">
        <v>3.3</v>
      </c>
      <c r="P28" s="21"/>
      <c r="Q28" s="21">
        <v>3.6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/>
      <c r="G29" s="27">
        <f>G32-G28</f>
        <v>0.69999999999999973</v>
      </c>
      <c r="H29" s="27">
        <f t="shared" ref="H29:Q29" si="0">H32-H28</f>
        <v>0</v>
      </c>
      <c r="I29" s="27">
        <f t="shared" si="0"/>
        <v>2.2999999999999998</v>
      </c>
      <c r="J29" s="27">
        <f t="shared" si="0"/>
        <v>1.2000000000000002</v>
      </c>
      <c r="K29" s="27">
        <f t="shared" si="0"/>
        <v>1.2000000000000002</v>
      </c>
      <c r="L29" s="27">
        <f>L32-L28</f>
        <v>0.89999999999999991</v>
      </c>
      <c r="M29" s="27">
        <f>M32-M28</f>
        <v>0.5</v>
      </c>
      <c r="N29" s="27">
        <f>N32-N28</f>
        <v>0</v>
      </c>
      <c r="O29" s="27">
        <f>O32-O28</f>
        <v>1.1000000000000005</v>
      </c>
      <c r="P29" s="27">
        <f t="shared" si="0"/>
        <v>0</v>
      </c>
      <c r="Q29" s="27">
        <f t="shared" si="0"/>
        <v>1.3000000000000003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635.4</v>
      </c>
      <c r="H30" s="21"/>
      <c r="I30" s="21">
        <v>627.4</v>
      </c>
      <c r="J30" s="20">
        <v>643.04</v>
      </c>
      <c r="K30" s="20">
        <v>636</v>
      </c>
      <c r="L30" s="21">
        <v>650.64</v>
      </c>
      <c r="M30" s="21">
        <v>626</v>
      </c>
      <c r="N30" s="20"/>
      <c r="O30" s="20">
        <v>633.29999999999995</v>
      </c>
      <c r="P30" s="21"/>
      <c r="Q30" s="21">
        <v>630.9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>
        <v>13.6</v>
      </c>
      <c r="J31" s="20">
        <v>13.3</v>
      </c>
      <c r="K31" s="20">
        <v>13.5</v>
      </c>
      <c r="L31" s="21">
        <v>13.2</v>
      </c>
      <c r="M31" s="21">
        <v>13.3</v>
      </c>
      <c r="N31" s="20"/>
      <c r="O31" s="20">
        <v>13.6</v>
      </c>
      <c r="P31" s="21"/>
      <c r="Q31" s="21">
        <v>13.7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4.5999999999999996</v>
      </c>
      <c r="H32" s="21"/>
      <c r="I32" s="21">
        <v>4.8</v>
      </c>
      <c r="J32" s="20">
        <v>4.5</v>
      </c>
      <c r="K32" s="20">
        <v>4.5</v>
      </c>
      <c r="L32" s="21">
        <v>3.9</v>
      </c>
      <c r="M32" s="21">
        <v>3.9</v>
      </c>
      <c r="N32" s="20"/>
      <c r="O32" s="20">
        <v>4.4000000000000004</v>
      </c>
      <c r="P32" s="21"/>
      <c r="Q32" s="21">
        <v>4.9000000000000004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8.9</v>
      </c>
      <c r="H33" s="27">
        <f t="shared" ref="H33:Q33" si="1">H31-H32</f>
        <v>0</v>
      </c>
      <c r="I33" s="27">
        <f t="shared" si="1"/>
        <v>8.8000000000000007</v>
      </c>
      <c r="J33" s="27">
        <f t="shared" si="1"/>
        <v>8.8000000000000007</v>
      </c>
      <c r="K33" s="27">
        <f t="shared" si="1"/>
        <v>9</v>
      </c>
      <c r="L33" s="27">
        <f>L31-L32</f>
        <v>9.2999999999999989</v>
      </c>
      <c r="M33" s="27">
        <f>M31-M32</f>
        <v>9.4</v>
      </c>
      <c r="N33" s="27">
        <f>N31-N32</f>
        <v>0</v>
      </c>
      <c r="O33" s="27">
        <f>O31-O32</f>
        <v>9.1999999999999993</v>
      </c>
      <c r="P33" s="27">
        <f t="shared" si="1"/>
        <v>0</v>
      </c>
      <c r="Q33" s="27">
        <f t="shared" si="1"/>
        <v>8.7999999999999989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6530.0923787528873</v>
      </c>
      <c r="H34" s="28">
        <f t="shared" ref="H34:Q34" si="2">(H33*H30)/0.866</f>
        <v>0</v>
      </c>
      <c r="I34" s="28">
        <f t="shared" si="2"/>
        <v>6375.4272517321015</v>
      </c>
      <c r="J34" s="28">
        <f t="shared" si="2"/>
        <v>6534.3556581986149</v>
      </c>
      <c r="K34" s="28">
        <f t="shared" si="2"/>
        <v>6609.699769053118</v>
      </c>
      <c r="L34" s="28">
        <f>(L33*L30)/0.866</f>
        <v>6987.2424942263269</v>
      </c>
      <c r="M34" s="28">
        <f>(M33*M30)/0.866</f>
        <v>6794.9191685912247</v>
      </c>
      <c r="N34" s="28">
        <f>(N33*N30)/0.866</f>
        <v>0</v>
      </c>
      <c r="O34" s="28">
        <f>(O33*O30)/0.866</f>
        <v>6727.898383371823</v>
      </c>
      <c r="P34" s="28">
        <f t="shared" si="2"/>
        <v>0</v>
      </c>
      <c r="Q34" s="28">
        <f t="shared" si="2"/>
        <v>6410.9930715935325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0.82</v>
      </c>
      <c r="H35" s="21"/>
      <c r="I35" s="21">
        <v>0.84</v>
      </c>
      <c r="J35" s="20">
        <v>0.84</v>
      </c>
      <c r="K35" s="20">
        <v>0.81</v>
      </c>
      <c r="L35" s="21">
        <v>0.83</v>
      </c>
      <c r="M35" s="21">
        <v>0.88</v>
      </c>
      <c r="N35" s="20"/>
      <c r="O35" s="20">
        <v>0.81</v>
      </c>
      <c r="P35" s="21"/>
      <c r="Q35" s="21">
        <v>0.83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36</v>
      </c>
      <c r="H36" s="21"/>
      <c r="I36" s="21">
        <v>36.5</v>
      </c>
      <c r="J36" s="20">
        <v>36.299999999999997</v>
      </c>
      <c r="K36" s="20">
        <v>36.4</v>
      </c>
      <c r="L36" s="21">
        <v>36.299999999999997</v>
      </c>
      <c r="M36" s="21">
        <v>36.4</v>
      </c>
      <c r="N36" s="20"/>
      <c r="O36" s="20">
        <v>35.700000000000003</v>
      </c>
      <c r="P36" s="21"/>
      <c r="Q36" s="21">
        <v>36.299999999999997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36.5</v>
      </c>
      <c r="H37" s="21"/>
      <c r="I37" s="21">
        <v>37.4</v>
      </c>
      <c r="J37" s="20">
        <v>37.1</v>
      </c>
      <c r="K37" s="20">
        <v>37.1</v>
      </c>
      <c r="L37" s="21">
        <v>36.9</v>
      </c>
      <c r="M37" s="21">
        <v>36.799999999999997</v>
      </c>
      <c r="N37" s="20"/>
      <c r="O37" s="20">
        <v>36.1</v>
      </c>
      <c r="P37" s="21"/>
      <c r="Q37" s="21">
        <v>37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1.7000000000000028</v>
      </c>
      <c r="H38" s="27">
        <v>1</v>
      </c>
      <c r="I38" s="27">
        <f t="shared" ref="I38:Q38" si="3">I37-I41</f>
        <v>3.1000000000000014</v>
      </c>
      <c r="J38" s="27">
        <f t="shared" si="3"/>
        <v>2.8000000000000043</v>
      </c>
      <c r="K38" s="27">
        <f t="shared" si="3"/>
        <v>2.1000000000000014</v>
      </c>
      <c r="L38" s="27">
        <f>L37-L41</f>
        <v>2.8999999999999986</v>
      </c>
      <c r="M38" s="27">
        <f>M37-M41</f>
        <v>2.2999999999999972</v>
      </c>
      <c r="N38" s="27">
        <f>N37-N41</f>
        <v>0</v>
      </c>
      <c r="O38" s="27">
        <f>O37-O41</f>
        <v>1.3999999999999986</v>
      </c>
      <c r="P38" s="27">
        <f t="shared" si="3"/>
        <v>0</v>
      </c>
      <c r="Q38" s="27">
        <f t="shared" si="3"/>
        <v>2.3999999999999986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29.6</v>
      </c>
      <c r="H40" s="21"/>
      <c r="I40" s="21">
        <v>29.4</v>
      </c>
      <c r="J40" s="20">
        <v>29</v>
      </c>
      <c r="K40" s="20">
        <v>29.5</v>
      </c>
      <c r="L40" s="21">
        <v>28.8</v>
      </c>
      <c r="M40" s="21">
        <v>29.5</v>
      </c>
      <c r="N40" s="20"/>
      <c r="O40" s="20">
        <v>29.2</v>
      </c>
      <c r="P40" s="21"/>
      <c r="Q40" s="21">
        <v>29.2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34.799999999999997</v>
      </c>
      <c r="H41" s="21"/>
      <c r="I41" s="21">
        <v>34.299999999999997</v>
      </c>
      <c r="J41" s="20">
        <v>34.299999999999997</v>
      </c>
      <c r="K41" s="20">
        <v>35</v>
      </c>
      <c r="L41" s="21">
        <v>34</v>
      </c>
      <c r="M41" s="21">
        <v>34.5</v>
      </c>
      <c r="N41" s="20"/>
      <c r="O41" s="20">
        <v>34.700000000000003</v>
      </c>
      <c r="P41" s="21"/>
      <c r="Q41" s="21">
        <v>34.6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5.1999999999999957</v>
      </c>
      <c r="H42" s="27">
        <f t="shared" ref="H42:Q42" si="4">H41-H40</f>
        <v>0</v>
      </c>
      <c r="I42" s="27">
        <f t="shared" si="4"/>
        <v>4.8999999999999986</v>
      </c>
      <c r="J42" s="27">
        <f t="shared" si="4"/>
        <v>5.2999999999999972</v>
      </c>
      <c r="K42" s="27">
        <f t="shared" si="4"/>
        <v>5.5</v>
      </c>
      <c r="L42" s="27">
        <f>L41-L40</f>
        <v>5.1999999999999993</v>
      </c>
      <c r="M42" s="27">
        <f>M41-M40</f>
        <v>5</v>
      </c>
      <c r="N42" s="27">
        <f>N41-N40</f>
        <v>0</v>
      </c>
      <c r="O42" s="27">
        <f>O41-O40</f>
        <v>5.5000000000000036</v>
      </c>
      <c r="P42" s="27">
        <f t="shared" si="4"/>
        <v>0</v>
      </c>
      <c r="Q42" s="27">
        <f t="shared" si="4"/>
        <v>5.4000000000000021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1296.9000000000001</v>
      </c>
      <c r="H43" s="21"/>
      <c r="I43" s="21">
        <v>1295.5</v>
      </c>
      <c r="J43" s="20">
        <v>1298.5</v>
      </c>
      <c r="K43" s="20">
        <v>1293.3</v>
      </c>
      <c r="L43" s="21">
        <v>1295.1400000000001</v>
      </c>
      <c r="M43" s="20">
        <v>1295.9000000000001</v>
      </c>
      <c r="N43" s="20"/>
      <c r="O43" s="20">
        <v>1291.7</v>
      </c>
      <c r="P43" s="21"/>
      <c r="Q43" s="21">
        <v>1295.9000000000001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7787.3903002309407</v>
      </c>
      <c r="H44" s="28">
        <f t="shared" ref="H44:Q44" si="5">H42*H43/0.866</f>
        <v>0</v>
      </c>
      <c r="I44" s="28">
        <f t="shared" si="5"/>
        <v>7330.1963048498819</v>
      </c>
      <c r="J44" s="28">
        <f t="shared" si="5"/>
        <v>7946.93995381062</v>
      </c>
      <c r="K44" s="28">
        <f t="shared" si="5"/>
        <v>8213.79907621247</v>
      </c>
      <c r="L44" s="28">
        <f>L42*L43/0.866</f>
        <v>7776.8221709006921</v>
      </c>
      <c r="M44" s="28">
        <f>M42*M43/0.866</f>
        <v>7482.1016166281752</v>
      </c>
      <c r="N44" s="28">
        <f>N42*N43/0.866</f>
        <v>0</v>
      </c>
      <c r="O44" s="28">
        <f>O42*O43/0.866</f>
        <v>8203.6374133949248</v>
      </c>
      <c r="P44" s="28">
        <f t="shared" si="5"/>
        <v>0</v>
      </c>
      <c r="Q44" s="28">
        <f t="shared" si="5"/>
        <v>8080.6697459584339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0.46</v>
      </c>
      <c r="K45" s="20">
        <v>0.46</v>
      </c>
      <c r="L45" s="21">
        <v>0.47</v>
      </c>
      <c r="M45" s="21">
        <v>0.47</v>
      </c>
      <c r="N45" s="20"/>
      <c r="O45" s="20">
        <v>0.45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20.2</v>
      </c>
      <c r="H46" s="21"/>
      <c r="I46" s="21">
        <v>19.5</v>
      </c>
      <c r="J46" s="20">
        <v>19.7</v>
      </c>
      <c r="K46" s="20">
        <v>19.8</v>
      </c>
      <c r="L46" s="21">
        <v>19.8</v>
      </c>
      <c r="M46" s="21">
        <v>20</v>
      </c>
      <c r="N46" s="20"/>
      <c r="O46" s="20">
        <v>19.2</v>
      </c>
      <c r="P46" s="21"/>
      <c r="Q46" s="21">
        <v>20.100000000000001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195.9</v>
      </c>
      <c r="H47" s="21"/>
      <c r="I47" s="21">
        <v>128.69999999999999</v>
      </c>
      <c r="J47" s="20">
        <v>206.6</v>
      </c>
      <c r="K47" s="20">
        <v>202.3</v>
      </c>
      <c r="L47" s="21">
        <v>201.6</v>
      </c>
      <c r="M47" s="21">
        <v>205.9</v>
      </c>
      <c r="N47" s="20"/>
      <c r="O47" s="20">
        <v>161.19999999999999</v>
      </c>
      <c r="P47" s="21"/>
      <c r="Q47" s="21">
        <v>191.2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75">
        <v>5.89</v>
      </c>
      <c r="F49" s="20"/>
      <c r="G49" s="20">
        <v>6.1</v>
      </c>
      <c r="H49" s="21"/>
      <c r="I49" s="21">
        <v>5.66</v>
      </c>
      <c r="J49" s="20">
        <v>5.67</v>
      </c>
      <c r="K49" s="20">
        <v>5.66</v>
      </c>
      <c r="L49" s="21">
        <v>5.73</v>
      </c>
      <c r="M49" s="21">
        <v>5.81</v>
      </c>
      <c r="N49" s="20"/>
      <c r="O49" s="20">
        <v>5.65</v>
      </c>
      <c r="P49" s="21"/>
      <c r="Q49" s="21">
        <v>5.26</v>
      </c>
    </row>
    <row r="50" spans="2:17" ht="20.100000000000001" customHeight="1">
      <c r="B50" s="92" t="s">
        <v>91</v>
      </c>
      <c r="C50" s="92"/>
      <c r="D50" s="92"/>
      <c r="E50" s="7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7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4" zoomScale="85" zoomScaleNormal="60" workbookViewId="0">
      <selection activeCell="H28" sqref="H28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45801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77" t="s">
        <v>18</v>
      </c>
      <c r="E10" s="15"/>
      <c r="F10" s="17" t="s">
        <v>19</v>
      </c>
      <c r="G10" s="17" t="s">
        <v>19</v>
      </c>
      <c r="H10" s="18"/>
      <c r="I10" s="18" t="s">
        <v>19</v>
      </c>
      <c r="J10" s="17"/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70.3</v>
      </c>
      <c r="G11" s="20">
        <v>70.3</v>
      </c>
      <c r="H11" s="21"/>
      <c r="I11" s="21">
        <v>75.5</v>
      </c>
      <c r="J11" s="20"/>
      <c r="K11" s="20">
        <v>73.3</v>
      </c>
      <c r="L11" s="21"/>
      <c r="M11" s="21">
        <v>74.400000000000006</v>
      </c>
      <c r="N11" s="20">
        <v>72.7</v>
      </c>
      <c r="O11" s="20">
        <v>74.3</v>
      </c>
      <c r="P11" s="21"/>
      <c r="Q11" s="21">
        <v>75.2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0.8</v>
      </c>
      <c r="G12" s="20">
        <v>0.8</v>
      </c>
      <c r="H12" s="21"/>
      <c r="I12" s="21">
        <v>0</v>
      </c>
      <c r="J12" s="20"/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64.599999999999994</v>
      </c>
      <c r="G13" s="20">
        <v>64.5</v>
      </c>
      <c r="H13" s="21"/>
      <c r="I13" s="21">
        <v>71.099999999999994</v>
      </c>
      <c r="J13" s="20"/>
      <c r="K13" s="20">
        <v>67.099999999999994</v>
      </c>
      <c r="L13" s="21"/>
      <c r="M13" s="21">
        <v>70</v>
      </c>
      <c r="N13" s="20">
        <v>67.3</v>
      </c>
      <c r="O13" s="20">
        <v>69.099999999999994</v>
      </c>
      <c r="P13" s="21"/>
      <c r="Q13" s="21">
        <v>69.900000000000006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69.2</v>
      </c>
      <c r="G14" s="20">
        <v>69.3</v>
      </c>
      <c r="H14" s="21"/>
      <c r="I14" s="21">
        <v>70.7</v>
      </c>
      <c r="J14" s="20"/>
      <c r="K14" s="20">
        <v>65.400000000000006</v>
      </c>
      <c r="L14" s="21"/>
      <c r="M14" s="21">
        <v>67.900000000000006</v>
      </c>
      <c r="N14" s="20">
        <v>74.7</v>
      </c>
      <c r="O14" s="20">
        <v>75</v>
      </c>
      <c r="P14" s="21"/>
      <c r="Q14" s="21">
        <v>72.7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35.200000000000003</v>
      </c>
      <c r="G15" s="20">
        <v>37.5</v>
      </c>
      <c r="H15" s="21"/>
      <c r="I15" s="21">
        <v>50.8</v>
      </c>
      <c r="J15" s="20"/>
      <c r="K15" s="20">
        <v>37.1</v>
      </c>
      <c r="L15" s="21"/>
      <c r="M15" s="21">
        <v>35.700000000000003</v>
      </c>
      <c r="N15" s="20">
        <v>49.8</v>
      </c>
      <c r="O15" s="20">
        <v>54.6</v>
      </c>
      <c r="P15" s="21"/>
      <c r="Q15" s="21">
        <v>45.6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117.1</v>
      </c>
      <c r="G17" s="20">
        <v>116.3</v>
      </c>
      <c r="H17" s="21"/>
      <c r="I17" s="21">
        <v>115.3</v>
      </c>
      <c r="J17" s="20"/>
      <c r="K17" s="20">
        <v>116.4</v>
      </c>
      <c r="L17" s="21"/>
      <c r="M17" s="21">
        <v>117</v>
      </c>
      <c r="N17" s="20">
        <v>117.8</v>
      </c>
      <c r="O17" s="20">
        <v>117.4</v>
      </c>
      <c r="P17" s="21"/>
      <c r="Q17" s="21">
        <v>119.4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1147</v>
      </c>
      <c r="G18" s="20">
        <v>1156</v>
      </c>
      <c r="H18" s="21"/>
      <c r="I18" s="21">
        <v>1172</v>
      </c>
      <c r="J18" s="20"/>
      <c r="K18" s="20">
        <v>1166</v>
      </c>
      <c r="L18" s="21"/>
      <c r="M18" s="21">
        <v>1178</v>
      </c>
      <c r="N18" s="20">
        <v>1197</v>
      </c>
      <c r="O18" s="20">
        <v>1183</v>
      </c>
      <c r="P18" s="21"/>
      <c r="Q18" s="21">
        <v>1201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>
        <v>50498.8</v>
      </c>
      <c r="G19" s="20">
        <v>50487.9</v>
      </c>
      <c r="H19" s="21"/>
      <c r="I19" s="21">
        <v>51519</v>
      </c>
      <c r="J19" s="20"/>
      <c r="K19" s="20">
        <v>49422.1</v>
      </c>
      <c r="L19" s="21"/>
      <c r="M19" s="21">
        <v>51850.2</v>
      </c>
      <c r="N19" s="20">
        <v>51025.8</v>
      </c>
      <c r="O19" s="20">
        <v>51015</v>
      </c>
      <c r="P19" s="21"/>
      <c r="Q19" s="21">
        <v>50890.6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58.1</v>
      </c>
      <c r="G22" s="20">
        <v>58.1</v>
      </c>
      <c r="H22" s="21"/>
      <c r="I22" s="21">
        <v>59.2</v>
      </c>
      <c r="J22" s="20"/>
      <c r="K22" s="20">
        <v>58.1</v>
      </c>
      <c r="L22" s="21"/>
      <c r="M22" s="21">
        <v>57.3</v>
      </c>
      <c r="N22" s="20">
        <v>58.9</v>
      </c>
      <c r="O22" s="20">
        <v>58.7</v>
      </c>
      <c r="P22" s="21"/>
      <c r="Q22" s="21">
        <v>59.2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0.53</v>
      </c>
      <c r="G23" s="20">
        <v>0.53</v>
      </c>
      <c r="H23" s="21"/>
      <c r="I23" s="21">
        <v>0.46</v>
      </c>
      <c r="J23" s="20"/>
      <c r="K23" s="20">
        <v>0.57999999999999996</v>
      </c>
      <c r="L23" s="21"/>
      <c r="M23" s="21">
        <v>0.52</v>
      </c>
      <c r="N23" s="20">
        <v>0.48</v>
      </c>
      <c r="O23" s="20">
        <v>0.48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45</v>
      </c>
      <c r="G25" s="20">
        <v>45.1</v>
      </c>
      <c r="H25" s="21"/>
      <c r="I25" s="21">
        <v>44.9</v>
      </c>
      <c r="J25" s="20"/>
      <c r="K25" s="20">
        <v>45</v>
      </c>
      <c r="L25" s="21"/>
      <c r="M25" s="21">
        <v>45.1</v>
      </c>
      <c r="N25" s="20">
        <v>44.9</v>
      </c>
      <c r="O25" s="20">
        <v>45.1</v>
      </c>
      <c r="P25" s="21"/>
      <c r="Q25" s="21">
        <v>44.8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0.25</v>
      </c>
      <c r="G26" s="20">
        <v>0.23</v>
      </c>
      <c r="H26" s="21"/>
      <c r="I26" s="21">
        <v>0.22</v>
      </c>
      <c r="J26" s="20"/>
      <c r="K26" s="20">
        <v>0.22</v>
      </c>
      <c r="L26" s="21"/>
      <c r="M26" s="21">
        <v>0.22</v>
      </c>
      <c r="N26" s="20">
        <v>0.23</v>
      </c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4.2</v>
      </c>
      <c r="G27" s="20">
        <v>4.4000000000000004</v>
      </c>
      <c r="H27" s="21"/>
      <c r="I27" s="21">
        <v>3.6</v>
      </c>
      <c r="J27" s="20"/>
      <c r="K27" s="20">
        <v>3.9</v>
      </c>
      <c r="L27" s="21"/>
      <c r="M27" s="21">
        <v>3.8</v>
      </c>
      <c r="N27" s="20">
        <v>4.8</v>
      </c>
      <c r="O27" s="20">
        <v>4.0999999999999996</v>
      </c>
      <c r="P27" s="21"/>
      <c r="Q27" s="21">
        <v>4.5999999999999996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3.9</v>
      </c>
      <c r="G28" s="20">
        <v>3.7</v>
      </c>
      <c r="H28" s="21"/>
      <c r="I28" s="21">
        <v>2.8</v>
      </c>
      <c r="J28" s="20"/>
      <c r="K28" s="20">
        <v>3.2</v>
      </c>
      <c r="L28" s="21"/>
      <c r="M28" s="21">
        <v>2.8</v>
      </c>
      <c r="N28" s="20">
        <v>3.2</v>
      </c>
      <c r="O28" s="20">
        <v>3.3</v>
      </c>
      <c r="P28" s="21"/>
      <c r="Q28" s="21">
        <v>3.5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0.69999999999999973</v>
      </c>
      <c r="G29" s="27">
        <f>G32-G28</f>
        <v>0.89999999999999947</v>
      </c>
      <c r="H29" s="27">
        <f t="shared" ref="H29:Q29" si="0">H32-H28</f>
        <v>0</v>
      </c>
      <c r="I29" s="27">
        <f t="shared" si="0"/>
        <v>2.1000000000000005</v>
      </c>
      <c r="J29" s="27"/>
      <c r="K29" s="27">
        <f t="shared" si="0"/>
        <v>0.79999999999999982</v>
      </c>
      <c r="L29" s="27">
        <f>L32-L28</f>
        <v>0</v>
      </c>
      <c r="M29" s="27">
        <f>M32-M28</f>
        <v>1.2999999999999998</v>
      </c>
      <c r="N29" s="27">
        <f>N32-N28</f>
        <v>1.2999999999999998</v>
      </c>
      <c r="O29" s="27">
        <f>O32-O28</f>
        <v>1</v>
      </c>
      <c r="P29" s="27">
        <f t="shared" si="0"/>
        <v>0</v>
      </c>
      <c r="Q29" s="27">
        <f t="shared" si="0"/>
        <v>1.2000000000000002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630.1</v>
      </c>
      <c r="G30" s="20">
        <v>627</v>
      </c>
      <c r="H30" s="21"/>
      <c r="I30" s="21">
        <v>639.20000000000005</v>
      </c>
      <c r="J30" s="20"/>
      <c r="K30" s="20">
        <v>639.9</v>
      </c>
      <c r="L30" s="21"/>
      <c r="M30" s="21">
        <v>628.79999999999995</v>
      </c>
      <c r="N30" s="20">
        <v>637.6</v>
      </c>
      <c r="O30" s="20">
        <v>634.5</v>
      </c>
      <c r="P30" s="21"/>
      <c r="Q30" s="21">
        <v>630.9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13.6</v>
      </c>
      <c r="G31" s="20">
        <v>14.1</v>
      </c>
      <c r="H31" s="21"/>
      <c r="I31" s="21">
        <v>14.1</v>
      </c>
      <c r="J31" s="20"/>
      <c r="K31" s="20">
        <v>13</v>
      </c>
      <c r="L31" s="21"/>
      <c r="M31" s="21">
        <v>13.4</v>
      </c>
      <c r="N31" s="20">
        <v>13.4</v>
      </c>
      <c r="O31" s="20">
        <v>13.6</v>
      </c>
      <c r="P31" s="21"/>
      <c r="Q31" s="21">
        <v>13.4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4.5999999999999996</v>
      </c>
      <c r="G32" s="20">
        <v>4.5999999999999996</v>
      </c>
      <c r="H32" s="21"/>
      <c r="I32" s="21">
        <v>4.9000000000000004</v>
      </c>
      <c r="J32" s="20"/>
      <c r="K32" s="20">
        <v>4</v>
      </c>
      <c r="L32" s="21"/>
      <c r="M32" s="21">
        <v>4.0999999999999996</v>
      </c>
      <c r="N32" s="20">
        <v>4.5</v>
      </c>
      <c r="O32" s="20">
        <v>4.3</v>
      </c>
      <c r="P32" s="21"/>
      <c r="Q32" s="21">
        <v>4.7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9</v>
      </c>
      <c r="G33" s="27">
        <f>G31-G32</f>
        <v>9.5</v>
      </c>
      <c r="H33" s="27">
        <f t="shared" ref="H33:Q33" si="1">H31-H32</f>
        <v>0</v>
      </c>
      <c r="I33" s="27">
        <f t="shared" si="1"/>
        <v>9.1999999999999993</v>
      </c>
      <c r="J33" s="27">
        <f t="shared" si="1"/>
        <v>0</v>
      </c>
      <c r="K33" s="27">
        <f t="shared" si="1"/>
        <v>9</v>
      </c>
      <c r="L33" s="27">
        <f>L31-L32</f>
        <v>0</v>
      </c>
      <c r="M33" s="27">
        <f>M31-M32</f>
        <v>9.3000000000000007</v>
      </c>
      <c r="N33" s="27">
        <f>N31-N32</f>
        <v>8.9</v>
      </c>
      <c r="O33" s="27">
        <f>O31-O32</f>
        <v>9.3000000000000007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6548.3833718244814</v>
      </c>
      <c r="G34" s="28">
        <f>(G33*G30)/0.866</f>
        <v>6878.1755196304848</v>
      </c>
      <c r="H34" s="28">
        <f t="shared" ref="H34:Q34" si="2">(H33*H30)/0.866</f>
        <v>0</v>
      </c>
      <c r="I34" s="28">
        <f t="shared" si="2"/>
        <v>6790.5773672055429</v>
      </c>
      <c r="J34" s="28">
        <f t="shared" si="2"/>
        <v>0</v>
      </c>
      <c r="K34" s="28">
        <f t="shared" si="2"/>
        <v>6650.2309468822168</v>
      </c>
      <c r="L34" s="28">
        <f>(L33*L30)/0.866</f>
        <v>0</v>
      </c>
      <c r="M34" s="28">
        <f>(M33*M30)/0.866</f>
        <v>6752.7020785219402</v>
      </c>
      <c r="N34" s="28">
        <f>(N33*N30)/0.866</f>
        <v>6552.7020785219402</v>
      </c>
      <c r="O34" s="28">
        <f>(O33*O30)/0.866</f>
        <v>6813.9145496535803</v>
      </c>
      <c r="P34" s="28">
        <f t="shared" si="2"/>
        <v>0</v>
      </c>
      <c r="Q34" s="28">
        <f t="shared" si="2"/>
        <v>6338.1408775981517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0.83</v>
      </c>
      <c r="G35" s="20">
        <v>0.81</v>
      </c>
      <c r="H35" s="21"/>
      <c r="I35" s="21">
        <v>0.83</v>
      </c>
      <c r="J35" s="20"/>
      <c r="K35" s="20">
        <v>0.82</v>
      </c>
      <c r="L35" s="21"/>
      <c r="M35" s="21">
        <v>0.82</v>
      </c>
      <c r="N35" s="20">
        <v>0.82</v>
      </c>
      <c r="O35" s="20">
        <v>0.82</v>
      </c>
      <c r="P35" s="21"/>
      <c r="Q35" s="21">
        <v>0.82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36.5</v>
      </c>
      <c r="G36" s="20">
        <v>35.799999999999997</v>
      </c>
      <c r="H36" s="21"/>
      <c r="I36" s="21">
        <v>36.1</v>
      </c>
      <c r="J36" s="20"/>
      <c r="K36" s="20">
        <v>35.9</v>
      </c>
      <c r="L36" s="21"/>
      <c r="M36" s="21">
        <v>35.9</v>
      </c>
      <c r="N36" s="20">
        <v>36.299999999999997</v>
      </c>
      <c r="O36" s="20">
        <v>35.200000000000003</v>
      </c>
      <c r="P36" s="21"/>
      <c r="Q36" s="21">
        <v>35.9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37</v>
      </c>
      <c r="G37" s="20">
        <v>36.200000000000003</v>
      </c>
      <c r="H37" s="21"/>
      <c r="I37" s="21">
        <v>37</v>
      </c>
      <c r="J37" s="20"/>
      <c r="K37" s="20">
        <v>36.6</v>
      </c>
      <c r="L37" s="21"/>
      <c r="M37" s="21">
        <v>36.4</v>
      </c>
      <c r="N37" s="20">
        <v>36.700000000000003</v>
      </c>
      <c r="O37" s="20">
        <v>35.6</v>
      </c>
      <c r="P37" s="21"/>
      <c r="Q37" s="21">
        <v>36.6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1.7000000000000028</v>
      </c>
      <c r="G38" s="27">
        <f>G37-G41</f>
        <v>1.7000000000000028</v>
      </c>
      <c r="H38" s="27">
        <v>1</v>
      </c>
      <c r="I38" s="27">
        <f t="shared" ref="I38:Q38" si="3">I37-I41</f>
        <v>3.2000000000000028</v>
      </c>
      <c r="J38" s="27">
        <f t="shared" si="3"/>
        <v>0</v>
      </c>
      <c r="K38" s="27">
        <f t="shared" si="3"/>
        <v>2.1000000000000014</v>
      </c>
      <c r="L38" s="27">
        <f>L37-L41</f>
        <v>0</v>
      </c>
      <c r="M38" s="27">
        <f>M37-M41</f>
        <v>2.2999999999999972</v>
      </c>
      <c r="N38" s="27">
        <f>N37-N41</f>
        <v>1.5</v>
      </c>
      <c r="O38" s="27">
        <f>O37-O41</f>
        <v>1.6000000000000014</v>
      </c>
      <c r="P38" s="27">
        <f t="shared" si="3"/>
        <v>0</v>
      </c>
      <c r="Q38" s="27">
        <f t="shared" si="3"/>
        <v>2.3999999999999986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30.1</v>
      </c>
      <c r="G40" s="20">
        <v>29.1</v>
      </c>
      <c r="H40" s="21"/>
      <c r="I40" s="21">
        <v>29</v>
      </c>
      <c r="J40" s="20"/>
      <c r="K40" s="20">
        <v>29.1</v>
      </c>
      <c r="L40" s="21"/>
      <c r="M40" s="21">
        <v>29</v>
      </c>
      <c r="N40" s="20">
        <v>29.8</v>
      </c>
      <c r="O40" s="20">
        <v>28.8</v>
      </c>
      <c r="P40" s="21"/>
      <c r="Q40" s="21">
        <v>28.8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35.299999999999997</v>
      </c>
      <c r="G41" s="20">
        <v>34.5</v>
      </c>
      <c r="H41" s="21"/>
      <c r="I41" s="21">
        <v>33.799999999999997</v>
      </c>
      <c r="J41" s="20"/>
      <c r="K41" s="20">
        <v>34.5</v>
      </c>
      <c r="L41" s="21"/>
      <c r="M41" s="21">
        <v>34.1</v>
      </c>
      <c r="N41" s="20">
        <v>35.200000000000003</v>
      </c>
      <c r="O41" s="20">
        <v>34</v>
      </c>
      <c r="P41" s="21"/>
      <c r="Q41" s="21">
        <v>34.200000000000003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5.1999999999999957</v>
      </c>
      <c r="G42" s="27">
        <f>G41-G40</f>
        <v>5.3999999999999986</v>
      </c>
      <c r="H42" s="27">
        <f t="shared" ref="H42:Q42" si="4">H41-H40</f>
        <v>0</v>
      </c>
      <c r="I42" s="27">
        <f t="shared" si="4"/>
        <v>4.7999999999999972</v>
      </c>
      <c r="J42" s="27">
        <f t="shared" si="4"/>
        <v>0</v>
      </c>
      <c r="K42" s="27">
        <f t="shared" si="4"/>
        <v>5.3999999999999986</v>
      </c>
      <c r="L42" s="27">
        <f>L41-L40</f>
        <v>0</v>
      </c>
      <c r="M42" s="27">
        <f>M41-M40</f>
        <v>5.1000000000000014</v>
      </c>
      <c r="N42" s="27">
        <f>N41-N40</f>
        <v>5.4000000000000021</v>
      </c>
      <c r="O42" s="27">
        <f>O41-O40</f>
        <v>5.1999999999999993</v>
      </c>
      <c r="P42" s="27">
        <f t="shared" si="4"/>
        <v>0</v>
      </c>
      <c r="Q42" s="27">
        <f t="shared" si="4"/>
        <v>5.4000000000000021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1301.5</v>
      </c>
      <c r="G43" s="20">
        <v>1297.0999999999999</v>
      </c>
      <c r="H43" s="21"/>
      <c r="I43" s="21">
        <v>1293.5999999999999</v>
      </c>
      <c r="J43" s="20"/>
      <c r="K43" s="20">
        <v>1296.0999999999999</v>
      </c>
      <c r="L43" s="21"/>
      <c r="M43" s="20">
        <v>1297.5999999999999</v>
      </c>
      <c r="N43" s="20">
        <v>1295.7</v>
      </c>
      <c r="O43" s="20">
        <v>1297.2</v>
      </c>
      <c r="P43" s="21"/>
      <c r="Q43" s="21">
        <v>1291.3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7815.0115473441047</v>
      </c>
      <c r="G44" s="28">
        <f>G42*G43/0.866</f>
        <v>8088.15242494226</v>
      </c>
      <c r="H44" s="28">
        <f t="shared" ref="H44:Q44" si="5">H42*H43/0.866</f>
        <v>0</v>
      </c>
      <c r="I44" s="28">
        <f t="shared" si="5"/>
        <v>7170.0692840646607</v>
      </c>
      <c r="J44" s="28">
        <f t="shared" si="5"/>
        <v>0</v>
      </c>
      <c r="K44" s="28">
        <f t="shared" si="5"/>
        <v>8081.9168591223997</v>
      </c>
      <c r="L44" s="28">
        <f>L42*L43/0.866</f>
        <v>0</v>
      </c>
      <c r="M44" s="28">
        <f>M42*M43/0.866</f>
        <v>7641.7551963048509</v>
      </c>
      <c r="N44" s="28">
        <f>N42*N43/0.866</f>
        <v>8079.4226327944616</v>
      </c>
      <c r="O44" s="28">
        <f>O42*O43/0.866</f>
        <v>7789.1916859122402</v>
      </c>
      <c r="P44" s="28">
        <f t="shared" si="5"/>
        <v>0</v>
      </c>
      <c r="Q44" s="28">
        <f t="shared" si="5"/>
        <v>8051.9861431870695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0.47</v>
      </c>
      <c r="G45" s="20">
        <v>0.47</v>
      </c>
      <c r="H45" s="21"/>
      <c r="I45" s="21">
        <v>0.46</v>
      </c>
      <c r="J45" s="20"/>
      <c r="K45" s="20">
        <v>0.46</v>
      </c>
      <c r="L45" s="21"/>
      <c r="M45" s="21">
        <v>0.46</v>
      </c>
      <c r="N45" s="20">
        <v>0.47</v>
      </c>
      <c r="O45" s="20">
        <v>0.45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20.3</v>
      </c>
      <c r="G46" s="20">
        <v>20.100000000000001</v>
      </c>
      <c r="H46" s="21"/>
      <c r="I46" s="21">
        <v>19.5</v>
      </c>
      <c r="J46" s="20"/>
      <c r="K46" s="20">
        <v>19.7</v>
      </c>
      <c r="L46" s="21"/>
      <c r="M46" s="21">
        <v>19.5</v>
      </c>
      <c r="N46" s="20">
        <v>20.100000000000001</v>
      </c>
      <c r="O46" s="20">
        <v>19</v>
      </c>
      <c r="P46" s="21"/>
      <c r="Q46" s="21">
        <v>19.8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192.4</v>
      </c>
      <c r="G47" s="20">
        <v>206</v>
      </c>
      <c r="H47" s="21"/>
      <c r="I47" s="21">
        <v>124.7</v>
      </c>
      <c r="J47" s="20"/>
      <c r="K47" s="20">
        <v>204</v>
      </c>
      <c r="L47" s="21"/>
      <c r="M47" s="21">
        <v>207.5</v>
      </c>
      <c r="N47" s="20">
        <v>161.6</v>
      </c>
      <c r="O47" s="20">
        <v>159</v>
      </c>
      <c r="P47" s="21"/>
      <c r="Q47" s="21">
        <v>195.7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77">
        <v>5.89</v>
      </c>
      <c r="F49" s="20">
        <v>5.92</v>
      </c>
      <c r="G49" s="20">
        <v>5.89</v>
      </c>
      <c r="H49" s="21"/>
      <c r="I49" s="21">
        <v>5.58</v>
      </c>
      <c r="J49" s="20"/>
      <c r="K49" s="20">
        <v>5.73</v>
      </c>
      <c r="L49" s="21"/>
      <c r="M49" s="21">
        <v>5.83</v>
      </c>
      <c r="N49" s="20">
        <v>5.59</v>
      </c>
      <c r="O49" s="20">
        <v>5.78</v>
      </c>
      <c r="P49" s="21"/>
      <c r="Q49" s="21">
        <v>5.48</v>
      </c>
    </row>
    <row r="50" spans="2:17" ht="20.100000000000001" customHeight="1">
      <c r="B50" s="92" t="s">
        <v>91</v>
      </c>
      <c r="C50" s="92"/>
      <c r="D50" s="92"/>
      <c r="E50" s="7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7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4" zoomScale="85" zoomScaleNormal="60" workbookViewId="0">
      <selection activeCell="M10" sqref="M10:M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45802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79" t="s">
        <v>18</v>
      </c>
      <c r="E10" s="15"/>
      <c r="F10" s="17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69.2</v>
      </c>
      <c r="H11" s="21"/>
      <c r="I11" s="21">
        <v>77.400000000000006</v>
      </c>
      <c r="J11" s="20">
        <v>73.8</v>
      </c>
      <c r="K11" s="20">
        <v>73.400000000000006</v>
      </c>
      <c r="L11" s="21">
        <v>76.7</v>
      </c>
      <c r="M11" s="21">
        <v>76.7</v>
      </c>
      <c r="N11" s="20"/>
      <c r="O11" s="20">
        <v>74.599999999999994</v>
      </c>
      <c r="P11" s="21"/>
      <c r="Q11" s="21">
        <v>72.900000000000006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0.9</v>
      </c>
      <c r="H12" s="21"/>
      <c r="I12" s="21">
        <v>0</v>
      </c>
      <c r="J12" s="20">
        <v>0</v>
      </c>
      <c r="K12" s="20">
        <v>0</v>
      </c>
      <c r="L12" s="21">
        <v>0</v>
      </c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62.6</v>
      </c>
      <c r="H13" s="21"/>
      <c r="I13" s="21">
        <v>72.7</v>
      </c>
      <c r="J13" s="20">
        <v>69.8</v>
      </c>
      <c r="K13" s="20">
        <v>68.3</v>
      </c>
      <c r="L13" s="21">
        <v>72.7</v>
      </c>
      <c r="M13" s="21">
        <v>72.7</v>
      </c>
      <c r="N13" s="20"/>
      <c r="O13" s="20">
        <v>69.3</v>
      </c>
      <c r="P13" s="21"/>
      <c r="Q13" s="21">
        <v>66.599999999999994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69.400000000000006</v>
      </c>
      <c r="H14" s="21"/>
      <c r="I14" s="21">
        <v>70.8</v>
      </c>
      <c r="J14" s="20">
        <v>64.3</v>
      </c>
      <c r="K14" s="20">
        <v>63.2</v>
      </c>
      <c r="L14" s="21">
        <v>67.2</v>
      </c>
      <c r="M14" s="21">
        <v>67</v>
      </c>
      <c r="N14" s="20"/>
      <c r="O14" s="20">
        <v>75</v>
      </c>
      <c r="P14" s="21"/>
      <c r="Q14" s="21">
        <v>73.5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34.799999999999997</v>
      </c>
      <c r="H15" s="21"/>
      <c r="I15" s="21">
        <v>50.9</v>
      </c>
      <c r="J15" s="20">
        <v>38.200000000000003</v>
      </c>
      <c r="K15" s="20">
        <v>38.6</v>
      </c>
      <c r="L15" s="21">
        <v>35.200000000000003</v>
      </c>
      <c r="M15" s="21">
        <v>35.1</v>
      </c>
      <c r="N15" s="20"/>
      <c r="O15" s="20">
        <v>50.3</v>
      </c>
      <c r="P15" s="21"/>
      <c r="Q15" s="21">
        <v>42.9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115.8</v>
      </c>
      <c r="H17" s="21"/>
      <c r="I17" s="21">
        <v>116.3</v>
      </c>
      <c r="J17" s="20">
        <v>116.2</v>
      </c>
      <c r="K17" s="20">
        <v>115.4</v>
      </c>
      <c r="L17" s="21">
        <v>119.5</v>
      </c>
      <c r="M17" s="21">
        <v>119.3</v>
      </c>
      <c r="N17" s="20"/>
      <c r="O17" s="20">
        <v>117.7</v>
      </c>
      <c r="P17" s="21"/>
      <c r="Q17" s="21">
        <v>117.8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1131</v>
      </c>
      <c r="H18" s="21"/>
      <c r="I18" s="21">
        <v>1179</v>
      </c>
      <c r="J18" s="20">
        <v>1201</v>
      </c>
      <c r="K18" s="20">
        <v>1188</v>
      </c>
      <c r="L18" s="21">
        <v>1224</v>
      </c>
      <c r="M18" s="21">
        <v>1214</v>
      </c>
      <c r="N18" s="20"/>
      <c r="O18" s="20">
        <v>1200</v>
      </c>
      <c r="P18" s="21"/>
      <c r="Q18" s="21">
        <v>1200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/>
      <c r="H19" s="21"/>
      <c r="I19" s="21">
        <v>49431.8</v>
      </c>
      <c r="J19" s="20">
        <v>49440.800000000003</v>
      </c>
      <c r="K19" s="20">
        <v>51859.8</v>
      </c>
      <c r="L19" s="21">
        <v>51868.800000000003</v>
      </c>
      <c r="M19" s="21"/>
      <c r="N19" s="20"/>
      <c r="O19" s="20"/>
      <c r="P19" s="21"/>
      <c r="Q19" s="21">
        <v>50898.7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58</v>
      </c>
      <c r="H22" s="21"/>
      <c r="I22" s="21">
        <v>59.2</v>
      </c>
      <c r="J22" s="20">
        <v>57.9</v>
      </c>
      <c r="K22" s="20">
        <v>57.8</v>
      </c>
      <c r="L22" s="21">
        <v>57.3</v>
      </c>
      <c r="M22" s="21">
        <v>57.4</v>
      </c>
      <c r="N22" s="20"/>
      <c r="O22" s="20">
        <v>58.9</v>
      </c>
      <c r="P22" s="21"/>
      <c r="Q22" s="21">
        <v>59.1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0.59</v>
      </c>
      <c r="K23" s="20">
        <v>0.59</v>
      </c>
      <c r="L23" s="21">
        <v>0.59</v>
      </c>
      <c r="M23" s="21">
        <v>0.52</v>
      </c>
      <c r="N23" s="20"/>
      <c r="O23" s="20">
        <v>0.49</v>
      </c>
      <c r="P23" s="21"/>
      <c r="Q23" s="21">
        <v>0.5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44.9</v>
      </c>
      <c r="H25" s="21"/>
      <c r="I25" s="21">
        <v>45</v>
      </c>
      <c r="J25" s="20">
        <v>44.9</v>
      </c>
      <c r="K25" s="20">
        <v>44.9</v>
      </c>
      <c r="L25" s="21">
        <v>45.1</v>
      </c>
      <c r="M25" s="21">
        <v>45</v>
      </c>
      <c r="N25" s="20"/>
      <c r="O25" s="20">
        <v>44.9</v>
      </c>
      <c r="P25" s="21"/>
      <c r="Q25" s="21">
        <v>45.1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>
        <v>0.25</v>
      </c>
      <c r="K26" s="20">
        <v>0.22</v>
      </c>
      <c r="L26" s="21">
        <v>0.23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4.5</v>
      </c>
      <c r="H27" s="21"/>
      <c r="I27" s="21">
        <v>3.5</v>
      </c>
      <c r="J27" s="20">
        <v>4.4000000000000004</v>
      </c>
      <c r="K27" s="20">
        <v>4.3</v>
      </c>
      <c r="L27" s="21">
        <v>4.5</v>
      </c>
      <c r="M27" s="21">
        <v>4</v>
      </c>
      <c r="N27" s="20"/>
      <c r="O27" s="20">
        <v>4.4000000000000004</v>
      </c>
      <c r="P27" s="21"/>
      <c r="Q27" s="21">
        <v>4.9000000000000004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4.0999999999999996</v>
      </c>
      <c r="H28" s="21"/>
      <c r="I28" s="21">
        <v>2.7</v>
      </c>
      <c r="J28" s="20">
        <v>3.4</v>
      </c>
      <c r="K28" s="20">
        <v>3.3</v>
      </c>
      <c r="L28" s="21">
        <v>3.5</v>
      </c>
      <c r="M28" s="21">
        <v>3</v>
      </c>
      <c r="N28" s="20"/>
      <c r="O28" s="20">
        <v>3.2</v>
      </c>
      <c r="P28" s="21"/>
      <c r="Q28" s="21">
        <v>4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0.80000000000000071</v>
      </c>
      <c r="H29" s="27">
        <f t="shared" ref="H29:Q29" si="0">H32-H28</f>
        <v>0</v>
      </c>
      <c r="I29" s="27">
        <f t="shared" si="0"/>
        <v>2.3999999999999995</v>
      </c>
      <c r="J29" s="27"/>
      <c r="K29" s="27">
        <f t="shared" si="0"/>
        <v>0.79999999999999982</v>
      </c>
      <c r="L29" s="27">
        <f>L32-L28</f>
        <v>1.0999999999999996</v>
      </c>
      <c r="M29" s="27">
        <f>M32-M28</f>
        <v>1.2999999999999998</v>
      </c>
      <c r="N29" s="27">
        <f>N32-N28</f>
        <v>0</v>
      </c>
      <c r="O29" s="27">
        <f>O32-O28</f>
        <v>1.3999999999999995</v>
      </c>
      <c r="P29" s="27">
        <f t="shared" si="0"/>
        <v>0</v>
      </c>
      <c r="Q29" s="27">
        <f t="shared" si="0"/>
        <v>1.0999999999999996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637.29999999999995</v>
      </c>
      <c r="H30" s="21"/>
      <c r="I30" s="21">
        <v>631.9</v>
      </c>
      <c r="J30" s="20">
        <v>626.70000000000005</v>
      </c>
      <c r="K30" s="20">
        <v>630.1</v>
      </c>
      <c r="L30" s="21">
        <v>710.5</v>
      </c>
      <c r="M30" s="21">
        <v>636.20000000000005</v>
      </c>
      <c r="N30" s="20"/>
      <c r="O30" s="20">
        <v>639.5</v>
      </c>
      <c r="P30" s="21"/>
      <c r="Q30" s="21">
        <v>631.4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14.1</v>
      </c>
      <c r="H31" s="21"/>
      <c r="I31" s="21">
        <v>13.9</v>
      </c>
      <c r="J31" s="20">
        <v>13.7</v>
      </c>
      <c r="K31" s="20">
        <v>13</v>
      </c>
      <c r="L31" s="21">
        <v>13.4</v>
      </c>
      <c r="M31" s="21">
        <v>13.7</v>
      </c>
      <c r="N31" s="20"/>
      <c r="O31" s="20">
        <v>13.6</v>
      </c>
      <c r="P31" s="21"/>
      <c r="Q31" s="21">
        <v>13.8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4.9000000000000004</v>
      </c>
      <c r="H32" s="21"/>
      <c r="I32" s="21">
        <v>5.0999999999999996</v>
      </c>
      <c r="J32" s="20">
        <v>4.5999999999999996</v>
      </c>
      <c r="K32" s="20">
        <v>4.0999999999999996</v>
      </c>
      <c r="L32" s="21">
        <v>4.5999999999999996</v>
      </c>
      <c r="M32" s="21">
        <v>4.3</v>
      </c>
      <c r="N32" s="20"/>
      <c r="O32" s="20">
        <v>4.5999999999999996</v>
      </c>
      <c r="P32" s="21"/>
      <c r="Q32" s="21">
        <v>5.0999999999999996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9.1999999999999993</v>
      </c>
      <c r="H33" s="27">
        <f t="shared" ref="H33:Q33" si="1">H31-H32</f>
        <v>0</v>
      </c>
      <c r="I33" s="27">
        <f t="shared" si="1"/>
        <v>8.8000000000000007</v>
      </c>
      <c r="J33" s="27">
        <f t="shared" si="1"/>
        <v>9.1</v>
      </c>
      <c r="K33" s="27">
        <f t="shared" si="1"/>
        <v>8.9</v>
      </c>
      <c r="L33" s="27">
        <f>L31-L32</f>
        <v>8.8000000000000007</v>
      </c>
      <c r="M33" s="27">
        <f>M31-M32</f>
        <v>9.3999999999999986</v>
      </c>
      <c r="N33" s="27">
        <f>N31-N32</f>
        <v>0</v>
      </c>
      <c r="O33" s="27">
        <f>O31-O32</f>
        <v>9</v>
      </c>
      <c r="P33" s="27">
        <f t="shared" si="1"/>
        <v>0</v>
      </c>
      <c r="Q33" s="27">
        <f t="shared" si="1"/>
        <v>8.7000000000000011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6770.3926096997675</v>
      </c>
      <c r="H34" s="28">
        <f t="shared" ref="H34:Q34" si="2">(H33*H30)/0.866</f>
        <v>0</v>
      </c>
      <c r="I34" s="28">
        <f t="shared" si="2"/>
        <v>6421.1547344110859</v>
      </c>
      <c r="J34" s="28">
        <f t="shared" si="2"/>
        <v>6585.4157043879914</v>
      </c>
      <c r="K34" s="28">
        <f t="shared" si="2"/>
        <v>6475.623556581987</v>
      </c>
      <c r="L34" s="28">
        <f>(L33*L30)/0.866</f>
        <v>7219.8614318706705</v>
      </c>
      <c r="M34" s="28">
        <f>(M33*M30)/0.866</f>
        <v>6905.6351039260971</v>
      </c>
      <c r="N34" s="28">
        <f>(N33*N30)/0.866</f>
        <v>0</v>
      </c>
      <c r="O34" s="28">
        <f>(O33*O30)/0.866</f>
        <v>6646.0739030023096</v>
      </c>
      <c r="P34" s="28">
        <f t="shared" si="2"/>
        <v>0</v>
      </c>
      <c r="Q34" s="28">
        <f t="shared" si="2"/>
        <v>6343.1639722863747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0.83</v>
      </c>
      <c r="H35" s="21"/>
      <c r="I35" s="21">
        <v>0.85</v>
      </c>
      <c r="J35" s="20">
        <v>0.83</v>
      </c>
      <c r="K35" s="20">
        <v>0.84</v>
      </c>
      <c r="L35" s="21">
        <v>0.84</v>
      </c>
      <c r="M35" s="21">
        <v>0.84</v>
      </c>
      <c r="N35" s="20"/>
      <c r="O35" s="20">
        <v>0.82</v>
      </c>
      <c r="P35" s="21"/>
      <c r="Q35" s="21">
        <v>0.84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36.4</v>
      </c>
      <c r="H36" s="21"/>
      <c r="I36" s="21">
        <v>36.799999999999997</v>
      </c>
      <c r="J36" s="20">
        <v>36.4</v>
      </c>
      <c r="K36" s="20">
        <v>36.700000000000003</v>
      </c>
      <c r="L36" s="21">
        <v>36.6</v>
      </c>
      <c r="M36" s="21">
        <v>36.799999999999997</v>
      </c>
      <c r="N36" s="20"/>
      <c r="O36" s="20">
        <v>36.1</v>
      </c>
      <c r="P36" s="21"/>
      <c r="Q36" s="21">
        <v>36.6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36.9</v>
      </c>
      <c r="H37" s="21"/>
      <c r="I37" s="21">
        <v>37.700000000000003</v>
      </c>
      <c r="J37" s="20">
        <v>37.1</v>
      </c>
      <c r="K37" s="20">
        <v>37.299999999999997</v>
      </c>
      <c r="L37" s="21">
        <v>37.200000000000003</v>
      </c>
      <c r="M37" s="21">
        <v>37.299999999999997</v>
      </c>
      <c r="N37" s="20"/>
      <c r="O37" s="20">
        <v>36.4</v>
      </c>
      <c r="P37" s="21"/>
      <c r="Q37" s="21">
        <v>37.4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1.6999999999999957</v>
      </c>
      <c r="H38" s="27">
        <v>1</v>
      </c>
      <c r="I38" s="27">
        <f t="shared" ref="I38:Q38" si="3">I37-I41</f>
        <v>3.1000000000000014</v>
      </c>
      <c r="J38" s="27">
        <f t="shared" si="3"/>
        <v>2.1000000000000014</v>
      </c>
      <c r="K38" s="27">
        <f t="shared" si="3"/>
        <v>2</v>
      </c>
      <c r="L38" s="27">
        <f>L37-L41</f>
        <v>2.4000000000000057</v>
      </c>
      <c r="M38" s="27">
        <f>M37-M41</f>
        <v>2.2999999999999972</v>
      </c>
      <c r="N38" s="27">
        <f>N37-N41</f>
        <v>0</v>
      </c>
      <c r="O38" s="27">
        <f>O37-O41</f>
        <v>1.3999999999999986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29.9</v>
      </c>
      <c r="H40" s="21"/>
      <c r="I40" s="21">
        <v>29.8</v>
      </c>
      <c r="J40" s="20">
        <v>29.5</v>
      </c>
      <c r="K40" s="20">
        <v>29.9</v>
      </c>
      <c r="L40" s="21">
        <v>29.5</v>
      </c>
      <c r="M40" s="21">
        <v>29.8</v>
      </c>
      <c r="N40" s="20"/>
      <c r="O40" s="20">
        <v>29.5</v>
      </c>
      <c r="P40" s="21"/>
      <c r="Q40" s="21">
        <v>29.7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35.200000000000003</v>
      </c>
      <c r="H41" s="21"/>
      <c r="I41" s="21">
        <v>34.6</v>
      </c>
      <c r="J41" s="20">
        <v>35</v>
      </c>
      <c r="K41" s="20">
        <v>35.299999999999997</v>
      </c>
      <c r="L41" s="21">
        <v>34.799999999999997</v>
      </c>
      <c r="M41" s="21">
        <v>35</v>
      </c>
      <c r="N41" s="20"/>
      <c r="O41" s="20">
        <v>35</v>
      </c>
      <c r="P41" s="21"/>
      <c r="Q41" s="21">
        <v>34.9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5.3000000000000043</v>
      </c>
      <c r="H42" s="27">
        <f t="shared" ref="H42:Q42" si="4">H41-H40</f>
        <v>0</v>
      </c>
      <c r="I42" s="27">
        <f t="shared" si="4"/>
        <v>4.8000000000000007</v>
      </c>
      <c r="J42" s="27">
        <f t="shared" si="4"/>
        <v>5.5</v>
      </c>
      <c r="K42" s="27">
        <f t="shared" si="4"/>
        <v>5.3999999999999986</v>
      </c>
      <c r="L42" s="27">
        <f>L41-L40</f>
        <v>5.2999999999999972</v>
      </c>
      <c r="M42" s="27">
        <f>M41-M40</f>
        <v>5.1999999999999993</v>
      </c>
      <c r="N42" s="27">
        <f>N41-N40</f>
        <v>0</v>
      </c>
      <c r="O42" s="27">
        <f>O41-O40</f>
        <v>5.5</v>
      </c>
      <c r="P42" s="27">
        <f t="shared" si="4"/>
        <v>0</v>
      </c>
      <c r="Q42" s="27">
        <f t="shared" si="4"/>
        <v>5.1999999999999993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1299.5999999999999</v>
      </c>
      <c r="H43" s="21"/>
      <c r="I43" s="21">
        <v>1299.8</v>
      </c>
      <c r="J43" s="20">
        <v>1289.2</v>
      </c>
      <c r="K43" s="20">
        <v>1296</v>
      </c>
      <c r="L43" s="21">
        <v>129.1</v>
      </c>
      <c r="M43" s="20">
        <v>1297.5999999999999</v>
      </c>
      <c r="N43" s="20"/>
      <c r="O43" s="20">
        <v>1298.3</v>
      </c>
      <c r="P43" s="21"/>
      <c r="Q43" s="21">
        <v>1291.0999999999999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7953.672055427257</v>
      </c>
      <c r="H44" s="28">
        <f t="shared" ref="H44:Q44" si="5">H42*H43/0.866</f>
        <v>0</v>
      </c>
      <c r="I44" s="28">
        <f t="shared" si="5"/>
        <v>7204.434180138569</v>
      </c>
      <c r="J44" s="28">
        <f t="shared" si="5"/>
        <v>8187.7598152424944</v>
      </c>
      <c r="K44" s="28">
        <f t="shared" si="5"/>
        <v>8081.2933025404136</v>
      </c>
      <c r="L44" s="28">
        <f>L42*L43/0.866</f>
        <v>790.10392609699716</v>
      </c>
      <c r="M44" s="28">
        <f>M42*M43/0.866</f>
        <v>7791.5935334872966</v>
      </c>
      <c r="N44" s="28">
        <f>N42*N43/0.866</f>
        <v>0</v>
      </c>
      <c r="O44" s="28">
        <f>O42*O43/0.866</f>
        <v>8245.55427251732</v>
      </c>
      <c r="P44" s="28">
        <f t="shared" si="5"/>
        <v>0</v>
      </c>
      <c r="Q44" s="28">
        <f t="shared" si="5"/>
        <v>7752.5635103926079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0.48</v>
      </c>
      <c r="H45" s="21"/>
      <c r="I45" s="21">
        <v>0.47</v>
      </c>
      <c r="J45" s="20">
        <v>0.46</v>
      </c>
      <c r="K45" s="20">
        <v>0.47</v>
      </c>
      <c r="L45" s="21">
        <v>0.47</v>
      </c>
      <c r="M45" s="21">
        <v>0.47</v>
      </c>
      <c r="N45" s="20"/>
      <c r="O45" s="20">
        <v>0.46</v>
      </c>
      <c r="P45" s="21"/>
      <c r="Q45" s="21">
        <v>0.48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20.5</v>
      </c>
      <c r="H46" s="21"/>
      <c r="I46" s="21">
        <v>19.7</v>
      </c>
      <c r="J46" s="20">
        <v>19.7</v>
      </c>
      <c r="K46" s="20">
        <v>20</v>
      </c>
      <c r="L46" s="21">
        <v>20.100000000000001</v>
      </c>
      <c r="M46" s="21">
        <v>20</v>
      </c>
      <c r="N46" s="20"/>
      <c r="O46" s="20">
        <v>19.7</v>
      </c>
      <c r="P46" s="21"/>
      <c r="Q46" s="21">
        <v>20.6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197.6</v>
      </c>
      <c r="H47" s="21"/>
      <c r="I47" s="21">
        <v>139.19999999999999</v>
      </c>
      <c r="J47" s="20">
        <v>195</v>
      </c>
      <c r="K47" s="20">
        <v>200.3</v>
      </c>
      <c r="L47" s="21">
        <v>205</v>
      </c>
      <c r="M47" s="21">
        <v>215.8</v>
      </c>
      <c r="N47" s="20"/>
      <c r="O47" s="20">
        <v>159.4</v>
      </c>
      <c r="P47" s="21"/>
      <c r="Q47" s="21">
        <v>203.7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79">
        <v>5.89</v>
      </c>
      <c r="F49" s="20"/>
      <c r="G49" s="20">
        <v>5.95</v>
      </c>
      <c r="H49" s="21"/>
      <c r="I49" s="21">
        <v>5.48</v>
      </c>
      <c r="J49" s="20">
        <v>5.6</v>
      </c>
      <c r="K49" s="20">
        <v>5.59</v>
      </c>
      <c r="L49" s="21">
        <v>5.23</v>
      </c>
      <c r="M49" s="21">
        <v>5.65</v>
      </c>
      <c r="N49" s="20"/>
      <c r="O49" s="20">
        <v>5.54</v>
      </c>
      <c r="P49" s="21"/>
      <c r="Q49" s="21">
        <v>5.29</v>
      </c>
    </row>
    <row r="50" spans="2:17" ht="20.100000000000001" customHeight="1">
      <c r="B50" s="92" t="s">
        <v>91</v>
      </c>
      <c r="C50" s="92"/>
      <c r="D50" s="92"/>
      <c r="E50" s="7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7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Q19" sqref="Q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45803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81" t="s">
        <v>18</v>
      </c>
      <c r="E10" s="15"/>
      <c r="F10" s="17" t="s">
        <v>19</v>
      </c>
      <c r="G10" s="17" t="s">
        <v>19</v>
      </c>
      <c r="H10" s="18"/>
      <c r="I10" s="18" t="s">
        <v>19</v>
      </c>
      <c r="J10" s="17"/>
      <c r="K10" s="17" t="s">
        <v>19</v>
      </c>
      <c r="L10" s="18"/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73.599999999999994</v>
      </c>
      <c r="G11" s="20">
        <v>69.2</v>
      </c>
      <c r="H11" s="21"/>
      <c r="I11" s="21">
        <v>77.400000000000006</v>
      </c>
      <c r="J11" s="20"/>
      <c r="K11" s="20">
        <v>73.400000000000006</v>
      </c>
      <c r="L11" s="21"/>
      <c r="M11" s="21">
        <v>76.7</v>
      </c>
      <c r="N11" s="20">
        <v>74.5</v>
      </c>
      <c r="O11" s="20">
        <v>74.599999999999994</v>
      </c>
      <c r="P11" s="21"/>
      <c r="Q11" s="21">
        <v>72.900000000000006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0.8</v>
      </c>
      <c r="G12" s="20">
        <v>0.9</v>
      </c>
      <c r="H12" s="21"/>
      <c r="I12" s="21">
        <v>0</v>
      </c>
      <c r="J12" s="20"/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68.7</v>
      </c>
      <c r="G13" s="20">
        <v>62.6</v>
      </c>
      <c r="H13" s="21"/>
      <c r="I13" s="21">
        <v>72.7</v>
      </c>
      <c r="J13" s="20"/>
      <c r="K13" s="20">
        <v>68.3</v>
      </c>
      <c r="L13" s="21"/>
      <c r="M13" s="21">
        <v>72.7</v>
      </c>
      <c r="N13" s="20">
        <v>69.5</v>
      </c>
      <c r="O13" s="20">
        <v>69.3</v>
      </c>
      <c r="P13" s="21"/>
      <c r="Q13" s="21">
        <v>66.599999999999994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68.7</v>
      </c>
      <c r="G14" s="20">
        <v>69.400000000000006</v>
      </c>
      <c r="H14" s="21"/>
      <c r="I14" s="21">
        <v>70.8</v>
      </c>
      <c r="J14" s="20"/>
      <c r="K14" s="20">
        <v>63.2</v>
      </c>
      <c r="L14" s="21"/>
      <c r="M14" s="21">
        <v>67</v>
      </c>
      <c r="N14" s="20">
        <v>74.7</v>
      </c>
      <c r="O14" s="20">
        <v>75</v>
      </c>
      <c r="P14" s="21"/>
      <c r="Q14" s="21">
        <v>73.5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41.3</v>
      </c>
      <c r="G15" s="20">
        <v>34.799999999999997</v>
      </c>
      <c r="H15" s="21"/>
      <c r="I15" s="21">
        <v>50.9</v>
      </c>
      <c r="J15" s="20"/>
      <c r="K15" s="20">
        <v>38.6</v>
      </c>
      <c r="L15" s="21"/>
      <c r="M15" s="21">
        <v>35.1</v>
      </c>
      <c r="N15" s="20">
        <v>54</v>
      </c>
      <c r="O15" s="20">
        <v>50.3</v>
      </c>
      <c r="P15" s="21"/>
      <c r="Q15" s="21">
        <v>42.9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>
        <v>50.3</v>
      </c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120.5</v>
      </c>
      <c r="G17" s="20">
        <v>115.8</v>
      </c>
      <c r="H17" s="21"/>
      <c r="I17" s="21">
        <v>116.3</v>
      </c>
      <c r="J17" s="20"/>
      <c r="K17" s="20">
        <v>115.4</v>
      </c>
      <c r="L17" s="21"/>
      <c r="M17" s="21">
        <v>119.3</v>
      </c>
      <c r="N17" s="20">
        <v>118.7</v>
      </c>
      <c r="O17" s="20">
        <v>117.7</v>
      </c>
      <c r="P17" s="21"/>
      <c r="Q17" s="21">
        <v>117.8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1182</v>
      </c>
      <c r="G18" s="20">
        <v>1131</v>
      </c>
      <c r="H18" s="21"/>
      <c r="I18" s="21">
        <v>1179</v>
      </c>
      <c r="J18" s="20"/>
      <c r="K18" s="20">
        <v>1188</v>
      </c>
      <c r="L18" s="21"/>
      <c r="M18" s="21">
        <v>1214</v>
      </c>
      <c r="N18" s="20">
        <v>1213</v>
      </c>
      <c r="O18" s="20">
        <v>1200</v>
      </c>
      <c r="P18" s="21"/>
      <c r="Q18" s="21">
        <v>1200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>
        <v>50531.199999999997</v>
      </c>
      <c r="G19" s="20">
        <v>50522.2</v>
      </c>
      <c r="H19" s="21"/>
      <c r="I19" s="21">
        <v>49441.5</v>
      </c>
      <c r="J19" s="20"/>
      <c r="K19" s="20">
        <v>49451.5</v>
      </c>
      <c r="L19" s="21"/>
      <c r="M19" s="21">
        <v>51882.9</v>
      </c>
      <c r="N19" s="20">
        <v>51058</v>
      </c>
      <c r="O19" s="20">
        <v>51049</v>
      </c>
      <c r="P19" s="21"/>
      <c r="Q19" s="21">
        <v>50909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58.8</v>
      </c>
      <c r="G22" s="20">
        <v>58</v>
      </c>
      <c r="H22" s="21"/>
      <c r="I22" s="21">
        <v>59.2</v>
      </c>
      <c r="J22" s="20"/>
      <c r="K22" s="20">
        <v>57.8</v>
      </c>
      <c r="L22" s="21"/>
      <c r="M22" s="21">
        <v>57.4</v>
      </c>
      <c r="N22" s="20">
        <v>58.8</v>
      </c>
      <c r="O22" s="20">
        <v>58.9</v>
      </c>
      <c r="P22" s="21"/>
      <c r="Q22" s="21">
        <v>59.1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0.53</v>
      </c>
      <c r="G23" s="20">
        <v>0.53</v>
      </c>
      <c r="H23" s="21"/>
      <c r="I23" s="21">
        <v>0.49</v>
      </c>
      <c r="J23" s="20"/>
      <c r="K23" s="20">
        <v>0.59</v>
      </c>
      <c r="L23" s="21"/>
      <c r="M23" s="21">
        <v>0.52</v>
      </c>
      <c r="N23" s="20">
        <v>0.48</v>
      </c>
      <c r="O23" s="20">
        <v>0.49</v>
      </c>
      <c r="P23" s="21"/>
      <c r="Q23" s="21">
        <v>0.5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44.9</v>
      </c>
      <c r="G25" s="20">
        <v>44.9</v>
      </c>
      <c r="H25" s="21"/>
      <c r="I25" s="21">
        <v>45</v>
      </c>
      <c r="J25" s="20"/>
      <c r="K25" s="20">
        <v>44.9</v>
      </c>
      <c r="L25" s="21"/>
      <c r="M25" s="21">
        <v>45</v>
      </c>
      <c r="N25" s="20">
        <v>44.9</v>
      </c>
      <c r="O25" s="20">
        <v>44.9</v>
      </c>
      <c r="P25" s="21"/>
      <c r="Q25" s="21">
        <v>45.1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0.22</v>
      </c>
      <c r="J26" s="20"/>
      <c r="K26" s="20">
        <v>0.22</v>
      </c>
      <c r="L26" s="21"/>
      <c r="M26" s="21">
        <v>0.22</v>
      </c>
      <c r="N26" s="20">
        <v>0.23</v>
      </c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4.5</v>
      </c>
      <c r="G27" s="20">
        <v>4.5</v>
      </c>
      <c r="H27" s="21"/>
      <c r="I27" s="21">
        <v>3.5</v>
      </c>
      <c r="J27" s="20"/>
      <c r="K27" s="20">
        <v>4.3</v>
      </c>
      <c r="L27" s="21"/>
      <c r="M27" s="21">
        <v>4</v>
      </c>
      <c r="N27" s="20">
        <v>4.8</v>
      </c>
      <c r="O27" s="20">
        <v>4.4000000000000004</v>
      </c>
      <c r="P27" s="21"/>
      <c r="Q27" s="21">
        <v>4.9000000000000004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4</v>
      </c>
      <c r="G28" s="20">
        <v>4.0999999999999996</v>
      </c>
      <c r="H28" s="21"/>
      <c r="I28" s="21">
        <v>2.7</v>
      </c>
      <c r="J28" s="20"/>
      <c r="K28" s="20">
        <v>3.3</v>
      </c>
      <c r="L28" s="21"/>
      <c r="M28" s="21">
        <v>3</v>
      </c>
      <c r="N28" s="20">
        <v>3.1</v>
      </c>
      <c r="O28" s="20">
        <v>3.2</v>
      </c>
      <c r="P28" s="21"/>
      <c r="Q28" s="21">
        <v>4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1</v>
      </c>
      <c r="G29" s="27">
        <f>G32-G28</f>
        <v>0.80000000000000071</v>
      </c>
      <c r="H29" s="27">
        <f t="shared" ref="H29:Q29" si="0">H32-H28</f>
        <v>0</v>
      </c>
      <c r="I29" s="27">
        <f t="shared" si="0"/>
        <v>2.3999999999999995</v>
      </c>
      <c r="J29" s="27"/>
      <c r="K29" s="27">
        <f t="shared" si="0"/>
        <v>0.79999999999999982</v>
      </c>
      <c r="L29" s="27">
        <f>L32-L28</f>
        <v>0</v>
      </c>
      <c r="M29" s="27">
        <f>M32-M28</f>
        <v>1.2999999999999998</v>
      </c>
      <c r="N29" s="27">
        <f>N32-N28</f>
        <v>1.9</v>
      </c>
      <c r="O29" s="27">
        <f>O32-O28</f>
        <v>1.3999999999999995</v>
      </c>
      <c r="P29" s="27">
        <f t="shared" si="0"/>
        <v>0</v>
      </c>
      <c r="Q29" s="27">
        <f t="shared" si="0"/>
        <v>1.0999999999999996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696.2</v>
      </c>
      <c r="G30" s="20">
        <v>637.29999999999995</v>
      </c>
      <c r="H30" s="21"/>
      <c r="I30" s="21">
        <v>631.9</v>
      </c>
      <c r="J30" s="20"/>
      <c r="K30" s="20">
        <v>630.1</v>
      </c>
      <c r="L30" s="21"/>
      <c r="M30" s="21">
        <v>636.20000000000005</v>
      </c>
      <c r="N30" s="20">
        <v>689.3</v>
      </c>
      <c r="O30" s="20">
        <v>639.5</v>
      </c>
      <c r="P30" s="21"/>
      <c r="Q30" s="21">
        <v>631.4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13.8</v>
      </c>
      <c r="G31" s="20">
        <v>14.1</v>
      </c>
      <c r="H31" s="21"/>
      <c r="I31" s="21">
        <v>13.9</v>
      </c>
      <c r="J31" s="20"/>
      <c r="K31" s="20">
        <v>13</v>
      </c>
      <c r="L31" s="21"/>
      <c r="M31" s="21">
        <v>13.7</v>
      </c>
      <c r="N31" s="20">
        <v>13.8</v>
      </c>
      <c r="O31" s="20">
        <v>13.6</v>
      </c>
      <c r="P31" s="21"/>
      <c r="Q31" s="21">
        <v>13.8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5</v>
      </c>
      <c r="G32" s="20">
        <v>4.9000000000000004</v>
      </c>
      <c r="H32" s="21"/>
      <c r="I32" s="21">
        <v>5.0999999999999996</v>
      </c>
      <c r="J32" s="20"/>
      <c r="K32" s="20">
        <v>4.0999999999999996</v>
      </c>
      <c r="L32" s="21"/>
      <c r="M32" s="21">
        <v>4.3</v>
      </c>
      <c r="N32" s="20">
        <v>5</v>
      </c>
      <c r="O32" s="20">
        <v>4.5999999999999996</v>
      </c>
      <c r="P32" s="21"/>
      <c r="Q32" s="21">
        <v>5.0999999999999996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8.8000000000000007</v>
      </c>
      <c r="G33" s="27">
        <f>G31-G32</f>
        <v>9.1999999999999993</v>
      </c>
      <c r="H33" s="27">
        <f t="shared" ref="H33:Q33" si="1">H31-H32</f>
        <v>0</v>
      </c>
      <c r="I33" s="27">
        <f t="shared" si="1"/>
        <v>8.8000000000000007</v>
      </c>
      <c r="J33" s="27">
        <f t="shared" si="1"/>
        <v>0</v>
      </c>
      <c r="K33" s="27">
        <f t="shared" si="1"/>
        <v>8.9</v>
      </c>
      <c r="L33" s="27">
        <f>L31-L32</f>
        <v>0</v>
      </c>
      <c r="M33" s="27">
        <f>M31-M32</f>
        <v>9.3999999999999986</v>
      </c>
      <c r="N33" s="27">
        <f>N31-N32</f>
        <v>8.8000000000000007</v>
      </c>
      <c r="O33" s="27">
        <f>O31-O32</f>
        <v>9</v>
      </c>
      <c r="P33" s="27">
        <f t="shared" si="1"/>
        <v>0</v>
      </c>
      <c r="Q33" s="27">
        <f t="shared" si="1"/>
        <v>8.7000000000000011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7074.5496535796783</v>
      </c>
      <c r="G34" s="28">
        <f>(G33*G30)/0.866</f>
        <v>6770.3926096997675</v>
      </c>
      <c r="H34" s="28">
        <f t="shared" ref="H34:Q34" si="2">(H33*H30)/0.866</f>
        <v>0</v>
      </c>
      <c r="I34" s="28">
        <f t="shared" si="2"/>
        <v>6421.1547344110859</v>
      </c>
      <c r="J34" s="28">
        <f t="shared" si="2"/>
        <v>0</v>
      </c>
      <c r="K34" s="28">
        <f t="shared" si="2"/>
        <v>6475.623556581987</v>
      </c>
      <c r="L34" s="28">
        <f>(L33*L30)/0.866</f>
        <v>0</v>
      </c>
      <c r="M34" s="28">
        <f>(M33*M30)/0.866</f>
        <v>6905.6351039260971</v>
      </c>
      <c r="N34" s="28">
        <f>(N33*N30)/0.866</f>
        <v>7004.4341801385681</v>
      </c>
      <c r="O34" s="28">
        <f>(O33*O30)/0.866</f>
        <v>6646.0739030023096</v>
      </c>
      <c r="P34" s="28">
        <f t="shared" si="2"/>
        <v>0</v>
      </c>
      <c r="Q34" s="28">
        <f t="shared" si="2"/>
        <v>6343.1639722863747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0.83</v>
      </c>
      <c r="G35" s="20">
        <v>0.83</v>
      </c>
      <c r="H35" s="21"/>
      <c r="I35" s="21">
        <v>0.85</v>
      </c>
      <c r="J35" s="20"/>
      <c r="K35" s="20">
        <v>0.84</v>
      </c>
      <c r="L35" s="21"/>
      <c r="M35" s="21">
        <v>0.84</v>
      </c>
      <c r="N35" s="20">
        <v>0.82</v>
      </c>
      <c r="O35" s="20">
        <v>0.82</v>
      </c>
      <c r="P35" s="21"/>
      <c r="Q35" s="21">
        <v>0.84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36.4</v>
      </c>
      <c r="G36" s="20">
        <v>36.4</v>
      </c>
      <c r="H36" s="21"/>
      <c r="I36" s="21">
        <v>36.799999999999997</v>
      </c>
      <c r="J36" s="20"/>
      <c r="K36" s="20">
        <v>36.700000000000003</v>
      </c>
      <c r="L36" s="21"/>
      <c r="M36" s="21">
        <v>36.799999999999997</v>
      </c>
      <c r="N36" s="20">
        <v>36.1</v>
      </c>
      <c r="O36" s="20">
        <v>36.1</v>
      </c>
      <c r="P36" s="21"/>
      <c r="Q36" s="21">
        <v>36.6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37</v>
      </c>
      <c r="G37" s="20">
        <v>36.9</v>
      </c>
      <c r="H37" s="21"/>
      <c r="I37" s="21">
        <v>37.700000000000003</v>
      </c>
      <c r="J37" s="20"/>
      <c r="K37" s="20">
        <v>37.299999999999997</v>
      </c>
      <c r="L37" s="21"/>
      <c r="M37" s="21">
        <v>37.299999999999997</v>
      </c>
      <c r="N37" s="20">
        <v>36.4</v>
      </c>
      <c r="O37" s="20">
        <v>36.4</v>
      </c>
      <c r="P37" s="21"/>
      <c r="Q37" s="21">
        <v>37.4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1.7000000000000028</v>
      </c>
      <c r="G38" s="27">
        <f>G37-G41</f>
        <v>1.6999999999999957</v>
      </c>
      <c r="H38" s="27">
        <v>1</v>
      </c>
      <c r="I38" s="27">
        <f t="shared" ref="I38:Q38" si="3">I37-I41</f>
        <v>3.1000000000000014</v>
      </c>
      <c r="J38" s="27">
        <f t="shared" si="3"/>
        <v>0</v>
      </c>
      <c r="K38" s="27">
        <f t="shared" si="3"/>
        <v>2</v>
      </c>
      <c r="L38" s="27">
        <f>L37-L41</f>
        <v>0</v>
      </c>
      <c r="M38" s="27">
        <f>M37-M41</f>
        <v>2.2999999999999972</v>
      </c>
      <c r="N38" s="27">
        <f>N37-N41</f>
        <v>1.5</v>
      </c>
      <c r="O38" s="27">
        <f>O37-O41</f>
        <v>1.3999999999999986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29.7</v>
      </c>
      <c r="G40" s="20">
        <v>29.9</v>
      </c>
      <c r="H40" s="21"/>
      <c r="I40" s="21">
        <v>29.8</v>
      </c>
      <c r="J40" s="20"/>
      <c r="K40" s="20">
        <v>29.9</v>
      </c>
      <c r="L40" s="21"/>
      <c r="M40" s="21">
        <v>29.8</v>
      </c>
      <c r="N40" s="20">
        <v>29.5</v>
      </c>
      <c r="O40" s="20">
        <v>29.5</v>
      </c>
      <c r="P40" s="21"/>
      <c r="Q40" s="21">
        <v>29.7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35.299999999999997</v>
      </c>
      <c r="G41" s="20">
        <v>35.200000000000003</v>
      </c>
      <c r="H41" s="21"/>
      <c r="I41" s="21">
        <v>34.6</v>
      </c>
      <c r="J41" s="20"/>
      <c r="K41" s="20">
        <v>35.299999999999997</v>
      </c>
      <c r="L41" s="21"/>
      <c r="M41" s="21">
        <v>35</v>
      </c>
      <c r="N41" s="20">
        <v>34.9</v>
      </c>
      <c r="O41" s="20">
        <v>35</v>
      </c>
      <c r="P41" s="21"/>
      <c r="Q41" s="21">
        <v>34.9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5.5999999999999979</v>
      </c>
      <c r="G42" s="27">
        <f>G41-G40</f>
        <v>5.3000000000000043</v>
      </c>
      <c r="H42" s="27">
        <f t="shared" ref="H42:Q42" si="4">H41-H40</f>
        <v>0</v>
      </c>
      <c r="I42" s="27">
        <f t="shared" si="4"/>
        <v>4.8000000000000007</v>
      </c>
      <c r="J42" s="27">
        <f t="shared" si="4"/>
        <v>0</v>
      </c>
      <c r="K42" s="27">
        <f t="shared" si="4"/>
        <v>5.3999999999999986</v>
      </c>
      <c r="L42" s="27">
        <f>L41-L40</f>
        <v>0</v>
      </c>
      <c r="M42" s="27">
        <f>M41-M40</f>
        <v>5.1999999999999993</v>
      </c>
      <c r="N42" s="27">
        <f>N41-N40</f>
        <v>5.3999999999999986</v>
      </c>
      <c r="O42" s="27">
        <f>O41-O40</f>
        <v>5.5</v>
      </c>
      <c r="P42" s="27">
        <f t="shared" si="4"/>
        <v>0</v>
      </c>
      <c r="Q42" s="27">
        <f t="shared" si="4"/>
        <v>5.1999999999999993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1303.2</v>
      </c>
      <c r="G43" s="20">
        <v>1299.5999999999999</v>
      </c>
      <c r="H43" s="21"/>
      <c r="I43" s="21">
        <v>1299.8</v>
      </c>
      <c r="J43" s="20"/>
      <c r="K43" s="20">
        <v>1296</v>
      </c>
      <c r="L43" s="21"/>
      <c r="M43" s="20">
        <v>1297.5999999999999</v>
      </c>
      <c r="N43" s="20">
        <v>1299.4000000000001</v>
      </c>
      <c r="O43" s="20">
        <v>1298.3</v>
      </c>
      <c r="P43" s="21"/>
      <c r="Q43" s="21">
        <v>1291.0999999999999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8427.1593533487267</v>
      </c>
      <c r="G44" s="28">
        <f>G42*G43/0.866</f>
        <v>7953.672055427257</v>
      </c>
      <c r="H44" s="28">
        <f t="shared" ref="H44:Q44" si="5">H42*H43/0.866</f>
        <v>0</v>
      </c>
      <c r="I44" s="28">
        <f t="shared" si="5"/>
        <v>7204.434180138569</v>
      </c>
      <c r="J44" s="28">
        <f t="shared" si="5"/>
        <v>0</v>
      </c>
      <c r="K44" s="28">
        <f t="shared" si="5"/>
        <v>8081.2933025404136</v>
      </c>
      <c r="L44" s="28">
        <f>L42*L43/0.866</f>
        <v>0</v>
      </c>
      <c r="M44" s="28">
        <f>M42*M43/0.866</f>
        <v>7791.5935334872966</v>
      </c>
      <c r="N44" s="28">
        <f>N42*N43/0.866</f>
        <v>8102.4942263279427</v>
      </c>
      <c r="O44" s="28">
        <f>O42*O43/0.866</f>
        <v>8245.55427251732</v>
      </c>
      <c r="P44" s="28">
        <f t="shared" si="5"/>
        <v>0</v>
      </c>
      <c r="Q44" s="28">
        <f t="shared" si="5"/>
        <v>7752.5635103926079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0.47</v>
      </c>
      <c r="G45" s="20">
        <v>0.48</v>
      </c>
      <c r="H45" s="21"/>
      <c r="I45" s="21">
        <v>0.47</v>
      </c>
      <c r="J45" s="20"/>
      <c r="K45" s="20">
        <v>0.47</v>
      </c>
      <c r="L45" s="21"/>
      <c r="M45" s="21">
        <v>0.47</v>
      </c>
      <c r="N45" s="20">
        <v>0.47</v>
      </c>
      <c r="O45" s="20">
        <v>0.46</v>
      </c>
      <c r="P45" s="21"/>
      <c r="Q45" s="21">
        <v>0.48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20.2</v>
      </c>
      <c r="G46" s="20">
        <v>20.5</v>
      </c>
      <c r="H46" s="21"/>
      <c r="I46" s="21">
        <v>19.7</v>
      </c>
      <c r="J46" s="20"/>
      <c r="K46" s="20">
        <v>20</v>
      </c>
      <c r="L46" s="21"/>
      <c r="M46" s="21">
        <v>20</v>
      </c>
      <c r="N46" s="20">
        <v>19.899999999999999</v>
      </c>
      <c r="O46" s="20">
        <v>19.7</v>
      </c>
      <c r="P46" s="21"/>
      <c r="Q46" s="21">
        <v>20.6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188.7</v>
      </c>
      <c r="G47" s="20">
        <v>197.6</v>
      </c>
      <c r="H47" s="21"/>
      <c r="I47" s="21">
        <v>139.19999999999999</v>
      </c>
      <c r="J47" s="20"/>
      <c r="K47" s="20">
        <v>200.3</v>
      </c>
      <c r="L47" s="21"/>
      <c r="M47" s="21">
        <v>215.8</v>
      </c>
      <c r="N47" s="20">
        <v>156.9</v>
      </c>
      <c r="O47" s="20">
        <v>159.4</v>
      </c>
      <c r="P47" s="21"/>
      <c r="Q47" s="21">
        <v>203.7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81">
        <v>5.89</v>
      </c>
      <c r="F49" s="20">
        <v>5.49</v>
      </c>
      <c r="G49" s="20">
        <v>5.95</v>
      </c>
      <c r="H49" s="21"/>
      <c r="I49" s="21">
        <v>5.48</v>
      </c>
      <c r="J49" s="20"/>
      <c r="K49" s="20">
        <v>5.59</v>
      </c>
      <c r="L49" s="21"/>
      <c r="M49" s="21">
        <v>5.65</v>
      </c>
      <c r="N49" s="20">
        <v>5.36</v>
      </c>
      <c r="O49" s="20">
        <v>5.54</v>
      </c>
      <c r="P49" s="21"/>
      <c r="Q49" s="21">
        <v>5.29</v>
      </c>
    </row>
    <row r="50" spans="2:17" ht="20.100000000000001" customHeight="1">
      <c r="B50" s="92" t="s">
        <v>91</v>
      </c>
      <c r="C50" s="92"/>
      <c r="D50" s="92"/>
      <c r="E50" s="8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8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L42" sqref="L42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45804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83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71.400000000000006</v>
      </c>
      <c r="H11" s="21"/>
      <c r="I11" s="21">
        <v>81.3</v>
      </c>
      <c r="J11" s="20">
        <v>74</v>
      </c>
      <c r="K11" s="20">
        <v>72</v>
      </c>
      <c r="L11" s="21">
        <v>74</v>
      </c>
      <c r="M11" s="21">
        <v>70.400000000000006</v>
      </c>
      <c r="N11" s="20"/>
      <c r="O11" s="20">
        <v>78.5</v>
      </c>
      <c r="P11" s="21"/>
      <c r="Q11" s="21">
        <v>74.900000000000006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0.4</v>
      </c>
      <c r="H12" s="21"/>
      <c r="I12" s="21">
        <v>0</v>
      </c>
      <c r="J12" s="20">
        <v>0</v>
      </c>
      <c r="K12" s="20">
        <v>0</v>
      </c>
      <c r="L12" s="21">
        <v>0.1</v>
      </c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66.3</v>
      </c>
      <c r="H13" s="21"/>
      <c r="I13" s="21">
        <v>77.099999999999994</v>
      </c>
      <c r="J13" s="20">
        <v>69.5</v>
      </c>
      <c r="K13" s="20">
        <v>68.2</v>
      </c>
      <c r="L13" s="21">
        <v>69.099999999999994</v>
      </c>
      <c r="M13" s="21">
        <v>65</v>
      </c>
      <c r="N13" s="20"/>
      <c r="O13" s="20">
        <v>74.099999999999994</v>
      </c>
      <c r="P13" s="21"/>
      <c r="Q13" s="21">
        <v>69.7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69.5</v>
      </c>
      <c r="H14" s="21"/>
      <c r="I14" s="21">
        <v>70.400000000000006</v>
      </c>
      <c r="J14" s="20">
        <v>63.7</v>
      </c>
      <c r="K14" s="20">
        <v>64.7</v>
      </c>
      <c r="L14" s="21">
        <v>67.900000000000006</v>
      </c>
      <c r="M14" s="21">
        <v>66.5</v>
      </c>
      <c r="N14" s="20"/>
      <c r="O14" s="20">
        <v>74.8</v>
      </c>
      <c r="P14" s="21"/>
      <c r="Q14" s="21">
        <v>72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42</v>
      </c>
      <c r="H15" s="21"/>
      <c r="I15" s="21">
        <v>56</v>
      </c>
      <c r="J15" s="20">
        <v>36.6</v>
      </c>
      <c r="K15" s="20">
        <v>42.1</v>
      </c>
      <c r="L15" s="21">
        <v>32.700000000000003</v>
      </c>
      <c r="M15" s="21">
        <v>34.9</v>
      </c>
      <c r="N15" s="20"/>
      <c r="O15" s="20">
        <v>58.2</v>
      </c>
      <c r="P15" s="21"/>
      <c r="Q15" s="21">
        <v>42.6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115.9</v>
      </c>
      <c r="H17" s="21"/>
      <c r="I17" s="21">
        <v>116.7</v>
      </c>
      <c r="J17" s="20">
        <v>117.5</v>
      </c>
      <c r="K17" s="20">
        <v>114.6</v>
      </c>
      <c r="L17" s="21">
        <v>116.5</v>
      </c>
      <c r="M17" s="21">
        <v>111.9</v>
      </c>
      <c r="N17" s="20"/>
      <c r="O17" s="20">
        <v>118.9</v>
      </c>
      <c r="P17" s="21"/>
      <c r="Q17" s="21">
        <v>116.8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1125</v>
      </c>
      <c r="H18" s="21"/>
      <c r="I18" s="21">
        <v>1175</v>
      </c>
      <c r="J18" s="20">
        <v>1187</v>
      </c>
      <c r="K18" s="20">
        <v>1153</v>
      </c>
      <c r="L18" s="21">
        <v>1183</v>
      </c>
      <c r="M18" s="21">
        <v>1133</v>
      </c>
      <c r="N18" s="20"/>
      <c r="O18" s="20">
        <v>1200</v>
      </c>
      <c r="P18" s="21"/>
      <c r="Q18" s="21">
        <v>1179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50230</v>
      </c>
      <c r="H19" s="21"/>
      <c r="I19" s="21">
        <v>51331.8</v>
      </c>
      <c r="J19" s="20">
        <v>49471.1</v>
      </c>
      <c r="K19" s="20">
        <v>49459.5</v>
      </c>
      <c r="L19" s="21">
        <v>51904</v>
      </c>
      <c r="M19" s="21">
        <v>51892.7</v>
      </c>
      <c r="N19" s="20"/>
      <c r="O19" s="20">
        <v>51073</v>
      </c>
      <c r="P19" s="21"/>
      <c r="Q19" s="21">
        <v>50918.6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58</v>
      </c>
      <c r="H22" s="21"/>
      <c r="I22" s="21">
        <v>58.9</v>
      </c>
      <c r="J22" s="20">
        <v>57.7</v>
      </c>
      <c r="K22" s="20">
        <v>57.7</v>
      </c>
      <c r="L22" s="21">
        <v>57.5</v>
      </c>
      <c r="M22" s="21">
        <v>57.2</v>
      </c>
      <c r="N22" s="20"/>
      <c r="O22" s="20">
        <v>58.6</v>
      </c>
      <c r="P22" s="21"/>
      <c r="Q22" s="21">
        <v>59.1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0.48</v>
      </c>
      <c r="J23" s="20">
        <v>0.59</v>
      </c>
      <c r="K23" s="20">
        <v>0.57999999999999996</v>
      </c>
      <c r="L23" s="21">
        <v>0.52</v>
      </c>
      <c r="M23" s="21">
        <v>0.52</v>
      </c>
      <c r="N23" s="20"/>
      <c r="O23" s="20">
        <v>0.56999999999999995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45</v>
      </c>
      <c r="H25" s="21"/>
      <c r="I25" s="21">
        <v>45</v>
      </c>
      <c r="J25" s="20">
        <v>45.1</v>
      </c>
      <c r="K25" s="20">
        <v>45.1</v>
      </c>
      <c r="L25" s="21">
        <v>45</v>
      </c>
      <c r="M25" s="21">
        <v>45</v>
      </c>
      <c r="N25" s="20"/>
      <c r="O25" s="20">
        <v>45</v>
      </c>
      <c r="P25" s="21"/>
      <c r="Q25" s="21">
        <v>44.9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0.21</v>
      </c>
      <c r="H26" s="21"/>
      <c r="I26" s="21">
        <v>0.21</v>
      </c>
      <c r="J26" s="20">
        <v>0.23</v>
      </c>
      <c r="K26" s="20">
        <v>0.23</v>
      </c>
      <c r="L26" s="21">
        <v>0.22</v>
      </c>
      <c r="M26" s="21">
        <v>0.22</v>
      </c>
      <c r="N26" s="20"/>
      <c r="O26" s="20">
        <v>0.22</v>
      </c>
      <c r="P26" s="21"/>
      <c r="Q26" s="21">
        <v>0.22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3.9</v>
      </c>
      <c r="H27" s="21"/>
      <c r="I27" s="21">
        <v>2.8</v>
      </c>
      <c r="J27" s="20">
        <v>4</v>
      </c>
      <c r="K27" s="20">
        <v>4</v>
      </c>
      <c r="L27" s="21">
        <v>4</v>
      </c>
      <c r="M27" s="21">
        <v>3.9</v>
      </c>
      <c r="N27" s="20"/>
      <c r="O27" s="20">
        <v>4</v>
      </c>
      <c r="P27" s="21"/>
      <c r="Q27" s="21">
        <v>4.2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3.3</v>
      </c>
      <c r="H28" s="21"/>
      <c r="I28" s="21">
        <v>2</v>
      </c>
      <c r="J28" s="20">
        <v>3.3</v>
      </c>
      <c r="K28" s="20">
        <v>3.2</v>
      </c>
      <c r="L28" s="21">
        <v>2.9</v>
      </c>
      <c r="M28" s="21">
        <v>2.4</v>
      </c>
      <c r="N28" s="20"/>
      <c r="O28" s="20">
        <v>2.8</v>
      </c>
      <c r="P28" s="21"/>
      <c r="Q28" s="21">
        <v>3.1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1.2999999999999998</v>
      </c>
      <c r="H29" s="27">
        <f t="shared" ref="H29:Q29" si="0">H32-H28</f>
        <v>0</v>
      </c>
      <c r="I29" s="27">
        <f t="shared" si="0"/>
        <v>2.4000000000000004</v>
      </c>
      <c r="J29" s="27">
        <f t="shared" si="0"/>
        <v>0.70000000000000018</v>
      </c>
      <c r="K29" s="27">
        <f t="shared" si="0"/>
        <v>1.2999999999999998</v>
      </c>
      <c r="L29" s="27">
        <f>L32-L28</f>
        <v>1.3000000000000003</v>
      </c>
      <c r="M29" s="27">
        <f>M32-M28</f>
        <v>1.6</v>
      </c>
      <c r="N29" s="27">
        <f>N32-N28</f>
        <v>0</v>
      </c>
      <c r="O29" s="27">
        <f>O32-O28</f>
        <v>1.2000000000000002</v>
      </c>
      <c r="P29" s="27">
        <f t="shared" si="0"/>
        <v>0</v>
      </c>
      <c r="Q29" s="27">
        <f t="shared" si="0"/>
        <v>1.3000000000000003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646.55999999999995</v>
      </c>
      <c r="H30" s="21"/>
      <c r="I30" s="21">
        <v>630.55999999999995</v>
      </c>
      <c r="J30" s="20">
        <v>632.5</v>
      </c>
      <c r="K30" s="20">
        <v>639.52</v>
      </c>
      <c r="L30" s="21">
        <v>627.70000000000005</v>
      </c>
      <c r="M30" s="21">
        <v>643.67999999999995</v>
      </c>
      <c r="N30" s="20"/>
      <c r="O30" s="20">
        <v>633.12</v>
      </c>
      <c r="P30" s="21"/>
      <c r="Q30" s="21">
        <v>633.52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13.3</v>
      </c>
      <c r="H31" s="21"/>
      <c r="I31" s="21">
        <v>13.2</v>
      </c>
      <c r="J31" s="20">
        <v>13.1</v>
      </c>
      <c r="K31" s="20">
        <v>13.5</v>
      </c>
      <c r="L31" s="21">
        <v>13.2</v>
      </c>
      <c r="M31" s="21">
        <v>13.5</v>
      </c>
      <c r="N31" s="20"/>
      <c r="O31" s="20">
        <v>13.2</v>
      </c>
      <c r="P31" s="21"/>
      <c r="Q31" s="21">
        <v>13.1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4.5999999999999996</v>
      </c>
      <c r="H32" s="21"/>
      <c r="I32" s="21">
        <v>4.4000000000000004</v>
      </c>
      <c r="J32" s="20">
        <v>4</v>
      </c>
      <c r="K32" s="20">
        <v>4.5</v>
      </c>
      <c r="L32" s="21">
        <v>4.2</v>
      </c>
      <c r="M32" s="21">
        <v>4</v>
      </c>
      <c r="N32" s="20"/>
      <c r="O32" s="20">
        <v>4</v>
      </c>
      <c r="P32" s="21"/>
      <c r="Q32" s="21">
        <v>4.4000000000000004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8.7000000000000011</v>
      </c>
      <c r="H33" s="27">
        <f t="shared" ref="H33:Q33" si="1">H31-H32</f>
        <v>0</v>
      </c>
      <c r="I33" s="27">
        <f t="shared" si="1"/>
        <v>8.7999999999999989</v>
      </c>
      <c r="J33" s="27">
        <f t="shared" si="1"/>
        <v>9.1</v>
      </c>
      <c r="K33" s="27">
        <f t="shared" si="1"/>
        <v>9</v>
      </c>
      <c r="L33" s="27">
        <f>L31-L32</f>
        <v>9</v>
      </c>
      <c r="M33" s="27">
        <f>M31-M32</f>
        <v>9.5</v>
      </c>
      <c r="N33" s="27">
        <f>N31-N32</f>
        <v>0</v>
      </c>
      <c r="O33" s="27">
        <f>O31-O32</f>
        <v>9.1999999999999993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6495.4642032332567</v>
      </c>
      <c r="H34" s="28">
        <f t="shared" ref="H34:Q34" si="2">(H33*H30)/0.866</f>
        <v>0</v>
      </c>
      <c r="I34" s="28">
        <f t="shared" si="2"/>
        <v>6407.5381062355646</v>
      </c>
      <c r="J34" s="28">
        <f t="shared" si="2"/>
        <v>6646.3625866050807</v>
      </c>
      <c r="K34" s="28">
        <f t="shared" si="2"/>
        <v>6646.2817551963053</v>
      </c>
      <c r="L34" s="28">
        <f>(L33*L30)/0.866</f>
        <v>6523.4411085450347</v>
      </c>
      <c r="M34" s="28">
        <f>(M33*M30)/0.866</f>
        <v>7061.1547344110841</v>
      </c>
      <c r="N34" s="28">
        <f>(N33*N30)/0.866</f>
        <v>0</v>
      </c>
      <c r="O34" s="28">
        <f>(O33*O30)/0.866</f>
        <v>6725.9861431870668</v>
      </c>
      <c r="P34" s="28">
        <f t="shared" si="2"/>
        <v>0</v>
      </c>
      <c r="Q34" s="28">
        <f t="shared" si="2"/>
        <v>6364.4618937644336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0.81</v>
      </c>
      <c r="H35" s="21"/>
      <c r="I35" s="21">
        <v>0.83</v>
      </c>
      <c r="J35" s="20">
        <v>0.84</v>
      </c>
      <c r="K35" s="20">
        <v>0.82</v>
      </c>
      <c r="L35" s="21">
        <v>0.83</v>
      </c>
      <c r="M35" s="21">
        <v>0.82</v>
      </c>
      <c r="N35" s="20"/>
      <c r="O35" s="20">
        <v>0.8</v>
      </c>
      <c r="P35" s="21"/>
      <c r="Q35" s="21">
        <v>0.82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34.5</v>
      </c>
      <c r="H36" s="21"/>
      <c r="I36" s="21">
        <v>35</v>
      </c>
      <c r="J36" s="20">
        <v>36.6</v>
      </c>
      <c r="K36" s="20">
        <v>34.799999999999997</v>
      </c>
      <c r="L36" s="21">
        <v>36.6</v>
      </c>
      <c r="M36" s="21">
        <v>34.700000000000003</v>
      </c>
      <c r="N36" s="20"/>
      <c r="O36" s="20">
        <v>34.1</v>
      </c>
      <c r="P36" s="21"/>
      <c r="Q36" s="21">
        <v>34.700000000000003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36</v>
      </c>
      <c r="H37" s="21"/>
      <c r="I37" s="21">
        <v>36.9</v>
      </c>
      <c r="J37" s="20">
        <v>37.299999999999997</v>
      </c>
      <c r="K37" s="20">
        <v>36.5</v>
      </c>
      <c r="L37" s="21">
        <v>37</v>
      </c>
      <c r="M37" s="21">
        <v>36.299999999999997</v>
      </c>
      <c r="N37" s="20"/>
      <c r="O37" s="20">
        <v>35.5</v>
      </c>
      <c r="P37" s="21"/>
      <c r="Q37" s="21">
        <v>36.4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2.3999999999999986</v>
      </c>
      <c r="H38" s="27">
        <v>1</v>
      </c>
      <c r="I38" s="27">
        <f t="shared" ref="I38:Q38" si="3">I37-I41</f>
        <v>3.6000000000000014</v>
      </c>
      <c r="J38" s="27">
        <f t="shared" si="3"/>
        <v>2.0999999999999943</v>
      </c>
      <c r="K38" s="27">
        <f t="shared" si="3"/>
        <v>2.8999999999999986</v>
      </c>
      <c r="L38" s="27">
        <f>L37-L41</f>
        <v>2.2000000000000028</v>
      </c>
      <c r="M38" s="27">
        <f>M37-M41</f>
        <v>3</v>
      </c>
      <c r="N38" s="27">
        <f>N37-N41</f>
        <v>0</v>
      </c>
      <c r="O38" s="27">
        <f>O37-O41</f>
        <v>2.2999999999999972</v>
      </c>
      <c r="P38" s="27">
        <f t="shared" si="3"/>
        <v>0</v>
      </c>
      <c r="Q38" s="27">
        <f t="shared" si="3"/>
        <v>2.7999999999999972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28.4</v>
      </c>
      <c r="H40" s="21"/>
      <c r="I40" s="21">
        <v>28.3</v>
      </c>
      <c r="J40" s="20">
        <v>29.8</v>
      </c>
      <c r="K40" s="20">
        <v>28.3</v>
      </c>
      <c r="L40" s="21">
        <v>29.6</v>
      </c>
      <c r="M40" s="21">
        <v>28.1</v>
      </c>
      <c r="N40" s="20"/>
      <c r="O40" s="20">
        <v>28.3</v>
      </c>
      <c r="P40" s="21"/>
      <c r="Q40" s="21">
        <v>28.6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33.6</v>
      </c>
      <c r="H41" s="21"/>
      <c r="I41" s="21">
        <v>33.299999999999997</v>
      </c>
      <c r="J41" s="20">
        <v>35.200000000000003</v>
      </c>
      <c r="K41" s="20">
        <v>33.6</v>
      </c>
      <c r="L41" s="21">
        <v>34.799999999999997</v>
      </c>
      <c r="M41" s="21">
        <v>33.299999999999997</v>
      </c>
      <c r="N41" s="20"/>
      <c r="O41" s="20">
        <v>33.200000000000003</v>
      </c>
      <c r="P41" s="21"/>
      <c r="Q41" s="21">
        <v>33.6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5.2000000000000028</v>
      </c>
      <c r="H42" s="27">
        <f t="shared" ref="H42:Q42" si="4">H41-H40</f>
        <v>0</v>
      </c>
      <c r="I42" s="27">
        <f t="shared" si="4"/>
        <v>4.9999999999999964</v>
      </c>
      <c r="J42" s="27">
        <f t="shared" si="4"/>
        <v>5.4000000000000021</v>
      </c>
      <c r="K42" s="27">
        <f t="shared" si="4"/>
        <v>5.3000000000000007</v>
      </c>
      <c r="L42" s="27">
        <f>L41-L40</f>
        <v>5.1999999999999957</v>
      </c>
      <c r="M42" s="27">
        <f>M41-M40</f>
        <v>5.1999999999999957</v>
      </c>
      <c r="N42" s="27">
        <f>N41-N40</f>
        <v>0</v>
      </c>
      <c r="O42" s="27">
        <f>O41-O40</f>
        <v>4.9000000000000021</v>
      </c>
      <c r="P42" s="27">
        <f t="shared" si="4"/>
        <v>0</v>
      </c>
      <c r="Q42" s="27">
        <f t="shared" si="4"/>
        <v>5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1291.5</v>
      </c>
      <c r="H43" s="21"/>
      <c r="I43" s="21">
        <v>1296.82</v>
      </c>
      <c r="J43" s="20">
        <v>1298.5999999999999</v>
      </c>
      <c r="K43" s="20">
        <v>1293.5999999999999</v>
      </c>
      <c r="L43" s="21">
        <v>1296</v>
      </c>
      <c r="M43" s="20">
        <v>1293.18</v>
      </c>
      <c r="N43" s="20"/>
      <c r="O43" s="20">
        <v>1299.9000000000001</v>
      </c>
      <c r="P43" s="21"/>
      <c r="Q43" s="21">
        <v>1295.7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7754.9653579676715</v>
      </c>
      <c r="H44" s="28">
        <f t="shared" ref="H44:Q44" si="5">H42*H43/0.866</f>
        <v>0</v>
      </c>
      <c r="I44" s="28">
        <f t="shared" si="5"/>
        <v>7487.4133949191628</v>
      </c>
      <c r="J44" s="28">
        <f t="shared" si="5"/>
        <v>8097.5057736720582</v>
      </c>
      <c r="K44" s="28">
        <f t="shared" si="5"/>
        <v>7916.9515011547355</v>
      </c>
      <c r="L44" s="28">
        <f>L42*L43/0.866</f>
        <v>7781.9861431870604</v>
      </c>
      <c r="M44" s="28">
        <f>M42*M43/0.866</f>
        <v>7765.0531177829034</v>
      </c>
      <c r="N44" s="28">
        <f>N42*N43/0.866</f>
        <v>0</v>
      </c>
      <c r="O44" s="28">
        <f>O42*O43/0.866</f>
        <v>7355.09237875289</v>
      </c>
      <c r="P44" s="28">
        <f t="shared" si="5"/>
        <v>0</v>
      </c>
      <c r="Q44" s="28">
        <f t="shared" si="5"/>
        <v>7480.9468822170902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0.45</v>
      </c>
      <c r="H45" s="21"/>
      <c r="I45" s="21">
        <v>0.44</v>
      </c>
      <c r="J45" s="20">
        <v>0.46</v>
      </c>
      <c r="K45" s="20">
        <v>0.45</v>
      </c>
      <c r="L45" s="21">
        <v>0.47</v>
      </c>
      <c r="M45" s="21">
        <v>0.45</v>
      </c>
      <c r="N45" s="20"/>
      <c r="O45" s="20">
        <v>0.44</v>
      </c>
      <c r="P45" s="21"/>
      <c r="Q45" s="21">
        <v>0.45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18.899999999999999</v>
      </c>
      <c r="H46" s="21"/>
      <c r="I46" s="21">
        <v>18.2</v>
      </c>
      <c r="J46" s="20">
        <v>19.8</v>
      </c>
      <c r="K46" s="20">
        <v>19</v>
      </c>
      <c r="L46" s="21">
        <v>20</v>
      </c>
      <c r="M46" s="21">
        <v>19.100000000000001</v>
      </c>
      <c r="N46" s="20"/>
      <c r="O46" s="20">
        <v>18.100000000000001</v>
      </c>
      <c r="P46" s="21"/>
      <c r="Q46" s="21">
        <v>18.899999999999999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201.7</v>
      </c>
      <c r="H47" s="21"/>
      <c r="I47" s="21">
        <v>117.8</v>
      </c>
      <c r="J47" s="20">
        <v>205.4</v>
      </c>
      <c r="K47" s="20">
        <v>200.8</v>
      </c>
      <c r="L47" s="21">
        <v>197.4</v>
      </c>
      <c r="M47" s="21">
        <v>206.4</v>
      </c>
      <c r="N47" s="20"/>
      <c r="O47" s="20">
        <v>160</v>
      </c>
      <c r="P47" s="21"/>
      <c r="Q47" s="21">
        <v>199.8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83">
        <v>5.89</v>
      </c>
      <c r="F49" s="20"/>
      <c r="G49" s="20">
        <v>5.54</v>
      </c>
      <c r="H49" s="21"/>
      <c r="I49" s="21">
        <v>5.72</v>
      </c>
      <c r="J49" s="20">
        <v>5.63</v>
      </c>
      <c r="K49" s="20">
        <v>5.9</v>
      </c>
      <c r="L49" s="21">
        <v>5.66</v>
      </c>
      <c r="M49" s="21">
        <v>5.68</v>
      </c>
      <c r="N49" s="20"/>
      <c r="O49" s="20">
        <v>5.68</v>
      </c>
      <c r="P49" s="21"/>
      <c r="Q49" s="21">
        <v>5.33</v>
      </c>
    </row>
    <row r="50" spans="2:17" ht="20.100000000000001" customHeight="1">
      <c r="B50" s="92" t="s">
        <v>91</v>
      </c>
      <c r="C50" s="92"/>
      <c r="D50" s="92"/>
      <c r="E50" s="8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8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I11" sqref="I11:I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45805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85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/>
      <c r="K10" s="17" t="s">
        <v>19</v>
      </c>
      <c r="L10" s="18"/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68.5</v>
      </c>
      <c r="G11" s="20">
        <v>67.8</v>
      </c>
      <c r="H11" s="21"/>
      <c r="I11" s="21">
        <v>75.2</v>
      </c>
      <c r="J11" s="20"/>
      <c r="K11" s="20">
        <v>74</v>
      </c>
      <c r="L11" s="21"/>
      <c r="M11" s="21">
        <v>74</v>
      </c>
      <c r="N11" s="20">
        <v>70.5</v>
      </c>
      <c r="O11" s="20">
        <v>73.400000000000006</v>
      </c>
      <c r="P11" s="21"/>
      <c r="Q11" s="21">
        <v>72.8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0.1</v>
      </c>
      <c r="G12" s="20">
        <v>0.1</v>
      </c>
      <c r="H12" s="21"/>
      <c r="I12" s="21">
        <v>0</v>
      </c>
      <c r="J12" s="20"/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62.6</v>
      </c>
      <c r="G13" s="20">
        <v>60.7</v>
      </c>
      <c r="H13" s="21"/>
      <c r="I13" s="21">
        <v>69.599999999999994</v>
      </c>
      <c r="J13" s="20"/>
      <c r="K13" s="20">
        <v>69.5</v>
      </c>
      <c r="L13" s="21"/>
      <c r="M13" s="21">
        <v>69.099999999999994</v>
      </c>
      <c r="N13" s="20">
        <v>64.5</v>
      </c>
      <c r="O13" s="20">
        <v>68.7</v>
      </c>
      <c r="P13" s="21"/>
      <c r="Q13" s="21">
        <v>66.900000000000006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69.2</v>
      </c>
      <c r="G14" s="20">
        <v>69.400000000000006</v>
      </c>
      <c r="H14" s="21"/>
      <c r="I14" s="21">
        <v>70.900000000000006</v>
      </c>
      <c r="J14" s="20"/>
      <c r="K14" s="20">
        <v>63.7</v>
      </c>
      <c r="L14" s="21"/>
      <c r="M14" s="21">
        <v>67.599999999999994</v>
      </c>
      <c r="N14" s="20">
        <v>75.099999999999994</v>
      </c>
      <c r="O14" s="20">
        <v>73.5</v>
      </c>
      <c r="P14" s="21"/>
      <c r="Q14" s="21">
        <v>73.5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35.5</v>
      </c>
      <c r="G15" s="20">
        <v>37.4</v>
      </c>
      <c r="H15" s="21"/>
      <c r="I15" s="21">
        <v>49.1</v>
      </c>
      <c r="J15" s="20"/>
      <c r="K15" s="20">
        <v>36.1</v>
      </c>
      <c r="L15" s="21"/>
      <c r="M15" s="21">
        <v>34.6</v>
      </c>
      <c r="N15" s="20">
        <v>50.7</v>
      </c>
      <c r="O15" s="20">
        <v>50</v>
      </c>
      <c r="P15" s="21"/>
      <c r="Q15" s="21">
        <v>43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116.7</v>
      </c>
      <c r="G17" s="20">
        <v>115.3</v>
      </c>
      <c r="H17" s="21"/>
      <c r="I17" s="21">
        <v>113.8</v>
      </c>
      <c r="J17" s="20"/>
      <c r="K17" s="20">
        <v>118</v>
      </c>
      <c r="L17" s="21"/>
      <c r="M17" s="21">
        <v>116.9</v>
      </c>
      <c r="N17" s="20">
        <v>115.6</v>
      </c>
      <c r="O17" s="20">
        <v>117.5</v>
      </c>
      <c r="P17" s="21"/>
      <c r="Q17" s="21">
        <v>117.3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1145</v>
      </c>
      <c r="G18" s="20">
        <v>1148</v>
      </c>
      <c r="H18" s="21"/>
      <c r="I18" s="21">
        <v>1164</v>
      </c>
      <c r="J18" s="20"/>
      <c r="K18" s="20">
        <v>1205</v>
      </c>
      <c r="L18" s="21"/>
      <c r="M18" s="21">
        <v>1190</v>
      </c>
      <c r="N18" s="20">
        <v>1172</v>
      </c>
      <c r="O18" s="20">
        <v>1199</v>
      </c>
      <c r="P18" s="21"/>
      <c r="Q18" s="21">
        <v>1192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>
        <v>50566.6</v>
      </c>
      <c r="G19" s="20">
        <v>50553.7</v>
      </c>
      <c r="H19" s="21"/>
      <c r="I19" s="21">
        <v>51556.4</v>
      </c>
      <c r="J19" s="20"/>
      <c r="K19" s="20">
        <v>49483.199999999997</v>
      </c>
      <c r="L19" s="21"/>
      <c r="M19" s="21">
        <v>51916</v>
      </c>
      <c r="N19" s="20">
        <v>51093.5</v>
      </c>
      <c r="O19" s="20">
        <v>51080.7</v>
      </c>
      <c r="P19" s="21"/>
      <c r="Q19" s="21">
        <v>50927.1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58.1</v>
      </c>
      <c r="G22" s="20">
        <v>58.4</v>
      </c>
      <c r="H22" s="21"/>
      <c r="I22" s="21">
        <v>59.3</v>
      </c>
      <c r="J22" s="20"/>
      <c r="K22" s="20">
        <v>57.7</v>
      </c>
      <c r="L22" s="21"/>
      <c r="M22" s="21">
        <v>57.5</v>
      </c>
      <c r="N22" s="20">
        <v>58.9</v>
      </c>
      <c r="O22" s="20">
        <v>58.7</v>
      </c>
      <c r="P22" s="21"/>
      <c r="Q22" s="21">
        <v>59.3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0.53</v>
      </c>
      <c r="G23" s="20">
        <v>0.53</v>
      </c>
      <c r="H23" s="21"/>
      <c r="I23" s="21">
        <v>0.49</v>
      </c>
      <c r="J23" s="20"/>
      <c r="K23" s="20">
        <v>0.59</v>
      </c>
      <c r="L23" s="21"/>
      <c r="M23" s="21">
        <v>0.52</v>
      </c>
      <c r="N23" s="20">
        <v>0.48</v>
      </c>
      <c r="O23" s="20">
        <v>0.48</v>
      </c>
      <c r="P23" s="21"/>
      <c r="Q23" s="21">
        <v>0.5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45</v>
      </c>
      <c r="G25" s="20">
        <v>44.7</v>
      </c>
      <c r="H25" s="21"/>
      <c r="I25" s="21">
        <v>44.9</v>
      </c>
      <c r="J25" s="20"/>
      <c r="K25" s="20">
        <v>45</v>
      </c>
      <c r="L25" s="21"/>
      <c r="M25" s="21">
        <v>44.9</v>
      </c>
      <c r="N25" s="20">
        <v>44.9</v>
      </c>
      <c r="O25" s="20">
        <v>44.9</v>
      </c>
      <c r="P25" s="21"/>
      <c r="Q25" s="21">
        <v>45.2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0.21</v>
      </c>
      <c r="G26" s="20">
        <v>0.21</v>
      </c>
      <c r="H26" s="21"/>
      <c r="I26" s="21">
        <v>0.22</v>
      </c>
      <c r="J26" s="20"/>
      <c r="K26" s="20">
        <v>0.23</v>
      </c>
      <c r="L26" s="21"/>
      <c r="M26" s="21">
        <v>0.22</v>
      </c>
      <c r="N26" s="20">
        <v>0.23</v>
      </c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4.5999999999999996</v>
      </c>
      <c r="G27" s="20">
        <v>4.9000000000000004</v>
      </c>
      <c r="H27" s="21"/>
      <c r="I27" s="21">
        <v>3.6</v>
      </c>
      <c r="J27" s="20"/>
      <c r="K27" s="20">
        <v>4.2</v>
      </c>
      <c r="L27" s="21"/>
      <c r="M27" s="21">
        <v>4</v>
      </c>
      <c r="N27" s="20">
        <v>4.7</v>
      </c>
      <c r="O27" s="20">
        <v>4.5</v>
      </c>
      <c r="P27" s="21"/>
      <c r="Q27" s="21">
        <v>4.5999999999999996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4.3</v>
      </c>
      <c r="G28" s="20">
        <v>4.5</v>
      </c>
      <c r="H28" s="21"/>
      <c r="I28" s="21">
        <v>2.7</v>
      </c>
      <c r="J28" s="20"/>
      <c r="K28" s="20">
        <v>3.4</v>
      </c>
      <c r="L28" s="21"/>
      <c r="M28" s="21">
        <v>3</v>
      </c>
      <c r="N28" s="20">
        <v>3.7</v>
      </c>
      <c r="O28" s="20">
        <v>3.7</v>
      </c>
      <c r="P28" s="21"/>
      <c r="Q28" s="21">
        <v>3.7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0.70000000000000018</v>
      </c>
      <c r="G29" s="27">
        <f>G32-G28</f>
        <v>0.79999999999999982</v>
      </c>
      <c r="H29" s="27">
        <f t="shared" ref="H29:Q29" si="0">H32-H28</f>
        <v>0</v>
      </c>
      <c r="I29" s="27">
        <f t="shared" si="0"/>
        <v>2.2000000000000002</v>
      </c>
      <c r="J29" s="27">
        <f t="shared" si="0"/>
        <v>0</v>
      </c>
      <c r="K29" s="27">
        <f t="shared" si="0"/>
        <v>0.60000000000000009</v>
      </c>
      <c r="L29" s="27">
        <f>L32-L28</f>
        <v>0</v>
      </c>
      <c r="M29" s="27">
        <f>M32-M28</f>
        <v>1.4000000000000004</v>
      </c>
      <c r="N29" s="27">
        <f>N32-N28</f>
        <v>1.0999999999999996</v>
      </c>
      <c r="O29" s="27">
        <f>O32-O28</f>
        <v>0.89999999999999947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643.4</v>
      </c>
      <c r="G30" s="20">
        <v>677.7</v>
      </c>
      <c r="H30" s="21"/>
      <c r="I30" s="21">
        <v>629.29999999999995</v>
      </c>
      <c r="J30" s="20"/>
      <c r="K30" s="20">
        <v>641.20000000000005</v>
      </c>
      <c r="L30" s="21"/>
      <c r="M30" s="21">
        <v>619.79999999999995</v>
      </c>
      <c r="N30" s="20">
        <v>638.9</v>
      </c>
      <c r="O30" s="20">
        <v>634.9</v>
      </c>
      <c r="P30" s="21"/>
      <c r="Q30" s="21">
        <v>638.4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14</v>
      </c>
      <c r="G31" s="20">
        <v>13.9</v>
      </c>
      <c r="H31" s="21"/>
      <c r="I31" s="21">
        <v>13.5</v>
      </c>
      <c r="J31" s="20"/>
      <c r="K31" s="20">
        <v>13.1</v>
      </c>
      <c r="L31" s="21"/>
      <c r="M31" s="21">
        <v>13.6</v>
      </c>
      <c r="N31" s="20">
        <v>13.6</v>
      </c>
      <c r="O31" s="20">
        <v>13.9</v>
      </c>
      <c r="P31" s="21"/>
      <c r="Q31" s="21">
        <v>13.4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5</v>
      </c>
      <c r="G32" s="20">
        <v>5.3</v>
      </c>
      <c r="H32" s="21"/>
      <c r="I32" s="21">
        <v>4.9000000000000004</v>
      </c>
      <c r="J32" s="20"/>
      <c r="K32" s="20">
        <v>4</v>
      </c>
      <c r="L32" s="21"/>
      <c r="M32" s="21">
        <v>4.4000000000000004</v>
      </c>
      <c r="N32" s="20">
        <v>4.8</v>
      </c>
      <c r="O32" s="20">
        <v>4.5999999999999996</v>
      </c>
      <c r="P32" s="21"/>
      <c r="Q32" s="21">
        <v>4.7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9</v>
      </c>
      <c r="G33" s="27">
        <f>G31-G32</f>
        <v>8.6000000000000014</v>
      </c>
      <c r="H33" s="27">
        <f t="shared" ref="H33:Q33" si="1">H31-H32</f>
        <v>0</v>
      </c>
      <c r="I33" s="27">
        <f t="shared" si="1"/>
        <v>8.6</v>
      </c>
      <c r="J33" s="27">
        <f t="shared" si="1"/>
        <v>0</v>
      </c>
      <c r="K33" s="27">
        <f t="shared" si="1"/>
        <v>9.1</v>
      </c>
      <c r="L33" s="27">
        <f>L31-L32</f>
        <v>0</v>
      </c>
      <c r="M33" s="27">
        <f>M31-M32</f>
        <v>9.1999999999999993</v>
      </c>
      <c r="N33" s="27">
        <f>N31-N32</f>
        <v>8.8000000000000007</v>
      </c>
      <c r="O33" s="27">
        <f>O31-O32</f>
        <v>9.3000000000000007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6686.6050808314085</v>
      </c>
      <c r="G34" s="28">
        <f>(G33*G30)/0.866</f>
        <v>6730.046189376445</v>
      </c>
      <c r="H34" s="28">
        <f t="shared" ref="H34:Q34" si="2">(H33*H30)/0.866</f>
        <v>0</v>
      </c>
      <c r="I34" s="28">
        <f t="shared" si="2"/>
        <v>6249.399538106235</v>
      </c>
      <c r="J34" s="28">
        <f t="shared" si="2"/>
        <v>0</v>
      </c>
      <c r="K34" s="28">
        <f t="shared" si="2"/>
        <v>6737.7829099307164</v>
      </c>
      <c r="L34" s="28">
        <f>(L33*L30)/0.866</f>
        <v>0</v>
      </c>
      <c r="M34" s="28">
        <f>(M33*M30)/0.866</f>
        <v>6584.4803695150104</v>
      </c>
      <c r="N34" s="28">
        <f>(N33*N30)/0.866</f>
        <v>6492.2863741339497</v>
      </c>
      <c r="O34" s="28">
        <f>(O33*O30)/0.866</f>
        <v>6818.2101616628179</v>
      </c>
      <c r="P34" s="28">
        <f t="shared" si="2"/>
        <v>0</v>
      </c>
      <c r="Q34" s="28">
        <f t="shared" si="2"/>
        <v>6413.487297921477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0.84</v>
      </c>
      <c r="G35" s="20">
        <v>0.83</v>
      </c>
      <c r="H35" s="21"/>
      <c r="I35" s="21">
        <v>0.85</v>
      </c>
      <c r="J35" s="20"/>
      <c r="K35" s="20">
        <v>0.84</v>
      </c>
      <c r="L35" s="21"/>
      <c r="M35" s="21">
        <v>0.84</v>
      </c>
      <c r="N35" s="20">
        <v>0.82</v>
      </c>
      <c r="O35" s="20">
        <v>0.82</v>
      </c>
      <c r="P35" s="21"/>
      <c r="Q35" s="21">
        <v>0.84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36.799999999999997</v>
      </c>
      <c r="G36" s="20">
        <v>36.5</v>
      </c>
      <c r="H36" s="21"/>
      <c r="I36" s="21">
        <v>36.799999999999997</v>
      </c>
      <c r="J36" s="20"/>
      <c r="K36" s="20">
        <v>36.799999999999997</v>
      </c>
      <c r="L36" s="21"/>
      <c r="M36" s="21">
        <v>36.700000000000003</v>
      </c>
      <c r="N36" s="20">
        <v>36.5</v>
      </c>
      <c r="O36" s="20">
        <v>36.1</v>
      </c>
      <c r="P36" s="21"/>
      <c r="Q36" s="21">
        <v>36.5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37.299999999999997</v>
      </c>
      <c r="G37" s="20">
        <v>36.9</v>
      </c>
      <c r="H37" s="21"/>
      <c r="I37" s="21">
        <v>37.6</v>
      </c>
      <c r="J37" s="20"/>
      <c r="K37" s="20">
        <v>37.4</v>
      </c>
      <c r="L37" s="21"/>
      <c r="M37" s="21">
        <v>37.200000000000003</v>
      </c>
      <c r="N37" s="20">
        <v>36.799999999999997</v>
      </c>
      <c r="O37" s="20">
        <v>36.4</v>
      </c>
      <c r="P37" s="21"/>
      <c r="Q37" s="21">
        <v>37.299999999999997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1.5999999999999943</v>
      </c>
      <c r="G38" s="27">
        <f>G37-G41</f>
        <v>1.6000000000000014</v>
      </c>
      <c r="H38" s="27">
        <v>1</v>
      </c>
      <c r="I38" s="27">
        <f t="shared" ref="I38:Q38" si="3">I37-I41</f>
        <v>3.1000000000000014</v>
      </c>
      <c r="J38" s="27">
        <f t="shared" si="3"/>
        <v>0</v>
      </c>
      <c r="K38" s="27">
        <f t="shared" si="3"/>
        <v>2.1000000000000014</v>
      </c>
      <c r="L38" s="27">
        <f>L37-L41</f>
        <v>0</v>
      </c>
      <c r="M38" s="27">
        <f>M37-M41</f>
        <v>2.2000000000000028</v>
      </c>
      <c r="N38" s="27">
        <f>N37-N41</f>
        <v>1.5</v>
      </c>
      <c r="O38" s="27">
        <f>O37-O41</f>
        <v>1.5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30.4</v>
      </c>
      <c r="G40" s="20">
        <v>29.8</v>
      </c>
      <c r="H40" s="21"/>
      <c r="I40" s="21">
        <v>29.8</v>
      </c>
      <c r="J40" s="20"/>
      <c r="K40" s="20">
        <v>29.9</v>
      </c>
      <c r="L40" s="21"/>
      <c r="M40" s="21">
        <v>29.8</v>
      </c>
      <c r="N40" s="20">
        <v>30.2</v>
      </c>
      <c r="O40" s="20">
        <v>29.7</v>
      </c>
      <c r="P40" s="21"/>
      <c r="Q40" s="21">
        <v>29.7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35.700000000000003</v>
      </c>
      <c r="G41" s="20">
        <v>35.299999999999997</v>
      </c>
      <c r="H41" s="21"/>
      <c r="I41" s="21">
        <v>34.5</v>
      </c>
      <c r="J41" s="20"/>
      <c r="K41" s="20">
        <v>35.299999999999997</v>
      </c>
      <c r="L41" s="21"/>
      <c r="M41" s="21">
        <v>35</v>
      </c>
      <c r="N41" s="20">
        <v>35.299999999999997</v>
      </c>
      <c r="O41" s="20">
        <v>34.9</v>
      </c>
      <c r="P41" s="21"/>
      <c r="Q41" s="21">
        <v>34.799999999999997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5.3000000000000043</v>
      </c>
      <c r="G42" s="27">
        <f>G41-G40</f>
        <v>5.4999999999999964</v>
      </c>
      <c r="H42" s="27">
        <f t="shared" ref="H42:Q42" si="4">H41-H40</f>
        <v>0</v>
      </c>
      <c r="I42" s="27">
        <f t="shared" si="4"/>
        <v>4.6999999999999993</v>
      </c>
      <c r="J42" s="27">
        <f t="shared" si="4"/>
        <v>0</v>
      </c>
      <c r="K42" s="27">
        <f t="shared" si="4"/>
        <v>5.3999999999999986</v>
      </c>
      <c r="L42" s="27">
        <f>L41-L40</f>
        <v>0</v>
      </c>
      <c r="M42" s="27">
        <f>M41-M40</f>
        <v>5.1999999999999993</v>
      </c>
      <c r="N42" s="27">
        <f>N41-N40</f>
        <v>5.0999999999999979</v>
      </c>
      <c r="O42" s="27">
        <f>O41-O40</f>
        <v>5.1999999999999993</v>
      </c>
      <c r="P42" s="27">
        <f t="shared" si="4"/>
        <v>0</v>
      </c>
      <c r="Q42" s="27">
        <f t="shared" si="4"/>
        <v>5.0999999999999979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1303.8</v>
      </c>
      <c r="G43" s="20">
        <v>1291.4000000000001</v>
      </c>
      <c r="H43" s="21"/>
      <c r="I43" s="21">
        <v>1301</v>
      </c>
      <c r="J43" s="20"/>
      <c r="K43" s="20">
        <v>1296.7</v>
      </c>
      <c r="L43" s="21"/>
      <c r="M43" s="20">
        <v>1295.2</v>
      </c>
      <c r="N43" s="20">
        <v>1298.5999999999999</v>
      </c>
      <c r="O43" s="20">
        <v>1293.5999999999999</v>
      </c>
      <c r="P43" s="21"/>
      <c r="Q43" s="21">
        <v>1297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7979.3764434180193</v>
      </c>
      <c r="G44" s="28">
        <f>G42*G43/0.866</f>
        <v>8201.7321016166243</v>
      </c>
      <c r="H44" s="28">
        <f t="shared" ref="H44:Q44" si="5">H42*H43/0.866</f>
        <v>0</v>
      </c>
      <c r="I44" s="28">
        <f t="shared" si="5"/>
        <v>7060.854503464202</v>
      </c>
      <c r="J44" s="28">
        <f t="shared" si="5"/>
        <v>0</v>
      </c>
      <c r="K44" s="28">
        <f t="shared" si="5"/>
        <v>8085.6581986143174</v>
      </c>
      <c r="L44" s="28">
        <f>L42*L43/0.866</f>
        <v>0</v>
      </c>
      <c r="M44" s="28">
        <f>M42*M43/0.866</f>
        <v>7777.1824480369505</v>
      </c>
      <c r="N44" s="28">
        <f>N42*N43/0.866</f>
        <v>7647.6443418013823</v>
      </c>
      <c r="O44" s="28">
        <f>O42*O43/0.866</f>
        <v>7767.5750577367189</v>
      </c>
      <c r="P44" s="28">
        <f t="shared" si="5"/>
        <v>0</v>
      </c>
      <c r="Q44" s="28">
        <f t="shared" si="5"/>
        <v>7638.2217090069253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0.48</v>
      </c>
      <c r="G45" s="20">
        <v>0.48</v>
      </c>
      <c r="H45" s="21"/>
      <c r="I45" s="21">
        <v>0.46</v>
      </c>
      <c r="J45" s="20"/>
      <c r="K45" s="20">
        <v>0.47</v>
      </c>
      <c r="L45" s="21"/>
      <c r="M45" s="21">
        <v>0.47</v>
      </c>
      <c r="N45" s="20">
        <v>0.47</v>
      </c>
      <c r="O45" s="20">
        <v>0.46</v>
      </c>
      <c r="P45" s="21"/>
      <c r="Q45" s="21">
        <v>0.48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20.7</v>
      </c>
      <c r="G46" s="20">
        <v>20.7</v>
      </c>
      <c r="H46" s="21"/>
      <c r="I46" s="21">
        <v>19.899999999999999</v>
      </c>
      <c r="J46" s="20"/>
      <c r="K46" s="20">
        <v>19.899999999999999</v>
      </c>
      <c r="L46" s="21"/>
      <c r="M46" s="21">
        <v>20.100000000000001</v>
      </c>
      <c r="N46" s="20">
        <v>20.3</v>
      </c>
      <c r="O46" s="20">
        <v>19.2</v>
      </c>
      <c r="P46" s="21"/>
      <c r="Q46" s="21">
        <v>20.3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204.7</v>
      </c>
      <c r="G47" s="20">
        <v>196.5</v>
      </c>
      <c r="H47" s="21"/>
      <c r="I47" s="21">
        <v>127.5</v>
      </c>
      <c r="J47" s="20"/>
      <c r="K47" s="20">
        <v>212.7</v>
      </c>
      <c r="L47" s="21"/>
      <c r="M47" s="21">
        <v>214.8</v>
      </c>
      <c r="N47" s="20">
        <v>158</v>
      </c>
      <c r="O47" s="20">
        <v>160</v>
      </c>
      <c r="P47" s="21"/>
      <c r="Q47" s="21">
        <v>199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85">
        <v>5.89</v>
      </c>
      <c r="F49" s="20">
        <v>5.82</v>
      </c>
      <c r="G49" s="20">
        <v>5.52</v>
      </c>
      <c r="H49" s="21"/>
      <c r="I49" s="21">
        <v>5.49</v>
      </c>
      <c r="J49" s="20"/>
      <c r="K49" s="20">
        <v>5.54</v>
      </c>
      <c r="L49" s="21"/>
      <c r="M49" s="21">
        <v>5.82</v>
      </c>
      <c r="N49" s="20">
        <v>5.56</v>
      </c>
      <c r="O49" s="20">
        <v>5.6</v>
      </c>
      <c r="P49" s="21"/>
      <c r="Q49" s="21">
        <v>5.29</v>
      </c>
    </row>
    <row r="50" spans="2:17" ht="20.100000000000001" customHeight="1">
      <c r="B50" s="92" t="s">
        <v>91</v>
      </c>
      <c r="C50" s="92"/>
      <c r="D50" s="92"/>
      <c r="E50" s="8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8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H23" sqref="H23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45806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87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68.5</v>
      </c>
      <c r="H11" s="21"/>
      <c r="I11" s="21">
        <v>76.5</v>
      </c>
      <c r="J11" s="20">
        <v>74.3</v>
      </c>
      <c r="K11" s="20">
        <v>74.7</v>
      </c>
      <c r="L11" s="21">
        <v>75.8</v>
      </c>
      <c r="M11" s="21">
        <v>76.099999999999994</v>
      </c>
      <c r="N11" s="20"/>
      <c r="O11" s="20">
        <v>76</v>
      </c>
      <c r="P11" s="21"/>
      <c r="Q11" s="21">
        <v>72.7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0.1</v>
      </c>
      <c r="H12" s="21"/>
      <c r="I12" s="21">
        <v>0</v>
      </c>
      <c r="J12" s="20">
        <v>0</v>
      </c>
      <c r="K12" s="20">
        <v>0</v>
      </c>
      <c r="L12" s="21">
        <v>0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62.5</v>
      </c>
      <c r="H13" s="21"/>
      <c r="I13" s="21">
        <v>72.2</v>
      </c>
      <c r="J13" s="20">
        <v>68.8</v>
      </c>
      <c r="K13" s="20">
        <v>70.3</v>
      </c>
      <c r="L13" s="21">
        <v>73</v>
      </c>
      <c r="M13" s="21">
        <v>70.900000000000006</v>
      </c>
      <c r="N13" s="20"/>
      <c r="O13" s="20">
        <v>71.3</v>
      </c>
      <c r="P13" s="21"/>
      <c r="Q13" s="21">
        <v>66.599999999999994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69.400000000000006</v>
      </c>
      <c r="H14" s="21"/>
      <c r="I14" s="21">
        <v>70.2</v>
      </c>
      <c r="J14" s="20">
        <v>65.3</v>
      </c>
      <c r="K14" s="20">
        <v>64.3</v>
      </c>
      <c r="L14" s="21">
        <v>68.599999999999994</v>
      </c>
      <c r="M14" s="21">
        <v>66.099999999999994</v>
      </c>
      <c r="N14" s="20"/>
      <c r="O14" s="20">
        <v>74.400000000000006</v>
      </c>
      <c r="P14" s="21"/>
      <c r="Q14" s="21">
        <v>73.900000000000006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38.5</v>
      </c>
      <c r="H15" s="21"/>
      <c r="I15" s="21">
        <v>59.2</v>
      </c>
      <c r="J15" s="20">
        <v>38.9</v>
      </c>
      <c r="K15" s="20">
        <v>37.4</v>
      </c>
      <c r="L15" s="21">
        <v>36.700000000000003</v>
      </c>
      <c r="M15" s="21">
        <v>35.799999999999997</v>
      </c>
      <c r="N15" s="20"/>
      <c r="O15" s="20">
        <v>53</v>
      </c>
      <c r="P15" s="21"/>
      <c r="Q15" s="21">
        <v>43.2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115.1</v>
      </c>
      <c r="H17" s="21"/>
      <c r="I17" s="21">
        <v>115.8</v>
      </c>
      <c r="J17" s="20">
        <v>113.5</v>
      </c>
      <c r="K17" s="20">
        <v>117</v>
      </c>
      <c r="L17" s="21">
        <v>117.4</v>
      </c>
      <c r="M17" s="21">
        <v>117.2</v>
      </c>
      <c r="N17" s="20"/>
      <c r="O17" s="20">
        <v>118.4</v>
      </c>
      <c r="P17" s="21"/>
      <c r="Q17" s="21">
        <v>116.4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1138</v>
      </c>
      <c r="H18" s="21"/>
      <c r="I18" s="21">
        <v>1175</v>
      </c>
      <c r="J18" s="20">
        <v>1174</v>
      </c>
      <c r="K18" s="20">
        <v>1198</v>
      </c>
      <c r="L18" s="21">
        <v>1207</v>
      </c>
      <c r="M18" s="21">
        <v>1197</v>
      </c>
      <c r="N18" s="20"/>
      <c r="O18" s="20">
        <v>1210</v>
      </c>
      <c r="P18" s="21"/>
      <c r="Q18" s="21">
        <v>1185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50577.9</v>
      </c>
      <c r="H19" s="21"/>
      <c r="I19" s="21">
        <v>51566.2</v>
      </c>
      <c r="J19" s="20">
        <v>49503.6</v>
      </c>
      <c r="K19" s="20">
        <v>49492.9</v>
      </c>
      <c r="L19" s="21">
        <v>51986.2</v>
      </c>
      <c r="M19" s="21">
        <v>51925.9</v>
      </c>
      <c r="N19" s="20"/>
      <c r="O19" s="20">
        <v>51104.800000000003</v>
      </c>
      <c r="P19" s="21"/>
      <c r="Q19" s="21">
        <v>50936.800000000003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58.1</v>
      </c>
      <c r="H22" s="21"/>
      <c r="I22" s="21">
        <v>59.2</v>
      </c>
      <c r="J22" s="20">
        <v>57.8</v>
      </c>
      <c r="K22" s="20">
        <v>57.9</v>
      </c>
      <c r="L22" s="21">
        <v>57.3</v>
      </c>
      <c r="M22" s="21">
        <v>57.6</v>
      </c>
      <c r="N22" s="20"/>
      <c r="O22" s="20">
        <v>58.6</v>
      </c>
      <c r="P22" s="21"/>
      <c r="Q22" s="21">
        <v>59.3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0.57999999999999996</v>
      </c>
      <c r="K23" s="20">
        <v>0.59</v>
      </c>
      <c r="L23" s="21">
        <v>0.59</v>
      </c>
      <c r="M23" s="21">
        <v>0.59</v>
      </c>
      <c r="N23" s="20"/>
      <c r="O23" s="20">
        <v>0.46</v>
      </c>
      <c r="P23" s="21"/>
      <c r="Q23" s="21">
        <v>0.5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45.2</v>
      </c>
      <c r="H25" s="21"/>
      <c r="I25" s="21">
        <v>45</v>
      </c>
      <c r="J25" s="20">
        <v>57.8</v>
      </c>
      <c r="K25" s="20">
        <v>44.9</v>
      </c>
      <c r="L25" s="21">
        <v>44.9</v>
      </c>
      <c r="M25" s="21">
        <v>45</v>
      </c>
      <c r="N25" s="20"/>
      <c r="O25" s="20">
        <v>44.9</v>
      </c>
      <c r="P25" s="21"/>
      <c r="Q25" s="21">
        <v>44.9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0.24</v>
      </c>
      <c r="H26" s="21"/>
      <c r="I26" s="21">
        <v>0.22</v>
      </c>
      <c r="J26" s="20">
        <v>0.22</v>
      </c>
      <c r="K26" s="20">
        <v>0.23</v>
      </c>
      <c r="L26" s="21">
        <v>0.22</v>
      </c>
      <c r="M26" s="21">
        <v>0.23</v>
      </c>
      <c r="N26" s="20"/>
      <c r="O26" s="20">
        <v>0.23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4.5999999999999996</v>
      </c>
      <c r="H27" s="21"/>
      <c r="I27" s="21">
        <v>3.6</v>
      </c>
      <c r="J27" s="20">
        <v>4</v>
      </c>
      <c r="K27" s="20">
        <v>4.0999999999999996</v>
      </c>
      <c r="L27" s="21">
        <v>4.4000000000000004</v>
      </c>
      <c r="M27" s="21">
        <v>3.9</v>
      </c>
      <c r="N27" s="20"/>
      <c r="O27" s="20">
        <v>4.5999999999999996</v>
      </c>
      <c r="P27" s="21"/>
      <c r="Q27" s="21">
        <v>4.9000000000000004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4.4000000000000004</v>
      </c>
      <c r="H28" s="21"/>
      <c r="I28" s="21">
        <v>2.8</v>
      </c>
      <c r="J28" s="20">
        <v>3.1</v>
      </c>
      <c r="K28" s="20">
        <v>3.3</v>
      </c>
      <c r="L28" s="21">
        <v>3.3</v>
      </c>
      <c r="M28" s="21">
        <v>3.2</v>
      </c>
      <c r="N28" s="20"/>
      <c r="O28" s="20">
        <v>3.6</v>
      </c>
      <c r="P28" s="21"/>
      <c r="Q28" s="21">
        <v>3.8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0.59999999999999964</v>
      </c>
      <c r="H29" s="27">
        <f t="shared" ref="H29:Q29" si="0">H32-H28</f>
        <v>0</v>
      </c>
      <c r="I29" s="27">
        <f t="shared" si="0"/>
        <v>2.2000000000000002</v>
      </c>
      <c r="J29" s="27">
        <f t="shared" si="0"/>
        <v>1.4</v>
      </c>
      <c r="K29" s="27">
        <f t="shared" si="0"/>
        <v>1.2000000000000002</v>
      </c>
      <c r="L29" s="27">
        <f>L32-L28</f>
        <v>1.2999999999999998</v>
      </c>
      <c r="M29" s="27">
        <f>M32-M28</f>
        <v>1.0999999999999996</v>
      </c>
      <c r="N29" s="27">
        <f>N32-N28</f>
        <v>0</v>
      </c>
      <c r="O29" s="27">
        <f>O32-O28</f>
        <v>1.1000000000000001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671.44</v>
      </c>
      <c r="H30" s="21"/>
      <c r="I30" s="21">
        <v>630.48</v>
      </c>
      <c r="J30" s="20">
        <v>638.79999999999995</v>
      </c>
      <c r="K30" s="20">
        <v>632.32000000000005</v>
      </c>
      <c r="L30" s="21">
        <v>709</v>
      </c>
      <c r="M30" s="21">
        <v>635.6</v>
      </c>
      <c r="N30" s="20"/>
      <c r="O30" s="20">
        <v>655.52</v>
      </c>
      <c r="P30" s="21"/>
      <c r="Q30" s="21">
        <v>633.52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13.6</v>
      </c>
      <c r="H31" s="21"/>
      <c r="I31" s="21">
        <v>13.7</v>
      </c>
      <c r="J31" s="20">
        <v>13.6</v>
      </c>
      <c r="K31" s="20">
        <v>13.5</v>
      </c>
      <c r="L31" s="21">
        <v>13.5</v>
      </c>
      <c r="M31" s="21">
        <v>13.8</v>
      </c>
      <c r="N31" s="20"/>
      <c r="O31" s="20">
        <v>13.8</v>
      </c>
      <c r="P31" s="21"/>
      <c r="Q31" s="21">
        <v>13.5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5</v>
      </c>
      <c r="H32" s="21"/>
      <c r="I32" s="21">
        <v>5</v>
      </c>
      <c r="J32" s="20">
        <v>4.5</v>
      </c>
      <c r="K32" s="20">
        <v>4.5</v>
      </c>
      <c r="L32" s="21">
        <v>4.5999999999999996</v>
      </c>
      <c r="M32" s="21">
        <v>4.3</v>
      </c>
      <c r="N32" s="20"/>
      <c r="O32" s="20">
        <v>4.7</v>
      </c>
      <c r="P32" s="21"/>
      <c r="Q32" s="21">
        <v>4.8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8.6</v>
      </c>
      <c r="H33" s="27">
        <f t="shared" ref="H33:Q33" si="1">H31-H32</f>
        <v>0</v>
      </c>
      <c r="I33" s="27">
        <f t="shared" si="1"/>
        <v>8.6999999999999993</v>
      </c>
      <c r="J33" s="27">
        <f t="shared" si="1"/>
        <v>9.1</v>
      </c>
      <c r="K33" s="27">
        <f t="shared" si="1"/>
        <v>9</v>
      </c>
      <c r="L33" s="27">
        <f>L31-L32</f>
        <v>8.9</v>
      </c>
      <c r="M33" s="27">
        <f>M31-M32</f>
        <v>9.5</v>
      </c>
      <c r="N33" s="27">
        <f>N31-N32</f>
        <v>0</v>
      </c>
      <c r="O33" s="27">
        <f>O31-O32</f>
        <v>9.1000000000000014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6667.8799076212472</v>
      </c>
      <c r="H34" s="28">
        <f t="shared" ref="H34:Q34" si="2">(H33*H30)/0.866</f>
        <v>0</v>
      </c>
      <c r="I34" s="28">
        <f t="shared" si="2"/>
        <v>6333.921478060046</v>
      </c>
      <c r="J34" s="28">
        <f t="shared" si="2"/>
        <v>6712.5635103926088</v>
      </c>
      <c r="K34" s="28">
        <f t="shared" si="2"/>
        <v>6571.4549653579679</v>
      </c>
      <c r="L34" s="28">
        <f>(L33*L30)/0.866</f>
        <v>7286.489607390301</v>
      </c>
      <c r="M34" s="28">
        <f>(M33*M30)/0.866</f>
        <v>6972.5173210161665</v>
      </c>
      <c r="N34" s="28">
        <f>(N33*N30)/0.866</f>
        <v>0</v>
      </c>
      <c r="O34" s="28">
        <f>(O33*O30)/0.866</f>
        <v>6888.2586605080842</v>
      </c>
      <c r="P34" s="28">
        <f t="shared" si="2"/>
        <v>0</v>
      </c>
      <c r="Q34" s="28">
        <f t="shared" si="2"/>
        <v>6364.4618937644336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0.82</v>
      </c>
      <c r="H35" s="21"/>
      <c r="I35" s="21">
        <v>0.84</v>
      </c>
      <c r="J35" s="20">
        <v>0.8</v>
      </c>
      <c r="K35" s="20">
        <v>0.84</v>
      </c>
      <c r="L35" s="21">
        <v>0.8</v>
      </c>
      <c r="M35" s="21">
        <v>0.83</v>
      </c>
      <c r="N35" s="20"/>
      <c r="O35" s="20">
        <v>0.81</v>
      </c>
      <c r="P35" s="21"/>
      <c r="Q35" s="21">
        <v>0.83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36</v>
      </c>
      <c r="H36" s="21"/>
      <c r="I36" s="21">
        <v>36.4</v>
      </c>
      <c r="J36" s="20">
        <v>35.1</v>
      </c>
      <c r="K36" s="20">
        <v>36.299999999999997</v>
      </c>
      <c r="L36" s="21">
        <v>35.200000000000003</v>
      </c>
      <c r="M36" s="21">
        <v>36.299999999999997</v>
      </c>
      <c r="N36" s="20"/>
      <c r="O36" s="20">
        <v>35.799999999999997</v>
      </c>
      <c r="P36" s="21"/>
      <c r="Q36" s="21">
        <v>36.299999999999997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36.5</v>
      </c>
      <c r="H37" s="21"/>
      <c r="I37" s="21">
        <v>37.4</v>
      </c>
      <c r="J37" s="20">
        <v>35.799999999999997</v>
      </c>
      <c r="K37" s="20">
        <v>37</v>
      </c>
      <c r="L37" s="21">
        <v>35.799999999999997</v>
      </c>
      <c r="M37" s="21">
        <v>37</v>
      </c>
      <c r="N37" s="20"/>
      <c r="O37" s="20">
        <v>36.200000000000003</v>
      </c>
      <c r="P37" s="21"/>
      <c r="Q37" s="21">
        <v>36.9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2.3999999999999986</v>
      </c>
      <c r="H38" s="27">
        <v>1</v>
      </c>
      <c r="I38" s="27">
        <f t="shared" ref="I38:Q38" si="3">I37-I41</f>
        <v>3.7999999999999972</v>
      </c>
      <c r="J38" s="27">
        <f t="shared" si="3"/>
        <v>2.0999999999999943</v>
      </c>
      <c r="K38" s="27">
        <f t="shared" si="3"/>
        <v>2.7000000000000028</v>
      </c>
      <c r="L38" s="27">
        <f>L37-L41</f>
        <v>2.2999999999999972</v>
      </c>
      <c r="M38" s="27">
        <f>M37-M41</f>
        <v>3</v>
      </c>
      <c r="N38" s="27">
        <f>N37-N41</f>
        <v>0</v>
      </c>
      <c r="O38" s="27">
        <f>O37-O41</f>
        <v>2.2000000000000028</v>
      </c>
      <c r="P38" s="27">
        <f t="shared" si="3"/>
        <v>0</v>
      </c>
      <c r="Q38" s="27">
        <f t="shared" si="3"/>
        <v>2.6999999999999957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28.9</v>
      </c>
      <c r="H40" s="21"/>
      <c r="I40" s="21">
        <v>28.7</v>
      </c>
      <c r="J40" s="20">
        <v>28.7</v>
      </c>
      <c r="K40" s="20">
        <v>28.8</v>
      </c>
      <c r="L40" s="21">
        <v>28.1</v>
      </c>
      <c r="M40" s="21">
        <v>28.7</v>
      </c>
      <c r="N40" s="20"/>
      <c r="O40" s="20">
        <v>28.8</v>
      </c>
      <c r="P40" s="21"/>
      <c r="Q40" s="21">
        <v>29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34.1</v>
      </c>
      <c r="H41" s="21"/>
      <c r="I41" s="21">
        <v>33.6</v>
      </c>
      <c r="J41" s="20">
        <v>33.700000000000003</v>
      </c>
      <c r="K41" s="20">
        <v>34.299999999999997</v>
      </c>
      <c r="L41" s="21">
        <v>33.5</v>
      </c>
      <c r="M41" s="21">
        <v>34</v>
      </c>
      <c r="N41" s="20"/>
      <c r="O41" s="20">
        <v>34</v>
      </c>
      <c r="P41" s="21"/>
      <c r="Q41" s="21">
        <v>34.200000000000003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5.2000000000000028</v>
      </c>
      <c r="H42" s="27">
        <f t="shared" ref="H42:Q42" si="4">H41-H40</f>
        <v>0</v>
      </c>
      <c r="I42" s="27">
        <f t="shared" si="4"/>
        <v>4.9000000000000021</v>
      </c>
      <c r="J42" s="27">
        <f t="shared" si="4"/>
        <v>5.0000000000000036</v>
      </c>
      <c r="K42" s="27">
        <f t="shared" si="4"/>
        <v>5.4999999999999964</v>
      </c>
      <c r="L42" s="27">
        <f>L41-L40</f>
        <v>5.3999999999999986</v>
      </c>
      <c r="M42" s="27">
        <f>M41-M40</f>
        <v>5.3000000000000007</v>
      </c>
      <c r="N42" s="27">
        <f>N41-N40</f>
        <v>0</v>
      </c>
      <c r="O42" s="27">
        <f>O41-O40</f>
        <v>5.1999999999999993</v>
      </c>
      <c r="P42" s="27">
        <f t="shared" si="4"/>
        <v>0</v>
      </c>
      <c r="Q42" s="27">
        <f t="shared" si="4"/>
        <v>5.2000000000000028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1292.76</v>
      </c>
      <c r="H43" s="21"/>
      <c r="I43" s="21">
        <v>1298.92</v>
      </c>
      <c r="J43" s="20">
        <v>1292</v>
      </c>
      <c r="K43" s="20">
        <v>1298.08</v>
      </c>
      <c r="L43" s="21">
        <v>1293.0999999999999</v>
      </c>
      <c r="M43" s="20">
        <v>1290.0999999999999</v>
      </c>
      <c r="N43" s="20"/>
      <c r="O43" s="20">
        <v>1287.3</v>
      </c>
      <c r="P43" s="21"/>
      <c r="Q43" s="21">
        <v>1296.82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7762.5311778291034</v>
      </c>
      <c r="H44" s="28">
        <f t="shared" ref="H44:Q44" si="5">H42*H43/0.866</f>
        <v>0</v>
      </c>
      <c r="I44" s="28">
        <f t="shared" si="5"/>
        <v>7349.5473441108579</v>
      </c>
      <c r="J44" s="28">
        <f t="shared" si="5"/>
        <v>7459.584295612015</v>
      </c>
      <c r="K44" s="28">
        <f t="shared" si="5"/>
        <v>8244.1570438799026</v>
      </c>
      <c r="L44" s="28">
        <f>L42*L43/0.866</f>
        <v>8063.2101616628152</v>
      </c>
      <c r="M44" s="28">
        <f>M42*M43/0.866</f>
        <v>7895.5311778290998</v>
      </c>
      <c r="N44" s="28">
        <f>N42*N43/0.866</f>
        <v>0</v>
      </c>
      <c r="O44" s="28">
        <f>O42*O43/0.866</f>
        <v>7729.7459584295602</v>
      </c>
      <c r="P44" s="28">
        <f t="shared" si="5"/>
        <v>0</v>
      </c>
      <c r="Q44" s="28">
        <f t="shared" si="5"/>
        <v>7786.9099307159395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0.45</v>
      </c>
      <c r="K45" s="20">
        <v>0.46</v>
      </c>
      <c r="L45" s="21">
        <v>0.45</v>
      </c>
      <c r="M45" s="21">
        <v>0.46</v>
      </c>
      <c r="N45" s="20"/>
      <c r="O45" s="20">
        <v>0.46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20.100000000000001</v>
      </c>
      <c r="H46" s="21"/>
      <c r="I46" s="21">
        <v>19.7</v>
      </c>
      <c r="J46" s="20">
        <v>19</v>
      </c>
      <c r="K46" s="20">
        <v>19.5</v>
      </c>
      <c r="L46" s="21">
        <v>19.2</v>
      </c>
      <c r="M46" s="21">
        <v>19.899999999999999</v>
      </c>
      <c r="N46" s="20"/>
      <c r="O46" s="20">
        <v>19.5</v>
      </c>
      <c r="P46" s="21"/>
      <c r="Q46" s="21">
        <v>20.3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202.3</v>
      </c>
      <c r="H47" s="21"/>
      <c r="I47" s="21">
        <v>130.30000000000001</v>
      </c>
      <c r="J47" s="20">
        <v>207.3</v>
      </c>
      <c r="K47" s="20">
        <v>205.9</v>
      </c>
      <c r="L47" s="21">
        <v>210.5</v>
      </c>
      <c r="M47" s="21">
        <v>207.2</v>
      </c>
      <c r="N47" s="20"/>
      <c r="O47" s="20">
        <v>162.19999999999999</v>
      </c>
      <c r="P47" s="21"/>
      <c r="Q47" s="21">
        <v>202.6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87">
        <v>5.89</v>
      </c>
      <c r="F49" s="20"/>
      <c r="G49" s="20">
        <v>5.75</v>
      </c>
      <c r="H49" s="21"/>
      <c r="I49" s="21">
        <v>5.48</v>
      </c>
      <c r="J49" s="20">
        <v>5.87</v>
      </c>
      <c r="K49" s="20">
        <v>5.61</v>
      </c>
      <c r="L49" s="21">
        <v>5.28</v>
      </c>
      <c r="M49" s="21">
        <v>5.59</v>
      </c>
      <c r="N49" s="20"/>
      <c r="O49" s="20">
        <v>5.57</v>
      </c>
      <c r="P49" s="21"/>
      <c r="Q49" s="21">
        <v>5.46</v>
      </c>
    </row>
    <row r="50" spans="2:17" ht="20.100000000000001" customHeight="1">
      <c r="B50" s="92" t="s">
        <v>91</v>
      </c>
      <c r="C50" s="92"/>
      <c r="D50" s="92"/>
      <c r="E50" s="8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8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tabSelected="1" view="pageBreakPreview" topLeftCell="A5" zoomScale="85" zoomScaleNormal="60" workbookViewId="0">
      <selection activeCell="M19" sqref="M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45807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89" t="s">
        <v>18</v>
      </c>
      <c r="E10" s="15"/>
      <c r="F10" s="17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69.900000000000006</v>
      </c>
      <c r="G11" s="20">
        <v>69.2</v>
      </c>
      <c r="H11" s="21"/>
      <c r="I11" s="21">
        <v>77.400000000000006</v>
      </c>
      <c r="J11" s="20"/>
      <c r="K11" s="20">
        <v>73.400000000000006</v>
      </c>
      <c r="L11" s="21"/>
      <c r="M11" s="21">
        <v>76.7</v>
      </c>
      <c r="N11" s="20">
        <v>78.3</v>
      </c>
      <c r="O11" s="20">
        <v>74.599999999999994</v>
      </c>
      <c r="P11" s="21"/>
      <c r="Q11" s="21">
        <v>72.900000000000006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0.6</v>
      </c>
      <c r="G12" s="20">
        <v>0.9</v>
      </c>
      <c r="H12" s="21"/>
      <c r="I12" s="21">
        <v>0</v>
      </c>
      <c r="J12" s="20"/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65.7</v>
      </c>
      <c r="G13" s="20">
        <v>62.6</v>
      </c>
      <c r="H13" s="21"/>
      <c r="I13" s="21">
        <v>72.7</v>
      </c>
      <c r="J13" s="20"/>
      <c r="K13" s="20">
        <v>68.3</v>
      </c>
      <c r="L13" s="21"/>
      <c r="M13" s="21">
        <v>72.7</v>
      </c>
      <c r="N13" s="20">
        <v>74.099999999999994</v>
      </c>
      <c r="O13" s="20">
        <v>69.3</v>
      </c>
      <c r="P13" s="21"/>
      <c r="Q13" s="21">
        <v>66.599999999999994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67.8</v>
      </c>
      <c r="G14" s="20">
        <v>69.400000000000006</v>
      </c>
      <c r="H14" s="21"/>
      <c r="I14" s="21">
        <v>70.8</v>
      </c>
      <c r="J14" s="20"/>
      <c r="K14" s="20">
        <v>63.2</v>
      </c>
      <c r="L14" s="21"/>
      <c r="M14" s="21">
        <v>67</v>
      </c>
      <c r="N14" s="20">
        <v>73.2</v>
      </c>
      <c r="O14" s="20">
        <v>75</v>
      </c>
      <c r="P14" s="21"/>
      <c r="Q14" s="21">
        <v>73.5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39.799999999999997</v>
      </c>
      <c r="G15" s="20">
        <v>34.799999999999997</v>
      </c>
      <c r="H15" s="21"/>
      <c r="I15" s="21">
        <v>50.9</v>
      </c>
      <c r="J15" s="20"/>
      <c r="K15" s="20">
        <v>38.6</v>
      </c>
      <c r="L15" s="21"/>
      <c r="M15" s="21">
        <v>35.1</v>
      </c>
      <c r="N15" s="20">
        <v>53.3</v>
      </c>
      <c r="O15" s="20">
        <v>50.3</v>
      </c>
      <c r="P15" s="21"/>
      <c r="Q15" s="21">
        <v>42.9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>
        <v>606</v>
      </c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>
        <v>117</v>
      </c>
      <c r="G17" s="20">
        <v>115.8</v>
      </c>
      <c r="H17" s="21"/>
      <c r="I17" s="21">
        <v>116.3</v>
      </c>
      <c r="J17" s="20"/>
      <c r="K17" s="20">
        <v>115.4</v>
      </c>
      <c r="L17" s="21"/>
      <c r="M17" s="21">
        <v>119.3</v>
      </c>
      <c r="N17" s="20">
        <v>120.3</v>
      </c>
      <c r="O17" s="20">
        <v>117.7</v>
      </c>
      <c r="P17" s="21"/>
      <c r="Q17" s="21">
        <v>117.8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>
        <v>1141</v>
      </c>
      <c r="G18" s="20">
        <v>1131</v>
      </c>
      <c r="H18" s="21"/>
      <c r="I18" s="21">
        <v>1179</v>
      </c>
      <c r="J18" s="20"/>
      <c r="K18" s="20">
        <v>1188</v>
      </c>
      <c r="L18" s="21"/>
      <c r="M18" s="21">
        <v>1214</v>
      </c>
      <c r="N18" s="20">
        <v>1219</v>
      </c>
      <c r="O18" s="20">
        <v>1200</v>
      </c>
      <c r="P18" s="21"/>
      <c r="Q18" s="21">
        <v>1200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>
        <v>50598.1</v>
      </c>
      <c r="G19" s="20">
        <v>50588.4</v>
      </c>
      <c r="H19" s="21"/>
      <c r="I19" s="21">
        <v>51577</v>
      </c>
      <c r="J19" s="20"/>
      <c r="K19" s="20">
        <v>49514.8</v>
      </c>
      <c r="L19" s="21"/>
      <c r="M19" s="21">
        <v>51944.6</v>
      </c>
      <c r="N19" s="20">
        <v>51125.2</v>
      </c>
      <c r="O19" s="20">
        <v>51115.5</v>
      </c>
      <c r="P19" s="21"/>
      <c r="Q19" s="21">
        <v>50947.199999999997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>
        <v>58.2</v>
      </c>
      <c r="G22" s="20">
        <v>58</v>
      </c>
      <c r="H22" s="21"/>
      <c r="I22" s="21">
        <v>59.2</v>
      </c>
      <c r="J22" s="20"/>
      <c r="K22" s="20">
        <v>57.8</v>
      </c>
      <c r="L22" s="21"/>
      <c r="M22" s="21">
        <v>57.4</v>
      </c>
      <c r="N22" s="20">
        <v>58.7</v>
      </c>
      <c r="O22" s="20">
        <v>58.9</v>
      </c>
      <c r="P22" s="21"/>
      <c r="Q22" s="21">
        <v>59.1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0.49</v>
      </c>
      <c r="J23" s="20"/>
      <c r="K23" s="20">
        <v>0.59</v>
      </c>
      <c r="L23" s="21"/>
      <c r="M23" s="21">
        <v>0.52</v>
      </c>
      <c r="N23" s="20">
        <v>0.47</v>
      </c>
      <c r="O23" s="20">
        <v>0.49</v>
      </c>
      <c r="P23" s="21"/>
      <c r="Q23" s="21">
        <v>0.5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>
        <v>45</v>
      </c>
      <c r="G25" s="20">
        <v>44.9</v>
      </c>
      <c r="H25" s="21"/>
      <c r="I25" s="21">
        <v>45</v>
      </c>
      <c r="J25" s="20"/>
      <c r="K25" s="20">
        <v>44.9</v>
      </c>
      <c r="L25" s="21"/>
      <c r="M25" s="21">
        <v>45</v>
      </c>
      <c r="N25" s="20">
        <v>44.8</v>
      </c>
      <c r="O25" s="20">
        <v>44.9</v>
      </c>
      <c r="P25" s="21"/>
      <c r="Q25" s="21">
        <v>45.1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0.22</v>
      </c>
      <c r="J26" s="20"/>
      <c r="K26" s="20">
        <v>0.22</v>
      </c>
      <c r="L26" s="21"/>
      <c r="M26" s="21">
        <v>0.22</v>
      </c>
      <c r="N26" s="20">
        <v>0.22</v>
      </c>
      <c r="O26" s="20">
        <v>0.22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>
        <v>4.2</v>
      </c>
      <c r="G27" s="20">
        <v>4.5</v>
      </c>
      <c r="H27" s="21"/>
      <c r="I27" s="21">
        <v>3.5</v>
      </c>
      <c r="J27" s="20"/>
      <c r="K27" s="20">
        <v>4.3</v>
      </c>
      <c r="L27" s="21"/>
      <c r="M27" s="21">
        <v>4</v>
      </c>
      <c r="N27" s="20">
        <v>4.2</v>
      </c>
      <c r="O27" s="20">
        <v>4.4000000000000004</v>
      </c>
      <c r="P27" s="21"/>
      <c r="Q27" s="21">
        <v>4.9000000000000004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>
        <v>3.7</v>
      </c>
      <c r="G28" s="20">
        <v>4.0999999999999996</v>
      </c>
      <c r="H28" s="21"/>
      <c r="I28" s="21">
        <v>2.7</v>
      </c>
      <c r="J28" s="20"/>
      <c r="K28" s="20">
        <v>3.3</v>
      </c>
      <c r="L28" s="21"/>
      <c r="M28" s="21">
        <v>3</v>
      </c>
      <c r="N28" s="20">
        <v>3.3</v>
      </c>
      <c r="O28" s="20">
        <v>3.2</v>
      </c>
      <c r="P28" s="21"/>
      <c r="Q28" s="21">
        <v>4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1.0999999999999996</v>
      </c>
      <c r="G29" s="27">
        <f>G32-G28</f>
        <v>0.20000000000000018</v>
      </c>
      <c r="H29" s="27">
        <f t="shared" ref="H29:Q29" si="0">H32-H28</f>
        <v>0</v>
      </c>
      <c r="I29" s="27">
        <f t="shared" si="0"/>
        <v>1.3999999999999995</v>
      </c>
      <c r="J29" s="27"/>
      <c r="K29" s="27">
        <f t="shared" si="0"/>
        <v>1</v>
      </c>
      <c r="L29" s="27">
        <f>L32-L28</f>
        <v>0</v>
      </c>
      <c r="M29" s="27">
        <f>M32-M28</f>
        <v>1.0999999999999996</v>
      </c>
      <c r="N29" s="27">
        <f>N32-N28</f>
        <v>1.1000000000000005</v>
      </c>
      <c r="O29" s="27">
        <f>O32-O28</f>
        <v>0.69999999999999973</v>
      </c>
      <c r="P29" s="27">
        <f t="shared" si="0"/>
        <v>0</v>
      </c>
      <c r="Q29" s="27">
        <f t="shared" si="0"/>
        <v>9.9999999999999645E-2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>
        <v>698.4</v>
      </c>
      <c r="G30" s="20">
        <v>649.52</v>
      </c>
      <c r="H30" s="21"/>
      <c r="I30" s="21">
        <v>634.08000000000004</v>
      </c>
      <c r="J30" s="20"/>
      <c r="K30" s="20">
        <v>632.4</v>
      </c>
      <c r="L30" s="21"/>
      <c r="M30" s="21">
        <v>653.12</v>
      </c>
      <c r="N30" s="20">
        <v>689.1</v>
      </c>
      <c r="O30" s="20">
        <v>632.48</v>
      </c>
      <c r="P30" s="21"/>
      <c r="Q30" s="21">
        <v>634.4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>
        <v>13.3</v>
      </c>
      <c r="G31" s="20">
        <v>13.1</v>
      </c>
      <c r="H31" s="21"/>
      <c r="I31" s="21">
        <v>12.8</v>
      </c>
      <c r="J31" s="20"/>
      <c r="K31" s="20">
        <v>13.3</v>
      </c>
      <c r="L31" s="21"/>
      <c r="M31" s="21">
        <v>13.4</v>
      </c>
      <c r="N31" s="20">
        <v>13.2</v>
      </c>
      <c r="O31" s="20">
        <v>13.1</v>
      </c>
      <c r="P31" s="21"/>
      <c r="Q31" s="21">
        <v>12.8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>
        <v>4.8</v>
      </c>
      <c r="G32" s="20">
        <v>4.3</v>
      </c>
      <c r="H32" s="21"/>
      <c r="I32" s="21">
        <v>4.0999999999999996</v>
      </c>
      <c r="J32" s="20"/>
      <c r="K32" s="20">
        <v>4.3</v>
      </c>
      <c r="L32" s="21"/>
      <c r="M32" s="21">
        <v>4.0999999999999996</v>
      </c>
      <c r="N32" s="20">
        <v>4.4000000000000004</v>
      </c>
      <c r="O32" s="20">
        <v>3.9</v>
      </c>
      <c r="P32" s="21"/>
      <c r="Q32" s="21">
        <v>4.0999999999999996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8.5</v>
      </c>
      <c r="G33" s="27">
        <f>G31-G32</f>
        <v>8.8000000000000007</v>
      </c>
      <c r="H33" s="27">
        <f t="shared" ref="H33:Q33" si="1">H31-H32</f>
        <v>0</v>
      </c>
      <c r="I33" s="27">
        <f t="shared" si="1"/>
        <v>8.7000000000000011</v>
      </c>
      <c r="J33" s="27">
        <f t="shared" si="1"/>
        <v>0</v>
      </c>
      <c r="K33" s="27">
        <f t="shared" si="1"/>
        <v>9</v>
      </c>
      <c r="L33" s="27">
        <f>L31-L32</f>
        <v>0</v>
      </c>
      <c r="M33" s="27">
        <f>M31-M32</f>
        <v>9.3000000000000007</v>
      </c>
      <c r="N33" s="27">
        <f>N31-N32</f>
        <v>8.7999999999999989</v>
      </c>
      <c r="O33" s="27">
        <f>O31-O32</f>
        <v>9.1999999999999993</v>
      </c>
      <c r="P33" s="27">
        <f t="shared" si="1"/>
        <v>0</v>
      </c>
      <c r="Q33" s="27">
        <f t="shared" si="1"/>
        <v>8.7000000000000011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6854.9653579676669</v>
      </c>
      <c r="G34" s="28">
        <f>(G33*G30)/0.866</f>
        <v>6600.2032332563522</v>
      </c>
      <c r="H34" s="28">
        <f t="shared" ref="H34:Q34" si="2">(H33*H30)/0.866</f>
        <v>0</v>
      </c>
      <c r="I34" s="28">
        <f t="shared" si="2"/>
        <v>6370.0877598152438</v>
      </c>
      <c r="J34" s="28">
        <f t="shared" si="2"/>
        <v>0</v>
      </c>
      <c r="K34" s="28">
        <f t="shared" si="2"/>
        <v>6572.2863741339488</v>
      </c>
      <c r="L34" s="28">
        <f>(L33*L30)/0.866</f>
        <v>0</v>
      </c>
      <c r="M34" s="28">
        <f>(M33*M30)/0.866</f>
        <v>7013.8752886836037</v>
      </c>
      <c r="N34" s="28">
        <f>(N33*N30)/0.866</f>
        <v>7002.4018475750563</v>
      </c>
      <c r="O34" s="28">
        <f>(O33*O30)/0.866</f>
        <v>6719.1870669745958</v>
      </c>
      <c r="P34" s="28">
        <f t="shared" si="2"/>
        <v>0</v>
      </c>
      <c r="Q34" s="28">
        <f t="shared" si="2"/>
        <v>6373.3025404157052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>
        <v>0.8</v>
      </c>
      <c r="G35" s="20">
        <v>0.8</v>
      </c>
      <c r="H35" s="21"/>
      <c r="I35" s="21">
        <v>0.82</v>
      </c>
      <c r="J35" s="20"/>
      <c r="K35" s="20">
        <v>0.81</v>
      </c>
      <c r="L35" s="21"/>
      <c r="M35" s="21">
        <v>0.81</v>
      </c>
      <c r="N35" s="20">
        <v>0.81</v>
      </c>
      <c r="O35" s="20">
        <v>0.79</v>
      </c>
      <c r="P35" s="21"/>
      <c r="Q35" s="21">
        <v>0.81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>
        <v>35.4</v>
      </c>
      <c r="G36" s="20">
        <v>36.4</v>
      </c>
      <c r="H36" s="21"/>
      <c r="I36" s="21">
        <v>36.799999999999997</v>
      </c>
      <c r="J36" s="20"/>
      <c r="K36" s="20">
        <v>36.700000000000003</v>
      </c>
      <c r="L36" s="21"/>
      <c r="M36" s="21">
        <v>36.799999999999997</v>
      </c>
      <c r="N36" s="20">
        <v>35.200000000000003</v>
      </c>
      <c r="O36" s="20">
        <v>36.1</v>
      </c>
      <c r="P36" s="21"/>
      <c r="Q36" s="21">
        <v>36.6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>
        <v>35.9</v>
      </c>
      <c r="G37" s="20">
        <v>35.6</v>
      </c>
      <c r="H37" s="21"/>
      <c r="I37" s="21">
        <v>36.4</v>
      </c>
      <c r="J37" s="20"/>
      <c r="K37" s="20">
        <v>36</v>
      </c>
      <c r="L37" s="21"/>
      <c r="M37" s="21">
        <v>36</v>
      </c>
      <c r="N37" s="20">
        <v>35.6</v>
      </c>
      <c r="O37" s="20">
        <v>35.200000000000003</v>
      </c>
      <c r="P37" s="21"/>
      <c r="Q37" s="21">
        <v>36.1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1.6000000000000014</v>
      </c>
      <c r="G38" s="27">
        <f>G37-G41</f>
        <v>2.3999999999999986</v>
      </c>
      <c r="H38" s="27">
        <v>1</v>
      </c>
      <c r="I38" s="27">
        <f t="shared" ref="I38:Q38" si="3">I37-I41</f>
        <v>1.7999999999999972</v>
      </c>
      <c r="J38" s="27">
        <f t="shared" si="3"/>
        <v>0</v>
      </c>
      <c r="K38" s="27">
        <f t="shared" si="3"/>
        <v>2.7999999999999972</v>
      </c>
      <c r="L38" s="27">
        <f>L37-L41</f>
        <v>0</v>
      </c>
      <c r="M38" s="27">
        <f>M37-M41</f>
        <v>3</v>
      </c>
      <c r="N38" s="27">
        <f>N37-N41</f>
        <v>1.5</v>
      </c>
      <c r="O38" s="27">
        <f>O37-O41</f>
        <v>2.3000000000000043</v>
      </c>
      <c r="P38" s="27">
        <f t="shared" si="3"/>
        <v>0</v>
      </c>
      <c r="Q38" s="27">
        <f t="shared" si="3"/>
        <v>2.8000000000000043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>
        <v>28.8</v>
      </c>
      <c r="G40" s="20">
        <v>27.9</v>
      </c>
      <c r="H40" s="21"/>
      <c r="I40" s="21">
        <v>27.8</v>
      </c>
      <c r="J40" s="20"/>
      <c r="K40" s="20">
        <v>27.9</v>
      </c>
      <c r="L40" s="21"/>
      <c r="M40" s="21">
        <v>27.7</v>
      </c>
      <c r="N40" s="20">
        <v>28.5</v>
      </c>
      <c r="O40" s="20">
        <v>27.9</v>
      </c>
      <c r="P40" s="21"/>
      <c r="Q40" s="21">
        <v>28.1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>
        <v>34.299999999999997</v>
      </c>
      <c r="G41" s="20">
        <v>33.200000000000003</v>
      </c>
      <c r="H41" s="21"/>
      <c r="I41" s="21">
        <v>34.6</v>
      </c>
      <c r="J41" s="20"/>
      <c r="K41" s="20">
        <v>33.200000000000003</v>
      </c>
      <c r="L41" s="21"/>
      <c r="M41" s="21">
        <v>33</v>
      </c>
      <c r="N41" s="20">
        <v>34.1</v>
      </c>
      <c r="O41" s="20">
        <v>32.9</v>
      </c>
      <c r="P41" s="21"/>
      <c r="Q41" s="21">
        <v>33.299999999999997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5.4999999999999964</v>
      </c>
      <c r="G42" s="27">
        <f>G41-G40</f>
        <v>5.3000000000000043</v>
      </c>
      <c r="H42" s="27">
        <f t="shared" ref="H42:Q42" si="4">H41-H40</f>
        <v>0</v>
      </c>
      <c r="I42" s="27">
        <f t="shared" si="4"/>
        <v>6.8000000000000007</v>
      </c>
      <c r="J42" s="27">
        <f t="shared" si="4"/>
        <v>0</v>
      </c>
      <c r="K42" s="27">
        <f t="shared" si="4"/>
        <v>5.3000000000000043</v>
      </c>
      <c r="L42" s="27">
        <f>L41-L40</f>
        <v>0</v>
      </c>
      <c r="M42" s="27">
        <f>M41-M40</f>
        <v>5.3000000000000007</v>
      </c>
      <c r="N42" s="27">
        <f>N41-N40</f>
        <v>5.6000000000000014</v>
      </c>
      <c r="O42" s="27">
        <f>O41-O40</f>
        <v>5</v>
      </c>
      <c r="P42" s="27">
        <f t="shared" si="4"/>
        <v>0</v>
      </c>
      <c r="Q42" s="27">
        <f t="shared" si="4"/>
        <v>5.1999999999999957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>
        <v>1291.4000000000001</v>
      </c>
      <c r="G43" s="20">
        <v>1292.76</v>
      </c>
      <c r="H43" s="21"/>
      <c r="I43" s="21">
        <v>1301.1600000000001</v>
      </c>
      <c r="J43" s="20"/>
      <c r="K43" s="20">
        <v>1292.76</v>
      </c>
      <c r="L43" s="21"/>
      <c r="M43" s="20">
        <v>1295</v>
      </c>
      <c r="N43" s="20">
        <v>1300.4000000000001</v>
      </c>
      <c r="O43" s="20">
        <v>1288.3599999999999</v>
      </c>
      <c r="P43" s="21"/>
      <c r="Q43" s="21">
        <v>1294.72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8201.7321016166243</v>
      </c>
      <c r="G44" s="28">
        <f>G42*G43/0.866</f>
        <v>7911.8106235565883</v>
      </c>
      <c r="H44" s="28">
        <f t="shared" ref="H44:Q44" si="5">H42*H43/0.866</f>
        <v>0</v>
      </c>
      <c r="I44" s="28">
        <f t="shared" si="5"/>
        <v>10216.960739030024</v>
      </c>
      <c r="J44" s="28">
        <f t="shared" si="5"/>
        <v>0</v>
      </c>
      <c r="K44" s="28">
        <f t="shared" si="5"/>
        <v>7911.8106235565883</v>
      </c>
      <c r="L44" s="28">
        <f>L42*L43/0.866</f>
        <v>0</v>
      </c>
      <c r="M44" s="28">
        <f>M42*M43/0.866</f>
        <v>7925.5196304849896</v>
      </c>
      <c r="N44" s="28">
        <f>N42*N43/0.866</f>
        <v>8409.0531177829125</v>
      </c>
      <c r="O44" s="28">
        <f>O42*O43/0.866</f>
        <v>7438.5681293302532</v>
      </c>
      <c r="P44" s="28">
        <f t="shared" si="5"/>
        <v>0</v>
      </c>
      <c r="Q44" s="28">
        <f t="shared" si="5"/>
        <v>7774.3002309468757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0.48</v>
      </c>
      <c r="H45" s="21"/>
      <c r="I45" s="21">
        <v>0.47</v>
      </c>
      <c r="J45" s="20"/>
      <c r="K45" s="20">
        <v>0.47</v>
      </c>
      <c r="L45" s="21"/>
      <c r="M45" s="21">
        <v>0.47</v>
      </c>
      <c r="N45" s="20">
        <v>0.45</v>
      </c>
      <c r="O45" s="20">
        <v>0.46</v>
      </c>
      <c r="P45" s="21"/>
      <c r="Q45" s="21">
        <v>0.48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>
        <v>19.7</v>
      </c>
      <c r="G46" s="20">
        <v>20.5</v>
      </c>
      <c r="H46" s="21"/>
      <c r="I46" s="21">
        <v>19.7</v>
      </c>
      <c r="J46" s="20"/>
      <c r="K46" s="20">
        <v>20</v>
      </c>
      <c r="L46" s="21"/>
      <c r="M46" s="21">
        <v>20</v>
      </c>
      <c r="N46" s="20">
        <v>18.8</v>
      </c>
      <c r="O46" s="20">
        <v>19.7</v>
      </c>
      <c r="P46" s="21"/>
      <c r="Q46" s="21">
        <v>20.6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>
        <v>196.1</v>
      </c>
      <c r="G47" s="20">
        <v>197.6</v>
      </c>
      <c r="H47" s="21"/>
      <c r="I47" s="21">
        <v>139.19999999999999</v>
      </c>
      <c r="J47" s="20"/>
      <c r="K47" s="20">
        <v>200.3</v>
      </c>
      <c r="L47" s="21"/>
      <c r="M47" s="21">
        <v>215.8</v>
      </c>
      <c r="N47" s="20">
        <v>159.4</v>
      </c>
      <c r="O47" s="20">
        <v>159.4</v>
      </c>
      <c r="P47" s="21"/>
      <c r="Q47" s="21">
        <v>203.7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89">
        <v>5.89</v>
      </c>
      <c r="F49" s="20">
        <v>5.48</v>
      </c>
      <c r="G49" s="20">
        <v>5.95</v>
      </c>
      <c r="H49" s="21"/>
      <c r="I49" s="21">
        <v>5.48</v>
      </c>
      <c r="J49" s="20"/>
      <c r="K49" s="20">
        <v>5.59</v>
      </c>
      <c r="L49" s="21"/>
      <c r="M49" s="21">
        <v>5.65</v>
      </c>
      <c r="N49" s="20">
        <v>5.35</v>
      </c>
      <c r="O49" s="20">
        <v>5.54</v>
      </c>
      <c r="P49" s="21"/>
      <c r="Q49" s="21">
        <v>5.29</v>
      </c>
    </row>
    <row r="50" spans="2:17" ht="20.100000000000001" customHeight="1">
      <c r="B50" s="92" t="s">
        <v>91</v>
      </c>
      <c r="C50" s="92"/>
      <c r="D50" s="92"/>
      <c r="E50" s="8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8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O15" sqref="O15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3"/>
      <c r="C2" s="96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" t="s">
        <v>1</v>
      </c>
      <c r="O2" s="2"/>
      <c r="P2" s="2"/>
      <c r="Q2" s="3"/>
    </row>
    <row r="3" spans="2:17" ht="15.75" thickBot="1">
      <c r="B3" s="94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4" t="s">
        <v>2</v>
      </c>
      <c r="O3" s="5" t="s">
        <v>3</v>
      </c>
      <c r="P3" s="5"/>
      <c r="Q3" s="6"/>
    </row>
    <row r="4" spans="2:17" ht="15.75" thickBot="1">
      <c r="B4" s="94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4" t="s">
        <v>4</v>
      </c>
      <c r="O4" s="5"/>
      <c r="P4" s="5"/>
      <c r="Q4" s="6"/>
    </row>
    <row r="5" spans="2:17" ht="15.75" thickBot="1">
      <c r="B5" s="95"/>
      <c r="C5" s="102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7" t="s">
        <v>5</v>
      </c>
      <c r="O5" s="8"/>
      <c r="P5" s="8"/>
      <c r="Q5" s="9"/>
    </row>
    <row r="7" spans="2:17">
      <c r="B7" s="105" t="s">
        <v>6</v>
      </c>
      <c r="C7" s="106"/>
      <c r="D7" s="107">
        <v>45808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17">
      <c r="B8" s="92" t="s">
        <v>7</v>
      </c>
      <c r="C8" s="92"/>
      <c r="D8" s="92"/>
      <c r="E8" s="110" t="s">
        <v>8</v>
      </c>
      <c r="F8" s="112" t="s">
        <v>9</v>
      </c>
      <c r="G8" s="112"/>
      <c r="H8" s="113" t="s">
        <v>10</v>
      </c>
      <c r="I8" s="113"/>
      <c r="J8" s="112" t="s">
        <v>11</v>
      </c>
      <c r="K8" s="112"/>
      <c r="L8" s="113" t="s">
        <v>12</v>
      </c>
      <c r="M8" s="113"/>
      <c r="N8" s="112" t="s">
        <v>13</v>
      </c>
      <c r="O8" s="112"/>
      <c r="P8" s="113" t="s">
        <v>14</v>
      </c>
      <c r="Q8" s="113"/>
    </row>
    <row r="9" spans="2:17">
      <c r="B9" s="105" t="s">
        <v>15</v>
      </c>
      <c r="C9" s="114"/>
      <c r="D9" s="106"/>
      <c r="E9" s="111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91" t="s">
        <v>18</v>
      </c>
      <c r="E10" s="15"/>
      <c r="F10" s="17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70.3</v>
      </c>
      <c r="H11" s="21"/>
      <c r="I11" s="21">
        <v>75.2</v>
      </c>
      <c r="J11" s="20">
        <v>74</v>
      </c>
      <c r="K11" s="20">
        <v>74.599999999999994</v>
      </c>
      <c r="L11" s="21">
        <v>74.599999999999994</v>
      </c>
      <c r="M11" s="21">
        <v>76.7</v>
      </c>
      <c r="N11" s="20"/>
      <c r="O11" s="20">
        <v>76.8</v>
      </c>
      <c r="P11" s="21"/>
      <c r="Q11" s="21">
        <v>75.2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0.8</v>
      </c>
      <c r="H12" s="21"/>
      <c r="I12" s="21">
        <v>0</v>
      </c>
      <c r="J12" s="20">
        <v>0</v>
      </c>
      <c r="K12" s="20">
        <v>0</v>
      </c>
      <c r="L12" s="21">
        <v>0</v>
      </c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64.5</v>
      </c>
      <c r="H13" s="21"/>
      <c r="I13" s="21">
        <v>69.599999999999994</v>
      </c>
      <c r="J13" s="20">
        <v>70.2</v>
      </c>
      <c r="K13" s="20">
        <v>69.5</v>
      </c>
      <c r="L13" s="21">
        <v>71.2</v>
      </c>
      <c r="M13" s="21">
        <v>72.7</v>
      </c>
      <c r="N13" s="20"/>
      <c r="O13" s="20">
        <v>71.7</v>
      </c>
      <c r="P13" s="21"/>
      <c r="Q13" s="21">
        <v>69.900000000000006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69.3</v>
      </c>
      <c r="H14" s="21"/>
      <c r="I14" s="21">
        <v>70.900000000000006</v>
      </c>
      <c r="J14" s="20">
        <v>64.099999999999994</v>
      </c>
      <c r="K14" s="20">
        <v>64</v>
      </c>
      <c r="L14" s="21">
        <v>67.599999999999994</v>
      </c>
      <c r="M14" s="21">
        <v>67</v>
      </c>
      <c r="N14" s="20"/>
      <c r="O14" s="20">
        <v>74.7</v>
      </c>
      <c r="P14" s="21"/>
      <c r="Q14" s="21">
        <v>72.7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37.5</v>
      </c>
      <c r="H15" s="21"/>
      <c r="I15" s="21">
        <v>49.1</v>
      </c>
      <c r="J15" s="20">
        <v>40.9</v>
      </c>
      <c r="K15" s="20">
        <v>38.799999999999997</v>
      </c>
      <c r="L15" s="21">
        <v>36.6</v>
      </c>
      <c r="M15" s="21">
        <v>35.1</v>
      </c>
      <c r="N15" s="20"/>
      <c r="O15" s="20">
        <v>55.4</v>
      </c>
      <c r="P15" s="21"/>
      <c r="Q15" s="21">
        <v>45.6</v>
      </c>
    </row>
    <row r="16" spans="2:17" ht="20.100000000000001" customHeight="1">
      <c r="B16" s="112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2"/>
      <c r="C17" s="22" t="s">
        <v>31</v>
      </c>
      <c r="D17" s="19" t="s">
        <v>32</v>
      </c>
      <c r="E17" s="19" t="s">
        <v>33</v>
      </c>
      <c r="F17" s="20"/>
      <c r="G17" s="20">
        <v>116.3</v>
      </c>
      <c r="H17" s="21"/>
      <c r="I17" s="21">
        <v>113.8</v>
      </c>
      <c r="J17" s="20">
        <v>117.5</v>
      </c>
      <c r="K17" s="20">
        <v>117.2</v>
      </c>
      <c r="L17" s="21">
        <v>116.5</v>
      </c>
      <c r="M17" s="21">
        <v>119.3</v>
      </c>
      <c r="N17" s="20"/>
      <c r="O17" s="20">
        <v>119.4</v>
      </c>
      <c r="P17" s="21"/>
      <c r="Q17" s="21">
        <v>119.4</v>
      </c>
    </row>
    <row r="18" spans="2:17" ht="20.100000000000001" customHeight="1">
      <c r="B18" s="112"/>
      <c r="C18" s="22" t="s">
        <v>34</v>
      </c>
      <c r="D18" s="19" t="s">
        <v>35</v>
      </c>
      <c r="E18" s="19" t="s">
        <v>36</v>
      </c>
      <c r="F18" s="20"/>
      <c r="G18" s="20">
        <v>1156</v>
      </c>
      <c r="H18" s="21"/>
      <c r="I18" s="21">
        <v>1164</v>
      </c>
      <c r="J18" s="20">
        <v>1182</v>
      </c>
      <c r="K18" s="20">
        <v>1193</v>
      </c>
      <c r="L18" s="21">
        <v>1186</v>
      </c>
      <c r="M18" s="21">
        <v>1214</v>
      </c>
      <c r="N18" s="20"/>
      <c r="O18" s="20">
        <v>1200</v>
      </c>
      <c r="P18" s="21"/>
      <c r="Q18" s="21">
        <v>1201</v>
      </c>
    </row>
    <row r="19" spans="2:17" ht="20.100000000000001" customHeight="1">
      <c r="B19" s="112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50607.1</v>
      </c>
      <c r="H19" s="21"/>
      <c r="I19" s="21">
        <v>51586.6</v>
      </c>
      <c r="J19" s="20">
        <v>49533.2</v>
      </c>
      <c r="K19" s="20">
        <v>49524.3</v>
      </c>
      <c r="L19" s="21">
        <v>51963.199999999997</v>
      </c>
      <c r="M19" s="21">
        <v>51954.2</v>
      </c>
      <c r="N19" s="20"/>
      <c r="O19" s="20">
        <v>51137.8</v>
      </c>
      <c r="P19" s="21"/>
      <c r="Q19" s="21">
        <v>50956.800000000003</v>
      </c>
    </row>
    <row r="20" spans="2:17" ht="20.100000000000001" customHeight="1">
      <c r="B20" s="112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2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2"/>
      <c r="C22" s="22" t="s">
        <v>46</v>
      </c>
      <c r="D22" s="19" t="s">
        <v>42</v>
      </c>
      <c r="E22" s="19" t="s">
        <v>47</v>
      </c>
      <c r="F22" s="20"/>
      <c r="G22" s="20">
        <v>58.1</v>
      </c>
      <c r="H22" s="21"/>
      <c r="I22" s="21">
        <v>59.3</v>
      </c>
      <c r="J22" s="20">
        <v>57.8</v>
      </c>
      <c r="K22" s="20">
        <v>57.7</v>
      </c>
      <c r="L22" s="21">
        <v>57.5</v>
      </c>
      <c r="M22" s="21">
        <v>57.4</v>
      </c>
      <c r="N22" s="20"/>
      <c r="O22" s="20">
        <v>58.7</v>
      </c>
      <c r="P22" s="21"/>
      <c r="Q22" s="21">
        <v>59.2</v>
      </c>
    </row>
    <row r="23" spans="2:17" ht="60">
      <c r="B23" s="112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0.59</v>
      </c>
      <c r="K23" s="20">
        <v>0.57999999999999996</v>
      </c>
      <c r="L23" s="21">
        <v>0.52</v>
      </c>
      <c r="M23" s="21">
        <v>0.52</v>
      </c>
      <c r="N23" s="20"/>
      <c r="O23" s="20">
        <v>0.48</v>
      </c>
      <c r="P23" s="21"/>
      <c r="Q23" s="21">
        <v>0.49</v>
      </c>
    </row>
    <row r="24" spans="2:17" ht="39.75" customHeight="1">
      <c r="B24" s="112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2"/>
      <c r="C25" s="22" t="s">
        <v>52</v>
      </c>
      <c r="D25" s="19" t="s">
        <v>42</v>
      </c>
      <c r="E25" s="19" t="s">
        <v>53</v>
      </c>
      <c r="F25" s="20"/>
      <c r="G25" s="20">
        <v>45.1</v>
      </c>
      <c r="H25" s="21"/>
      <c r="I25" s="21">
        <v>44.9</v>
      </c>
      <c r="J25" s="20">
        <v>46.1</v>
      </c>
      <c r="K25" s="20">
        <v>44.9</v>
      </c>
      <c r="L25" s="21">
        <v>44.8</v>
      </c>
      <c r="M25" s="21">
        <v>45</v>
      </c>
      <c r="N25" s="20"/>
      <c r="O25" s="20">
        <v>44.9</v>
      </c>
      <c r="P25" s="21"/>
      <c r="Q25" s="21">
        <v>44.8</v>
      </c>
    </row>
    <row r="26" spans="2:17" ht="20.100000000000001" customHeight="1">
      <c r="B26" s="112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>
        <v>0.23</v>
      </c>
      <c r="K26" s="20">
        <v>0.23</v>
      </c>
      <c r="L26" s="21">
        <v>0.22</v>
      </c>
      <c r="M26" s="21">
        <v>0.22</v>
      </c>
      <c r="N26" s="20"/>
      <c r="O26" s="20">
        <v>0.23</v>
      </c>
      <c r="P26" s="21"/>
      <c r="Q26" s="21">
        <v>0.23</v>
      </c>
    </row>
    <row r="27" spans="2:17" ht="20.100000000000001" customHeight="1">
      <c r="B27" s="112"/>
      <c r="C27" s="22" t="s">
        <v>57</v>
      </c>
      <c r="D27" s="19" t="s">
        <v>42</v>
      </c>
      <c r="E27" s="19" t="s">
        <v>43</v>
      </c>
      <c r="F27" s="20"/>
      <c r="G27" s="20">
        <v>4.4000000000000004</v>
      </c>
      <c r="H27" s="21"/>
      <c r="I27" s="21">
        <v>3.6</v>
      </c>
      <c r="J27" s="20">
        <v>4</v>
      </c>
      <c r="K27" s="20">
        <v>4</v>
      </c>
      <c r="L27" s="21">
        <v>4</v>
      </c>
      <c r="M27" s="21">
        <v>4</v>
      </c>
      <c r="N27" s="20"/>
      <c r="O27" s="20">
        <v>4.3</v>
      </c>
      <c r="P27" s="21"/>
      <c r="Q27" s="21">
        <v>4.5999999999999996</v>
      </c>
    </row>
    <row r="28" spans="2:17" ht="20.100000000000001" customHeight="1">
      <c r="B28" s="112"/>
      <c r="C28" s="22" t="s">
        <v>58</v>
      </c>
      <c r="D28" s="19" t="s">
        <v>42</v>
      </c>
      <c r="E28" s="19" t="s">
        <v>43</v>
      </c>
      <c r="F28" s="20"/>
      <c r="G28" s="20">
        <v>3.7</v>
      </c>
      <c r="H28" s="21"/>
      <c r="I28" s="21">
        <v>2.7</v>
      </c>
      <c r="J28" s="20">
        <v>3.4</v>
      </c>
      <c r="K28" s="20">
        <v>3.4</v>
      </c>
      <c r="L28" s="21">
        <v>3</v>
      </c>
      <c r="M28" s="21">
        <v>3</v>
      </c>
      <c r="N28" s="20"/>
      <c r="O28" s="20">
        <v>3.2</v>
      </c>
      <c r="P28" s="21"/>
      <c r="Q28" s="21">
        <v>3.5</v>
      </c>
    </row>
    <row r="29" spans="2:17" ht="20.100000000000001" customHeight="1">
      <c r="B29" s="112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0.89999999999999947</v>
      </c>
      <c r="H29" s="27">
        <f t="shared" ref="H29:Q29" si="0">H32-H28</f>
        <v>0</v>
      </c>
      <c r="I29" s="27">
        <f t="shared" si="0"/>
        <v>2.2000000000000002</v>
      </c>
      <c r="J29" s="27">
        <f t="shared" ref="J29:K29" si="1">J32-J28</f>
        <v>1.1999999999999997</v>
      </c>
      <c r="K29" s="27">
        <f t="shared" si="1"/>
        <v>1.3000000000000003</v>
      </c>
      <c r="L29" s="27">
        <f>L32-L28</f>
        <v>1.0999999999999996</v>
      </c>
      <c r="M29" s="27">
        <f>M32-M28</f>
        <v>1.2999999999999998</v>
      </c>
      <c r="N29" s="27">
        <f>N32-N28</f>
        <v>0</v>
      </c>
      <c r="O29" s="27">
        <f>O32-O28</f>
        <v>1.3999999999999995</v>
      </c>
      <c r="P29" s="27">
        <f t="shared" si="0"/>
        <v>0</v>
      </c>
      <c r="Q29" s="27">
        <f t="shared" si="0"/>
        <v>1.2000000000000002</v>
      </c>
    </row>
    <row r="30" spans="2:17" ht="20.100000000000001" customHeight="1">
      <c r="B30" s="112"/>
      <c r="C30" s="22" t="s">
        <v>60</v>
      </c>
      <c r="D30" s="19" t="s">
        <v>61</v>
      </c>
      <c r="E30" s="19" t="s">
        <v>62</v>
      </c>
      <c r="F30" s="20"/>
      <c r="G30" s="20">
        <v>627</v>
      </c>
      <c r="H30" s="21"/>
      <c r="I30" s="21">
        <v>629.29999999999995</v>
      </c>
      <c r="J30" s="20">
        <v>633.04</v>
      </c>
      <c r="K30" s="20">
        <v>635.28</v>
      </c>
      <c r="L30" s="21">
        <v>632.08000000000004</v>
      </c>
      <c r="M30" s="21">
        <v>636.20000000000005</v>
      </c>
      <c r="N30" s="20"/>
      <c r="O30" s="20">
        <v>648.6</v>
      </c>
      <c r="P30" s="21"/>
      <c r="Q30" s="21">
        <v>630.9</v>
      </c>
    </row>
    <row r="31" spans="2:17" ht="20.100000000000001" customHeight="1">
      <c r="B31" s="112"/>
      <c r="C31" s="22" t="s">
        <v>63</v>
      </c>
      <c r="D31" s="19" t="s">
        <v>42</v>
      </c>
      <c r="E31" s="19">
        <v>13.5</v>
      </c>
      <c r="F31" s="20"/>
      <c r="G31" s="20">
        <v>14.1</v>
      </c>
      <c r="H31" s="21"/>
      <c r="I31" s="21">
        <v>13.5</v>
      </c>
      <c r="J31" s="20">
        <v>13.5</v>
      </c>
      <c r="K31" s="20">
        <v>13.6</v>
      </c>
      <c r="L31" s="21">
        <v>13.6</v>
      </c>
      <c r="M31" s="21">
        <v>13.7</v>
      </c>
      <c r="N31" s="20"/>
      <c r="O31" s="20">
        <v>13.8</v>
      </c>
      <c r="P31" s="21"/>
      <c r="Q31" s="21">
        <v>13.4</v>
      </c>
    </row>
    <row r="32" spans="2:17" ht="20.100000000000001" customHeight="1">
      <c r="B32" s="112"/>
      <c r="C32" s="22" t="s">
        <v>64</v>
      </c>
      <c r="D32" s="19" t="s">
        <v>42</v>
      </c>
      <c r="E32" s="19">
        <v>4</v>
      </c>
      <c r="F32" s="20"/>
      <c r="G32" s="20">
        <v>4.5999999999999996</v>
      </c>
      <c r="H32" s="21"/>
      <c r="I32" s="21">
        <v>4.9000000000000004</v>
      </c>
      <c r="J32" s="20">
        <v>4.5999999999999996</v>
      </c>
      <c r="K32" s="20">
        <v>4.7</v>
      </c>
      <c r="L32" s="21">
        <v>4.0999999999999996</v>
      </c>
      <c r="M32" s="21">
        <v>4.3</v>
      </c>
      <c r="N32" s="20"/>
      <c r="O32" s="20">
        <v>4.5999999999999996</v>
      </c>
      <c r="P32" s="21"/>
      <c r="Q32" s="21">
        <v>4.7</v>
      </c>
    </row>
    <row r="33" spans="2:17" ht="20.100000000000001" customHeight="1">
      <c r="B33" s="112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9.5</v>
      </c>
      <c r="H33" s="27">
        <f t="shared" ref="H33:Q33" si="2">H31-H32</f>
        <v>0</v>
      </c>
      <c r="I33" s="27">
        <f t="shared" si="2"/>
        <v>8.6</v>
      </c>
      <c r="J33" s="27">
        <f t="shared" si="2"/>
        <v>8.9</v>
      </c>
      <c r="K33" s="27">
        <f t="shared" si="2"/>
        <v>8.8999999999999986</v>
      </c>
      <c r="L33" s="27">
        <f>L31-L32</f>
        <v>9.5</v>
      </c>
      <c r="M33" s="27">
        <f>M31-M32</f>
        <v>9.3999999999999986</v>
      </c>
      <c r="N33" s="27">
        <f>N31-N32</f>
        <v>0</v>
      </c>
      <c r="O33" s="27">
        <f>O31-O32</f>
        <v>9.2000000000000011</v>
      </c>
      <c r="P33" s="27">
        <f t="shared" si="2"/>
        <v>0</v>
      </c>
      <c r="Q33" s="27">
        <f t="shared" si="2"/>
        <v>8.6999999999999993</v>
      </c>
    </row>
    <row r="34" spans="2:17" ht="20.100000000000001" customHeight="1">
      <c r="B34" s="112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6878.1755196304848</v>
      </c>
      <c r="H34" s="28">
        <f t="shared" ref="H34:Q34" si="3">(H33*H30)/0.866</f>
        <v>0</v>
      </c>
      <c r="I34" s="28">
        <f t="shared" si="3"/>
        <v>6249.399538106235</v>
      </c>
      <c r="J34" s="28">
        <f t="shared" si="3"/>
        <v>6505.8383371824475</v>
      </c>
      <c r="K34" s="28">
        <f t="shared" si="3"/>
        <v>6528.8591224018464</v>
      </c>
      <c r="L34" s="28">
        <f>(L33*L30)/0.866</f>
        <v>6933.9030023094692</v>
      </c>
      <c r="M34" s="28">
        <f>(M33*M30)/0.866</f>
        <v>6905.6351039260971</v>
      </c>
      <c r="N34" s="28">
        <f>(N33*N30)/0.866</f>
        <v>0</v>
      </c>
      <c r="O34" s="28">
        <f>(O33*O30)/0.866</f>
        <v>6890.4387990762134</v>
      </c>
      <c r="P34" s="28">
        <f t="shared" si="3"/>
        <v>0</v>
      </c>
      <c r="Q34" s="28">
        <f t="shared" si="3"/>
        <v>6338.1408775981517</v>
      </c>
    </row>
    <row r="35" spans="2:17" ht="20.100000000000001" customHeight="1">
      <c r="B35" s="112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0.81</v>
      </c>
      <c r="H35" s="21"/>
      <c r="I35" s="21">
        <v>0.85</v>
      </c>
      <c r="J35" s="20">
        <v>0.83</v>
      </c>
      <c r="K35" s="20">
        <v>0.84</v>
      </c>
      <c r="L35" s="21">
        <v>0.82</v>
      </c>
      <c r="M35" s="21">
        <v>0.84</v>
      </c>
      <c r="N35" s="20"/>
      <c r="O35" s="20">
        <v>0.8</v>
      </c>
      <c r="P35" s="21"/>
      <c r="Q35" s="21">
        <v>0.82</v>
      </c>
    </row>
    <row r="36" spans="2:17" ht="20.100000000000001" customHeight="1">
      <c r="B36" s="112"/>
      <c r="C36" s="22" t="s">
        <v>72</v>
      </c>
      <c r="D36" s="19" t="s">
        <v>42</v>
      </c>
      <c r="E36" s="19" t="s">
        <v>43</v>
      </c>
      <c r="F36" s="20"/>
      <c r="G36" s="20">
        <v>35.799999999999997</v>
      </c>
      <c r="H36" s="21"/>
      <c r="I36" s="21">
        <v>36.799999999999997</v>
      </c>
      <c r="J36" s="20">
        <v>36</v>
      </c>
      <c r="K36" s="20">
        <v>35.700000000000003</v>
      </c>
      <c r="L36" s="21">
        <v>36</v>
      </c>
      <c r="M36" s="21">
        <v>36.799999999999997</v>
      </c>
      <c r="N36" s="20"/>
      <c r="O36" s="20">
        <v>35</v>
      </c>
      <c r="P36" s="21"/>
      <c r="Q36" s="21">
        <v>35.9</v>
      </c>
    </row>
    <row r="37" spans="2:17" ht="20.100000000000001" customHeight="1">
      <c r="B37" s="112"/>
      <c r="C37" s="22" t="s">
        <v>73</v>
      </c>
      <c r="D37" s="19" t="s">
        <v>42</v>
      </c>
      <c r="E37" s="19" t="s">
        <v>43</v>
      </c>
      <c r="F37" s="20"/>
      <c r="G37" s="20">
        <v>36.200000000000003</v>
      </c>
      <c r="H37" s="21"/>
      <c r="I37" s="21">
        <v>37.6</v>
      </c>
      <c r="J37" s="20">
        <v>36.799999999999997</v>
      </c>
      <c r="K37" s="20">
        <v>37.4</v>
      </c>
      <c r="L37" s="21">
        <v>36.6</v>
      </c>
      <c r="M37" s="21">
        <v>37.299999999999997</v>
      </c>
      <c r="N37" s="20"/>
      <c r="O37" s="20">
        <v>35.6</v>
      </c>
      <c r="P37" s="21"/>
      <c r="Q37" s="21">
        <v>36.6</v>
      </c>
    </row>
    <row r="38" spans="2:17" ht="20.100000000000001" customHeight="1">
      <c r="B38" s="112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1.7000000000000028</v>
      </c>
      <c r="H38" s="27">
        <v>1</v>
      </c>
      <c r="I38" s="27">
        <f t="shared" ref="I38" si="4">I37-I41</f>
        <v>3.1000000000000014</v>
      </c>
      <c r="J38" s="27">
        <f t="shared" ref="J38:Q38" si="5">J37-J41</f>
        <v>2.8999999999999986</v>
      </c>
      <c r="K38" s="27">
        <f t="shared" si="5"/>
        <v>2.8999999999999986</v>
      </c>
      <c r="L38" s="27">
        <f>L37-L41</f>
        <v>3</v>
      </c>
      <c r="M38" s="27">
        <f>M37-M41</f>
        <v>2.2999999999999972</v>
      </c>
      <c r="N38" s="27">
        <f>N37-N41</f>
        <v>0</v>
      </c>
      <c r="O38" s="27">
        <f>O37-O41</f>
        <v>1.7000000000000028</v>
      </c>
      <c r="P38" s="27">
        <f t="shared" si="5"/>
        <v>0</v>
      </c>
      <c r="Q38" s="27">
        <f t="shared" si="5"/>
        <v>2.3999999999999986</v>
      </c>
    </row>
    <row r="39" spans="2:17" ht="20.100000000000001" customHeight="1">
      <c r="B39" s="112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2"/>
      <c r="C40" s="22" t="s">
        <v>78</v>
      </c>
      <c r="D40" s="19" t="s">
        <v>42</v>
      </c>
      <c r="E40" s="19">
        <v>30.8</v>
      </c>
      <c r="F40" s="20"/>
      <c r="G40" s="20">
        <v>29.1</v>
      </c>
      <c r="H40" s="21"/>
      <c r="I40" s="21">
        <v>29.8</v>
      </c>
      <c r="J40" s="20">
        <v>28.5</v>
      </c>
      <c r="K40" s="20">
        <v>29.2</v>
      </c>
      <c r="L40" s="21">
        <v>28.4</v>
      </c>
      <c r="M40" s="21">
        <v>29.8</v>
      </c>
      <c r="N40" s="20"/>
      <c r="O40" s="20">
        <v>28.5</v>
      </c>
      <c r="P40" s="21"/>
      <c r="Q40" s="21">
        <v>28.8</v>
      </c>
    </row>
    <row r="41" spans="2:17" ht="20.100000000000001" customHeight="1">
      <c r="B41" s="112"/>
      <c r="C41" s="22" t="s">
        <v>79</v>
      </c>
      <c r="D41" s="19" t="s">
        <v>42</v>
      </c>
      <c r="E41" s="19">
        <v>36.4</v>
      </c>
      <c r="F41" s="20"/>
      <c r="G41" s="20">
        <v>34.5</v>
      </c>
      <c r="H41" s="21"/>
      <c r="I41" s="21">
        <v>34.5</v>
      </c>
      <c r="J41" s="20">
        <v>33.9</v>
      </c>
      <c r="K41" s="20">
        <v>34.5</v>
      </c>
      <c r="L41" s="21">
        <v>33.6</v>
      </c>
      <c r="M41" s="21">
        <v>35</v>
      </c>
      <c r="N41" s="20"/>
      <c r="O41" s="20">
        <v>33.9</v>
      </c>
      <c r="P41" s="21"/>
      <c r="Q41" s="21">
        <v>34.200000000000003</v>
      </c>
    </row>
    <row r="42" spans="2:17" ht="20.100000000000001" customHeight="1">
      <c r="B42" s="112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5.3999999999999986</v>
      </c>
      <c r="H42" s="27">
        <f t="shared" ref="H42:Q42" si="6">H41-H40</f>
        <v>0</v>
      </c>
      <c r="I42" s="27">
        <f t="shared" si="6"/>
        <v>4.6999999999999993</v>
      </c>
      <c r="J42" s="27">
        <f t="shared" si="6"/>
        <v>5.3999999999999986</v>
      </c>
      <c r="K42" s="27">
        <f t="shared" si="6"/>
        <v>5.3000000000000007</v>
      </c>
      <c r="L42" s="27">
        <f>L41-L40</f>
        <v>5.2000000000000028</v>
      </c>
      <c r="M42" s="27">
        <f>M41-M40</f>
        <v>5.1999999999999993</v>
      </c>
      <c r="N42" s="27">
        <f>N41-N40</f>
        <v>0</v>
      </c>
      <c r="O42" s="27">
        <f>O41-O40</f>
        <v>5.3999999999999986</v>
      </c>
      <c r="P42" s="27">
        <f t="shared" si="6"/>
        <v>0</v>
      </c>
      <c r="Q42" s="27">
        <f t="shared" si="6"/>
        <v>5.4000000000000021</v>
      </c>
    </row>
    <row r="43" spans="2:17" ht="20.100000000000001" customHeight="1">
      <c r="B43" s="112"/>
      <c r="C43" s="22" t="s">
        <v>81</v>
      </c>
      <c r="D43" s="19" t="s">
        <v>61</v>
      </c>
      <c r="E43" s="19">
        <v>1273.0999999999999</v>
      </c>
      <c r="F43" s="20"/>
      <c r="G43" s="20">
        <v>1297.0999999999999</v>
      </c>
      <c r="H43" s="21"/>
      <c r="I43" s="21">
        <v>1301</v>
      </c>
      <c r="J43" s="20">
        <v>1291.92</v>
      </c>
      <c r="K43" s="20">
        <v>1299.2</v>
      </c>
      <c r="L43" s="21">
        <v>1291.5</v>
      </c>
      <c r="M43" s="20">
        <v>1297.5999999999999</v>
      </c>
      <c r="N43" s="20"/>
      <c r="O43" s="20">
        <v>1292.9000000000001</v>
      </c>
      <c r="P43" s="21"/>
      <c r="Q43" s="21">
        <v>1291.3</v>
      </c>
    </row>
    <row r="44" spans="2:17" ht="20.100000000000001" customHeight="1">
      <c r="B44" s="112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8088.15242494226</v>
      </c>
      <c r="H44" s="28">
        <f t="shared" ref="H44:Q44" si="7">H42*H43/0.866</f>
        <v>0</v>
      </c>
      <c r="I44" s="28">
        <f t="shared" si="7"/>
        <v>7060.854503464202</v>
      </c>
      <c r="J44" s="28">
        <f t="shared" si="7"/>
        <v>8055.8521939953798</v>
      </c>
      <c r="K44" s="28">
        <f t="shared" si="7"/>
        <v>7951.224018475752</v>
      </c>
      <c r="L44" s="28">
        <f>L42*L43/0.866</f>
        <v>7754.9653579676715</v>
      </c>
      <c r="M44" s="28">
        <f>M42*M43/0.866</f>
        <v>7791.5935334872966</v>
      </c>
      <c r="N44" s="28">
        <f>N42*N43/0.866</f>
        <v>0</v>
      </c>
      <c r="O44" s="28">
        <f>O42*O43/0.866</f>
        <v>8061.9630484988438</v>
      </c>
      <c r="P44" s="28">
        <f t="shared" si="7"/>
        <v>0</v>
      </c>
      <c r="Q44" s="28">
        <f t="shared" si="7"/>
        <v>8051.9861431870695</v>
      </c>
    </row>
    <row r="45" spans="2:17" ht="20.100000000000001" customHeight="1">
      <c r="B45" s="112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0.46</v>
      </c>
      <c r="K45" s="20">
        <v>0.46</v>
      </c>
      <c r="L45" s="21">
        <v>0.46</v>
      </c>
      <c r="M45" s="21">
        <v>0.47</v>
      </c>
      <c r="N45" s="20"/>
      <c r="O45" s="20">
        <v>0.46</v>
      </c>
      <c r="P45" s="21"/>
      <c r="Q45" s="21">
        <v>0.47</v>
      </c>
    </row>
    <row r="46" spans="2:17" ht="20.100000000000001" customHeight="1">
      <c r="B46" s="112"/>
      <c r="C46" s="22" t="s">
        <v>86</v>
      </c>
      <c r="D46" s="19" t="s">
        <v>42</v>
      </c>
      <c r="E46" s="19" t="s">
        <v>43</v>
      </c>
      <c r="F46" s="20"/>
      <c r="G46" s="20">
        <v>20.100000000000001</v>
      </c>
      <c r="H46" s="21"/>
      <c r="I46" s="21">
        <v>19.899999999999999</v>
      </c>
      <c r="J46" s="20">
        <v>19.3</v>
      </c>
      <c r="K46" s="20">
        <v>19.100000000000001</v>
      </c>
      <c r="L46" s="21">
        <v>19.5</v>
      </c>
      <c r="M46" s="21">
        <v>20</v>
      </c>
      <c r="N46" s="20"/>
      <c r="O46" s="20">
        <v>19.3</v>
      </c>
      <c r="P46" s="21"/>
      <c r="Q46" s="21">
        <v>19.8</v>
      </c>
    </row>
    <row r="47" spans="2:17" ht="20.100000000000001" customHeight="1">
      <c r="B47" s="112"/>
      <c r="C47" s="22" t="s">
        <v>87</v>
      </c>
      <c r="D47" s="19" t="s">
        <v>77</v>
      </c>
      <c r="E47" s="19" t="s">
        <v>77</v>
      </c>
      <c r="F47" s="20"/>
      <c r="G47" s="20">
        <v>206</v>
      </c>
      <c r="H47" s="21"/>
      <c r="I47" s="21">
        <v>127.5</v>
      </c>
      <c r="J47" s="20">
        <v>206.9</v>
      </c>
      <c r="K47" s="20">
        <v>210.2</v>
      </c>
      <c r="L47" s="21">
        <v>214.6</v>
      </c>
      <c r="M47" s="21">
        <v>215.8</v>
      </c>
      <c r="N47" s="20"/>
      <c r="O47" s="20">
        <v>160</v>
      </c>
      <c r="P47" s="21"/>
      <c r="Q47" s="21">
        <v>195.7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91">
        <v>5.89</v>
      </c>
      <c r="F49" s="20"/>
      <c r="G49" s="20">
        <v>5.89</v>
      </c>
      <c r="H49" s="21"/>
      <c r="I49" s="21">
        <v>5.49</v>
      </c>
      <c r="J49" s="20">
        <v>5.7</v>
      </c>
      <c r="K49" s="20">
        <v>5.64</v>
      </c>
      <c r="L49" s="21">
        <v>5.78</v>
      </c>
      <c r="M49" s="21">
        <v>5.65</v>
      </c>
      <c r="N49" s="20"/>
      <c r="O49" s="20">
        <v>5.75</v>
      </c>
      <c r="P49" s="21"/>
      <c r="Q49" s="21">
        <v>5.48</v>
      </c>
    </row>
    <row r="50" spans="2:17" ht="20.100000000000001" customHeight="1">
      <c r="B50" s="92" t="s">
        <v>91</v>
      </c>
      <c r="C50" s="92"/>
      <c r="D50" s="92"/>
      <c r="E50" s="91"/>
      <c r="F50" s="20"/>
      <c r="G50" s="20"/>
      <c r="H50" s="21"/>
      <c r="I50" s="21"/>
      <c r="J50" s="20"/>
      <c r="K50" s="20"/>
      <c r="L50" s="21"/>
      <c r="M50" s="21"/>
      <c r="N50" s="20"/>
      <c r="O50" s="20">
        <v>5.75</v>
      </c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9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Haidir Mustafa</dc:creator>
  <cp:lastModifiedBy>TNEC-92090184</cp:lastModifiedBy>
  <dcterms:created xsi:type="dcterms:W3CDTF">2025-03-31T16:35:29Z</dcterms:created>
  <dcterms:modified xsi:type="dcterms:W3CDTF">2025-06-05T02:08:16Z</dcterms:modified>
</cp:coreProperties>
</file>