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/>
  <mc:AlternateContent xmlns:mc="http://schemas.openxmlformats.org/markup-compatibility/2006">
    <mc:Choice Requires="x15">
      <x15ac:absPath xmlns:x15ac="http://schemas.microsoft.com/office/spreadsheetml/2010/11/ac" url="D:\DCP OFFICIAL\Load profile\CHILLER LOG\2025\"/>
    </mc:Choice>
  </mc:AlternateContent>
  <xr:revisionPtr revIDLastSave="0" documentId="13_ncr:1_{A15726DD-5ADC-4469-8DFD-682518CDC966}" xr6:coauthVersionLast="47" xr6:coauthVersionMax="47" xr10:uidLastSave="{00000000-0000-0000-0000-000000000000}"/>
  <bookViews>
    <workbookView xWindow="-120" yWindow="-120" windowWidth="29040" windowHeight="15720" firstSheet="16" activeTab="30" xr2:uid="{00000000-000D-0000-FFFF-FFFF00000000}"/>
  </bookViews>
  <sheets>
    <sheet name="1" sheetId="33" r:id="rId1"/>
    <sheet name="2" sheetId="34" r:id="rId2"/>
    <sheet name="3" sheetId="35" r:id="rId3"/>
    <sheet name="4" sheetId="36" r:id="rId4"/>
    <sheet name="5" sheetId="37" r:id="rId5"/>
    <sheet name="6" sheetId="38" r:id="rId6"/>
    <sheet name="7" sheetId="39" r:id="rId7"/>
    <sheet name="8" sheetId="40" r:id="rId8"/>
    <sheet name="9" sheetId="41" r:id="rId9"/>
    <sheet name="10" sheetId="42" r:id="rId10"/>
    <sheet name="11" sheetId="44" r:id="rId11"/>
    <sheet name="12" sheetId="45" r:id="rId12"/>
    <sheet name="13" sheetId="46" r:id="rId13"/>
    <sheet name="14" sheetId="47" r:id="rId14"/>
    <sheet name="15" sheetId="48" r:id="rId15"/>
    <sheet name="16" sheetId="50" r:id="rId16"/>
    <sheet name="17" sheetId="52" r:id="rId17"/>
    <sheet name="18" sheetId="53" r:id="rId18"/>
    <sheet name="19" sheetId="55" r:id="rId19"/>
    <sheet name="20" sheetId="56" r:id="rId20"/>
    <sheet name="21" sheetId="57" r:id="rId21"/>
    <sheet name="22" sheetId="58" r:id="rId22"/>
    <sheet name="23" sheetId="59" r:id="rId23"/>
    <sheet name="24" sheetId="61" r:id="rId24"/>
    <sheet name="25" sheetId="62" r:id="rId25"/>
    <sheet name="26" sheetId="63" r:id="rId26"/>
    <sheet name="27" sheetId="64" r:id="rId27"/>
    <sheet name="28" sheetId="65" r:id="rId28"/>
    <sheet name="29" sheetId="66" r:id="rId29"/>
    <sheet name="30" sheetId="67" r:id="rId30"/>
    <sheet name="31" sheetId="68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2" i="68" l="1"/>
  <c r="Q44" i="68" s="1"/>
  <c r="P42" i="68"/>
  <c r="P44" i="68" s="1"/>
  <c r="O42" i="68"/>
  <c r="O44" i="68" s="1"/>
  <c r="N42" i="68"/>
  <c r="N44" i="68" s="1"/>
  <c r="M42" i="68"/>
  <c r="M44" i="68" s="1"/>
  <c r="L42" i="68"/>
  <c r="L44" i="68" s="1"/>
  <c r="K42" i="68"/>
  <c r="K44" i="68" s="1"/>
  <c r="J42" i="68"/>
  <c r="J44" i="68" s="1"/>
  <c r="I42" i="68"/>
  <c r="I44" i="68" s="1"/>
  <c r="H42" i="68"/>
  <c r="H44" i="68" s="1"/>
  <c r="G42" i="68"/>
  <c r="G44" i="68" s="1"/>
  <c r="F42" i="68"/>
  <c r="F44" i="68" s="1"/>
  <c r="Q38" i="68"/>
  <c r="P38" i="68"/>
  <c r="O38" i="68"/>
  <c r="N38" i="68"/>
  <c r="M38" i="68"/>
  <c r="L38" i="68"/>
  <c r="K38" i="68"/>
  <c r="J38" i="68"/>
  <c r="I38" i="68"/>
  <c r="H38" i="68"/>
  <c r="G38" i="68"/>
  <c r="F38" i="68"/>
  <c r="Q33" i="68"/>
  <c r="Q34" i="68" s="1"/>
  <c r="P33" i="68"/>
  <c r="P34" i="68" s="1"/>
  <c r="O33" i="68"/>
  <c r="O34" i="68" s="1"/>
  <c r="N33" i="68"/>
  <c r="N34" i="68" s="1"/>
  <c r="M33" i="68"/>
  <c r="M34" i="68" s="1"/>
  <c r="L33" i="68"/>
  <c r="L34" i="68" s="1"/>
  <c r="K33" i="68"/>
  <c r="K34" i="68" s="1"/>
  <c r="J33" i="68"/>
  <c r="J34" i="68" s="1"/>
  <c r="I33" i="68"/>
  <c r="I34" i="68" s="1"/>
  <c r="H33" i="68"/>
  <c r="H34" i="68" s="1"/>
  <c r="G33" i="68"/>
  <c r="G34" i="68" s="1"/>
  <c r="F33" i="68"/>
  <c r="F34" i="68" s="1"/>
  <c r="Q29" i="68"/>
  <c r="P29" i="68"/>
  <c r="O29" i="68"/>
  <c r="N29" i="68"/>
  <c r="M29" i="68"/>
  <c r="L29" i="68"/>
  <c r="K29" i="68"/>
  <c r="J29" i="68"/>
  <c r="I29" i="68"/>
  <c r="H29" i="68"/>
  <c r="G29" i="68"/>
  <c r="F29" i="68"/>
  <c r="Q42" i="67"/>
  <c r="Q44" i="67" s="1"/>
  <c r="P42" i="67"/>
  <c r="P44" i="67" s="1"/>
  <c r="O42" i="67"/>
  <c r="O44" i="67" s="1"/>
  <c r="N42" i="67"/>
  <c r="N44" i="67" s="1"/>
  <c r="M42" i="67"/>
  <c r="M44" i="67" s="1"/>
  <c r="L42" i="67"/>
  <c r="L44" i="67" s="1"/>
  <c r="K42" i="67"/>
  <c r="K44" i="67" s="1"/>
  <c r="J42" i="67"/>
  <c r="J44" i="67" s="1"/>
  <c r="I42" i="67"/>
  <c r="I44" i="67" s="1"/>
  <c r="H42" i="67"/>
  <c r="H44" i="67" s="1"/>
  <c r="G42" i="67"/>
  <c r="G44" i="67" s="1"/>
  <c r="F42" i="67"/>
  <c r="F44" i="67" s="1"/>
  <c r="Q38" i="67"/>
  <c r="P38" i="67"/>
  <c r="O38" i="67"/>
  <c r="N38" i="67"/>
  <c r="M38" i="67"/>
  <c r="L38" i="67"/>
  <c r="K38" i="67"/>
  <c r="J38" i="67"/>
  <c r="I38" i="67"/>
  <c r="H38" i="67"/>
  <c r="G38" i="67"/>
  <c r="F38" i="67"/>
  <c r="P34" i="67"/>
  <c r="Q33" i="67"/>
  <c r="Q34" i="67" s="1"/>
  <c r="P33" i="67"/>
  <c r="O33" i="67"/>
  <c r="O34" i="67" s="1"/>
  <c r="N33" i="67"/>
  <c r="N34" i="67" s="1"/>
  <c r="M33" i="67"/>
  <c r="M34" i="67" s="1"/>
  <c r="L33" i="67"/>
  <c r="L34" i="67" s="1"/>
  <c r="K33" i="67"/>
  <c r="K34" i="67" s="1"/>
  <c r="J33" i="67"/>
  <c r="J34" i="67" s="1"/>
  <c r="I33" i="67"/>
  <c r="I34" i="67" s="1"/>
  <c r="H33" i="67"/>
  <c r="H34" i="67" s="1"/>
  <c r="G33" i="67"/>
  <c r="G34" i="67" s="1"/>
  <c r="F33" i="67"/>
  <c r="F34" i="67" s="1"/>
  <c r="Q29" i="67"/>
  <c r="P29" i="67"/>
  <c r="O29" i="67"/>
  <c r="N29" i="67"/>
  <c r="M29" i="67"/>
  <c r="L29" i="67"/>
  <c r="K29" i="67"/>
  <c r="J29" i="67"/>
  <c r="I29" i="67"/>
  <c r="H29" i="67"/>
  <c r="G29" i="67"/>
  <c r="F29" i="67"/>
  <c r="Q42" i="66"/>
  <c r="Q44" i="66" s="1"/>
  <c r="P42" i="66"/>
  <c r="P44" i="66" s="1"/>
  <c r="O42" i="66"/>
  <c r="O44" i="66" s="1"/>
  <c r="N42" i="66"/>
  <c r="N44" i="66" s="1"/>
  <c r="M42" i="66"/>
  <c r="M44" i="66" s="1"/>
  <c r="L42" i="66"/>
  <c r="L44" i="66" s="1"/>
  <c r="K42" i="66"/>
  <c r="K44" i="66" s="1"/>
  <c r="J42" i="66"/>
  <c r="J44" i="66" s="1"/>
  <c r="I42" i="66"/>
  <c r="I44" i="66" s="1"/>
  <c r="H42" i="66"/>
  <c r="H44" i="66" s="1"/>
  <c r="G42" i="66"/>
  <c r="G44" i="66" s="1"/>
  <c r="F42" i="66"/>
  <c r="F44" i="66" s="1"/>
  <c r="Q38" i="66"/>
  <c r="P38" i="66"/>
  <c r="O38" i="66"/>
  <c r="N38" i="66"/>
  <c r="M38" i="66"/>
  <c r="L38" i="66"/>
  <c r="K38" i="66"/>
  <c r="J38" i="66"/>
  <c r="I38" i="66"/>
  <c r="H38" i="66"/>
  <c r="G38" i="66"/>
  <c r="F38" i="66"/>
  <c r="I34" i="66"/>
  <c r="Q33" i="66"/>
  <c r="Q34" i="66" s="1"/>
  <c r="P33" i="66"/>
  <c r="P34" i="66" s="1"/>
  <c r="O33" i="66"/>
  <c r="O34" i="66" s="1"/>
  <c r="N33" i="66"/>
  <c r="N34" i="66" s="1"/>
  <c r="M33" i="66"/>
  <c r="M34" i="66" s="1"/>
  <c r="L33" i="66"/>
  <c r="L34" i="66" s="1"/>
  <c r="K33" i="66"/>
  <c r="K34" i="66" s="1"/>
  <c r="J33" i="66"/>
  <c r="J34" i="66" s="1"/>
  <c r="I33" i="66"/>
  <c r="H33" i="66"/>
  <c r="H34" i="66" s="1"/>
  <c r="G33" i="66"/>
  <c r="G34" i="66" s="1"/>
  <c r="F33" i="66"/>
  <c r="F34" i="66" s="1"/>
  <c r="Q29" i="66"/>
  <c r="P29" i="66"/>
  <c r="O29" i="66"/>
  <c r="N29" i="66"/>
  <c r="M29" i="66"/>
  <c r="L29" i="66"/>
  <c r="K29" i="66"/>
  <c r="J29" i="66"/>
  <c r="I29" i="66"/>
  <c r="H29" i="66"/>
  <c r="G29" i="66"/>
  <c r="F29" i="66"/>
  <c r="Q42" i="65"/>
  <c r="Q44" i="65" s="1"/>
  <c r="P42" i="65"/>
  <c r="P44" i="65" s="1"/>
  <c r="O42" i="65"/>
  <c r="O44" i="65" s="1"/>
  <c r="N42" i="65"/>
  <c r="N44" i="65" s="1"/>
  <c r="M42" i="65"/>
  <c r="M44" i="65" s="1"/>
  <c r="L42" i="65"/>
  <c r="L44" i="65" s="1"/>
  <c r="K42" i="65"/>
  <c r="K44" i="65" s="1"/>
  <c r="J42" i="65"/>
  <c r="J44" i="65" s="1"/>
  <c r="I42" i="65"/>
  <c r="I44" i="65" s="1"/>
  <c r="H42" i="65"/>
  <c r="H44" i="65" s="1"/>
  <c r="G42" i="65"/>
  <c r="G44" i="65" s="1"/>
  <c r="F42" i="65"/>
  <c r="F44" i="65" s="1"/>
  <c r="Q38" i="65"/>
  <c r="P38" i="65"/>
  <c r="O38" i="65"/>
  <c r="N38" i="65"/>
  <c r="M38" i="65"/>
  <c r="L38" i="65"/>
  <c r="K38" i="65"/>
  <c r="J38" i="65"/>
  <c r="I38" i="65"/>
  <c r="H38" i="65"/>
  <c r="G38" i="65"/>
  <c r="F38" i="65"/>
  <c r="Q33" i="65"/>
  <c r="Q34" i="65" s="1"/>
  <c r="P33" i="65"/>
  <c r="P34" i="65" s="1"/>
  <c r="O33" i="65"/>
  <c r="O34" i="65" s="1"/>
  <c r="N33" i="65"/>
  <c r="N34" i="65" s="1"/>
  <c r="M33" i="65"/>
  <c r="M34" i="65" s="1"/>
  <c r="L33" i="65"/>
  <c r="L34" i="65" s="1"/>
  <c r="K33" i="65"/>
  <c r="K34" i="65" s="1"/>
  <c r="J33" i="65"/>
  <c r="J34" i="65" s="1"/>
  <c r="I33" i="65"/>
  <c r="I34" i="65" s="1"/>
  <c r="H33" i="65"/>
  <c r="H34" i="65" s="1"/>
  <c r="G33" i="65"/>
  <c r="G34" i="65" s="1"/>
  <c r="F33" i="65"/>
  <c r="F34" i="65" s="1"/>
  <c r="Q29" i="65"/>
  <c r="P29" i="65"/>
  <c r="O29" i="65"/>
  <c r="N29" i="65"/>
  <c r="M29" i="65"/>
  <c r="L29" i="65"/>
  <c r="K29" i="65"/>
  <c r="J29" i="65"/>
  <c r="I29" i="65"/>
  <c r="H29" i="65"/>
  <c r="G29" i="65"/>
  <c r="F29" i="65"/>
  <c r="G44" i="64"/>
  <c r="Q42" i="64"/>
  <c r="Q44" i="64" s="1"/>
  <c r="P42" i="64"/>
  <c r="P44" i="64" s="1"/>
  <c r="O42" i="64"/>
  <c r="O44" i="64" s="1"/>
  <c r="N42" i="64"/>
  <c r="N44" i="64" s="1"/>
  <c r="M42" i="64"/>
  <c r="M44" i="64" s="1"/>
  <c r="L42" i="64"/>
  <c r="L44" i="64" s="1"/>
  <c r="K42" i="64"/>
  <c r="K44" i="64" s="1"/>
  <c r="J42" i="64"/>
  <c r="J44" i="64" s="1"/>
  <c r="I42" i="64"/>
  <c r="I44" i="64" s="1"/>
  <c r="H42" i="64"/>
  <c r="H44" i="64" s="1"/>
  <c r="G42" i="64"/>
  <c r="F42" i="64"/>
  <c r="F44" i="64" s="1"/>
  <c r="Q38" i="64"/>
  <c r="P38" i="64"/>
  <c r="O38" i="64"/>
  <c r="N38" i="64"/>
  <c r="M38" i="64"/>
  <c r="L38" i="64"/>
  <c r="K38" i="64"/>
  <c r="J38" i="64"/>
  <c r="I38" i="64"/>
  <c r="H38" i="64"/>
  <c r="G38" i="64"/>
  <c r="F38" i="64"/>
  <c r="Q33" i="64"/>
  <c r="Q34" i="64" s="1"/>
  <c r="P33" i="64"/>
  <c r="P34" i="64" s="1"/>
  <c r="O33" i="64"/>
  <c r="O34" i="64" s="1"/>
  <c r="N33" i="64"/>
  <c r="N34" i="64" s="1"/>
  <c r="M33" i="64"/>
  <c r="M34" i="64" s="1"/>
  <c r="L33" i="64"/>
  <c r="L34" i="64" s="1"/>
  <c r="K33" i="64"/>
  <c r="K34" i="64" s="1"/>
  <c r="J33" i="64"/>
  <c r="J34" i="64" s="1"/>
  <c r="I33" i="64"/>
  <c r="I34" i="64" s="1"/>
  <c r="H33" i="64"/>
  <c r="H34" i="64" s="1"/>
  <c r="G33" i="64"/>
  <c r="G34" i="64" s="1"/>
  <c r="F33" i="64"/>
  <c r="F34" i="64" s="1"/>
  <c r="Q29" i="64"/>
  <c r="P29" i="64"/>
  <c r="O29" i="64"/>
  <c r="N29" i="64"/>
  <c r="M29" i="64"/>
  <c r="L29" i="64"/>
  <c r="K29" i="64"/>
  <c r="J29" i="64"/>
  <c r="I29" i="64"/>
  <c r="H29" i="64"/>
  <c r="G29" i="64"/>
  <c r="F29" i="64"/>
  <c r="H44" i="63"/>
  <c r="F44" i="63"/>
  <c r="Q42" i="63"/>
  <c r="Q44" i="63" s="1"/>
  <c r="P42" i="63"/>
  <c r="P44" i="63" s="1"/>
  <c r="O42" i="63"/>
  <c r="O44" i="63" s="1"/>
  <c r="N42" i="63"/>
  <c r="N44" i="63" s="1"/>
  <c r="M42" i="63"/>
  <c r="M44" i="63" s="1"/>
  <c r="L42" i="63"/>
  <c r="L44" i="63" s="1"/>
  <c r="K42" i="63"/>
  <c r="K44" i="63" s="1"/>
  <c r="J42" i="63"/>
  <c r="J44" i="63" s="1"/>
  <c r="I42" i="63"/>
  <c r="I44" i="63" s="1"/>
  <c r="H42" i="63"/>
  <c r="G42" i="63"/>
  <c r="G44" i="63" s="1"/>
  <c r="F42" i="63"/>
  <c r="Q38" i="63"/>
  <c r="P38" i="63"/>
  <c r="O38" i="63"/>
  <c r="N38" i="63"/>
  <c r="M38" i="63"/>
  <c r="L38" i="63"/>
  <c r="K38" i="63"/>
  <c r="J38" i="63"/>
  <c r="I38" i="63"/>
  <c r="H38" i="63"/>
  <c r="G38" i="63"/>
  <c r="F38" i="63"/>
  <c r="Q33" i="63"/>
  <c r="Q34" i="63" s="1"/>
  <c r="P33" i="63"/>
  <c r="P34" i="63" s="1"/>
  <c r="O33" i="63"/>
  <c r="O34" i="63" s="1"/>
  <c r="N33" i="63"/>
  <c r="N34" i="63" s="1"/>
  <c r="M33" i="63"/>
  <c r="M34" i="63" s="1"/>
  <c r="L33" i="63"/>
  <c r="L34" i="63" s="1"/>
  <c r="K33" i="63"/>
  <c r="K34" i="63" s="1"/>
  <c r="J33" i="63"/>
  <c r="J34" i="63" s="1"/>
  <c r="I33" i="63"/>
  <c r="I34" i="63" s="1"/>
  <c r="H33" i="63"/>
  <c r="H34" i="63" s="1"/>
  <c r="G33" i="63"/>
  <c r="G34" i="63" s="1"/>
  <c r="F33" i="63"/>
  <c r="F34" i="63" s="1"/>
  <c r="Q29" i="63"/>
  <c r="P29" i="63"/>
  <c r="O29" i="63"/>
  <c r="N29" i="63"/>
  <c r="M29" i="63"/>
  <c r="L29" i="63"/>
  <c r="K29" i="63"/>
  <c r="J29" i="63"/>
  <c r="I29" i="63"/>
  <c r="H29" i="63"/>
  <c r="G29" i="63"/>
  <c r="F29" i="63"/>
  <c r="H42" i="62"/>
  <c r="H44" i="62" s="1"/>
  <c r="H38" i="62"/>
  <c r="H34" i="62"/>
  <c r="H33" i="62"/>
  <c r="H29" i="62"/>
  <c r="N42" i="62"/>
  <c r="N44" i="62" s="1"/>
  <c r="N38" i="62"/>
  <c r="N33" i="62"/>
  <c r="N34" i="62" s="1"/>
  <c r="N29" i="62"/>
  <c r="Q42" i="62"/>
  <c r="Q44" i="62" s="1"/>
  <c r="P42" i="62"/>
  <c r="P44" i="62" s="1"/>
  <c r="O42" i="62"/>
  <c r="O44" i="62" s="1"/>
  <c r="M42" i="62"/>
  <c r="M44" i="62" s="1"/>
  <c r="L42" i="62"/>
  <c r="L44" i="62" s="1"/>
  <c r="K42" i="62"/>
  <c r="K44" i="62" s="1"/>
  <c r="J42" i="62"/>
  <c r="J44" i="62" s="1"/>
  <c r="I42" i="62"/>
  <c r="I44" i="62" s="1"/>
  <c r="G42" i="62"/>
  <c r="G44" i="62" s="1"/>
  <c r="F42" i="62"/>
  <c r="F44" i="62" s="1"/>
  <c r="Q38" i="62"/>
  <c r="P38" i="62"/>
  <c r="O38" i="62"/>
  <c r="M38" i="62"/>
  <c r="L38" i="62"/>
  <c r="K38" i="62"/>
  <c r="J38" i="62"/>
  <c r="I38" i="62"/>
  <c r="G38" i="62"/>
  <c r="F38" i="62"/>
  <c r="Q33" i="62"/>
  <c r="Q34" i="62" s="1"/>
  <c r="P33" i="62"/>
  <c r="P34" i="62" s="1"/>
  <c r="O33" i="62"/>
  <c r="O34" i="62" s="1"/>
  <c r="M33" i="62"/>
  <c r="M34" i="62" s="1"/>
  <c r="L33" i="62"/>
  <c r="L34" i="62" s="1"/>
  <c r="K33" i="62"/>
  <c r="K34" i="62" s="1"/>
  <c r="J33" i="62"/>
  <c r="J34" i="62" s="1"/>
  <c r="I33" i="62"/>
  <c r="I34" i="62" s="1"/>
  <c r="G33" i="62"/>
  <c r="G34" i="62" s="1"/>
  <c r="F33" i="62"/>
  <c r="F34" i="62" s="1"/>
  <c r="Q29" i="62"/>
  <c r="P29" i="62"/>
  <c r="O29" i="62"/>
  <c r="M29" i="62"/>
  <c r="L29" i="62"/>
  <c r="K29" i="62"/>
  <c r="J29" i="62"/>
  <c r="I29" i="62"/>
  <c r="G29" i="62"/>
  <c r="F29" i="62"/>
  <c r="Q42" i="61"/>
  <c r="Q44" i="61" s="1"/>
  <c r="P42" i="61"/>
  <c r="P44" i="61" s="1"/>
  <c r="O42" i="61"/>
  <c r="O44" i="61" s="1"/>
  <c r="N42" i="61"/>
  <c r="N44" i="61" s="1"/>
  <c r="M42" i="61"/>
  <c r="M44" i="61" s="1"/>
  <c r="L42" i="61"/>
  <c r="L44" i="61" s="1"/>
  <c r="K42" i="61"/>
  <c r="K44" i="61" s="1"/>
  <c r="J42" i="61"/>
  <c r="J44" i="61" s="1"/>
  <c r="I42" i="61"/>
  <c r="I44" i="61" s="1"/>
  <c r="H42" i="61"/>
  <c r="H44" i="61" s="1"/>
  <c r="G42" i="61"/>
  <c r="G44" i="61" s="1"/>
  <c r="F42" i="61"/>
  <c r="F44" i="61" s="1"/>
  <c r="Q38" i="61"/>
  <c r="P38" i="61"/>
  <c r="O38" i="61"/>
  <c r="N38" i="61"/>
  <c r="M38" i="61"/>
  <c r="L38" i="61"/>
  <c r="K38" i="61"/>
  <c r="J38" i="61"/>
  <c r="I38" i="61"/>
  <c r="H38" i="61"/>
  <c r="G38" i="61"/>
  <c r="F38" i="61"/>
  <c r="Q33" i="61"/>
  <c r="Q34" i="61" s="1"/>
  <c r="P33" i="61"/>
  <c r="P34" i="61" s="1"/>
  <c r="O33" i="61"/>
  <c r="O34" i="61" s="1"/>
  <c r="N33" i="61"/>
  <c r="N34" i="61" s="1"/>
  <c r="M33" i="61"/>
  <c r="M34" i="61" s="1"/>
  <c r="L33" i="61"/>
  <c r="L34" i="61" s="1"/>
  <c r="K33" i="61"/>
  <c r="K34" i="61" s="1"/>
  <c r="J33" i="61"/>
  <c r="J34" i="61" s="1"/>
  <c r="I33" i="61"/>
  <c r="I34" i="61" s="1"/>
  <c r="H33" i="61"/>
  <c r="H34" i="61" s="1"/>
  <c r="G33" i="61"/>
  <c r="G34" i="61" s="1"/>
  <c r="F33" i="61"/>
  <c r="F34" i="61" s="1"/>
  <c r="Q29" i="61"/>
  <c r="P29" i="61"/>
  <c r="O29" i="61"/>
  <c r="N29" i="61"/>
  <c r="M29" i="61"/>
  <c r="L29" i="61"/>
  <c r="K29" i="61"/>
  <c r="J29" i="61"/>
  <c r="I29" i="61"/>
  <c r="H29" i="61"/>
  <c r="G29" i="61"/>
  <c r="F29" i="61"/>
  <c r="J34" i="59"/>
  <c r="J44" i="59"/>
  <c r="J42" i="59"/>
  <c r="J38" i="59"/>
  <c r="J29" i="59" s="1"/>
  <c r="J33" i="59"/>
  <c r="J29" i="56"/>
  <c r="N44" i="59"/>
  <c r="L44" i="59"/>
  <c r="P42" i="59"/>
  <c r="P44" i="59" s="1"/>
  <c r="N42" i="59"/>
  <c r="L42" i="59"/>
  <c r="F42" i="59"/>
  <c r="F44" i="59" s="1"/>
  <c r="P38" i="59"/>
  <c r="N38" i="59"/>
  <c r="L38" i="59"/>
  <c r="F38" i="59"/>
  <c r="N34" i="59"/>
  <c r="L34" i="59"/>
  <c r="F34" i="59"/>
  <c r="P33" i="59"/>
  <c r="P34" i="59" s="1"/>
  <c r="N33" i="59"/>
  <c r="L33" i="59"/>
  <c r="F33" i="59"/>
  <c r="P29" i="59"/>
  <c r="N29" i="59"/>
  <c r="L29" i="59"/>
  <c r="F29" i="59"/>
  <c r="F44" i="58"/>
  <c r="Q42" i="58"/>
  <c r="Q44" i="58" s="1"/>
  <c r="P42" i="58"/>
  <c r="P44" i="58" s="1"/>
  <c r="O42" i="58"/>
  <c r="O44" i="58" s="1"/>
  <c r="N42" i="58"/>
  <c r="N44" i="58" s="1"/>
  <c r="M42" i="58"/>
  <c r="M44" i="58" s="1"/>
  <c r="L42" i="58"/>
  <c r="L44" i="58" s="1"/>
  <c r="K42" i="58"/>
  <c r="K44" i="58" s="1"/>
  <c r="J42" i="58"/>
  <c r="J44" i="58" s="1"/>
  <c r="I42" i="58"/>
  <c r="I44" i="58" s="1"/>
  <c r="H42" i="58"/>
  <c r="H44" i="58" s="1"/>
  <c r="G42" i="58"/>
  <c r="G44" i="58" s="1"/>
  <c r="F42" i="58"/>
  <c r="Q38" i="58"/>
  <c r="P38" i="58"/>
  <c r="O38" i="58"/>
  <c r="N38" i="58"/>
  <c r="M38" i="58"/>
  <c r="L38" i="58"/>
  <c r="K38" i="58"/>
  <c r="J38" i="58"/>
  <c r="I38" i="58"/>
  <c r="H38" i="58"/>
  <c r="G38" i="58"/>
  <c r="F38" i="58"/>
  <c r="Q33" i="58"/>
  <c r="Q34" i="58" s="1"/>
  <c r="P33" i="58"/>
  <c r="P34" i="58" s="1"/>
  <c r="O33" i="58"/>
  <c r="O34" i="58" s="1"/>
  <c r="N33" i="58"/>
  <c r="N34" i="58" s="1"/>
  <c r="M33" i="58"/>
  <c r="M34" i="58" s="1"/>
  <c r="L33" i="58"/>
  <c r="L34" i="58" s="1"/>
  <c r="K33" i="58"/>
  <c r="K34" i="58" s="1"/>
  <c r="J33" i="58"/>
  <c r="J34" i="58" s="1"/>
  <c r="I33" i="58"/>
  <c r="I34" i="58" s="1"/>
  <c r="H33" i="58"/>
  <c r="H34" i="58" s="1"/>
  <c r="G33" i="58"/>
  <c r="G34" i="58" s="1"/>
  <c r="F33" i="58"/>
  <c r="F34" i="58" s="1"/>
  <c r="Q29" i="58"/>
  <c r="P29" i="58"/>
  <c r="O29" i="58"/>
  <c r="N29" i="58"/>
  <c r="M29" i="58"/>
  <c r="L29" i="58"/>
  <c r="K29" i="58"/>
  <c r="J29" i="58"/>
  <c r="I29" i="58"/>
  <c r="H29" i="58"/>
  <c r="G29" i="58"/>
  <c r="F29" i="58"/>
  <c r="Q42" i="57"/>
  <c r="Q44" i="57" s="1"/>
  <c r="P42" i="57"/>
  <c r="P44" i="57" s="1"/>
  <c r="O42" i="57"/>
  <c r="O44" i="57" s="1"/>
  <c r="N42" i="57"/>
  <c r="N44" i="57" s="1"/>
  <c r="M42" i="57"/>
  <c r="M44" i="57" s="1"/>
  <c r="L42" i="57"/>
  <c r="L44" i="57" s="1"/>
  <c r="K42" i="57"/>
  <c r="K44" i="57" s="1"/>
  <c r="J42" i="57"/>
  <c r="J44" i="57" s="1"/>
  <c r="I42" i="57"/>
  <c r="I44" i="57" s="1"/>
  <c r="H42" i="57"/>
  <c r="H44" i="57" s="1"/>
  <c r="G42" i="57"/>
  <c r="G44" i="57" s="1"/>
  <c r="F42" i="57"/>
  <c r="F44" i="57" s="1"/>
  <c r="Q38" i="57"/>
  <c r="P38" i="57"/>
  <c r="O38" i="57"/>
  <c r="N38" i="57"/>
  <c r="M38" i="57"/>
  <c r="L38" i="57"/>
  <c r="K38" i="57"/>
  <c r="J38" i="57"/>
  <c r="I38" i="57"/>
  <c r="H38" i="57"/>
  <c r="G38" i="57"/>
  <c r="F38" i="57"/>
  <c r="Q33" i="57"/>
  <c r="Q34" i="57" s="1"/>
  <c r="P33" i="57"/>
  <c r="P34" i="57" s="1"/>
  <c r="O33" i="57"/>
  <c r="O34" i="57" s="1"/>
  <c r="N33" i="57"/>
  <c r="N34" i="57" s="1"/>
  <c r="M33" i="57"/>
  <c r="M34" i="57" s="1"/>
  <c r="L33" i="57"/>
  <c r="L34" i="57" s="1"/>
  <c r="K33" i="57"/>
  <c r="K34" i="57" s="1"/>
  <c r="J33" i="57"/>
  <c r="J34" i="57" s="1"/>
  <c r="I33" i="57"/>
  <c r="I34" i="57" s="1"/>
  <c r="H33" i="57"/>
  <c r="H34" i="57" s="1"/>
  <c r="G33" i="57"/>
  <c r="G34" i="57" s="1"/>
  <c r="F33" i="57"/>
  <c r="F34" i="57" s="1"/>
  <c r="Q29" i="57"/>
  <c r="P29" i="57"/>
  <c r="O29" i="57"/>
  <c r="N29" i="57"/>
  <c r="M29" i="57"/>
  <c r="L29" i="57"/>
  <c r="K29" i="57"/>
  <c r="J29" i="57"/>
  <c r="I29" i="57"/>
  <c r="H29" i="57"/>
  <c r="G29" i="57"/>
  <c r="F29" i="57"/>
  <c r="M33" i="56"/>
  <c r="N34" i="56" s="1"/>
  <c r="G29" i="56"/>
  <c r="Q42" i="56"/>
  <c r="Q44" i="56" s="1"/>
  <c r="P42" i="56"/>
  <c r="P44" i="56" s="1"/>
  <c r="O42" i="56"/>
  <c r="O44" i="56" s="1"/>
  <c r="N42" i="56"/>
  <c r="N44" i="56" s="1"/>
  <c r="M42" i="56"/>
  <c r="M44" i="56" s="1"/>
  <c r="L42" i="56"/>
  <c r="L44" i="56" s="1"/>
  <c r="K42" i="56"/>
  <c r="K44" i="56" s="1"/>
  <c r="J42" i="56"/>
  <c r="J44" i="56" s="1"/>
  <c r="I42" i="56"/>
  <c r="I44" i="56" s="1"/>
  <c r="H42" i="56"/>
  <c r="H44" i="56" s="1"/>
  <c r="G42" i="56"/>
  <c r="G44" i="56" s="1"/>
  <c r="Q38" i="56"/>
  <c r="P38" i="56"/>
  <c r="O38" i="56"/>
  <c r="N38" i="56"/>
  <c r="M38" i="56"/>
  <c r="L38" i="56"/>
  <c r="K38" i="56"/>
  <c r="J38" i="56"/>
  <c r="I38" i="56"/>
  <c r="H38" i="56"/>
  <c r="G38" i="56"/>
  <c r="Q33" i="56"/>
  <c r="Q34" i="56" s="1"/>
  <c r="P33" i="56"/>
  <c r="P34" i="56" s="1"/>
  <c r="O33" i="56"/>
  <c r="O34" i="56" s="1"/>
  <c r="N33" i="56"/>
  <c r="L33" i="56"/>
  <c r="L34" i="56" s="1"/>
  <c r="K33" i="56"/>
  <c r="K34" i="56" s="1"/>
  <c r="J33" i="56"/>
  <c r="J34" i="56" s="1"/>
  <c r="I33" i="56"/>
  <c r="I34" i="56" s="1"/>
  <c r="H33" i="56"/>
  <c r="H34" i="56" s="1"/>
  <c r="G33" i="56"/>
  <c r="G34" i="56" s="1"/>
  <c r="Q29" i="56"/>
  <c r="P29" i="56"/>
  <c r="O29" i="56"/>
  <c r="N29" i="56"/>
  <c r="M29" i="56"/>
  <c r="L29" i="56"/>
  <c r="K29" i="56"/>
  <c r="I29" i="56"/>
  <c r="H29" i="56"/>
  <c r="N44" i="55"/>
  <c r="N42" i="55"/>
  <c r="N38" i="55"/>
  <c r="N34" i="55"/>
  <c r="N33" i="55"/>
  <c r="N29" i="55"/>
  <c r="L44" i="55"/>
  <c r="J44" i="55"/>
  <c r="G44" i="55"/>
  <c r="Q42" i="55"/>
  <c r="Q44" i="55" s="1"/>
  <c r="P42" i="55"/>
  <c r="P44" i="55" s="1"/>
  <c r="O42" i="55"/>
  <c r="O44" i="55" s="1"/>
  <c r="M42" i="55"/>
  <c r="M44" i="55" s="1"/>
  <c r="L42" i="55"/>
  <c r="K42" i="55"/>
  <c r="K44" i="55" s="1"/>
  <c r="J42" i="55"/>
  <c r="I42" i="55"/>
  <c r="I44" i="55" s="1"/>
  <c r="H42" i="55"/>
  <c r="H44" i="55" s="1"/>
  <c r="G42" i="55"/>
  <c r="Q38" i="55"/>
  <c r="P38" i="55"/>
  <c r="O38" i="55"/>
  <c r="M38" i="55"/>
  <c r="L38" i="55"/>
  <c r="K38" i="55"/>
  <c r="J38" i="55"/>
  <c r="I38" i="55"/>
  <c r="H38" i="55"/>
  <c r="G38" i="55"/>
  <c r="Q34" i="55"/>
  <c r="L34" i="55"/>
  <c r="Q33" i="55"/>
  <c r="P33" i="55"/>
  <c r="P34" i="55" s="1"/>
  <c r="O33" i="55"/>
  <c r="O34" i="55" s="1"/>
  <c r="M33" i="55"/>
  <c r="M34" i="55" s="1"/>
  <c r="L33" i="55"/>
  <c r="K33" i="55"/>
  <c r="K34" i="55" s="1"/>
  <c r="J33" i="55"/>
  <c r="J34" i="55" s="1"/>
  <c r="I33" i="55"/>
  <c r="I34" i="55" s="1"/>
  <c r="H33" i="55"/>
  <c r="H34" i="55" s="1"/>
  <c r="G33" i="55"/>
  <c r="G34" i="55" s="1"/>
  <c r="Q29" i="55"/>
  <c r="P29" i="55"/>
  <c r="O29" i="55"/>
  <c r="M29" i="55"/>
  <c r="L29" i="55"/>
  <c r="K29" i="55"/>
  <c r="J29" i="55"/>
  <c r="I29" i="55"/>
  <c r="H29" i="55"/>
  <c r="G29" i="55"/>
  <c r="Q42" i="53"/>
  <c r="Q44" i="53" s="1"/>
  <c r="P42" i="53"/>
  <c r="P44" i="53" s="1"/>
  <c r="O42" i="53"/>
  <c r="O44" i="53" s="1"/>
  <c r="N42" i="53"/>
  <c r="N44" i="53" s="1"/>
  <c r="M42" i="53"/>
  <c r="M44" i="53" s="1"/>
  <c r="L42" i="53"/>
  <c r="L44" i="53" s="1"/>
  <c r="K42" i="53"/>
  <c r="K44" i="53" s="1"/>
  <c r="J42" i="53"/>
  <c r="J44" i="53" s="1"/>
  <c r="I42" i="53"/>
  <c r="I44" i="53" s="1"/>
  <c r="H42" i="53"/>
  <c r="H44" i="53" s="1"/>
  <c r="G42" i="53"/>
  <c r="G44" i="53" s="1"/>
  <c r="F42" i="53"/>
  <c r="F44" i="53" s="1"/>
  <c r="Q38" i="53"/>
  <c r="P38" i="53"/>
  <c r="O38" i="53"/>
  <c r="N38" i="53"/>
  <c r="M38" i="53"/>
  <c r="L38" i="53"/>
  <c r="K38" i="53"/>
  <c r="J38" i="53"/>
  <c r="I38" i="53"/>
  <c r="H38" i="53"/>
  <c r="G38" i="53"/>
  <c r="F38" i="53"/>
  <c r="Q33" i="53"/>
  <c r="Q34" i="53" s="1"/>
  <c r="P33" i="53"/>
  <c r="P34" i="53" s="1"/>
  <c r="O33" i="53"/>
  <c r="O34" i="53" s="1"/>
  <c r="N33" i="53"/>
  <c r="N34" i="53" s="1"/>
  <c r="M33" i="53"/>
  <c r="M34" i="53" s="1"/>
  <c r="L33" i="53"/>
  <c r="L34" i="53" s="1"/>
  <c r="K33" i="53"/>
  <c r="K34" i="53" s="1"/>
  <c r="J33" i="53"/>
  <c r="J34" i="53" s="1"/>
  <c r="I33" i="53"/>
  <c r="I34" i="53" s="1"/>
  <c r="H33" i="53"/>
  <c r="H34" i="53" s="1"/>
  <c r="G33" i="53"/>
  <c r="G34" i="53" s="1"/>
  <c r="F33" i="53"/>
  <c r="F34" i="53" s="1"/>
  <c r="Q29" i="53"/>
  <c r="P29" i="53"/>
  <c r="O29" i="53"/>
  <c r="N29" i="53"/>
  <c r="M29" i="53"/>
  <c r="L29" i="53"/>
  <c r="K29" i="53"/>
  <c r="J29" i="53"/>
  <c r="I29" i="53"/>
  <c r="H29" i="53"/>
  <c r="G29" i="53"/>
  <c r="F29" i="53"/>
  <c r="Q42" i="52"/>
  <c r="Q44" i="52" s="1"/>
  <c r="P42" i="52"/>
  <c r="P44" i="52" s="1"/>
  <c r="O42" i="52"/>
  <c r="O44" i="52" s="1"/>
  <c r="N42" i="52"/>
  <c r="N44" i="52" s="1"/>
  <c r="M42" i="52"/>
  <c r="M44" i="52" s="1"/>
  <c r="L42" i="52"/>
  <c r="L44" i="52" s="1"/>
  <c r="K42" i="52"/>
  <c r="K44" i="52" s="1"/>
  <c r="J42" i="52"/>
  <c r="J44" i="52" s="1"/>
  <c r="I42" i="52"/>
  <c r="I44" i="52" s="1"/>
  <c r="H42" i="52"/>
  <c r="H44" i="52" s="1"/>
  <c r="G42" i="52"/>
  <c r="G44" i="52" s="1"/>
  <c r="F42" i="52"/>
  <c r="F44" i="52" s="1"/>
  <c r="Q38" i="52"/>
  <c r="P38" i="52"/>
  <c r="O38" i="52"/>
  <c r="N38" i="52"/>
  <c r="M38" i="52"/>
  <c r="L38" i="52"/>
  <c r="K38" i="52"/>
  <c r="J38" i="52"/>
  <c r="I38" i="52"/>
  <c r="H38" i="52"/>
  <c r="G38" i="52"/>
  <c r="F38" i="52"/>
  <c r="Q33" i="52"/>
  <c r="Q34" i="52" s="1"/>
  <c r="P33" i="52"/>
  <c r="P34" i="52" s="1"/>
  <c r="O33" i="52"/>
  <c r="O34" i="52" s="1"/>
  <c r="N33" i="52"/>
  <c r="N34" i="52" s="1"/>
  <c r="M33" i="52"/>
  <c r="M34" i="52" s="1"/>
  <c r="L33" i="52"/>
  <c r="L34" i="52" s="1"/>
  <c r="K33" i="52"/>
  <c r="K34" i="52" s="1"/>
  <c r="J33" i="52"/>
  <c r="J34" i="52" s="1"/>
  <c r="I33" i="52"/>
  <c r="I34" i="52" s="1"/>
  <c r="H33" i="52"/>
  <c r="H34" i="52" s="1"/>
  <c r="G33" i="52"/>
  <c r="G34" i="52" s="1"/>
  <c r="F33" i="52"/>
  <c r="F34" i="52" s="1"/>
  <c r="Q29" i="52"/>
  <c r="P29" i="52"/>
  <c r="O29" i="52"/>
  <c r="N29" i="52"/>
  <c r="M29" i="52"/>
  <c r="L29" i="52"/>
  <c r="K29" i="52"/>
  <c r="J29" i="52"/>
  <c r="I29" i="52"/>
  <c r="H29" i="52"/>
  <c r="G29" i="52"/>
  <c r="F29" i="52"/>
  <c r="L29" i="50"/>
  <c r="M29" i="50"/>
  <c r="Q44" i="50"/>
  <c r="F44" i="50"/>
  <c r="Q42" i="50"/>
  <c r="P42" i="50"/>
  <c r="P44" i="50" s="1"/>
  <c r="O42" i="50"/>
  <c r="O44" i="50" s="1"/>
  <c r="N42" i="50"/>
  <c r="N44" i="50" s="1"/>
  <c r="M42" i="50"/>
  <c r="M44" i="50" s="1"/>
  <c r="L42" i="50"/>
  <c r="L44" i="50" s="1"/>
  <c r="K42" i="50"/>
  <c r="K44" i="50" s="1"/>
  <c r="J42" i="50"/>
  <c r="J44" i="50" s="1"/>
  <c r="I42" i="50"/>
  <c r="I44" i="50" s="1"/>
  <c r="H42" i="50"/>
  <c r="H44" i="50" s="1"/>
  <c r="G42" i="50"/>
  <c r="G44" i="50" s="1"/>
  <c r="F42" i="50"/>
  <c r="Q38" i="50"/>
  <c r="P38" i="50"/>
  <c r="O38" i="50"/>
  <c r="N38" i="50"/>
  <c r="M38" i="50"/>
  <c r="L38" i="50"/>
  <c r="K38" i="50"/>
  <c r="J38" i="50"/>
  <c r="I38" i="50"/>
  <c r="H38" i="50"/>
  <c r="G38" i="50"/>
  <c r="F38" i="50"/>
  <c r="O34" i="50"/>
  <c r="K34" i="50"/>
  <c r="J34" i="50"/>
  <c r="Q33" i="50"/>
  <c r="Q34" i="50" s="1"/>
  <c r="P33" i="50"/>
  <c r="P34" i="50" s="1"/>
  <c r="O33" i="50"/>
  <c r="N33" i="50"/>
  <c r="N34" i="50" s="1"/>
  <c r="M33" i="50"/>
  <c r="M34" i="50" s="1"/>
  <c r="L33" i="50"/>
  <c r="L34" i="50" s="1"/>
  <c r="K33" i="50"/>
  <c r="J33" i="50"/>
  <c r="I33" i="50"/>
  <c r="I34" i="50" s="1"/>
  <c r="H33" i="50"/>
  <c r="H34" i="50" s="1"/>
  <c r="G33" i="50"/>
  <c r="G34" i="50" s="1"/>
  <c r="F33" i="50"/>
  <c r="F34" i="50" s="1"/>
  <c r="Q29" i="50"/>
  <c r="P29" i="50"/>
  <c r="O29" i="50"/>
  <c r="N29" i="50"/>
  <c r="K29" i="50"/>
  <c r="J29" i="50"/>
  <c r="I29" i="50"/>
  <c r="H29" i="50"/>
  <c r="G29" i="50"/>
  <c r="F29" i="50"/>
  <c r="F42" i="48"/>
  <c r="F38" i="48"/>
  <c r="G38" i="48"/>
  <c r="Q42" i="48"/>
  <c r="Q44" i="48" s="1"/>
  <c r="P42" i="48"/>
  <c r="P44" i="48" s="1"/>
  <c r="O42" i="48"/>
  <c r="O44" i="48" s="1"/>
  <c r="N42" i="48"/>
  <c r="N44" i="48" s="1"/>
  <c r="M42" i="48"/>
  <c r="M44" i="48" s="1"/>
  <c r="K42" i="48"/>
  <c r="K44" i="48" s="1"/>
  <c r="J42" i="48"/>
  <c r="J44" i="48" s="1"/>
  <c r="I42" i="48"/>
  <c r="I44" i="48" s="1"/>
  <c r="H42" i="48"/>
  <c r="H44" i="48" s="1"/>
  <c r="G42" i="48"/>
  <c r="G44" i="48" s="1"/>
  <c r="Q38" i="48"/>
  <c r="P38" i="48"/>
  <c r="O38" i="48"/>
  <c r="N38" i="48"/>
  <c r="M38" i="48"/>
  <c r="K38" i="48"/>
  <c r="J38" i="48"/>
  <c r="I38" i="48"/>
  <c r="H38" i="48"/>
  <c r="Q33" i="48"/>
  <c r="Q34" i="48" s="1"/>
  <c r="P33" i="48"/>
  <c r="P34" i="48" s="1"/>
  <c r="O33" i="48"/>
  <c r="O34" i="48" s="1"/>
  <c r="N33" i="48"/>
  <c r="N34" i="48" s="1"/>
  <c r="M33" i="48"/>
  <c r="M34" i="48" s="1"/>
  <c r="K33" i="48"/>
  <c r="K34" i="48" s="1"/>
  <c r="J33" i="48"/>
  <c r="J34" i="48" s="1"/>
  <c r="I33" i="48"/>
  <c r="I34" i="48" s="1"/>
  <c r="H33" i="48"/>
  <c r="H34" i="48" s="1"/>
  <c r="G33" i="48"/>
  <c r="G34" i="48" s="1"/>
  <c r="Q29" i="48"/>
  <c r="P29" i="48"/>
  <c r="O29" i="48"/>
  <c r="N29" i="48"/>
  <c r="M29" i="48"/>
  <c r="K29" i="48"/>
  <c r="J29" i="48"/>
  <c r="I29" i="48"/>
  <c r="H29" i="48"/>
  <c r="G29" i="48"/>
  <c r="P44" i="47"/>
  <c r="N44" i="47"/>
  <c r="L44" i="47"/>
  <c r="P42" i="47"/>
  <c r="N42" i="47"/>
  <c r="L42" i="47"/>
  <c r="F42" i="47"/>
  <c r="F44" i="47" s="1"/>
  <c r="P38" i="47"/>
  <c r="N38" i="47"/>
  <c r="L38" i="47"/>
  <c r="F38" i="47"/>
  <c r="P33" i="47"/>
  <c r="P34" i="47" s="1"/>
  <c r="N33" i="47"/>
  <c r="N34" i="47" s="1"/>
  <c r="L33" i="47"/>
  <c r="L34" i="47" s="1"/>
  <c r="F33" i="47"/>
  <c r="F34" i="47" s="1"/>
  <c r="P29" i="47"/>
  <c r="N29" i="47"/>
  <c r="L29" i="47"/>
  <c r="F29" i="47"/>
  <c r="J42" i="46"/>
  <c r="M34" i="56" l="1"/>
  <c r="M44" i="46"/>
  <c r="F44" i="46"/>
  <c r="Q42" i="46"/>
  <c r="Q44" i="46" s="1"/>
  <c r="P42" i="46"/>
  <c r="P44" i="46" s="1"/>
  <c r="O42" i="46"/>
  <c r="O44" i="46" s="1"/>
  <c r="M42" i="46"/>
  <c r="L42" i="46"/>
  <c r="L44" i="46" s="1"/>
  <c r="K42" i="46"/>
  <c r="K44" i="46" s="1"/>
  <c r="J44" i="46"/>
  <c r="I42" i="46"/>
  <c r="I44" i="46" s="1"/>
  <c r="G42" i="46"/>
  <c r="G44" i="46" s="1"/>
  <c r="F42" i="46"/>
  <c r="Q38" i="46"/>
  <c r="P38" i="46"/>
  <c r="O38" i="46"/>
  <c r="M38" i="46"/>
  <c r="L38" i="46"/>
  <c r="K38" i="46"/>
  <c r="J38" i="46"/>
  <c r="I38" i="46"/>
  <c r="G38" i="46"/>
  <c r="F38" i="46"/>
  <c r="Q33" i="46"/>
  <c r="Q34" i="46" s="1"/>
  <c r="P33" i="46"/>
  <c r="P34" i="46" s="1"/>
  <c r="O33" i="46"/>
  <c r="O34" i="46" s="1"/>
  <c r="M33" i="46"/>
  <c r="M34" i="46" s="1"/>
  <c r="L33" i="46"/>
  <c r="L34" i="46" s="1"/>
  <c r="K33" i="46"/>
  <c r="K34" i="46" s="1"/>
  <c r="J33" i="46"/>
  <c r="J34" i="46" s="1"/>
  <c r="I33" i="46"/>
  <c r="I34" i="46" s="1"/>
  <c r="G33" i="46"/>
  <c r="G34" i="46" s="1"/>
  <c r="F33" i="46"/>
  <c r="F34" i="46" s="1"/>
  <c r="Q29" i="46"/>
  <c r="P29" i="46"/>
  <c r="O29" i="46"/>
  <c r="M29" i="46"/>
  <c r="L29" i="46"/>
  <c r="K29" i="46"/>
  <c r="J29" i="46"/>
  <c r="I29" i="46"/>
  <c r="G29" i="46"/>
  <c r="F29" i="46"/>
  <c r="F44" i="45"/>
  <c r="Q42" i="45"/>
  <c r="Q44" i="45" s="1"/>
  <c r="P42" i="45"/>
  <c r="P44" i="45" s="1"/>
  <c r="O42" i="45"/>
  <c r="O44" i="45" s="1"/>
  <c r="N42" i="45"/>
  <c r="N44" i="45" s="1"/>
  <c r="M42" i="45"/>
  <c r="M44" i="45" s="1"/>
  <c r="L42" i="45"/>
  <c r="L44" i="45" s="1"/>
  <c r="K42" i="45"/>
  <c r="K44" i="45" s="1"/>
  <c r="J42" i="45"/>
  <c r="J44" i="45" s="1"/>
  <c r="I42" i="45"/>
  <c r="I44" i="45" s="1"/>
  <c r="H42" i="45"/>
  <c r="H44" i="45" s="1"/>
  <c r="G42" i="45"/>
  <c r="G44" i="45" s="1"/>
  <c r="F42" i="45"/>
  <c r="Q38" i="45"/>
  <c r="P38" i="45"/>
  <c r="O38" i="45"/>
  <c r="N38" i="45"/>
  <c r="M38" i="45"/>
  <c r="L38" i="45"/>
  <c r="K38" i="45"/>
  <c r="J38" i="45"/>
  <c r="I38" i="45"/>
  <c r="H38" i="45"/>
  <c r="G38" i="45"/>
  <c r="F38" i="45"/>
  <c r="L34" i="45"/>
  <c r="Q33" i="45"/>
  <c r="Q34" i="45" s="1"/>
  <c r="P33" i="45"/>
  <c r="P34" i="45" s="1"/>
  <c r="O33" i="45"/>
  <c r="O34" i="45" s="1"/>
  <c r="N33" i="45"/>
  <c r="N34" i="45" s="1"/>
  <c r="M33" i="45"/>
  <c r="M34" i="45" s="1"/>
  <c r="L33" i="45"/>
  <c r="K33" i="45"/>
  <c r="K34" i="45" s="1"/>
  <c r="J33" i="45"/>
  <c r="J34" i="45" s="1"/>
  <c r="I33" i="45"/>
  <c r="I34" i="45" s="1"/>
  <c r="H33" i="45"/>
  <c r="H34" i="45" s="1"/>
  <c r="G33" i="45"/>
  <c r="G34" i="45" s="1"/>
  <c r="F33" i="45"/>
  <c r="F34" i="45" s="1"/>
  <c r="Q29" i="45"/>
  <c r="P29" i="45"/>
  <c r="O29" i="45"/>
  <c r="N29" i="45"/>
  <c r="M29" i="45"/>
  <c r="L29" i="45"/>
  <c r="K29" i="45"/>
  <c r="J29" i="45"/>
  <c r="I29" i="45"/>
  <c r="H29" i="45"/>
  <c r="G29" i="45"/>
  <c r="F29" i="45"/>
  <c r="Q42" i="44"/>
  <c r="Q44" i="44" s="1"/>
  <c r="P42" i="44"/>
  <c r="P44" i="44" s="1"/>
  <c r="O42" i="44"/>
  <c r="O44" i="44" s="1"/>
  <c r="N42" i="44"/>
  <c r="N44" i="44" s="1"/>
  <c r="M42" i="44"/>
  <c r="M44" i="44" s="1"/>
  <c r="L42" i="44"/>
  <c r="L44" i="44" s="1"/>
  <c r="K42" i="44"/>
  <c r="K44" i="44" s="1"/>
  <c r="J42" i="44"/>
  <c r="J44" i="44" s="1"/>
  <c r="I42" i="44"/>
  <c r="I44" i="44" s="1"/>
  <c r="H42" i="44"/>
  <c r="H44" i="44" s="1"/>
  <c r="G42" i="44"/>
  <c r="G44" i="44" s="1"/>
  <c r="F42" i="44"/>
  <c r="F44" i="44" s="1"/>
  <c r="Q38" i="44"/>
  <c r="P38" i="44"/>
  <c r="O38" i="44"/>
  <c r="N38" i="44"/>
  <c r="M38" i="44"/>
  <c r="L38" i="44"/>
  <c r="K38" i="44"/>
  <c r="J38" i="44"/>
  <c r="I38" i="44"/>
  <c r="H38" i="44"/>
  <c r="G38" i="44"/>
  <c r="F38" i="44"/>
  <c r="Q33" i="44"/>
  <c r="Q34" i="44" s="1"/>
  <c r="P33" i="44"/>
  <c r="P34" i="44" s="1"/>
  <c r="O33" i="44"/>
  <c r="O34" i="44" s="1"/>
  <c r="N33" i="44"/>
  <c r="N34" i="44" s="1"/>
  <c r="M33" i="44"/>
  <c r="M34" i="44" s="1"/>
  <c r="L33" i="44"/>
  <c r="L34" i="44" s="1"/>
  <c r="K33" i="44"/>
  <c r="K34" i="44" s="1"/>
  <c r="J33" i="44"/>
  <c r="J34" i="44" s="1"/>
  <c r="I33" i="44"/>
  <c r="I34" i="44" s="1"/>
  <c r="H33" i="44"/>
  <c r="H34" i="44" s="1"/>
  <c r="G33" i="44"/>
  <c r="G34" i="44" s="1"/>
  <c r="F33" i="44"/>
  <c r="F34" i="44" s="1"/>
  <c r="Q29" i="44"/>
  <c r="P29" i="44"/>
  <c r="O29" i="44"/>
  <c r="N29" i="44"/>
  <c r="M29" i="44"/>
  <c r="L29" i="44"/>
  <c r="K29" i="44"/>
  <c r="J29" i="44"/>
  <c r="I29" i="44"/>
  <c r="H29" i="44"/>
  <c r="G29" i="44"/>
  <c r="F29" i="44"/>
  <c r="H44" i="42"/>
  <c r="L44" i="42"/>
  <c r="L42" i="42"/>
  <c r="H42" i="42"/>
  <c r="L38" i="42"/>
  <c r="H38" i="42"/>
  <c r="L29" i="42"/>
  <c r="H29" i="42"/>
  <c r="H34" i="42"/>
  <c r="L34" i="42"/>
  <c r="L33" i="42"/>
  <c r="H33" i="42"/>
  <c r="P44" i="42"/>
  <c r="Q42" i="42"/>
  <c r="Q44" i="42" s="1"/>
  <c r="P42" i="42"/>
  <c r="O42" i="42"/>
  <c r="O44" i="42" s="1"/>
  <c r="M42" i="42"/>
  <c r="M44" i="42" s="1"/>
  <c r="K42" i="42"/>
  <c r="K44" i="42" s="1"/>
  <c r="J42" i="42"/>
  <c r="J44" i="42" s="1"/>
  <c r="I42" i="42"/>
  <c r="I44" i="42" s="1"/>
  <c r="G42" i="42"/>
  <c r="G44" i="42" s="1"/>
  <c r="Q38" i="42"/>
  <c r="P38" i="42"/>
  <c r="O38" i="42"/>
  <c r="M38" i="42"/>
  <c r="K38" i="42"/>
  <c r="J38" i="42"/>
  <c r="I38" i="42"/>
  <c r="G38" i="42"/>
  <c r="P34" i="42"/>
  <c r="Q33" i="42"/>
  <c r="Q34" i="42" s="1"/>
  <c r="P33" i="42"/>
  <c r="O33" i="42"/>
  <c r="O34" i="42" s="1"/>
  <c r="M33" i="42"/>
  <c r="M34" i="42" s="1"/>
  <c r="K33" i="42"/>
  <c r="K34" i="42" s="1"/>
  <c r="J33" i="42"/>
  <c r="J34" i="42" s="1"/>
  <c r="I33" i="42"/>
  <c r="I34" i="42" s="1"/>
  <c r="G33" i="42"/>
  <c r="G34" i="42" s="1"/>
  <c r="Q29" i="42"/>
  <c r="P29" i="42"/>
  <c r="O29" i="42"/>
  <c r="M29" i="42"/>
  <c r="K29" i="42"/>
  <c r="J29" i="42"/>
  <c r="I29" i="42"/>
  <c r="G29" i="42"/>
  <c r="Q44" i="41"/>
  <c r="I44" i="41"/>
  <c r="Q42" i="41"/>
  <c r="P42" i="41"/>
  <c r="P44" i="41" s="1"/>
  <c r="O42" i="41"/>
  <c r="O44" i="41" s="1"/>
  <c r="M42" i="41"/>
  <c r="M44" i="41" s="1"/>
  <c r="K42" i="41"/>
  <c r="K44" i="41" s="1"/>
  <c r="J42" i="41"/>
  <c r="J44" i="41" s="1"/>
  <c r="I42" i="41"/>
  <c r="G42" i="41"/>
  <c r="G44" i="41" s="1"/>
  <c r="Q38" i="41"/>
  <c r="P38" i="41"/>
  <c r="O38" i="41"/>
  <c r="M38" i="41"/>
  <c r="K38" i="41"/>
  <c r="J38" i="41"/>
  <c r="I38" i="41"/>
  <c r="G38" i="41"/>
  <c r="P34" i="41"/>
  <c r="O34" i="41"/>
  <c r="J34" i="41"/>
  <c r="Q33" i="41"/>
  <c r="Q34" i="41" s="1"/>
  <c r="P33" i="41"/>
  <c r="O33" i="41"/>
  <c r="M33" i="41"/>
  <c r="M34" i="41" s="1"/>
  <c r="K33" i="41"/>
  <c r="K34" i="41" s="1"/>
  <c r="J33" i="41"/>
  <c r="I33" i="41"/>
  <c r="I34" i="41" s="1"/>
  <c r="G33" i="41"/>
  <c r="G34" i="41" s="1"/>
  <c r="Q29" i="41"/>
  <c r="P29" i="41"/>
  <c r="O29" i="41"/>
  <c r="M29" i="41"/>
  <c r="K29" i="41"/>
  <c r="J29" i="41"/>
  <c r="I29" i="41"/>
  <c r="G29" i="41"/>
  <c r="N29" i="40"/>
  <c r="O29" i="40"/>
  <c r="N33" i="40"/>
  <c r="O33" i="40"/>
  <c r="N34" i="40"/>
  <c r="O34" i="40"/>
  <c r="N38" i="40"/>
  <c r="O38" i="40"/>
  <c r="N42" i="40"/>
  <c r="O42" i="40"/>
  <c r="N44" i="40"/>
  <c r="O44" i="40"/>
  <c r="F44" i="40"/>
  <c r="G44" i="40"/>
  <c r="F42" i="40"/>
  <c r="G42" i="40"/>
  <c r="F38" i="40"/>
  <c r="G38" i="40"/>
  <c r="F34" i="40"/>
  <c r="G34" i="40"/>
  <c r="F33" i="40"/>
  <c r="G33" i="40"/>
  <c r="F29" i="40"/>
  <c r="G29" i="40"/>
  <c r="Q42" i="40"/>
  <c r="Q44" i="40" s="1"/>
  <c r="P42" i="40"/>
  <c r="P44" i="40" s="1"/>
  <c r="M42" i="40"/>
  <c r="M44" i="40" s="1"/>
  <c r="L42" i="40"/>
  <c r="L44" i="40" s="1"/>
  <c r="K42" i="40"/>
  <c r="K44" i="40" s="1"/>
  <c r="J42" i="40"/>
  <c r="J44" i="40" s="1"/>
  <c r="I42" i="40"/>
  <c r="I44" i="40" s="1"/>
  <c r="H42" i="40"/>
  <c r="H44" i="40" s="1"/>
  <c r="Q38" i="40"/>
  <c r="P38" i="40"/>
  <c r="M38" i="40"/>
  <c r="L38" i="40"/>
  <c r="K38" i="40"/>
  <c r="J38" i="40"/>
  <c r="I38" i="40"/>
  <c r="H38" i="40"/>
  <c r="Q33" i="40"/>
  <c r="Q34" i="40" s="1"/>
  <c r="P33" i="40"/>
  <c r="P34" i="40" s="1"/>
  <c r="M33" i="40"/>
  <c r="M34" i="40" s="1"/>
  <c r="L33" i="40"/>
  <c r="L34" i="40" s="1"/>
  <c r="K33" i="40"/>
  <c r="K34" i="40" s="1"/>
  <c r="J33" i="40"/>
  <c r="J34" i="40" s="1"/>
  <c r="I33" i="40"/>
  <c r="I34" i="40" s="1"/>
  <c r="H33" i="40"/>
  <c r="H34" i="40" s="1"/>
  <c r="Q29" i="40"/>
  <c r="P29" i="40"/>
  <c r="M29" i="40"/>
  <c r="L29" i="40"/>
  <c r="K29" i="40"/>
  <c r="J29" i="40"/>
  <c r="I29" i="40"/>
  <c r="H29" i="40"/>
  <c r="Q42" i="39"/>
  <c r="Q44" i="39" s="1"/>
  <c r="P42" i="39"/>
  <c r="P44" i="39" s="1"/>
  <c r="O42" i="39"/>
  <c r="O44" i="39" s="1"/>
  <c r="M42" i="39"/>
  <c r="M44" i="39" s="1"/>
  <c r="L42" i="39"/>
  <c r="L44" i="39" s="1"/>
  <c r="K42" i="39"/>
  <c r="K44" i="39" s="1"/>
  <c r="J42" i="39"/>
  <c r="J44" i="39" s="1"/>
  <c r="I42" i="39"/>
  <c r="I44" i="39" s="1"/>
  <c r="H42" i="39"/>
  <c r="H44" i="39" s="1"/>
  <c r="G42" i="39"/>
  <c r="G44" i="39" s="1"/>
  <c r="Q38" i="39"/>
  <c r="P38" i="39"/>
  <c r="O38" i="39"/>
  <c r="M38" i="39"/>
  <c r="L38" i="39"/>
  <c r="K38" i="39"/>
  <c r="J38" i="39"/>
  <c r="I38" i="39"/>
  <c r="H38" i="39"/>
  <c r="G38" i="39"/>
  <c r="L34" i="39"/>
  <c r="H34" i="39"/>
  <c r="Q33" i="39"/>
  <c r="Q34" i="39" s="1"/>
  <c r="P33" i="39"/>
  <c r="P34" i="39" s="1"/>
  <c r="O33" i="39"/>
  <c r="O34" i="39" s="1"/>
  <c r="M33" i="39"/>
  <c r="M34" i="39" s="1"/>
  <c r="L33" i="39"/>
  <c r="K33" i="39"/>
  <c r="K34" i="39" s="1"/>
  <c r="J33" i="39"/>
  <c r="J34" i="39" s="1"/>
  <c r="I33" i="39"/>
  <c r="I34" i="39" s="1"/>
  <c r="H33" i="39"/>
  <c r="G33" i="39"/>
  <c r="G34" i="39" s="1"/>
  <c r="Q29" i="39"/>
  <c r="P29" i="39"/>
  <c r="O29" i="39"/>
  <c r="M29" i="39"/>
  <c r="L29" i="39"/>
  <c r="K29" i="39"/>
  <c r="J29" i="39"/>
  <c r="I29" i="39"/>
  <c r="H29" i="39"/>
  <c r="G29" i="39"/>
  <c r="Q42" i="38"/>
  <c r="Q44" i="38" s="1"/>
  <c r="P42" i="38"/>
  <c r="P44" i="38" s="1"/>
  <c r="O42" i="38"/>
  <c r="O44" i="38" s="1"/>
  <c r="N42" i="38"/>
  <c r="N44" i="38" s="1"/>
  <c r="M42" i="38"/>
  <c r="M44" i="38" s="1"/>
  <c r="L42" i="38"/>
  <c r="L44" i="38" s="1"/>
  <c r="K42" i="38"/>
  <c r="K44" i="38" s="1"/>
  <c r="J42" i="38"/>
  <c r="J44" i="38" s="1"/>
  <c r="I42" i="38"/>
  <c r="I44" i="38" s="1"/>
  <c r="H42" i="38"/>
  <c r="H44" i="38" s="1"/>
  <c r="G42" i="38"/>
  <c r="G44" i="38" s="1"/>
  <c r="Q38" i="38"/>
  <c r="P38" i="38"/>
  <c r="O38" i="38"/>
  <c r="N38" i="38"/>
  <c r="M38" i="38"/>
  <c r="L38" i="38"/>
  <c r="K38" i="38"/>
  <c r="J38" i="38"/>
  <c r="I38" i="38"/>
  <c r="H38" i="38"/>
  <c r="G38" i="38"/>
  <c r="Q33" i="38"/>
  <c r="Q34" i="38" s="1"/>
  <c r="P33" i="38"/>
  <c r="P34" i="38" s="1"/>
  <c r="O33" i="38"/>
  <c r="O34" i="38" s="1"/>
  <c r="N33" i="38"/>
  <c r="N34" i="38" s="1"/>
  <c r="M33" i="38"/>
  <c r="M34" i="38" s="1"/>
  <c r="L33" i="38"/>
  <c r="L34" i="38" s="1"/>
  <c r="K33" i="38"/>
  <c r="K34" i="38" s="1"/>
  <c r="J33" i="38"/>
  <c r="J34" i="38" s="1"/>
  <c r="I33" i="38"/>
  <c r="I34" i="38" s="1"/>
  <c r="H33" i="38"/>
  <c r="H34" i="38" s="1"/>
  <c r="G33" i="38"/>
  <c r="G34" i="38" s="1"/>
  <c r="Q29" i="38"/>
  <c r="P29" i="38"/>
  <c r="O29" i="38"/>
  <c r="N29" i="38"/>
  <c r="M29" i="38"/>
  <c r="L29" i="38"/>
  <c r="K29" i="38"/>
  <c r="J29" i="38"/>
  <c r="I29" i="38"/>
  <c r="H29" i="38"/>
  <c r="G29" i="38"/>
  <c r="Q42" i="37"/>
  <c r="Q44" i="37" s="1"/>
  <c r="P42" i="37"/>
  <c r="P44" i="37" s="1"/>
  <c r="O42" i="37"/>
  <c r="O44" i="37" s="1"/>
  <c r="N42" i="37"/>
  <c r="N44" i="37" s="1"/>
  <c r="M42" i="37"/>
  <c r="M44" i="37" s="1"/>
  <c r="L42" i="37"/>
  <c r="L44" i="37" s="1"/>
  <c r="K42" i="37"/>
  <c r="K44" i="37" s="1"/>
  <c r="J42" i="37"/>
  <c r="J44" i="37" s="1"/>
  <c r="I42" i="37"/>
  <c r="I44" i="37" s="1"/>
  <c r="H42" i="37"/>
  <c r="H44" i="37" s="1"/>
  <c r="G42" i="37"/>
  <c r="G44" i="37" s="1"/>
  <c r="Q38" i="37"/>
  <c r="P38" i="37"/>
  <c r="O38" i="37"/>
  <c r="N38" i="37"/>
  <c r="M38" i="37"/>
  <c r="L38" i="37"/>
  <c r="K38" i="37"/>
  <c r="J38" i="37"/>
  <c r="I38" i="37"/>
  <c r="H38" i="37"/>
  <c r="G38" i="37"/>
  <c r="P34" i="37"/>
  <c r="N34" i="37"/>
  <c r="L34" i="37"/>
  <c r="I34" i="37"/>
  <c r="H34" i="37"/>
  <c r="Q33" i="37"/>
  <c r="Q34" i="37" s="1"/>
  <c r="P33" i="37"/>
  <c r="O33" i="37"/>
  <c r="O34" i="37" s="1"/>
  <c r="N33" i="37"/>
  <c r="M33" i="37"/>
  <c r="M34" i="37" s="1"/>
  <c r="L33" i="37"/>
  <c r="K33" i="37"/>
  <c r="K34" i="37" s="1"/>
  <c r="J33" i="37"/>
  <c r="J34" i="37" s="1"/>
  <c r="I33" i="37"/>
  <c r="H33" i="37"/>
  <c r="G33" i="37"/>
  <c r="G34" i="37" s="1"/>
  <c r="Q29" i="37"/>
  <c r="P29" i="37"/>
  <c r="O29" i="37"/>
  <c r="N29" i="37"/>
  <c r="M29" i="37"/>
  <c r="L29" i="37"/>
  <c r="K29" i="37"/>
  <c r="J29" i="37"/>
  <c r="I29" i="37"/>
  <c r="H29" i="37"/>
  <c r="G29" i="37"/>
  <c r="F44" i="36"/>
  <c r="F42" i="36"/>
  <c r="F38" i="36"/>
  <c r="F34" i="36"/>
  <c r="F33" i="36"/>
  <c r="F29" i="36"/>
  <c r="Q42" i="36"/>
  <c r="Q44" i="36" s="1"/>
  <c r="P42" i="36"/>
  <c r="P44" i="36" s="1"/>
  <c r="O42" i="36"/>
  <c r="O44" i="36" s="1"/>
  <c r="N42" i="36"/>
  <c r="N44" i="36" s="1"/>
  <c r="M42" i="36"/>
  <c r="M44" i="36" s="1"/>
  <c r="L42" i="36"/>
  <c r="L44" i="36" s="1"/>
  <c r="K42" i="36"/>
  <c r="K44" i="36" s="1"/>
  <c r="J42" i="36"/>
  <c r="J44" i="36" s="1"/>
  <c r="I42" i="36"/>
  <c r="I44" i="36" s="1"/>
  <c r="H42" i="36"/>
  <c r="H44" i="36" s="1"/>
  <c r="G42" i="36"/>
  <c r="G44" i="36" s="1"/>
  <c r="Q38" i="36"/>
  <c r="P38" i="36"/>
  <c r="O38" i="36"/>
  <c r="N38" i="36"/>
  <c r="M38" i="36"/>
  <c r="L38" i="36"/>
  <c r="K38" i="36"/>
  <c r="J38" i="36"/>
  <c r="I38" i="36"/>
  <c r="H38" i="36"/>
  <c r="G38" i="36"/>
  <c r="P34" i="36"/>
  <c r="L34" i="36"/>
  <c r="J34" i="36"/>
  <c r="Q33" i="36"/>
  <c r="Q34" i="36" s="1"/>
  <c r="P33" i="36"/>
  <c r="O33" i="36"/>
  <c r="O34" i="36" s="1"/>
  <c r="N33" i="36"/>
  <c r="N34" i="36" s="1"/>
  <c r="M33" i="36"/>
  <c r="M34" i="36" s="1"/>
  <c r="L33" i="36"/>
  <c r="K33" i="36"/>
  <c r="K34" i="36" s="1"/>
  <c r="J33" i="36"/>
  <c r="I33" i="36"/>
  <c r="I34" i="36" s="1"/>
  <c r="H33" i="36"/>
  <c r="H34" i="36" s="1"/>
  <c r="G33" i="36"/>
  <c r="G34" i="36" s="1"/>
  <c r="Q29" i="36"/>
  <c r="P29" i="36"/>
  <c r="O29" i="36"/>
  <c r="N29" i="36"/>
  <c r="M29" i="36"/>
  <c r="L29" i="36"/>
  <c r="K29" i="36"/>
  <c r="J29" i="36"/>
  <c r="I29" i="36"/>
  <c r="H29" i="36"/>
  <c r="G29" i="36"/>
  <c r="O42" i="35"/>
  <c r="O44" i="35"/>
  <c r="Q42" i="35"/>
  <c r="Q44" i="35" s="1"/>
  <c r="P42" i="35"/>
  <c r="P44" i="35" s="1"/>
  <c r="N42" i="35"/>
  <c r="N44" i="35" s="1"/>
  <c r="M42" i="35"/>
  <c r="M44" i="35" s="1"/>
  <c r="L42" i="35"/>
  <c r="L44" i="35" s="1"/>
  <c r="K42" i="35"/>
  <c r="K44" i="35" s="1"/>
  <c r="J42" i="35"/>
  <c r="J44" i="35" s="1"/>
  <c r="I42" i="35"/>
  <c r="I44" i="35" s="1"/>
  <c r="H42" i="35"/>
  <c r="H44" i="35" s="1"/>
  <c r="G42" i="35"/>
  <c r="G44" i="35" s="1"/>
  <c r="Q38" i="35"/>
  <c r="P38" i="35"/>
  <c r="O38" i="35"/>
  <c r="N38" i="35"/>
  <c r="M38" i="35"/>
  <c r="L38" i="35"/>
  <c r="K38" i="35"/>
  <c r="J38" i="35"/>
  <c r="I38" i="35"/>
  <c r="H38" i="35"/>
  <c r="G38" i="35"/>
  <c r="P34" i="35"/>
  <c r="Q33" i="35"/>
  <c r="Q34" i="35" s="1"/>
  <c r="P33" i="35"/>
  <c r="O33" i="35"/>
  <c r="O34" i="35" s="1"/>
  <c r="N33" i="35"/>
  <c r="N34" i="35" s="1"/>
  <c r="M33" i="35"/>
  <c r="M34" i="35" s="1"/>
  <c r="L33" i="35"/>
  <c r="L34" i="35" s="1"/>
  <c r="K33" i="35"/>
  <c r="K34" i="35" s="1"/>
  <c r="J33" i="35"/>
  <c r="J34" i="35" s="1"/>
  <c r="I33" i="35"/>
  <c r="I34" i="35" s="1"/>
  <c r="H33" i="35"/>
  <c r="H34" i="35" s="1"/>
  <c r="G33" i="35"/>
  <c r="G34" i="35" s="1"/>
  <c r="Q29" i="35"/>
  <c r="P29" i="35"/>
  <c r="O29" i="35"/>
  <c r="N29" i="35"/>
  <c r="M29" i="35"/>
  <c r="L29" i="35"/>
  <c r="K29" i="35"/>
  <c r="J29" i="35"/>
  <c r="I29" i="35"/>
  <c r="H29" i="35"/>
  <c r="G29" i="35"/>
  <c r="J44" i="34"/>
  <c r="H44" i="34"/>
  <c r="Q42" i="34"/>
  <c r="Q44" i="34" s="1"/>
  <c r="P42" i="34"/>
  <c r="P44" i="34" s="1"/>
  <c r="O42" i="34"/>
  <c r="O44" i="34" s="1"/>
  <c r="N42" i="34"/>
  <c r="N44" i="34" s="1"/>
  <c r="M42" i="34"/>
  <c r="M44" i="34" s="1"/>
  <c r="L42" i="34"/>
  <c r="L44" i="34" s="1"/>
  <c r="K42" i="34"/>
  <c r="K44" i="34" s="1"/>
  <c r="J42" i="34"/>
  <c r="I42" i="34"/>
  <c r="I44" i="34" s="1"/>
  <c r="H42" i="34"/>
  <c r="G42" i="34"/>
  <c r="G44" i="34" s="1"/>
  <c r="Q38" i="34"/>
  <c r="P38" i="34"/>
  <c r="O38" i="34"/>
  <c r="N38" i="34"/>
  <c r="M38" i="34"/>
  <c r="L38" i="34"/>
  <c r="K38" i="34"/>
  <c r="J38" i="34"/>
  <c r="I38" i="34"/>
  <c r="H38" i="34"/>
  <c r="G38" i="34"/>
  <c r="Q33" i="34"/>
  <c r="Q34" i="34" s="1"/>
  <c r="P33" i="34"/>
  <c r="P34" i="34" s="1"/>
  <c r="O33" i="34"/>
  <c r="O34" i="34" s="1"/>
  <c r="N33" i="34"/>
  <c r="N34" i="34" s="1"/>
  <c r="M33" i="34"/>
  <c r="M34" i="34" s="1"/>
  <c r="L33" i="34"/>
  <c r="L34" i="34" s="1"/>
  <c r="K33" i="34"/>
  <c r="K34" i="34" s="1"/>
  <c r="J33" i="34"/>
  <c r="J34" i="34" s="1"/>
  <c r="I33" i="34"/>
  <c r="I34" i="34" s="1"/>
  <c r="H33" i="34"/>
  <c r="H34" i="34" s="1"/>
  <c r="G33" i="34"/>
  <c r="G34" i="34" s="1"/>
  <c r="Q29" i="34"/>
  <c r="P29" i="34"/>
  <c r="O29" i="34"/>
  <c r="N29" i="34"/>
  <c r="M29" i="34"/>
  <c r="L29" i="34"/>
  <c r="K29" i="34"/>
  <c r="J29" i="34"/>
  <c r="I29" i="34"/>
  <c r="H29" i="34"/>
  <c r="G29" i="34"/>
  <c r="N42" i="33"/>
  <c r="N44" i="33" s="1"/>
  <c r="O42" i="33"/>
  <c r="N29" i="33"/>
  <c r="O29" i="33"/>
  <c r="N34" i="33"/>
  <c r="O34" i="33"/>
  <c r="N33" i="33"/>
  <c r="O33" i="33"/>
  <c r="N38" i="33"/>
  <c r="O38" i="33"/>
  <c r="O44" i="33"/>
  <c r="I42" i="33"/>
  <c r="Q44" i="33"/>
  <c r="P44" i="33"/>
  <c r="G44" i="33"/>
  <c r="Q42" i="33"/>
  <c r="P42" i="33"/>
  <c r="M42" i="33"/>
  <c r="M44" i="33" s="1"/>
  <c r="L42" i="33"/>
  <c r="L44" i="33" s="1"/>
  <c r="K42" i="33"/>
  <c r="K44" i="33" s="1"/>
  <c r="J42" i="33"/>
  <c r="J44" i="33" s="1"/>
  <c r="I44" i="33"/>
  <c r="H42" i="33"/>
  <c r="H44" i="33" s="1"/>
  <c r="G42" i="33"/>
  <c r="Q38" i="33"/>
  <c r="P38" i="33"/>
  <c r="M38" i="33"/>
  <c r="L38" i="33"/>
  <c r="K38" i="33"/>
  <c r="J38" i="33"/>
  <c r="I38" i="33"/>
  <c r="H38" i="33"/>
  <c r="G38" i="33"/>
  <c r="P34" i="33"/>
  <c r="L34" i="33"/>
  <c r="K34" i="33"/>
  <c r="G34" i="33"/>
  <c r="Q33" i="33"/>
  <c r="Q34" i="33" s="1"/>
  <c r="P33" i="33"/>
  <c r="M33" i="33"/>
  <c r="M34" i="33" s="1"/>
  <c r="L33" i="33"/>
  <c r="K33" i="33"/>
  <c r="J33" i="33"/>
  <c r="J34" i="33" s="1"/>
  <c r="I33" i="33"/>
  <c r="I34" i="33" s="1"/>
  <c r="H33" i="33"/>
  <c r="H34" i="33" s="1"/>
  <c r="G33" i="33"/>
  <c r="Q29" i="33"/>
  <c r="P29" i="33"/>
  <c r="M29" i="33"/>
  <c r="L29" i="33"/>
  <c r="K29" i="33"/>
  <c r="J29" i="33"/>
  <c r="I29" i="33"/>
  <c r="H29" i="33"/>
  <c r="G29" i="33"/>
</calcChain>
</file>

<file path=xl/sharedStrings.xml><?xml version="1.0" encoding="utf-8"?>
<sst xmlns="http://schemas.openxmlformats.org/spreadsheetml/2006/main" count="4723" uniqueCount="105">
  <si>
    <t xml:space="preserve">OPERATION CHILLER LOG SHEET
&amp;
REFRIGERANT LEAK </t>
  </si>
  <si>
    <t>REVISION : 1</t>
  </si>
  <si>
    <t>DOC NO :</t>
  </si>
  <si>
    <t xml:space="preserve">OPER-01-QR-01 </t>
  </si>
  <si>
    <t>OPERATOR :</t>
  </si>
  <si>
    <t>PAGE : 1 OF 1</t>
  </si>
  <si>
    <t>OPERATION DATE</t>
  </si>
  <si>
    <t>CHILLER</t>
  </si>
  <si>
    <t xml:space="preserve"> CONTROL 
LIMIT</t>
  </si>
  <si>
    <t>EC0120A</t>
  </si>
  <si>
    <t>EC0120B</t>
  </si>
  <si>
    <t>EC0120C</t>
  </si>
  <si>
    <t>EC0120D</t>
  </si>
  <si>
    <t>EC0120E</t>
  </si>
  <si>
    <t>EC0120F</t>
  </si>
  <si>
    <t>TIME</t>
  </si>
  <si>
    <t>00:00</t>
  </si>
  <si>
    <t>REFRIGERANT LEAK STATUS</t>
  </si>
  <si>
    <t xml:space="preserve"> OK / NOT OK</t>
  </si>
  <si>
    <t>OK</t>
  </si>
  <si>
    <t>OPENING OF VANE</t>
  </si>
  <si>
    <t>%</t>
  </si>
  <si>
    <t>0~100%</t>
  </si>
  <si>
    <t>OPENING HOT GAS BYPASS VALVE</t>
  </si>
  <si>
    <t>OPENING OF 2nd VANE</t>
  </si>
  <si>
    <t>OPENING OF HIGH-STAGE EXPANSION VALVE</t>
  </si>
  <si>
    <t>OPENING OF LOW-STAGE EXPANSION VALVE</t>
  </si>
  <si>
    <t>MOTOR</t>
  </si>
  <si>
    <t>VOLTAGE</t>
  </si>
  <si>
    <t>V</t>
  </si>
  <si>
    <t>6600V(±   5% )</t>
  </si>
  <si>
    <t>CURRENT</t>
  </si>
  <si>
    <t>A</t>
  </si>
  <si>
    <r>
      <rPr>
        <sz val="11"/>
        <color theme="1"/>
        <rFont val="Calibri"/>
        <family val="2"/>
      </rPr>
      <t>≤</t>
    </r>
    <r>
      <rPr>
        <sz val="11"/>
        <color theme="1"/>
        <rFont val="Calibri"/>
        <family val="2"/>
        <scheme val="minor"/>
      </rPr>
      <t>115A</t>
    </r>
  </si>
  <si>
    <t>INPUT</t>
  </si>
  <si>
    <t>Kw</t>
  </si>
  <si>
    <t>1194kW</t>
  </si>
  <si>
    <t>COMPRESSOR</t>
  </si>
  <si>
    <t>RUNNING TIME</t>
  </si>
  <si>
    <t>Hr</t>
  </si>
  <si>
    <t>NA</t>
  </si>
  <si>
    <t>SUCTION TEMPERATURE</t>
  </si>
  <si>
    <t>CELCIUS</t>
  </si>
  <si>
    <t>C</t>
  </si>
  <si>
    <t>DISCHARGE TEMPERATURE</t>
  </si>
  <si>
    <t>35 -70 degC</t>
  </si>
  <si>
    <t>OIL TANK OIL TEMPERATURE</t>
  </si>
  <si>
    <t>45-72 deg C</t>
  </si>
  <si>
    <t>OIL PRESSURE</t>
  </si>
  <si>
    <t>Mpa(G)</t>
  </si>
  <si>
    <t>Diff pressure 
0.25-0.35 Mpa
OIL -EVAP =Diff pressure</t>
  </si>
  <si>
    <t>OIL LEVEL</t>
  </si>
  <si>
    <t>OIL SUPPLY TEMPERATURE</t>
  </si>
  <si>
    <t>35-45 degC</t>
  </si>
  <si>
    <t>EVAPORATOR</t>
  </si>
  <si>
    <t>EVAPORATING PRESSURE</t>
  </si>
  <si>
    <t>≥0.18Mpa</t>
  </si>
  <si>
    <t>EVAPORATING TEMPERATURE</t>
  </si>
  <si>
    <t>SATURATION TEMPERATURE</t>
  </si>
  <si>
    <t>APPROACH TEMP</t>
  </si>
  <si>
    <t>CHILLED WATER FLOW RATE</t>
  </si>
  <si>
    <t>m3/h</t>
  </si>
  <si>
    <t>634.8 m3h</t>
  </si>
  <si>
    <t>CHILLED WATER ENTERING TEMPERATURE</t>
  </si>
  <si>
    <t>CHILLED WATER LEAVING TEMPERATURE</t>
  </si>
  <si>
    <t>TEMPERATURE DIFFERENCE</t>
  </si>
  <si>
    <t>CHILLING CAPACITY</t>
  </si>
  <si>
    <t>kW</t>
  </si>
  <si>
    <t>7032.6kW</t>
  </si>
  <si>
    <t>CONDENSOR</t>
  </si>
  <si>
    <t>CONDENSING PRESSURE</t>
  </si>
  <si>
    <r>
      <rPr>
        <sz val="11"/>
        <color theme="1"/>
        <rFont val="Calibri"/>
        <family val="2"/>
      </rPr>
      <t>≤</t>
    </r>
    <r>
      <rPr>
        <sz val="11"/>
        <color theme="1"/>
        <rFont val="Calibri"/>
        <family val="2"/>
        <scheme val="minor"/>
      </rPr>
      <t>1.01Mpa(G)</t>
    </r>
  </si>
  <si>
    <t>CONSENSED LIQUID TEMPERATURE</t>
  </si>
  <si>
    <t>SATURATED TEMEPRATURE</t>
  </si>
  <si>
    <r>
      <rPr>
        <b/>
        <sz val="11"/>
        <color theme="1"/>
        <rFont val="Calibri"/>
        <family val="2"/>
        <scheme val="minor"/>
      </rPr>
      <t xml:space="preserve">APPROACH TEMP </t>
    </r>
    <r>
      <rPr>
        <b/>
        <sz val="9"/>
        <color theme="1"/>
        <rFont val="Calibri"/>
        <family val="2"/>
        <scheme val="minor"/>
      </rPr>
      <t>(COND LQ TEMP - LEAVING TEMP)</t>
    </r>
  </si>
  <si>
    <t>LIQUID LEVEL(Side Glass Bottom)</t>
  </si>
  <si>
    <t>mm</t>
  </si>
  <si>
    <t>COOLING WATER ENTERING TEMPERATURE</t>
  </si>
  <si>
    <t>COOLING WATER LEAVING TEMPERATURE</t>
  </si>
  <si>
    <t>TEMPERATURE DIFFERENCE COOLING WATER</t>
  </si>
  <si>
    <t>COOLING WATER FLOW RATE</t>
  </si>
  <si>
    <t>HEAT CAPACITY</t>
  </si>
  <si>
    <t>ECONOMIZER</t>
  </si>
  <si>
    <t>ECONOMIZER PRESSURE</t>
  </si>
  <si>
    <t>Mpa</t>
  </si>
  <si>
    <t>SATURATED TEMPERATURE</t>
  </si>
  <si>
    <t>LIQUID LEVEL</t>
  </si>
  <si>
    <t>HEAT BALANCE</t>
  </si>
  <si>
    <t>0.95~1.05</t>
  </si>
  <si>
    <t>COP</t>
  </si>
  <si>
    <t>% OF COOLING CAPACITY</t>
  </si>
  <si>
    <t>% OF MOTOR INPUT</t>
  </si>
  <si>
    <t>REMARK :</t>
  </si>
  <si>
    <t>CHILLER :</t>
  </si>
  <si>
    <t>Differential pressure of Oil pressure - Evap pressure is in range 0.25 Mpa ~ 0.35 Mpa.</t>
  </si>
  <si>
    <t>* Movement of Expansion Valve motor operation depends on running condition.</t>
  </si>
  <si>
    <t xml:space="preserve">REFRIGERANT  ALARM </t>
  </si>
  <si>
    <t>CHILLER ALARM :</t>
  </si>
  <si>
    <t>YES</t>
  </si>
  <si>
    <t>NO</t>
  </si>
  <si>
    <t>m</t>
  </si>
  <si>
    <t>0-3</t>
  </si>
  <si>
    <t xml:space="preserve"> </t>
  </si>
  <si>
    <t>50154..7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</si>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</sst>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3" fillId="0" borderId="12" xfId="0" applyFont="1" applyBorder="1" applyAlignment="1">
      <alignment horizontal="left"/>
    </xf>
    <xf numFmtId="0" fontId="3" fillId="0" borderId="12" xfId="0" applyFont="1" applyBorder="1" applyAlignment="1">
      <alignment horizontal="center" vertical="center"/>
    </xf>
    <xf numFmtId="20" fontId="3" fillId="0" borderId="12" xfId="0" applyNumberFormat="1" applyFont="1" applyBorder="1" applyAlignment="1">
      <alignment horizontal="center"/>
    </xf>
    <xf numFmtId="20" fontId="3" fillId="2" borderId="12" xfId="0" applyNumberFormat="1" applyFont="1" applyFill="1" applyBorder="1" applyAlignment="1">
      <alignment horizontal="center"/>
    </xf>
    <xf numFmtId="0" fontId="3" fillId="0" borderId="12" xfId="0" applyFont="1" applyBorder="1" applyAlignment="1">
      <alignment horizontal="left" vertical="center"/>
    </xf>
    <xf numFmtId="20" fontId="3" fillId="0" borderId="12" xfId="0" applyNumberFormat="1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3" fillId="0" borderId="12" xfId="0" applyFont="1" applyBorder="1"/>
    <xf numFmtId="0" fontId="0" fillId="0" borderId="15" xfId="0" applyBorder="1" applyAlignment="1">
      <alignment horizontal="center"/>
    </xf>
    <xf numFmtId="0" fontId="3" fillId="0" borderId="12" xfId="0" applyFont="1" applyBorder="1" applyAlignment="1">
      <alignment vertical="center"/>
    </xf>
    <xf numFmtId="0" fontId="0" fillId="0" borderId="12" xfId="0" applyBorder="1" applyAlignment="1">
      <alignment horizontal="center" wrapText="1"/>
    </xf>
    <xf numFmtId="0" fontId="4" fillId="0" borderId="12" xfId="0" applyFont="1" applyBorder="1" applyAlignment="1">
      <alignment horizontal="center"/>
    </xf>
    <xf numFmtId="0" fontId="0" fillId="3" borderId="12" xfId="0" applyFill="1" applyBorder="1" applyAlignment="1">
      <alignment horizontal="center" vertical="center"/>
    </xf>
    <xf numFmtId="2" fontId="0" fillId="3" borderId="12" xfId="0" applyNumberFormat="1" applyFill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9" xfId="0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19" xfId="0" applyBorder="1"/>
    <xf numFmtId="0" fontId="0" fillId="0" borderId="20" xfId="0" applyBorder="1"/>
    <xf numFmtId="0" fontId="0" fillId="0" borderId="17" xfId="0" applyBorder="1"/>
    <xf numFmtId="0" fontId="0" fillId="0" borderId="22" xfId="0" applyBorder="1"/>
    <xf numFmtId="0" fontId="0" fillId="0" borderId="21" xfId="0" applyBorder="1"/>
    <xf numFmtId="0" fontId="0" fillId="0" borderId="18" xfId="0" applyBorder="1"/>
    <xf numFmtId="20" fontId="3" fillId="0" borderId="12" xfId="0" quotePrefix="1" applyNumberFormat="1" applyFont="1" applyBorder="1" applyAlignment="1">
      <alignment horizontal="center"/>
    </xf>
    <xf numFmtId="20" fontId="3" fillId="2" borderId="12" xfId="0" quotePrefix="1" applyNumberFormat="1" applyFont="1" applyFill="1" applyBorder="1" applyAlignment="1">
      <alignment horizontal="center"/>
    </xf>
    <xf numFmtId="20" fontId="3" fillId="0" borderId="12" xfId="0" quotePrefix="1" applyNumberFormat="1" applyFont="1" applyBorder="1" applyAlignment="1">
      <alignment horizontal="center" vertical="center"/>
    </xf>
    <xf numFmtId="20" fontId="3" fillId="2" borderId="12" xfId="0" quotePrefix="1" applyNumberFormat="1" applyFont="1" applyFill="1" applyBorder="1" applyAlignment="1">
      <alignment horizontal="center" vertical="center"/>
    </xf>
    <xf numFmtId="0" fontId="3" fillId="0" borderId="12" xfId="0" applyFont="1" applyBorder="1" applyAlignment="1">
      <alignment horizontal="left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left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left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left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left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left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left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left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left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left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left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left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left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left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left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left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left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left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left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left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left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left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left"/>
    </xf>
    <xf numFmtId="0" fontId="3" fillId="0" borderId="12" xfId="0" applyFont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left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left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left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left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left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left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left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15" fontId="3" fillId="0" borderId="9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" fillId="0" borderId="11" xfId="0" applyFont="1" applyBorder="1" applyAlignment="1">
      <alignment horizontal="left"/>
    </xf>
    <xf numFmtId="0" fontId="3" fillId="0" borderId="9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5585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257925" y="606361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6537325" y="591439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6864350" y="579691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0033000" y="606679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0312400" y="591756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0639425" y="580009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1007725" y="606044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1287125" y="591121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1614150" y="579374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11950700" y="605409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2230100" y="590486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12557125" y="578739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12960350" y="605091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3239750" y="590169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13566775" y="578421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13982700" y="607631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14262100" y="592709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14589125" y="580961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15900400" y="606361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16179800" y="591439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16506825" y="579691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16894175" y="604456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17173575" y="589534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17500600" y="577786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17916525" y="606996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18195925" y="592074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18522950" y="580326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18891250" y="606361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19170650" y="591439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19497675" y="579691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19834225" y="605726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113625" y="590804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20440650" y="579056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7788275" y="606044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8067675" y="591121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8394700" y="579374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8070850" y="986599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CxnSpPr/>
      </xdr:nvCxnSpPr>
      <xdr:spPr>
        <a:xfrm>
          <a:off x="7502525" y="598424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CxnSpPr/>
      </xdr:nvCxnSpPr>
      <xdr:spPr>
        <a:xfrm>
          <a:off x="7496175" y="613664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CxnSpPr/>
      </xdr:nvCxnSpPr>
      <xdr:spPr>
        <a:xfrm>
          <a:off x="9993630" y="6146800"/>
          <a:ext cx="750570" cy="12065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CxnSpPr/>
      </xdr:nvCxnSpPr>
      <xdr:spPr>
        <a:xfrm>
          <a:off x="11932285" y="5932170"/>
          <a:ext cx="749935" cy="12065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CxnSpPr/>
      </xdr:nvCxnSpPr>
      <xdr:spPr>
        <a:xfrm>
          <a:off x="11849100" y="6134735"/>
          <a:ext cx="749935" cy="12065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CxnSpPr/>
      </xdr:nvCxnSpPr>
      <xdr:spPr>
        <a:xfrm>
          <a:off x="15904210" y="5979795"/>
          <a:ext cx="749935" cy="12065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CxnSpPr/>
      </xdr:nvCxnSpPr>
      <xdr:spPr>
        <a:xfrm>
          <a:off x="15904210" y="6087110"/>
          <a:ext cx="749935" cy="12065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CxnSpPr/>
      </xdr:nvCxnSpPr>
      <xdr:spPr>
        <a:xfrm>
          <a:off x="19816445" y="5991860"/>
          <a:ext cx="749935" cy="12065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CxnSpPr/>
      </xdr:nvCxnSpPr>
      <xdr:spPr>
        <a:xfrm>
          <a:off x="19852005" y="6146800"/>
          <a:ext cx="750570" cy="12065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CxnSpPr/>
      </xdr:nvCxnSpPr>
      <xdr:spPr>
        <a:xfrm>
          <a:off x="17788890" y="5978525"/>
          <a:ext cx="749935" cy="12065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CxnSpPr/>
      </xdr:nvCxnSpPr>
      <xdr:spPr>
        <a:xfrm>
          <a:off x="17791430" y="6133465"/>
          <a:ext cx="749935" cy="12065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CxnSpPr/>
      </xdr:nvCxnSpPr>
      <xdr:spPr>
        <a:xfrm>
          <a:off x="16754475" y="5965190"/>
          <a:ext cx="749935" cy="12065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CxnSpPr/>
      </xdr:nvCxnSpPr>
      <xdr:spPr>
        <a:xfrm>
          <a:off x="16748125" y="6122035"/>
          <a:ext cx="744855" cy="12065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CxnSpPr/>
      </xdr:nvCxnSpPr>
      <xdr:spPr>
        <a:xfrm>
          <a:off x="13956665" y="5987415"/>
          <a:ext cx="749935" cy="12065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CxnSpPr/>
      </xdr:nvCxnSpPr>
      <xdr:spPr>
        <a:xfrm>
          <a:off x="13945235" y="6144260"/>
          <a:ext cx="750570" cy="12065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CxnSpPr/>
      </xdr:nvCxnSpPr>
      <xdr:spPr>
        <a:xfrm>
          <a:off x="12941935" y="6122035"/>
          <a:ext cx="749935" cy="12065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CxnSpPr/>
      </xdr:nvCxnSpPr>
      <xdr:spPr>
        <a:xfrm>
          <a:off x="12941935" y="5987415"/>
          <a:ext cx="749935" cy="12065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CxnSpPr/>
      </xdr:nvCxnSpPr>
      <xdr:spPr>
        <a:xfrm>
          <a:off x="18806160" y="6122035"/>
          <a:ext cx="749935" cy="12065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CxnSpPr/>
      </xdr:nvCxnSpPr>
      <xdr:spPr>
        <a:xfrm>
          <a:off x="18806160" y="6010275"/>
          <a:ext cx="749935" cy="11430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CxnSpPr/>
      </xdr:nvCxnSpPr>
      <xdr:spPr>
        <a:xfrm>
          <a:off x="10991215" y="5987415"/>
          <a:ext cx="749935" cy="12065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CxnSpPr/>
      </xdr:nvCxnSpPr>
      <xdr:spPr>
        <a:xfrm>
          <a:off x="10946130" y="6133465"/>
          <a:ext cx="749935" cy="12065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CxnSpPr/>
      </xdr:nvCxnSpPr>
      <xdr:spPr>
        <a:xfrm>
          <a:off x="10069195" y="5964555"/>
          <a:ext cx="749935" cy="11430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11007725" y="606044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11287125" y="591121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11614150" y="579374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9051925" y="606679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9331325" y="591756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9658350" y="580009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CxnSpPr/>
      </xdr:nvCxnSpPr>
      <xdr:spPr>
        <a:xfrm>
          <a:off x="9012555" y="6146800"/>
          <a:ext cx="750570" cy="12065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CxnSpPr/>
      </xdr:nvCxnSpPr>
      <xdr:spPr>
        <a:xfrm>
          <a:off x="9088120" y="5964555"/>
          <a:ext cx="749935" cy="11430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14963775" y="607631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15243175" y="592709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15570200" y="580961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CxnSpPr/>
      </xdr:nvCxnSpPr>
      <xdr:spPr>
        <a:xfrm>
          <a:off x="14937740" y="5987415"/>
          <a:ext cx="749935" cy="12065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CxnSpPr/>
      </xdr:nvCxnSpPr>
      <xdr:spPr>
        <a:xfrm>
          <a:off x="14926310" y="6144260"/>
          <a:ext cx="750570" cy="12065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C7C4AE-DFB1-4787-86E4-90D3EE837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26694"/>
          <a:ext cx="968375" cy="688340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CAAF842E-0D94-4261-A4E7-11A1EFBC161F}"/>
            </a:ext>
          </a:extLst>
        </xdr:cNvPr>
        <xdr:cNvSpPr/>
      </xdr:nvSpPr>
      <xdr:spPr>
        <a:xfrm>
          <a:off x="6257925" y="61150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F9C3B0C7-3A55-441C-8607-D0134BDF34FD}"/>
            </a:ext>
          </a:extLst>
        </xdr:cNvPr>
        <xdr:cNvSpPr/>
      </xdr:nvSpPr>
      <xdr:spPr>
        <a:xfrm>
          <a:off x="6537325" y="59658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9966FB0F-5271-404B-9907-10308B49FF5A}"/>
            </a:ext>
          </a:extLst>
        </xdr:cNvPr>
        <xdr:cNvSpPr/>
      </xdr:nvSpPr>
      <xdr:spPr>
        <a:xfrm>
          <a:off x="6864350" y="58483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31721FB-C838-4764-8F68-6AAE1AD73410}"/>
            </a:ext>
          </a:extLst>
        </xdr:cNvPr>
        <xdr:cNvSpPr/>
      </xdr:nvSpPr>
      <xdr:spPr>
        <a:xfrm>
          <a:off x="10033000" y="6118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C32115D8-B9CA-4AC2-96BE-12765474C332}"/>
            </a:ext>
          </a:extLst>
        </xdr:cNvPr>
        <xdr:cNvSpPr/>
      </xdr:nvSpPr>
      <xdr:spPr>
        <a:xfrm>
          <a:off x="10312400" y="59690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A4E46EF0-3DCF-4D01-9796-BAAC6A9A1E52}"/>
            </a:ext>
          </a:extLst>
        </xdr:cNvPr>
        <xdr:cNvSpPr/>
      </xdr:nvSpPr>
      <xdr:spPr>
        <a:xfrm>
          <a:off x="10639425" y="58515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82DB4F98-5A77-412E-A41B-E8207BA8AF8D}"/>
            </a:ext>
          </a:extLst>
        </xdr:cNvPr>
        <xdr:cNvSpPr/>
      </xdr:nvSpPr>
      <xdr:spPr>
        <a:xfrm>
          <a:off x="11007725" y="61118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D5A51DF2-39A8-4AB0-998B-48352FEB2B41}"/>
            </a:ext>
          </a:extLst>
        </xdr:cNvPr>
        <xdr:cNvSpPr/>
      </xdr:nvSpPr>
      <xdr:spPr>
        <a:xfrm>
          <a:off x="11287125" y="59626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3DE2259C-6A86-48B2-A323-E50BB8F26484}"/>
            </a:ext>
          </a:extLst>
        </xdr:cNvPr>
        <xdr:cNvSpPr/>
      </xdr:nvSpPr>
      <xdr:spPr>
        <a:xfrm>
          <a:off x="11614150" y="58451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5B52F56A-5D23-442F-A5F3-6DD6FF806A7F}"/>
            </a:ext>
          </a:extLst>
        </xdr:cNvPr>
        <xdr:cNvSpPr/>
      </xdr:nvSpPr>
      <xdr:spPr>
        <a:xfrm>
          <a:off x="11950700" y="61055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2BFD2997-9B1F-4CEF-BFCE-ADE99F22D667}"/>
            </a:ext>
          </a:extLst>
        </xdr:cNvPr>
        <xdr:cNvSpPr/>
      </xdr:nvSpPr>
      <xdr:spPr>
        <a:xfrm>
          <a:off x="12230100" y="59563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58085314-A194-47AF-A8DE-A1C08E1FE461}"/>
            </a:ext>
          </a:extLst>
        </xdr:cNvPr>
        <xdr:cNvSpPr/>
      </xdr:nvSpPr>
      <xdr:spPr>
        <a:xfrm>
          <a:off x="12557125" y="58388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69415266-40B9-4A34-80CE-C46E1CB63D7E}"/>
            </a:ext>
          </a:extLst>
        </xdr:cNvPr>
        <xdr:cNvSpPr/>
      </xdr:nvSpPr>
      <xdr:spPr>
        <a:xfrm>
          <a:off x="12960350" y="61023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84B9ED28-C8F1-48A2-BF62-5DBCB6F84B0F}"/>
            </a:ext>
          </a:extLst>
        </xdr:cNvPr>
        <xdr:cNvSpPr/>
      </xdr:nvSpPr>
      <xdr:spPr>
        <a:xfrm>
          <a:off x="13239750" y="59531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B6FD5C36-D98C-48FA-8F15-75F559D73682}"/>
            </a:ext>
          </a:extLst>
        </xdr:cNvPr>
        <xdr:cNvSpPr/>
      </xdr:nvSpPr>
      <xdr:spPr>
        <a:xfrm>
          <a:off x="13566775" y="58356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F68C48F2-17CF-40C1-AEE5-51A536234BE2}"/>
            </a:ext>
          </a:extLst>
        </xdr:cNvPr>
        <xdr:cNvSpPr/>
      </xdr:nvSpPr>
      <xdr:spPr>
        <a:xfrm>
          <a:off x="13982700" y="6127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8FBEEEEB-45A7-4FA2-95A5-FF5D4F9459A9}"/>
            </a:ext>
          </a:extLst>
        </xdr:cNvPr>
        <xdr:cNvSpPr/>
      </xdr:nvSpPr>
      <xdr:spPr>
        <a:xfrm>
          <a:off x="14262100" y="59785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FFF57C89-A8AC-4D3B-9462-93A1492894DB}"/>
            </a:ext>
          </a:extLst>
        </xdr:cNvPr>
        <xdr:cNvSpPr/>
      </xdr:nvSpPr>
      <xdr:spPr>
        <a:xfrm>
          <a:off x="14589125" y="58610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C3BE657B-57D1-48B7-AE84-DB602C750D8F}"/>
            </a:ext>
          </a:extLst>
        </xdr:cNvPr>
        <xdr:cNvSpPr/>
      </xdr:nvSpPr>
      <xdr:spPr>
        <a:xfrm>
          <a:off x="15900400" y="61150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BDF51FE3-AD53-4911-9E3C-C73122B72257}"/>
            </a:ext>
          </a:extLst>
        </xdr:cNvPr>
        <xdr:cNvSpPr/>
      </xdr:nvSpPr>
      <xdr:spPr>
        <a:xfrm>
          <a:off x="16179800" y="59658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7794109F-4283-4115-B906-260A9530E849}"/>
            </a:ext>
          </a:extLst>
        </xdr:cNvPr>
        <xdr:cNvSpPr/>
      </xdr:nvSpPr>
      <xdr:spPr>
        <a:xfrm>
          <a:off x="16506825" y="58483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268B8B0D-893F-44D7-9BD0-B350AAFDBB8D}"/>
            </a:ext>
          </a:extLst>
        </xdr:cNvPr>
        <xdr:cNvSpPr/>
      </xdr:nvSpPr>
      <xdr:spPr>
        <a:xfrm>
          <a:off x="16894175" y="60960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9BB6D453-3F91-4AAD-A18F-06A75B5E425E}"/>
            </a:ext>
          </a:extLst>
        </xdr:cNvPr>
        <xdr:cNvSpPr/>
      </xdr:nvSpPr>
      <xdr:spPr>
        <a:xfrm>
          <a:off x="17173575" y="59467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EEB0EA6D-D896-4A4A-839F-3DD880BE4FF8}"/>
            </a:ext>
          </a:extLst>
        </xdr:cNvPr>
        <xdr:cNvSpPr/>
      </xdr:nvSpPr>
      <xdr:spPr>
        <a:xfrm>
          <a:off x="17500600" y="58293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A7E4B514-6A68-417D-B176-6174D16312A6}"/>
            </a:ext>
          </a:extLst>
        </xdr:cNvPr>
        <xdr:cNvSpPr/>
      </xdr:nvSpPr>
      <xdr:spPr>
        <a:xfrm>
          <a:off x="17916525" y="6121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A2DBF4D0-9363-4DA2-9D2A-6C8DB09FB59B}"/>
            </a:ext>
          </a:extLst>
        </xdr:cNvPr>
        <xdr:cNvSpPr/>
      </xdr:nvSpPr>
      <xdr:spPr>
        <a:xfrm>
          <a:off x="18195925" y="59721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1C6DD053-C98E-4694-8E0C-3B5354AAF595}"/>
            </a:ext>
          </a:extLst>
        </xdr:cNvPr>
        <xdr:cNvSpPr/>
      </xdr:nvSpPr>
      <xdr:spPr>
        <a:xfrm>
          <a:off x="18522950" y="58547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5C807BEA-A2AB-4909-8D2E-4995C3F7DE14}"/>
            </a:ext>
          </a:extLst>
        </xdr:cNvPr>
        <xdr:cNvSpPr/>
      </xdr:nvSpPr>
      <xdr:spPr>
        <a:xfrm>
          <a:off x="18891250" y="61150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30BCA0EE-7ED6-4884-9E3D-AE580F49C9B7}"/>
            </a:ext>
          </a:extLst>
        </xdr:cNvPr>
        <xdr:cNvSpPr/>
      </xdr:nvSpPr>
      <xdr:spPr>
        <a:xfrm>
          <a:off x="19170650" y="59658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85CE593C-8E8E-4623-B17A-DA6B05DE24CE}"/>
            </a:ext>
          </a:extLst>
        </xdr:cNvPr>
        <xdr:cNvSpPr/>
      </xdr:nvSpPr>
      <xdr:spPr>
        <a:xfrm>
          <a:off x="19497675" y="58483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2736B02A-134B-483A-91DE-A7132D115290}"/>
            </a:ext>
          </a:extLst>
        </xdr:cNvPr>
        <xdr:cNvSpPr/>
      </xdr:nvSpPr>
      <xdr:spPr>
        <a:xfrm>
          <a:off x="19834225" y="61087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8DD12FEA-2ADF-415E-9D12-E835164F07FB}"/>
            </a:ext>
          </a:extLst>
        </xdr:cNvPr>
        <xdr:cNvSpPr/>
      </xdr:nvSpPr>
      <xdr:spPr>
        <a:xfrm>
          <a:off x="20113625" y="59594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AEDC0567-7DDE-411C-8CE3-A52F49B294C9}"/>
            </a:ext>
          </a:extLst>
        </xdr:cNvPr>
        <xdr:cNvSpPr/>
      </xdr:nvSpPr>
      <xdr:spPr>
        <a:xfrm>
          <a:off x="20440650" y="58420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D89BA025-01B2-49F3-83C9-7B346038DD10}"/>
            </a:ext>
          </a:extLst>
        </xdr:cNvPr>
        <xdr:cNvSpPr/>
      </xdr:nvSpPr>
      <xdr:spPr>
        <a:xfrm>
          <a:off x="7788275" y="61118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734E0897-892D-4ABF-8C1E-28A51F7A14C4}"/>
            </a:ext>
          </a:extLst>
        </xdr:cNvPr>
        <xdr:cNvSpPr/>
      </xdr:nvSpPr>
      <xdr:spPr>
        <a:xfrm>
          <a:off x="8067675" y="59626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9C6B4057-3B01-41F3-8D2C-72F32F36635B}"/>
            </a:ext>
          </a:extLst>
        </xdr:cNvPr>
        <xdr:cNvSpPr/>
      </xdr:nvSpPr>
      <xdr:spPr>
        <a:xfrm>
          <a:off x="8394700" y="58451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522E2949-2EA9-4782-861A-D2EF9644A628}"/>
            </a:ext>
          </a:extLst>
        </xdr:cNvPr>
        <xdr:cNvSpPr/>
      </xdr:nvSpPr>
      <xdr:spPr>
        <a:xfrm>
          <a:off x="8070850" y="981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19FC3186-670A-43DE-89D1-C63BA28BDE77}"/>
            </a:ext>
          </a:extLst>
        </xdr:cNvPr>
        <xdr:cNvCxnSpPr/>
      </xdr:nvCxnSpPr>
      <xdr:spPr>
        <a:xfrm>
          <a:off x="7502525" y="6035675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4630D87-D9B1-4EA1-91A5-52F12B96A816}"/>
            </a:ext>
          </a:extLst>
        </xdr:cNvPr>
        <xdr:cNvCxnSpPr/>
      </xdr:nvCxnSpPr>
      <xdr:spPr>
        <a:xfrm>
          <a:off x="7496175" y="6188075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9DBAEB15-725B-42B3-9531-9630316D9EAC}"/>
            </a:ext>
          </a:extLst>
        </xdr:cNvPr>
        <xdr:cNvCxnSpPr/>
      </xdr:nvCxnSpPr>
      <xdr:spPr>
        <a:xfrm>
          <a:off x="9994106" y="6198394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6EED6D4E-4E7A-49E1-89DA-4F386A60959F}"/>
            </a:ext>
          </a:extLst>
        </xdr:cNvPr>
        <xdr:cNvCxnSpPr/>
      </xdr:nvCxnSpPr>
      <xdr:spPr>
        <a:xfrm>
          <a:off x="11932443" y="598408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F5E8C502-34EB-4AC5-8424-33E8BB52B7D1}"/>
            </a:ext>
          </a:extLst>
        </xdr:cNvPr>
        <xdr:cNvCxnSpPr/>
      </xdr:nvCxnSpPr>
      <xdr:spPr>
        <a:xfrm>
          <a:off x="11849100" y="618648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5037EC1E-2E57-4D1D-B2D2-C2BF78FDCC94}"/>
            </a:ext>
          </a:extLst>
        </xdr:cNvPr>
        <xdr:cNvCxnSpPr/>
      </xdr:nvCxnSpPr>
      <xdr:spPr>
        <a:xfrm>
          <a:off x="15904369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601418A8-71C6-443E-ABE8-64BF9E78B0A6}"/>
            </a:ext>
          </a:extLst>
        </xdr:cNvPr>
        <xdr:cNvCxnSpPr/>
      </xdr:nvCxnSpPr>
      <xdr:spPr>
        <a:xfrm>
          <a:off x="15904368" y="613886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8CEA0D11-FD14-416A-A073-9C8B37E0A398}"/>
            </a:ext>
          </a:extLst>
        </xdr:cNvPr>
        <xdr:cNvCxnSpPr/>
      </xdr:nvCxnSpPr>
      <xdr:spPr>
        <a:xfrm>
          <a:off x="19816762" y="60436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D9115960-9473-4CD5-87C4-3369306C8DFE}"/>
            </a:ext>
          </a:extLst>
        </xdr:cNvPr>
        <xdr:cNvCxnSpPr/>
      </xdr:nvCxnSpPr>
      <xdr:spPr>
        <a:xfrm>
          <a:off x="19852481" y="6198394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D10FACCE-FBB3-406A-A67A-82F14369961E}"/>
            </a:ext>
          </a:extLst>
        </xdr:cNvPr>
        <xdr:cNvCxnSpPr/>
      </xdr:nvCxnSpPr>
      <xdr:spPr>
        <a:xfrm>
          <a:off x="17789152" y="603044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C6FF940C-C87B-4AAD-993C-ED10BE1EFAF1}"/>
            </a:ext>
          </a:extLst>
        </xdr:cNvPr>
        <xdr:cNvCxnSpPr/>
      </xdr:nvCxnSpPr>
      <xdr:spPr>
        <a:xfrm>
          <a:off x="17791579" y="618508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1145817A-8BCA-406F-AD27-C6B9B07D8B8E}"/>
            </a:ext>
          </a:extLst>
        </xdr:cNvPr>
        <xdr:cNvCxnSpPr/>
      </xdr:nvCxnSpPr>
      <xdr:spPr>
        <a:xfrm>
          <a:off x="16754475" y="601699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55A6EB98-8ADB-49FE-87BC-152D4AFDDFCB}"/>
            </a:ext>
          </a:extLst>
        </xdr:cNvPr>
        <xdr:cNvCxnSpPr/>
      </xdr:nvCxnSpPr>
      <xdr:spPr>
        <a:xfrm>
          <a:off x="16748312" y="6173881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3CE1D391-E96F-4A15-97D6-3D3338ACEFBE}"/>
            </a:ext>
          </a:extLst>
        </xdr:cNvPr>
        <xdr:cNvCxnSpPr/>
      </xdr:nvCxnSpPr>
      <xdr:spPr>
        <a:xfrm>
          <a:off x="13956927" y="603941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BFF76606-AFBC-40AA-8EE0-F41619C30AFF}"/>
            </a:ext>
          </a:extLst>
        </xdr:cNvPr>
        <xdr:cNvCxnSpPr/>
      </xdr:nvCxnSpPr>
      <xdr:spPr>
        <a:xfrm>
          <a:off x="13945720" y="619629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0CE8B9BF-8947-4DB3-BA8E-FE9350FBD147}"/>
            </a:ext>
          </a:extLst>
        </xdr:cNvPr>
        <xdr:cNvCxnSpPr/>
      </xdr:nvCxnSpPr>
      <xdr:spPr>
        <a:xfrm>
          <a:off x="12942233" y="617388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AEBA2E13-AC2C-41AF-BFFF-CA445952265D}"/>
            </a:ext>
          </a:extLst>
        </xdr:cNvPr>
        <xdr:cNvCxnSpPr/>
      </xdr:nvCxnSpPr>
      <xdr:spPr>
        <a:xfrm>
          <a:off x="12942234" y="603941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53DDD0A9-88B8-4733-90F0-CA0258622DBF}"/>
            </a:ext>
          </a:extLst>
        </xdr:cNvPr>
        <xdr:cNvCxnSpPr/>
      </xdr:nvCxnSpPr>
      <xdr:spPr>
        <a:xfrm>
          <a:off x="18806272" y="617388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3E1C74D6-CB35-4A3B-A531-F3E702A14237}"/>
            </a:ext>
          </a:extLst>
        </xdr:cNvPr>
        <xdr:cNvCxnSpPr/>
      </xdr:nvCxnSpPr>
      <xdr:spPr>
        <a:xfrm>
          <a:off x="18806273" y="606182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D9062ADA-31EF-4A86-90FF-AEFD70725B59}"/>
            </a:ext>
          </a:extLst>
        </xdr:cNvPr>
        <xdr:cNvCxnSpPr/>
      </xdr:nvCxnSpPr>
      <xdr:spPr>
        <a:xfrm>
          <a:off x="10991290" y="60394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FDF4E803-71C8-4611-8571-959BE4ADF63A}"/>
            </a:ext>
          </a:extLst>
        </xdr:cNvPr>
        <xdr:cNvCxnSpPr/>
      </xdr:nvCxnSpPr>
      <xdr:spPr>
        <a:xfrm>
          <a:off x="10946466" y="618508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D3D7BE6D-BC85-45EF-B9BD-F0F995C7D17F}"/>
            </a:ext>
          </a:extLst>
        </xdr:cNvPr>
        <xdr:cNvCxnSpPr/>
      </xdr:nvCxnSpPr>
      <xdr:spPr>
        <a:xfrm>
          <a:off x="10069233" y="6016064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6391F7DD-34BB-4EC9-AC80-3681CAB39641}"/>
            </a:ext>
          </a:extLst>
        </xdr:cNvPr>
        <xdr:cNvSpPr/>
      </xdr:nvSpPr>
      <xdr:spPr>
        <a:xfrm>
          <a:off x="11007725" y="61118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38E152D6-097E-4256-84AD-C13C3AD39728}"/>
            </a:ext>
          </a:extLst>
        </xdr:cNvPr>
        <xdr:cNvSpPr/>
      </xdr:nvSpPr>
      <xdr:spPr>
        <a:xfrm>
          <a:off x="11287125" y="59626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A9712B0B-24E1-42AE-B4E2-9FEB123DDACD}"/>
            </a:ext>
          </a:extLst>
        </xdr:cNvPr>
        <xdr:cNvSpPr/>
      </xdr:nvSpPr>
      <xdr:spPr>
        <a:xfrm>
          <a:off x="11614150" y="58451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C7F5285B-552D-4F80-95AA-7D747B78A861}"/>
            </a:ext>
          </a:extLst>
        </xdr:cNvPr>
        <xdr:cNvSpPr/>
      </xdr:nvSpPr>
      <xdr:spPr>
        <a:xfrm>
          <a:off x="9051925" y="6118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C006D5C7-A9EA-4DE1-BF35-122E060C1264}"/>
            </a:ext>
          </a:extLst>
        </xdr:cNvPr>
        <xdr:cNvSpPr/>
      </xdr:nvSpPr>
      <xdr:spPr>
        <a:xfrm>
          <a:off x="9331325" y="59690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75CC08E5-783F-42B6-9602-ABDD862AA970}"/>
            </a:ext>
          </a:extLst>
        </xdr:cNvPr>
        <xdr:cNvSpPr/>
      </xdr:nvSpPr>
      <xdr:spPr>
        <a:xfrm>
          <a:off x="9658350" y="58515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DB8A7C5B-3BA8-49EE-9ABC-0DAAB40C69AC}"/>
            </a:ext>
          </a:extLst>
        </xdr:cNvPr>
        <xdr:cNvCxnSpPr/>
      </xdr:nvCxnSpPr>
      <xdr:spPr>
        <a:xfrm>
          <a:off x="9013031" y="6198394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001FEEFB-A1C5-47EF-BCA1-2437A57C158E}"/>
            </a:ext>
          </a:extLst>
        </xdr:cNvPr>
        <xdr:cNvCxnSpPr/>
      </xdr:nvCxnSpPr>
      <xdr:spPr>
        <a:xfrm>
          <a:off x="9088158" y="6016064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17937234-FE5D-4F96-B479-544F38A85568}"/>
            </a:ext>
          </a:extLst>
        </xdr:cNvPr>
        <xdr:cNvSpPr/>
      </xdr:nvSpPr>
      <xdr:spPr>
        <a:xfrm>
          <a:off x="14963775" y="6127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0E148E6F-A380-40DF-850D-ABB2681C844E}"/>
            </a:ext>
          </a:extLst>
        </xdr:cNvPr>
        <xdr:cNvSpPr/>
      </xdr:nvSpPr>
      <xdr:spPr>
        <a:xfrm>
          <a:off x="15243175" y="59785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38E064CD-1400-491B-8224-44F44C33D6CD}"/>
            </a:ext>
          </a:extLst>
        </xdr:cNvPr>
        <xdr:cNvSpPr/>
      </xdr:nvSpPr>
      <xdr:spPr>
        <a:xfrm>
          <a:off x="15570200" y="58610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307AD9A2-812B-4307-8981-25C939609DDC}"/>
            </a:ext>
          </a:extLst>
        </xdr:cNvPr>
        <xdr:cNvCxnSpPr/>
      </xdr:nvCxnSpPr>
      <xdr:spPr>
        <a:xfrm>
          <a:off x="14938002" y="603941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2B3B1E94-0039-46C4-B4AE-51BDEACA87A3}"/>
            </a:ext>
          </a:extLst>
        </xdr:cNvPr>
        <xdr:cNvCxnSpPr/>
      </xdr:nvCxnSpPr>
      <xdr:spPr>
        <a:xfrm>
          <a:off x="14926795" y="619629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76AE83-9AD2-40D4-A85A-848D9ED29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26694"/>
          <a:ext cx="968375" cy="688340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7B2C7146-4E0E-46CC-9911-D206D7DD029A}"/>
            </a:ext>
          </a:extLst>
        </xdr:cNvPr>
        <xdr:cNvSpPr/>
      </xdr:nvSpPr>
      <xdr:spPr>
        <a:xfrm>
          <a:off x="6257925" y="61150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E55C0E08-473D-43E0-9A9C-F88EF524D5AB}"/>
            </a:ext>
          </a:extLst>
        </xdr:cNvPr>
        <xdr:cNvSpPr/>
      </xdr:nvSpPr>
      <xdr:spPr>
        <a:xfrm>
          <a:off x="6537325" y="59658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40EC5A30-E075-4FDD-9635-847DE50E8DFB}"/>
            </a:ext>
          </a:extLst>
        </xdr:cNvPr>
        <xdr:cNvSpPr/>
      </xdr:nvSpPr>
      <xdr:spPr>
        <a:xfrm>
          <a:off x="6864350" y="58483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1D1E03A0-ECEA-4586-B007-48FEFDC0A67D}"/>
            </a:ext>
          </a:extLst>
        </xdr:cNvPr>
        <xdr:cNvSpPr/>
      </xdr:nvSpPr>
      <xdr:spPr>
        <a:xfrm>
          <a:off x="10033000" y="6118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E0704E1D-E5E3-4069-97BC-DB6D841BCD9B}"/>
            </a:ext>
          </a:extLst>
        </xdr:cNvPr>
        <xdr:cNvSpPr/>
      </xdr:nvSpPr>
      <xdr:spPr>
        <a:xfrm>
          <a:off x="10312400" y="59690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1351732C-2EE4-4381-BB3D-904897142B6F}"/>
            </a:ext>
          </a:extLst>
        </xdr:cNvPr>
        <xdr:cNvSpPr/>
      </xdr:nvSpPr>
      <xdr:spPr>
        <a:xfrm>
          <a:off x="10639425" y="58515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12BFB0B8-A08E-4CB9-8353-53F978E3AE0C}"/>
            </a:ext>
          </a:extLst>
        </xdr:cNvPr>
        <xdr:cNvSpPr/>
      </xdr:nvSpPr>
      <xdr:spPr>
        <a:xfrm>
          <a:off x="11007725" y="61118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9E795F6F-6F78-44CF-B173-D70572F10EB1}"/>
            </a:ext>
          </a:extLst>
        </xdr:cNvPr>
        <xdr:cNvSpPr/>
      </xdr:nvSpPr>
      <xdr:spPr>
        <a:xfrm>
          <a:off x="11287125" y="59626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3552C720-4AFD-4E73-B0B2-D31E675D4D2C}"/>
            </a:ext>
          </a:extLst>
        </xdr:cNvPr>
        <xdr:cNvSpPr/>
      </xdr:nvSpPr>
      <xdr:spPr>
        <a:xfrm>
          <a:off x="11614150" y="58451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2A00021-1360-4D9B-917B-2E0E3750DF1C}"/>
            </a:ext>
          </a:extLst>
        </xdr:cNvPr>
        <xdr:cNvSpPr/>
      </xdr:nvSpPr>
      <xdr:spPr>
        <a:xfrm>
          <a:off x="11950700" y="61055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3CB3C524-7ABB-4629-AEAC-DE0596D2EEA3}"/>
            </a:ext>
          </a:extLst>
        </xdr:cNvPr>
        <xdr:cNvSpPr/>
      </xdr:nvSpPr>
      <xdr:spPr>
        <a:xfrm>
          <a:off x="12230100" y="59563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E4CA3D5B-3F2A-48F3-9109-8F06D6893B53}"/>
            </a:ext>
          </a:extLst>
        </xdr:cNvPr>
        <xdr:cNvSpPr/>
      </xdr:nvSpPr>
      <xdr:spPr>
        <a:xfrm>
          <a:off x="12557125" y="58388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9DD9AC11-5482-4A7F-B210-B5935A84AD82}"/>
            </a:ext>
          </a:extLst>
        </xdr:cNvPr>
        <xdr:cNvSpPr/>
      </xdr:nvSpPr>
      <xdr:spPr>
        <a:xfrm>
          <a:off x="12960350" y="61023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5F2BF835-E227-42EA-8C98-8709D5D6A118}"/>
            </a:ext>
          </a:extLst>
        </xdr:cNvPr>
        <xdr:cNvSpPr/>
      </xdr:nvSpPr>
      <xdr:spPr>
        <a:xfrm>
          <a:off x="13239750" y="59531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4428D2B0-1C61-4E6F-8F8D-C41AFAF280B9}"/>
            </a:ext>
          </a:extLst>
        </xdr:cNvPr>
        <xdr:cNvSpPr/>
      </xdr:nvSpPr>
      <xdr:spPr>
        <a:xfrm>
          <a:off x="13566775" y="58356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5A56B8CC-ACB4-48CA-9065-C13038196477}"/>
            </a:ext>
          </a:extLst>
        </xdr:cNvPr>
        <xdr:cNvSpPr/>
      </xdr:nvSpPr>
      <xdr:spPr>
        <a:xfrm>
          <a:off x="13982700" y="6127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AD952CE4-BF46-4FAC-A251-9AB167F68177}"/>
            </a:ext>
          </a:extLst>
        </xdr:cNvPr>
        <xdr:cNvSpPr/>
      </xdr:nvSpPr>
      <xdr:spPr>
        <a:xfrm>
          <a:off x="14262100" y="59785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07853D1F-3143-47DA-8F73-5E0A98E52DB8}"/>
            </a:ext>
          </a:extLst>
        </xdr:cNvPr>
        <xdr:cNvSpPr/>
      </xdr:nvSpPr>
      <xdr:spPr>
        <a:xfrm>
          <a:off x="14589125" y="58610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DE1CB34-2BB9-462B-9D04-A13ECBF8AD18}"/>
            </a:ext>
          </a:extLst>
        </xdr:cNvPr>
        <xdr:cNvSpPr/>
      </xdr:nvSpPr>
      <xdr:spPr>
        <a:xfrm>
          <a:off x="15900400" y="61150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CAB60AAF-DA25-4F40-89D1-27BEF1750AFA}"/>
            </a:ext>
          </a:extLst>
        </xdr:cNvPr>
        <xdr:cNvSpPr/>
      </xdr:nvSpPr>
      <xdr:spPr>
        <a:xfrm>
          <a:off x="16179800" y="59658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7C8D7DE-B2EC-46E6-83D6-62FE0D54337B}"/>
            </a:ext>
          </a:extLst>
        </xdr:cNvPr>
        <xdr:cNvSpPr/>
      </xdr:nvSpPr>
      <xdr:spPr>
        <a:xfrm>
          <a:off x="16506825" y="58483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B042E088-9A47-4C47-BE66-5CA1A5EED15F}"/>
            </a:ext>
          </a:extLst>
        </xdr:cNvPr>
        <xdr:cNvSpPr/>
      </xdr:nvSpPr>
      <xdr:spPr>
        <a:xfrm>
          <a:off x="16894175" y="60960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43D46C54-4FDB-47A4-91C7-C8CC34310CF8}"/>
            </a:ext>
          </a:extLst>
        </xdr:cNvPr>
        <xdr:cNvSpPr/>
      </xdr:nvSpPr>
      <xdr:spPr>
        <a:xfrm>
          <a:off x="17173575" y="59467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23642FEF-AB04-4490-B6CA-C92EFE464094}"/>
            </a:ext>
          </a:extLst>
        </xdr:cNvPr>
        <xdr:cNvSpPr/>
      </xdr:nvSpPr>
      <xdr:spPr>
        <a:xfrm>
          <a:off x="17500600" y="58293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E8466762-B6A8-417E-B0E0-0E3B596B4853}"/>
            </a:ext>
          </a:extLst>
        </xdr:cNvPr>
        <xdr:cNvSpPr/>
      </xdr:nvSpPr>
      <xdr:spPr>
        <a:xfrm>
          <a:off x="17916525" y="6121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709989B9-D6F0-4B8A-A4CD-2AE7BBFAB70F}"/>
            </a:ext>
          </a:extLst>
        </xdr:cNvPr>
        <xdr:cNvSpPr/>
      </xdr:nvSpPr>
      <xdr:spPr>
        <a:xfrm>
          <a:off x="18195925" y="59721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AC654454-B1DC-4524-B4C0-EA304A850F58}"/>
            </a:ext>
          </a:extLst>
        </xdr:cNvPr>
        <xdr:cNvSpPr/>
      </xdr:nvSpPr>
      <xdr:spPr>
        <a:xfrm>
          <a:off x="18522950" y="58547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5022B590-ACD0-4850-8267-A79373174CEA}"/>
            </a:ext>
          </a:extLst>
        </xdr:cNvPr>
        <xdr:cNvSpPr/>
      </xdr:nvSpPr>
      <xdr:spPr>
        <a:xfrm>
          <a:off x="18891250" y="61150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D73059CD-FFA0-4C18-9E61-30832ABD4CB7}"/>
            </a:ext>
          </a:extLst>
        </xdr:cNvPr>
        <xdr:cNvSpPr/>
      </xdr:nvSpPr>
      <xdr:spPr>
        <a:xfrm>
          <a:off x="19170650" y="59658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96699875-761E-43C2-88A9-A2A4B1062942}"/>
            </a:ext>
          </a:extLst>
        </xdr:cNvPr>
        <xdr:cNvSpPr/>
      </xdr:nvSpPr>
      <xdr:spPr>
        <a:xfrm>
          <a:off x="19497675" y="58483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7943835B-5D70-455F-8765-A0C4F733923A}"/>
            </a:ext>
          </a:extLst>
        </xdr:cNvPr>
        <xdr:cNvSpPr/>
      </xdr:nvSpPr>
      <xdr:spPr>
        <a:xfrm>
          <a:off x="19834225" y="61087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BEFEA5B2-CE61-47FE-84E9-C14D146EBA6C}"/>
            </a:ext>
          </a:extLst>
        </xdr:cNvPr>
        <xdr:cNvSpPr/>
      </xdr:nvSpPr>
      <xdr:spPr>
        <a:xfrm>
          <a:off x="20113625" y="59594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7D8F9365-9DC4-474D-AC86-D49FD287D081}"/>
            </a:ext>
          </a:extLst>
        </xdr:cNvPr>
        <xdr:cNvSpPr/>
      </xdr:nvSpPr>
      <xdr:spPr>
        <a:xfrm>
          <a:off x="20440650" y="58420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FE284856-55A1-47CE-AFCC-6570F5ACD488}"/>
            </a:ext>
          </a:extLst>
        </xdr:cNvPr>
        <xdr:cNvSpPr/>
      </xdr:nvSpPr>
      <xdr:spPr>
        <a:xfrm>
          <a:off x="7788275" y="61118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C5E201BB-3537-42C1-B48B-C89F8C06134E}"/>
            </a:ext>
          </a:extLst>
        </xdr:cNvPr>
        <xdr:cNvSpPr/>
      </xdr:nvSpPr>
      <xdr:spPr>
        <a:xfrm>
          <a:off x="8067675" y="59626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4A40CD11-586D-4426-BFA5-19E174B25276}"/>
            </a:ext>
          </a:extLst>
        </xdr:cNvPr>
        <xdr:cNvSpPr/>
      </xdr:nvSpPr>
      <xdr:spPr>
        <a:xfrm>
          <a:off x="8394700" y="58451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01C9629B-DE7B-4AB5-B269-28B28233148C}"/>
            </a:ext>
          </a:extLst>
        </xdr:cNvPr>
        <xdr:cNvSpPr/>
      </xdr:nvSpPr>
      <xdr:spPr>
        <a:xfrm>
          <a:off x="8070850" y="981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9A4B1B51-8137-48E0-A5F7-F3111E57C82D}"/>
            </a:ext>
          </a:extLst>
        </xdr:cNvPr>
        <xdr:cNvCxnSpPr/>
      </xdr:nvCxnSpPr>
      <xdr:spPr>
        <a:xfrm>
          <a:off x="7502525" y="6035675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3CA90FA-E1FC-4B37-8A1D-455D1AF8EAD9}"/>
            </a:ext>
          </a:extLst>
        </xdr:cNvPr>
        <xdr:cNvCxnSpPr/>
      </xdr:nvCxnSpPr>
      <xdr:spPr>
        <a:xfrm>
          <a:off x="7496175" y="6188075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70A6FE85-42CE-4EE9-BC74-DC46626920D9}"/>
            </a:ext>
          </a:extLst>
        </xdr:cNvPr>
        <xdr:cNvCxnSpPr/>
      </xdr:nvCxnSpPr>
      <xdr:spPr>
        <a:xfrm>
          <a:off x="9994106" y="6198394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F72CBB71-422E-46A0-8426-D4FFD9E76FA4}"/>
            </a:ext>
          </a:extLst>
        </xdr:cNvPr>
        <xdr:cNvCxnSpPr/>
      </xdr:nvCxnSpPr>
      <xdr:spPr>
        <a:xfrm>
          <a:off x="11932443" y="598408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A48630FA-0F60-446F-ABBF-FACEA5600A37}"/>
            </a:ext>
          </a:extLst>
        </xdr:cNvPr>
        <xdr:cNvCxnSpPr/>
      </xdr:nvCxnSpPr>
      <xdr:spPr>
        <a:xfrm>
          <a:off x="11849100" y="618648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6AFE550E-C5BD-417E-B538-58428EF78900}"/>
            </a:ext>
          </a:extLst>
        </xdr:cNvPr>
        <xdr:cNvCxnSpPr/>
      </xdr:nvCxnSpPr>
      <xdr:spPr>
        <a:xfrm>
          <a:off x="15904369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8B9EE501-553F-4D02-A844-FAC59C194F7D}"/>
            </a:ext>
          </a:extLst>
        </xdr:cNvPr>
        <xdr:cNvCxnSpPr/>
      </xdr:nvCxnSpPr>
      <xdr:spPr>
        <a:xfrm>
          <a:off x="15904368" y="613886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FFA05EFB-FC8A-4443-9A50-3B36ECD5C283}"/>
            </a:ext>
          </a:extLst>
        </xdr:cNvPr>
        <xdr:cNvCxnSpPr/>
      </xdr:nvCxnSpPr>
      <xdr:spPr>
        <a:xfrm>
          <a:off x="19816762" y="60436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6F1596E0-945B-41B7-921A-816764B9DD7A}"/>
            </a:ext>
          </a:extLst>
        </xdr:cNvPr>
        <xdr:cNvCxnSpPr/>
      </xdr:nvCxnSpPr>
      <xdr:spPr>
        <a:xfrm>
          <a:off x="19852481" y="6198394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1DC23992-C216-4A32-A2F1-A43EBB57198E}"/>
            </a:ext>
          </a:extLst>
        </xdr:cNvPr>
        <xdr:cNvCxnSpPr/>
      </xdr:nvCxnSpPr>
      <xdr:spPr>
        <a:xfrm>
          <a:off x="17789152" y="603044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BE0D835E-432D-452A-ADCE-9C7253E4255F}"/>
            </a:ext>
          </a:extLst>
        </xdr:cNvPr>
        <xdr:cNvCxnSpPr/>
      </xdr:nvCxnSpPr>
      <xdr:spPr>
        <a:xfrm>
          <a:off x="17791579" y="618508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FEB732AA-338D-4357-BCBB-0F9C5641A1B2}"/>
            </a:ext>
          </a:extLst>
        </xdr:cNvPr>
        <xdr:cNvCxnSpPr/>
      </xdr:nvCxnSpPr>
      <xdr:spPr>
        <a:xfrm>
          <a:off x="16754475" y="601699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7DBDCF7D-A7B5-4E1E-ACD6-BD3A14A3008C}"/>
            </a:ext>
          </a:extLst>
        </xdr:cNvPr>
        <xdr:cNvCxnSpPr/>
      </xdr:nvCxnSpPr>
      <xdr:spPr>
        <a:xfrm>
          <a:off x="16748312" y="6173881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F1EDDC02-518C-4713-A4DC-23B7D318E5E2}"/>
            </a:ext>
          </a:extLst>
        </xdr:cNvPr>
        <xdr:cNvCxnSpPr/>
      </xdr:nvCxnSpPr>
      <xdr:spPr>
        <a:xfrm>
          <a:off x="13956927" y="603941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2ECACFD1-D6F5-4C35-BA67-4C4EA00547AD}"/>
            </a:ext>
          </a:extLst>
        </xdr:cNvPr>
        <xdr:cNvCxnSpPr/>
      </xdr:nvCxnSpPr>
      <xdr:spPr>
        <a:xfrm>
          <a:off x="13945720" y="619629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40AA3924-EA02-4E9E-A02B-98B1257D1BD8}"/>
            </a:ext>
          </a:extLst>
        </xdr:cNvPr>
        <xdr:cNvCxnSpPr/>
      </xdr:nvCxnSpPr>
      <xdr:spPr>
        <a:xfrm>
          <a:off x="12942233" y="617388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92A11FA7-E2D5-47A1-9B23-AA49C63B548F}"/>
            </a:ext>
          </a:extLst>
        </xdr:cNvPr>
        <xdr:cNvCxnSpPr/>
      </xdr:nvCxnSpPr>
      <xdr:spPr>
        <a:xfrm>
          <a:off x="12942234" y="603941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4FDECEB2-4279-4248-A46C-976A4BD53D64}"/>
            </a:ext>
          </a:extLst>
        </xdr:cNvPr>
        <xdr:cNvCxnSpPr/>
      </xdr:nvCxnSpPr>
      <xdr:spPr>
        <a:xfrm>
          <a:off x="18806272" y="617388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8F1FA56E-C55D-4B1F-8E7E-6C3D51405A29}"/>
            </a:ext>
          </a:extLst>
        </xdr:cNvPr>
        <xdr:cNvCxnSpPr/>
      </xdr:nvCxnSpPr>
      <xdr:spPr>
        <a:xfrm>
          <a:off x="18806273" y="606182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E602647D-C377-4B1D-B71E-C32ED33B40DD}"/>
            </a:ext>
          </a:extLst>
        </xdr:cNvPr>
        <xdr:cNvCxnSpPr/>
      </xdr:nvCxnSpPr>
      <xdr:spPr>
        <a:xfrm>
          <a:off x="10991290" y="60394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F9E5D08D-A8F9-40F3-9055-977910C55829}"/>
            </a:ext>
          </a:extLst>
        </xdr:cNvPr>
        <xdr:cNvCxnSpPr/>
      </xdr:nvCxnSpPr>
      <xdr:spPr>
        <a:xfrm>
          <a:off x="10946466" y="618508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2B7A1890-8A2F-456F-9492-6B0EA36A34DA}"/>
            </a:ext>
          </a:extLst>
        </xdr:cNvPr>
        <xdr:cNvCxnSpPr/>
      </xdr:nvCxnSpPr>
      <xdr:spPr>
        <a:xfrm>
          <a:off x="10069233" y="6016064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964DC69A-4EDE-40E9-B038-DF6EC8FA09E7}"/>
            </a:ext>
          </a:extLst>
        </xdr:cNvPr>
        <xdr:cNvSpPr/>
      </xdr:nvSpPr>
      <xdr:spPr>
        <a:xfrm>
          <a:off x="11007725" y="61118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6FCF6D6F-556C-4C86-BEFC-99E7BDDE08A6}"/>
            </a:ext>
          </a:extLst>
        </xdr:cNvPr>
        <xdr:cNvSpPr/>
      </xdr:nvSpPr>
      <xdr:spPr>
        <a:xfrm>
          <a:off x="11287125" y="59626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32BA2A4F-247B-4A70-A383-5DCF59EE8FA4}"/>
            </a:ext>
          </a:extLst>
        </xdr:cNvPr>
        <xdr:cNvSpPr/>
      </xdr:nvSpPr>
      <xdr:spPr>
        <a:xfrm>
          <a:off x="11614150" y="58451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9F4B4F30-478E-4C82-9A89-4E472A9A0B0F}"/>
            </a:ext>
          </a:extLst>
        </xdr:cNvPr>
        <xdr:cNvSpPr/>
      </xdr:nvSpPr>
      <xdr:spPr>
        <a:xfrm>
          <a:off x="9051925" y="6118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23FAC47A-83A5-49B8-91D2-07C5C164DDF9}"/>
            </a:ext>
          </a:extLst>
        </xdr:cNvPr>
        <xdr:cNvSpPr/>
      </xdr:nvSpPr>
      <xdr:spPr>
        <a:xfrm>
          <a:off x="9331325" y="59690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74416252-2AB2-4AA6-B49C-33C85D6F61CA}"/>
            </a:ext>
          </a:extLst>
        </xdr:cNvPr>
        <xdr:cNvSpPr/>
      </xdr:nvSpPr>
      <xdr:spPr>
        <a:xfrm>
          <a:off x="9658350" y="58515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B0C5484D-F4BE-4C91-B880-65183B430E91}"/>
            </a:ext>
          </a:extLst>
        </xdr:cNvPr>
        <xdr:cNvCxnSpPr/>
      </xdr:nvCxnSpPr>
      <xdr:spPr>
        <a:xfrm>
          <a:off x="9013031" y="6198394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C52F22DD-04CB-4E35-AE0B-9C25F0AF7AB2}"/>
            </a:ext>
          </a:extLst>
        </xdr:cNvPr>
        <xdr:cNvCxnSpPr/>
      </xdr:nvCxnSpPr>
      <xdr:spPr>
        <a:xfrm>
          <a:off x="9088158" y="6016064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31586040-C9F8-4226-8EC8-D3AF6799B206}"/>
            </a:ext>
          </a:extLst>
        </xdr:cNvPr>
        <xdr:cNvSpPr/>
      </xdr:nvSpPr>
      <xdr:spPr>
        <a:xfrm>
          <a:off x="14963775" y="6127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53406C6D-90A0-4F4E-A8DD-6607AE97D508}"/>
            </a:ext>
          </a:extLst>
        </xdr:cNvPr>
        <xdr:cNvSpPr/>
      </xdr:nvSpPr>
      <xdr:spPr>
        <a:xfrm>
          <a:off x="15243175" y="59785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D9C8E2FF-9BFA-485E-9021-48EB52DE3B44}"/>
            </a:ext>
          </a:extLst>
        </xdr:cNvPr>
        <xdr:cNvSpPr/>
      </xdr:nvSpPr>
      <xdr:spPr>
        <a:xfrm>
          <a:off x="15570200" y="58610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7D685707-8A9C-4A21-B726-4BCE07FE6D12}"/>
            </a:ext>
          </a:extLst>
        </xdr:cNvPr>
        <xdr:cNvCxnSpPr/>
      </xdr:nvCxnSpPr>
      <xdr:spPr>
        <a:xfrm>
          <a:off x="14938002" y="603941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9B890CCD-4C34-4EAB-A254-4E1850AFE131}"/>
            </a:ext>
          </a:extLst>
        </xdr:cNvPr>
        <xdr:cNvCxnSpPr/>
      </xdr:nvCxnSpPr>
      <xdr:spPr>
        <a:xfrm>
          <a:off x="14926795" y="619629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E48C54-321D-425C-BDA3-DAA2502C37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A9F3B6B5-749B-4472-9C33-E2D407BCA4FB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F0293499-19EF-45C5-959D-CCF83C0E43A3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BEE67DB9-BA06-45B3-8ADC-9643B3B9A372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75023EE-D97C-4A69-A9FB-4E5DA89A50A5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499B019E-5990-4477-8C0D-E3061C179075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52EC8051-B291-416E-8A6C-3752DBFCDBDB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DEDE45FD-BA69-4CA9-BBA2-89919770E409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BB64683D-E3AF-42DA-81EA-14BD51E3A889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5A4A90E1-03EC-4D34-97AD-414E529DBF87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C834D3E6-CA40-4A60-A850-C16114DE0F12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B8AF4EEA-32E7-4D95-950C-FBC34D3F80EE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FA32F684-31A5-4E89-AF78-9AC98DF7D0A0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7672A31D-8DA8-47F7-84F5-0559646644D7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A042CE36-70F3-4449-A526-37A11976C34C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C3F637E2-0ED7-44F1-BA1E-56AF514BAE1D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54F1F53F-4278-4A03-B913-26B25C5A1964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CEE31541-2150-495F-A3AD-D0E4CBBEE6B6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A7E12420-1022-49D9-9A60-F73FEF08B037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5508129-3915-438D-9535-332066DD3D9C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5C4C4D70-3E00-45E5-A9F9-785B98B4598B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A1175CD-E58E-4FD1-8AF1-F17D5B380D65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A5874E8E-7B80-41D3-B892-A3C9DFC39690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689B369E-516D-440D-A1E2-43F830DD47BA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1C72DCAA-3ADD-43A4-A7EC-03E0978E38DE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A9BB2D44-4050-48B2-A2F3-F812633755EB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D8366211-F322-4E28-887E-C08F14359BFF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57A66026-A5B4-4F87-B987-8AEDE153C704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767EEDC9-8AFF-4C4B-ABCF-BA0CB24ED9B8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FD5287E2-F0FA-463B-A11C-B9B3C02A38F5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7EF21921-903F-45E4-869E-EAF95723F2B5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417424CE-31C5-450B-9D1C-7DBC17AC666B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559B9002-3DF9-4A8C-8DD7-3E91FB91D5EB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C5DD3879-1F6B-4DB8-9AFB-66FF58009FB5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449064D8-68AD-49D5-AA54-DCE0CAECC272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2BC0D454-F01B-4CDF-BB5C-06AE380041A2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79BEED38-5D42-484C-A131-DB76B0C90CF4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27B8AB17-9D2E-43DA-A1C3-1F049ABD0E64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B324ADCE-1AAD-4686-9025-EE63DA4620B0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B1B00D21-A73B-4281-B530-E6EA8FA63B1B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4FDB0C91-D2E2-42D5-B65A-AD36641ACA0D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0B30F44E-BFB3-407B-A29B-C4FC7FC57856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8227907E-D521-46C4-88A4-485C9D4B927E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E886372A-C45B-4D46-88C1-ACA2FC914227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E430A475-B93A-4E8E-AB66-399350A479DA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EF0716DC-C449-4DBE-B5C8-4A7B6266359C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C2806A26-6FD4-4664-953D-AD7AFD80C657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51A17C38-F511-4BF2-9675-E50A3D164A95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79BE58F3-5F65-421E-BDF2-C6C9E30A3C35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5755E43C-DD4C-4158-B588-105C4FF7D786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B416E8FC-91FF-4DF8-B4ED-3B5D242A2FBC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6F4753F1-719A-4E09-A9D3-2DD07627DD33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BDD6EC8C-BD46-4B86-BEB6-950E05F60595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643314E0-5CF2-4B65-83D8-CF1816B2CA07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5F00CD73-9D82-49E8-B325-B7F7F9D15E74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5AF86019-0492-4615-A749-2E7554208CB8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F4FE6741-B80A-4225-924E-35029BEFB250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171EE82C-48A8-4B64-BDD9-9EF7A4008B68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14E19709-412E-4870-99B4-E2B8AC536084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C169DE89-90BE-4BE0-9319-75D26BEB1013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36C7765D-9F03-4904-8D72-CCE7A536A991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11F2EF4A-0AF7-46B5-BF4E-670F42C3C535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B80CF0BC-38BE-47C9-A571-592A1811FC17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55D3A270-BDA6-4FEE-BD24-20B41454CBCB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B973D448-5991-4BE5-B47C-373B0B25B306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3F296D04-8204-425F-B1BB-9EBF1E3C955F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C687E056-3315-4FEB-B86E-77550ED02532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69C53AD2-9323-4087-A192-F68833915AE7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F46F68A9-38D5-4B4C-9240-A9237949AC4F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427D6E02-1F7F-4DF9-9B1C-A588358DC88F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5A158699-DBCD-4F4E-B2A5-45E0B5722D4D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285A6C38-B39F-469B-84FA-867BD0B17CEF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09CCD459-08CE-462E-A333-8F3FD4BF58C6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8C5551-C0AE-4A34-8A72-9FC14FDC1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175C83B0-C918-4472-BF6B-A0FA32D0ADD5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9687EB38-0A35-47CD-9F1F-C562D0A171CA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839CE142-0F7F-417C-8E2B-AFC29CD979BE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E5449E65-C52B-446B-8E0A-637E7D639832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A21EA426-5CD6-465B-A12C-8344F7124A25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EE97DDC7-6371-4E0D-B250-C0E4F8C55813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B25DD15E-C0DC-4B4E-991D-28BC5D39F141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FDD46E9-546E-439C-B748-123876FF4150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5D555FB2-DD25-467E-B38F-C83B49DD97E1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410A9BFF-472A-4AFE-97E3-A826CDA79F8F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2CFF6BD8-4B9A-4B8E-B435-5334DD540022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66BF5D82-61A8-457C-8CD8-11674CD1C9B8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2C5C2EDC-6823-45EB-9E8B-54D1CF2D2431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DAAC8DEF-2E0C-44D4-936B-7207FC0CEC6A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1D53999D-2D18-4C06-8F55-B103539C17A1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8CA49F31-C74D-4A99-B360-DA2A204A4DC4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EA49955E-BAE5-4FBF-8246-91099DEB86F7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5801E0F6-6576-4139-8598-E8EFF1AF3117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E3579D5B-4CB6-4169-A555-6B5523351C51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2C08B2C8-1DF7-486B-942D-5EAC80C9CA18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6077AE6A-0FC6-441A-840B-0ACA7BAADAE6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4C5981C-EA8A-4E3A-B1C7-5FA4C98A777B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F5B06468-D275-4D2B-B84A-5EB91785916F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760107CD-4724-4ECB-992F-07254A8CAB4E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ECC05880-E389-48FC-A6B5-21FDC127423B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CBCCD2B7-52B5-4AE2-98AF-5CEF29A4032C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1B7CF8D3-7A22-40EC-8590-BBA53FBF2022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688D751B-A236-46A6-A012-7A8E436C32D5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0CBE8859-1B98-4F05-89D7-77A486BCFE85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30C70C74-E0CF-4255-9E39-628C592CE4CA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402B42C7-695C-40D0-959E-831CF28B9BA8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C1453E9C-A444-43DD-90A6-C42A45475DAA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055D36F1-EE76-4076-B517-3F06B96160AB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2EB4CDE7-C996-4321-B731-2672E23D017F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BFC57513-10EE-40E2-BB78-A184BDE7103E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5424938F-8AEF-445D-8628-43DC57984201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66899C65-0FD0-4CEE-9A0B-BDB349E7B64E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C26EDC30-4B30-41E9-88BA-0DAFA24DC28C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6FB815E6-0A44-4A25-8CDD-AB2D8FC51646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79C8DF12-BC0B-439D-BCFC-ECCEEE3883B9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C7564480-D81B-4619-9556-1854329C615A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83A85DE3-6DF3-40B9-B103-19B1C6FBBEFA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C76E2967-36EC-430B-B8E7-0F6F7F8F378D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9832F860-59C6-4A9D-8E4D-FA6115798A2D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B3AE1928-87F5-45BA-BBBA-E128292A8095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A1DE518-0490-4EDE-8173-288AD12A67F1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6510C086-450D-479A-A396-4E8A65D930A8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D1ADCDB4-2321-4649-BFCA-20C137414E76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A14A0EFB-8CD2-454E-B6DF-CFA0FBC2C842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F8D1FED3-73E1-4EF2-9B9B-46F62260343F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E4D4FE34-E7D7-42F7-AA60-80D8336FDB7B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ECD4E233-B4CB-4729-AF5A-D90D960ACDA6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B868800D-1C75-4359-84A1-32A20B477B66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D5CF64B7-0307-4BED-80FD-4549EE12F7E0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87116760-CCBD-4D9D-9FF1-268C20B035F1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35CDABED-D1EB-422C-AC01-91FDF38F8056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38CB802D-01C8-4C4C-925D-C80C98D60432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51BD0AC4-F908-4C96-9FD1-B71EB0565093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8BFCCF6A-DAA2-4120-8AA4-753BB2697F15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1D311686-3875-4778-9FAE-3D351C913E4B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E35AFED6-60BF-464B-8201-4B9E782DF84D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2676DBA3-5FEA-4123-8018-728C20D776E6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F3C3BC9D-F42D-4760-B40F-09E5240E052C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A754D836-5624-4AF7-851E-C9589F8321B5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D57DEE7D-92FB-436C-B213-493E90BA023D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A87B69D0-F1B0-4E5C-8594-DA93FA8720A2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2DAB3C9B-3E52-4E18-8DEB-EBDEEC75FED2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D68712DF-A30B-4A8E-A5E1-49DFA69673D6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22D056CC-8546-4064-A279-EBEB0CDB0F1E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E8016BFE-3F84-41F2-A01F-FB76655425BD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59270700-E1E2-4D65-9F93-E44787ECCCB7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5C3DD416-6D40-4EA5-990F-86A4F4AAF0DE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1B506D-E74C-4E35-81A1-B324A5EDE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A8474C0-CB4C-4F2A-BDE6-D6C2ECE06ABA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F3B231A-02FB-41D6-A462-EB2E77AF072D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8BC6C48-8CCE-4B47-8760-1F9B8B1C81D9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37004F14-1C9D-47A6-B40C-EC34346D3A77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2928FCA4-1B7A-44EB-BDC8-3BF48961B8D7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682ACFF1-EC42-403A-BE67-1E93881EBD33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56B638B0-72B1-4C90-8890-72A181F9D2E5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A40737E2-DCF4-4763-BEF2-87E8BEA1985D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FE269CED-57EC-4532-A3A3-2D4C4166A7BC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87B11702-7935-443C-BA9F-92628EE491AC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953ADD77-BBB7-4816-93A3-E3C522462077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AD01E1E8-0B17-4008-A7AE-86896BC7B175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6F6DFC0D-A9F9-434B-83BA-02A5A42F30DD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592A655F-EBFE-4E32-9E28-9958617156F7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96ED80EF-48E9-4B18-9628-F2CC39FA0C8F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E07E711C-B386-43BC-8A38-5EDC6FCD7198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8370E3D2-E746-481C-B52C-4B6E85B4370C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8E303BD3-700B-4529-BE8A-D75A3187F555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6BDF9618-DA45-4FCB-865A-4D463D1436C8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255E1BEB-C481-4E86-B763-AA908C450CBA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4AD4A17D-D574-4D2B-991A-4025814942CE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97F003FD-A1C4-4A62-BB8C-CB104A44F2C3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21A9F3BB-4CDD-4DF9-BCB4-5F272F295444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B659FAC1-BDD6-40BE-A28F-398EFA2BA721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D4F9E487-D047-4D23-BCFC-C279535ADB56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2806BA1C-AB2B-4206-B323-D81495BA56FA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94437A0B-050C-417B-9939-743BABB4577A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1AECB609-135B-48FB-9099-015801BC0E88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8DC78EE0-825D-405E-A1C9-CBEEFA222914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A1690A32-5FF5-4E45-975D-F6EA09C106DC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2020F4E9-6225-41D9-93DB-4F5FAF540688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AE41D90A-302E-4F9E-BBE7-1891D9A3529D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C1BAD2BB-B750-4FD2-A15D-5284D6630207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61C1FB55-7F5E-4511-B2FD-6B5A67EE5CDF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C262FCDB-DDED-459B-82E8-18DDD3B03FD6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9538352E-B717-4B65-8A20-0E3643AA2C84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9BF729BC-3DE5-45EC-B4DE-63E98AFD5D21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D934471A-D078-4718-99B5-F43B8E403267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B3AE25D5-3F4B-4ABD-924C-C493AB94F88C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35D91A98-6FAF-4FF0-9037-5A3461363B58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1D0304D5-6D88-4B1C-A95D-CA2928976611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7CBC9AEB-81D8-4247-B0BD-FF3E92A4AC24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9A63CFEF-AACD-47E5-976E-255D8169E0BA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47F1D2F1-10A4-4433-BADC-CE0FEC508BB0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27B45933-4C40-4F69-9E59-50D4C62A05F4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20BA61A9-9069-4B24-AC41-53AF8F03C4EB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4CDA5080-89E9-4E5B-9E51-B31746B1238D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9DC2B2A9-B032-4559-A3F0-D3D869CDEEAD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945C155B-26BD-473F-B5F5-1F1BAAC3CEB6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9B381EF1-7525-48F0-BBD1-61E5EB999C46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11E84B66-1ED4-4CA7-8648-8C7B4B06587B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722231F5-4EA5-4588-BE60-114BBAC755F9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FDF284F1-6503-4AB4-B3D9-32F702C94910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B750E20D-C18B-441F-8807-D8104DC0AB90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D9B04782-E5DF-46C1-B2DA-84B06F267F8F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31A3A706-C52F-4B7B-B059-594A32CD5A02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D5FC617F-C228-4FB4-81D2-3156F95EC177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CED6E1FB-C364-4BA7-9AE7-E3E8751E0D71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4CB290F9-B030-4955-8077-1185B87B617E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4CBB91AF-73EA-48B8-A6B2-71BDBD1DCCE8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2E07BAAD-E165-4CAC-A6BF-C9D385E7D2CC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D5C1780F-F73E-4B0F-944D-5852F67FE7F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D3A3FD60-E831-4F29-96CD-6B0AB284C917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D0E5D420-A199-48F5-B447-FCB87AE487D4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8EF2D859-9B0E-460D-A582-D362CAA864B5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630562F1-B487-42B4-9F59-72541154498B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D6D03822-9CC5-452D-A015-F53FA2B70D92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63E4C29F-E836-4454-A79A-15A85A566EB7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2D30AE67-5EBE-4F56-89A4-FE11140CB71E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8765EF60-DA3F-4392-A773-113738D6025E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FB23B540-D1AE-48AF-B0BF-191E093AF8B4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59B4D460-2680-4C10-8F25-593658153C43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657E70-13B8-4128-869C-86D07263B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26694"/>
          <a:ext cx="968375" cy="688340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A5D228B7-EF2F-4ABB-904B-98D266E08E15}"/>
            </a:ext>
          </a:extLst>
        </xdr:cNvPr>
        <xdr:cNvSpPr/>
      </xdr:nvSpPr>
      <xdr:spPr>
        <a:xfrm>
          <a:off x="6257925" y="61150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6F76C2B9-24DF-48D1-B750-81F99B8CEF34}"/>
            </a:ext>
          </a:extLst>
        </xdr:cNvPr>
        <xdr:cNvSpPr/>
      </xdr:nvSpPr>
      <xdr:spPr>
        <a:xfrm>
          <a:off x="6537325" y="59658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CB22301E-7F3C-478B-BB90-D3CB4FDBDD52}"/>
            </a:ext>
          </a:extLst>
        </xdr:cNvPr>
        <xdr:cNvSpPr/>
      </xdr:nvSpPr>
      <xdr:spPr>
        <a:xfrm>
          <a:off x="6864350" y="58483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9CC29046-E909-43B0-A250-FD77BAF508E1}"/>
            </a:ext>
          </a:extLst>
        </xdr:cNvPr>
        <xdr:cNvSpPr/>
      </xdr:nvSpPr>
      <xdr:spPr>
        <a:xfrm>
          <a:off x="10033000" y="6118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DEC0DD28-5446-40C2-8F9C-0D6F0A259AAB}"/>
            </a:ext>
          </a:extLst>
        </xdr:cNvPr>
        <xdr:cNvSpPr/>
      </xdr:nvSpPr>
      <xdr:spPr>
        <a:xfrm>
          <a:off x="10312400" y="59690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CB2B3562-22CA-4AB4-B7C7-05119B431E22}"/>
            </a:ext>
          </a:extLst>
        </xdr:cNvPr>
        <xdr:cNvSpPr/>
      </xdr:nvSpPr>
      <xdr:spPr>
        <a:xfrm>
          <a:off x="10639425" y="58515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9BC294CA-95A9-490A-8099-F8BF52DA1DCD}"/>
            </a:ext>
          </a:extLst>
        </xdr:cNvPr>
        <xdr:cNvSpPr/>
      </xdr:nvSpPr>
      <xdr:spPr>
        <a:xfrm>
          <a:off x="11007725" y="61118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1E4BD069-2A99-4410-953F-E687569172A0}"/>
            </a:ext>
          </a:extLst>
        </xdr:cNvPr>
        <xdr:cNvSpPr/>
      </xdr:nvSpPr>
      <xdr:spPr>
        <a:xfrm>
          <a:off x="11287125" y="59626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41480747-3041-4903-924C-10F96CE5CE08}"/>
            </a:ext>
          </a:extLst>
        </xdr:cNvPr>
        <xdr:cNvSpPr/>
      </xdr:nvSpPr>
      <xdr:spPr>
        <a:xfrm>
          <a:off x="11614150" y="58451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EF52C91D-9221-4076-ACD3-6E2147F0CAD7}"/>
            </a:ext>
          </a:extLst>
        </xdr:cNvPr>
        <xdr:cNvSpPr/>
      </xdr:nvSpPr>
      <xdr:spPr>
        <a:xfrm>
          <a:off x="11950700" y="61055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C8EF242E-D432-4E34-8F10-E2CC710E1013}"/>
            </a:ext>
          </a:extLst>
        </xdr:cNvPr>
        <xdr:cNvSpPr/>
      </xdr:nvSpPr>
      <xdr:spPr>
        <a:xfrm>
          <a:off x="12230100" y="59563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1FD98972-B5A1-45BA-9731-4AF527732E61}"/>
            </a:ext>
          </a:extLst>
        </xdr:cNvPr>
        <xdr:cNvSpPr/>
      </xdr:nvSpPr>
      <xdr:spPr>
        <a:xfrm>
          <a:off x="12557125" y="58388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85C79750-C583-4E4B-9436-2D14A70885FF}"/>
            </a:ext>
          </a:extLst>
        </xdr:cNvPr>
        <xdr:cNvSpPr/>
      </xdr:nvSpPr>
      <xdr:spPr>
        <a:xfrm>
          <a:off x="12960350" y="61023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43B8C4E4-76B9-49E5-A727-C17D8EE3578E}"/>
            </a:ext>
          </a:extLst>
        </xdr:cNvPr>
        <xdr:cNvSpPr/>
      </xdr:nvSpPr>
      <xdr:spPr>
        <a:xfrm>
          <a:off x="13239750" y="59531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A12AFA0D-DCB4-47C1-A8AE-69A9CE322530}"/>
            </a:ext>
          </a:extLst>
        </xdr:cNvPr>
        <xdr:cNvSpPr/>
      </xdr:nvSpPr>
      <xdr:spPr>
        <a:xfrm>
          <a:off x="13566775" y="58356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2C155E8-809E-4B52-8A86-A42D6C061B86}"/>
            </a:ext>
          </a:extLst>
        </xdr:cNvPr>
        <xdr:cNvSpPr/>
      </xdr:nvSpPr>
      <xdr:spPr>
        <a:xfrm>
          <a:off x="13982700" y="6127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BC62F7A-072D-48BC-B0FC-6FD83DF1854C}"/>
            </a:ext>
          </a:extLst>
        </xdr:cNvPr>
        <xdr:cNvSpPr/>
      </xdr:nvSpPr>
      <xdr:spPr>
        <a:xfrm>
          <a:off x="14262100" y="59785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676DEA1E-5478-40FC-A384-DFBA4EDEDE87}"/>
            </a:ext>
          </a:extLst>
        </xdr:cNvPr>
        <xdr:cNvSpPr/>
      </xdr:nvSpPr>
      <xdr:spPr>
        <a:xfrm>
          <a:off x="14589125" y="58610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7CC16600-2B97-4385-A6DC-A629FB4DEBFB}"/>
            </a:ext>
          </a:extLst>
        </xdr:cNvPr>
        <xdr:cNvSpPr/>
      </xdr:nvSpPr>
      <xdr:spPr>
        <a:xfrm>
          <a:off x="15900400" y="61150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765643D7-F28C-4621-B860-922118883FC9}"/>
            </a:ext>
          </a:extLst>
        </xdr:cNvPr>
        <xdr:cNvSpPr/>
      </xdr:nvSpPr>
      <xdr:spPr>
        <a:xfrm>
          <a:off x="16179800" y="59658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6C856926-05E0-4B85-8D95-CDCFA0D4F539}"/>
            </a:ext>
          </a:extLst>
        </xdr:cNvPr>
        <xdr:cNvSpPr/>
      </xdr:nvSpPr>
      <xdr:spPr>
        <a:xfrm>
          <a:off x="16506825" y="58483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D59A2C72-CDD2-4F68-8FE0-6CAE8973B88C}"/>
            </a:ext>
          </a:extLst>
        </xdr:cNvPr>
        <xdr:cNvSpPr/>
      </xdr:nvSpPr>
      <xdr:spPr>
        <a:xfrm>
          <a:off x="16894175" y="60960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929F47EF-ADD3-48F8-A39B-16AB62270460}"/>
            </a:ext>
          </a:extLst>
        </xdr:cNvPr>
        <xdr:cNvSpPr/>
      </xdr:nvSpPr>
      <xdr:spPr>
        <a:xfrm>
          <a:off x="17173575" y="59467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B86673E5-D64A-4559-90DD-B739E6717B8A}"/>
            </a:ext>
          </a:extLst>
        </xdr:cNvPr>
        <xdr:cNvSpPr/>
      </xdr:nvSpPr>
      <xdr:spPr>
        <a:xfrm>
          <a:off x="17500600" y="58293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CADC3433-CF93-4915-BF7C-03BCEA829323}"/>
            </a:ext>
          </a:extLst>
        </xdr:cNvPr>
        <xdr:cNvSpPr/>
      </xdr:nvSpPr>
      <xdr:spPr>
        <a:xfrm>
          <a:off x="17916525" y="6121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EF67027F-424C-4059-AD4C-92EC27081AA4}"/>
            </a:ext>
          </a:extLst>
        </xdr:cNvPr>
        <xdr:cNvSpPr/>
      </xdr:nvSpPr>
      <xdr:spPr>
        <a:xfrm>
          <a:off x="18195925" y="59721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4F28313E-BA89-42EE-A166-AD64016908B9}"/>
            </a:ext>
          </a:extLst>
        </xdr:cNvPr>
        <xdr:cNvSpPr/>
      </xdr:nvSpPr>
      <xdr:spPr>
        <a:xfrm>
          <a:off x="18522950" y="58547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C8B27C0F-F34B-47B6-A633-8F98CBBD9D15}"/>
            </a:ext>
          </a:extLst>
        </xdr:cNvPr>
        <xdr:cNvSpPr/>
      </xdr:nvSpPr>
      <xdr:spPr>
        <a:xfrm>
          <a:off x="18891250" y="61150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92BC75CE-61DC-4C8E-9BF1-9EBE31849141}"/>
            </a:ext>
          </a:extLst>
        </xdr:cNvPr>
        <xdr:cNvSpPr/>
      </xdr:nvSpPr>
      <xdr:spPr>
        <a:xfrm>
          <a:off x="19170650" y="59658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1365DDA3-6323-484B-B5AB-70F36B34B7F4}"/>
            </a:ext>
          </a:extLst>
        </xdr:cNvPr>
        <xdr:cNvSpPr/>
      </xdr:nvSpPr>
      <xdr:spPr>
        <a:xfrm>
          <a:off x="19497675" y="58483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8E0E443D-963F-4F57-B908-117002874FEA}"/>
            </a:ext>
          </a:extLst>
        </xdr:cNvPr>
        <xdr:cNvSpPr/>
      </xdr:nvSpPr>
      <xdr:spPr>
        <a:xfrm>
          <a:off x="19834225" y="61087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1AE487A6-FA00-42E0-BCC6-DE85F778CC6B}"/>
            </a:ext>
          </a:extLst>
        </xdr:cNvPr>
        <xdr:cNvSpPr/>
      </xdr:nvSpPr>
      <xdr:spPr>
        <a:xfrm>
          <a:off x="20113625" y="59594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17AC3EC0-B288-4F7D-9F8F-BF09FE5F2C46}"/>
            </a:ext>
          </a:extLst>
        </xdr:cNvPr>
        <xdr:cNvSpPr/>
      </xdr:nvSpPr>
      <xdr:spPr>
        <a:xfrm>
          <a:off x="20440650" y="58420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1F0B8A86-103B-41D0-BB43-CA40A92AABE4}"/>
            </a:ext>
          </a:extLst>
        </xdr:cNvPr>
        <xdr:cNvSpPr/>
      </xdr:nvSpPr>
      <xdr:spPr>
        <a:xfrm>
          <a:off x="7788275" y="61118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48CFD5FE-B3EF-4BBA-BD56-7E238B2A485F}"/>
            </a:ext>
          </a:extLst>
        </xdr:cNvPr>
        <xdr:cNvSpPr/>
      </xdr:nvSpPr>
      <xdr:spPr>
        <a:xfrm>
          <a:off x="8067675" y="59626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3EE04A5E-AF70-4EBA-8790-EEABE0D4F97C}"/>
            </a:ext>
          </a:extLst>
        </xdr:cNvPr>
        <xdr:cNvSpPr/>
      </xdr:nvSpPr>
      <xdr:spPr>
        <a:xfrm>
          <a:off x="8394700" y="58451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6B55D32A-F0C7-4B96-AD93-829448F95374}"/>
            </a:ext>
          </a:extLst>
        </xdr:cNvPr>
        <xdr:cNvSpPr/>
      </xdr:nvSpPr>
      <xdr:spPr>
        <a:xfrm>
          <a:off x="8070850" y="981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18AB62C9-BE69-4D98-BE36-390342EB3798}"/>
            </a:ext>
          </a:extLst>
        </xdr:cNvPr>
        <xdr:cNvCxnSpPr/>
      </xdr:nvCxnSpPr>
      <xdr:spPr>
        <a:xfrm>
          <a:off x="7502525" y="6035675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F3E6915B-DC12-4D79-B7B2-67FFE7A3821C}"/>
            </a:ext>
          </a:extLst>
        </xdr:cNvPr>
        <xdr:cNvCxnSpPr/>
      </xdr:nvCxnSpPr>
      <xdr:spPr>
        <a:xfrm>
          <a:off x="7496175" y="6188075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82E83FC9-7C73-43D9-83AF-19C2B918A972}"/>
            </a:ext>
          </a:extLst>
        </xdr:cNvPr>
        <xdr:cNvCxnSpPr/>
      </xdr:nvCxnSpPr>
      <xdr:spPr>
        <a:xfrm>
          <a:off x="9994106" y="6198394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A97E78E8-2F5C-4CA9-9012-6E85E0D19C66}"/>
            </a:ext>
          </a:extLst>
        </xdr:cNvPr>
        <xdr:cNvCxnSpPr/>
      </xdr:nvCxnSpPr>
      <xdr:spPr>
        <a:xfrm>
          <a:off x="11932443" y="598408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CC8CFF84-3FDF-4CDF-A7D0-4AC8D0538F2A}"/>
            </a:ext>
          </a:extLst>
        </xdr:cNvPr>
        <xdr:cNvCxnSpPr/>
      </xdr:nvCxnSpPr>
      <xdr:spPr>
        <a:xfrm>
          <a:off x="11849100" y="618648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DE966E3D-6F80-4DCE-9547-2ACFD5D299DB}"/>
            </a:ext>
          </a:extLst>
        </xdr:cNvPr>
        <xdr:cNvCxnSpPr/>
      </xdr:nvCxnSpPr>
      <xdr:spPr>
        <a:xfrm>
          <a:off x="15904369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9E776008-0177-4A0A-AB64-54C0CEFF007C}"/>
            </a:ext>
          </a:extLst>
        </xdr:cNvPr>
        <xdr:cNvCxnSpPr/>
      </xdr:nvCxnSpPr>
      <xdr:spPr>
        <a:xfrm>
          <a:off x="15904368" y="613886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C0424669-833E-4E8F-8E77-57586A440B2D}"/>
            </a:ext>
          </a:extLst>
        </xdr:cNvPr>
        <xdr:cNvCxnSpPr/>
      </xdr:nvCxnSpPr>
      <xdr:spPr>
        <a:xfrm>
          <a:off x="19816762" y="60436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F3398878-F797-4ED5-89E7-1A6B6E6F46C0}"/>
            </a:ext>
          </a:extLst>
        </xdr:cNvPr>
        <xdr:cNvCxnSpPr/>
      </xdr:nvCxnSpPr>
      <xdr:spPr>
        <a:xfrm>
          <a:off x="19852481" y="6198394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F6FFBAD4-D13B-42AD-B4B8-BD3251E77C1C}"/>
            </a:ext>
          </a:extLst>
        </xdr:cNvPr>
        <xdr:cNvCxnSpPr/>
      </xdr:nvCxnSpPr>
      <xdr:spPr>
        <a:xfrm>
          <a:off x="17789152" y="603044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3E511B30-A6A2-4517-8A41-42D193813250}"/>
            </a:ext>
          </a:extLst>
        </xdr:cNvPr>
        <xdr:cNvCxnSpPr/>
      </xdr:nvCxnSpPr>
      <xdr:spPr>
        <a:xfrm>
          <a:off x="17791579" y="618508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00BA9856-1191-4729-8311-6E31DB4B39CF}"/>
            </a:ext>
          </a:extLst>
        </xdr:cNvPr>
        <xdr:cNvCxnSpPr/>
      </xdr:nvCxnSpPr>
      <xdr:spPr>
        <a:xfrm>
          <a:off x="16754475" y="601699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4DCAC601-0A76-490D-A439-FE3896099ED8}"/>
            </a:ext>
          </a:extLst>
        </xdr:cNvPr>
        <xdr:cNvCxnSpPr/>
      </xdr:nvCxnSpPr>
      <xdr:spPr>
        <a:xfrm>
          <a:off x="16748312" y="6173881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89DA7818-5E55-4666-9E01-09109A80EE14}"/>
            </a:ext>
          </a:extLst>
        </xdr:cNvPr>
        <xdr:cNvCxnSpPr/>
      </xdr:nvCxnSpPr>
      <xdr:spPr>
        <a:xfrm>
          <a:off x="13956927" y="603941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DA721288-4807-4463-9179-99C9CDA509C1}"/>
            </a:ext>
          </a:extLst>
        </xdr:cNvPr>
        <xdr:cNvCxnSpPr/>
      </xdr:nvCxnSpPr>
      <xdr:spPr>
        <a:xfrm>
          <a:off x="13945720" y="619629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653D7F8D-DDDF-4685-A7FC-F382031FD2DF}"/>
            </a:ext>
          </a:extLst>
        </xdr:cNvPr>
        <xdr:cNvCxnSpPr/>
      </xdr:nvCxnSpPr>
      <xdr:spPr>
        <a:xfrm>
          <a:off x="12942233" y="617388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A4DEF86D-08BC-46EA-9214-AC97D8AF2F15}"/>
            </a:ext>
          </a:extLst>
        </xdr:cNvPr>
        <xdr:cNvCxnSpPr/>
      </xdr:nvCxnSpPr>
      <xdr:spPr>
        <a:xfrm>
          <a:off x="12942234" y="603941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36B72205-0F88-4844-B1A4-479F5DEC08D5}"/>
            </a:ext>
          </a:extLst>
        </xdr:cNvPr>
        <xdr:cNvCxnSpPr/>
      </xdr:nvCxnSpPr>
      <xdr:spPr>
        <a:xfrm>
          <a:off x="18806272" y="617388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5255D9EF-E1AD-4430-81D4-1B760B2ECA21}"/>
            </a:ext>
          </a:extLst>
        </xdr:cNvPr>
        <xdr:cNvCxnSpPr/>
      </xdr:nvCxnSpPr>
      <xdr:spPr>
        <a:xfrm>
          <a:off x="18806273" y="606182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2F857B2A-3115-4B3C-8AD5-5FFA4F056F0D}"/>
            </a:ext>
          </a:extLst>
        </xdr:cNvPr>
        <xdr:cNvCxnSpPr/>
      </xdr:nvCxnSpPr>
      <xdr:spPr>
        <a:xfrm>
          <a:off x="10991290" y="60394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9BBCC40A-52E4-48BA-A162-4B72916FEDF3}"/>
            </a:ext>
          </a:extLst>
        </xdr:cNvPr>
        <xdr:cNvCxnSpPr/>
      </xdr:nvCxnSpPr>
      <xdr:spPr>
        <a:xfrm>
          <a:off x="10946466" y="618508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CFAD0CEA-DF5E-416C-9523-576BBFBB4838}"/>
            </a:ext>
          </a:extLst>
        </xdr:cNvPr>
        <xdr:cNvCxnSpPr/>
      </xdr:nvCxnSpPr>
      <xdr:spPr>
        <a:xfrm>
          <a:off x="10069233" y="6016064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51510FAC-F896-4772-8F57-2E5E93E5C85C}"/>
            </a:ext>
          </a:extLst>
        </xdr:cNvPr>
        <xdr:cNvSpPr/>
      </xdr:nvSpPr>
      <xdr:spPr>
        <a:xfrm>
          <a:off x="11007725" y="61118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A60B71B7-B335-44D6-B8A2-E893054F251B}"/>
            </a:ext>
          </a:extLst>
        </xdr:cNvPr>
        <xdr:cNvSpPr/>
      </xdr:nvSpPr>
      <xdr:spPr>
        <a:xfrm>
          <a:off x="11287125" y="59626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D1449700-ACA9-4B67-87A0-1E5CB5EDCB23}"/>
            </a:ext>
          </a:extLst>
        </xdr:cNvPr>
        <xdr:cNvSpPr/>
      </xdr:nvSpPr>
      <xdr:spPr>
        <a:xfrm>
          <a:off x="11614150" y="58451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5B9BA61F-9273-40D3-A01C-FC73F3F9F714}"/>
            </a:ext>
          </a:extLst>
        </xdr:cNvPr>
        <xdr:cNvSpPr/>
      </xdr:nvSpPr>
      <xdr:spPr>
        <a:xfrm>
          <a:off x="9051925" y="6118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C3B5CF48-A958-4190-9499-D8B514E34A42}"/>
            </a:ext>
          </a:extLst>
        </xdr:cNvPr>
        <xdr:cNvSpPr/>
      </xdr:nvSpPr>
      <xdr:spPr>
        <a:xfrm>
          <a:off x="9331325" y="59690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51E384E6-BE69-4705-A438-ED61DE56D9BD}"/>
            </a:ext>
          </a:extLst>
        </xdr:cNvPr>
        <xdr:cNvSpPr/>
      </xdr:nvSpPr>
      <xdr:spPr>
        <a:xfrm>
          <a:off x="9658350" y="58515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2D6D359C-24D3-4EA7-80FD-5D664FB32A50}"/>
            </a:ext>
          </a:extLst>
        </xdr:cNvPr>
        <xdr:cNvCxnSpPr/>
      </xdr:nvCxnSpPr>
      <xdr:spPr>
        <a:xfrm>
          <a:off x="9013031" y="6198394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EC4E904A-3502-4CBB-899B-A313D6CA5FC2}"/>
            </a:ext>
          </a:extLst>
        </xdr:cNvPr>
        <xdr:cNvCxnSpPr/>
      </xdr:nvCxnSpPr>
      <xdr:spPr>
        <a:xfrm>
          <a:off x="9088158" y="6016064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C86A4B42-BA8E-490D-B9F6-7AEF22EDBB08}"/>
            </a:ext>
          </a:extLst>
        </xdr:cNvPr>
        <xdr:cNvSpPr/>
      </xdr:nvSpPr>
      <xdr:spPr>
        <a:xfrm>
          <a:off x="14963775" y="6127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1E388A90-DA25-45A7-B6BC-EAAEBFF48460}"/>
            </a:ext>
          </a:extLst>
        </xdr:cNvPr>
        <xdr:cNvSpPr/>
      </xdr:nvSpPr>
      <xdr:spPr>
        <a:xfrm>
          <a:off x="15243175" y="59785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67B5051F-34F0-460A-9DE4-A26851A4AFF0}"/>
            </a:ext>
          </a:extLst>
        </xdr:cNvPr>
        <xdr:cNvSpPr/>
      </xdr:nvSpPr>
      <xdr:spPr>
        <a:xfrm>
          <a:off x="15570200" y="58610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0E350382-829E-4B46-A8FB-7F0D4049D2B0}"/>
            </a:ext>
          </a:extLst>
        </xdr:cNvPr>
        <xdr:cNvCxnSpPr/>
      </xdr:nvCxnSpPr>
      <xdr:spPr>
        <a:xfrm>
          <a:off x="14938002" y="603941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7AE4DFBA-4467-4AD0-BEE9-55AC935041D8}"/>
            </a:ext>
          </a:extLst>
        </xdr:cNvPr>
        <xdr:cNvCxnSpPr/>
      </xdr:nvCxnSpPr>
      <xdr:spPr>
        <a:xfrm>
          <a:off x="14926795" y="619629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16F462-EEDC-4136-B8E2-AED8EF971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7D0358AB-D776-4155-94F5-CE4372B42509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56D070D8-0802-43C6-8FA2-67341739C8AF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D998BFF5-1471-46C8-8005-4021F31B07F3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A315E31B-CDCC-44B4-85EC-F4C6EF07082F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18B382CC-0EF1-46FF-938E-A4DDA0ED4F1E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70FD8223-3756-428B-B69F-78D6D9929287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FB98632F-6DD2-4DC8-A91A-F45BBFC6D955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52D32CBA-4E1B-4B88-98CA-736B15FCA83F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6D8A930F-DC6A-4B0F-85B9-C27E8543C7CA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1CD5FA09-E8E7-4097-8F90-69C4F9E3026B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2C2AC368-C0DC-4EE9-806F-08EFB8298033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1EAE2CCF-D9A0-48AB-8B2E-3A30B683D1FD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80065ACE-5235-4D96-80BE-566E5C790355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B9EA4C3E-6FD9-4F7F-B60D-79D2AECD9CA5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C656430B-F3A1-4BBE-8389-F6D5712F36BA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A83F4EDD-23EA-47D9-9B64-8D96F9EF0EA7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61E16845-0C01-4F64-AD49-F659370A8630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27762CCB-06E6-448C-B69E-12233FA3E81F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F0CEAD6B-CAC5-4D14-B871-5DEFFA79A136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28994BB3-8954-439B-A4BD-7E0B65A5FBFE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BADA7CA2-9039-49FC-99C9-008CF86A22B6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7E51F42A-BE03-47B0-AAA9-E11AA143CC38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946AD915-9BFB-4969-8B2E-6C56BDE2C594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FD8A4AC1-CC04-4A28-9688-D62D334CB182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7837BF50-0232-4611-AE4E-CC1C6212453B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81237048-17E8-4E43-A25E-0DA2280BAE0F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53C57272-1C78-44F6-93B5-75984ECACE4D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1BBFD05-5D27-4EDE-BF69-040671BD0C47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7DBC2675-ECF8-45CB-8C78-62FC60DE8C38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F08F6CE6-5DC9-4E3C-80F9-CF3C6A7133DA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0D9B542F-DFBF-42C0-94DC-7E837D6FEA6B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1EEF541-54F6-4921-9F26-502F5485CA49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638BDD8B-8D7C-455B-8D24-AF3C14CEC241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9A4A633E-16AC-4ECC-B754-D1EA07ED558D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6606AFE7-7345-4044-AB9A-86E96C819A2D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45BDC552-B812-44F6-A62E-15B2A31D3806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3EC23490-0A94-4ADA-8629-1785A1F89F3C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48B350D3-60CA-4226-A979-950769B4E755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EE255AA2-D56D-4899-845A-4AE956BF67D0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DD2E0B8F-E5C3-40DA-94C4-7BD6BA29C26B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99FD68F2-0326-4665-9B7D-3B5B66D71278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14866569-D2E7-4B95-8A8D-813E9C26BCD3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23567C12-B61A-4051-8B82-9CBA164C4371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1F7EC294-1BDE-4D39-B5CC-A59245E59058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598DC8E8-7F02-4937-B30C-FF319A781A03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B0DEC4ED-6AB4-4A25-817C-1778A3C474C5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BEC333B3-89B4-477E-9F91-5A9B029CC39C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A331FB0E-3E52-4913-BB60-A232C02758F9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ACFE7128-45A9-430B-9B35-50948532C32D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EB884F74-833C-42B2-B518-64C8F41D0E40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31F65E93-BD2B-4EDE-AB98-0FADABABB471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51FFA45A-4CD0-4969-979F-97FBC75C4080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ED538B1E-8283-425E-B386-2A8C548CEC72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4B4287DC-20A9-4AED-81AD-CB5C683E7379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A871F9D1-FB24-47A0-AE06-4338C137396F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255E8107-7782-404E-A776-466973D38096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29CE31D5-AEDC-4E70-812E-371DEA011157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D2DFBB45-1F1C-4467-A8EB-51B2BFB49D1B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1235D148-7EEA-4EB8-99F0-A60C8E93BF17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39366569-5AB7-40A7-8ABD-AB48F34D3D4C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24741033-B257-4907-A08A-A7361FEF284A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67DA13FF-5121-41B4-9D4D-EE647C851715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93495969-E565-41FF-B1C1-FFB8DC74E1B2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C41CE3D0-A116-4714-82CA-53A8F1590BEF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04C93A96-082C-4E26-AD5A-6F8B993A02A0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C3C44412-05FB-41C7-BC56-ED1DDB13FA9B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F4B2DFBA-0BCC-4866-8B41-97A25D77BE9C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59D00127-82C1-4749-ADE5-AACC1A1F78A5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9F553342-E9C4-4671-8276-41004E17DD8D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FE179F7E-DC36-4590-ACB5-E8D919332328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198D5787-E9C8-4EE8-BBBA-7781BA3D7CB3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1947C1BD-BC39-4377-AC98-DC464593F225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B3E2EF-CDFA-48B8-A987-55F1DB195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BB889EAE-104B-45F6-B201-64D4F46ED7FD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448F4AEF-1E7F-4D23-885D-52A0E1062EDA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40D9A796-8EA4-47D3-A48E-6CCB13EB4AB5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9A1CA9E8-9845-4EB9-92CD-24DDDDC82F12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C0C04CCB-EB27-4C98-92C1-18DEBC1D3197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596F5995-D97F-466C-B688-277976B37467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66CC5F93-BCC3-4BCF-B814-1CBF1BBB1E23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5D10FE-53CE-4E2A-94E8-BC41C9FC0787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D6C2E441-45CD-4D24-A151-4A99FA9CC302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B31DC47C-9F00-410C-A919-461AE9E6C8D3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77EF7C81-F0C4-44FA-9943-E59EFB4B5FDD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6EC5E509-C7D3-4E40-99D9-644CD4C80C53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63D95C75-28CA-4596-A213-CCDCBE61A398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3B5A04DF-6EAD-4990-854C-13331F0273DC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78B15C2C-F29F-4846-9722-E66C3B793771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C9922342-4283-4D65-A1BF-8A778498C09E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34740A31-4F4B-4249-B485-A977853D9943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545CFE98-1086-469F-8B38-AAF49866EE0E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6BC00B2A-C045-4AC7-A4BC-6B6FD429319B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1DA5152C-5A4A-4AFC-AA4C-029FFC8E9B6C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F4895935-EC35-4511-8848-A98FD18D1A68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556B4590-D258-412B-8123-D57F91EEEA40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1B362740-A020-4C7B-8DC3-09426EAD6A59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17513488-37E9-434C-B2EF-D49096F5CDD8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25F471B3-4BA9-4108-939F-0AF101CBD31F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D9450E89-481C-4EBD-BCCD-297983376ED0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A7C47D6F-6C25-4718-ACFC-C0530C190E76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9A95A55D-1687-4CCB-9007-1ADF0CE53AA0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DD3FEEBF-47F2-4C57-BE08-40C409A94F1D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2C84BDB9-DD47-4B6D-AEF3-790ACD4CFC4A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EBC44F1F-48DE-4F54-9D30-6DDE6E764DE1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67E6EC0B-8EF8-449C-A69C-3FBFE2786FC5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AF74A855-2C58-4F9B-9F72-C44FB6BBECE7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F5ED9372-121D-4782-82D9-46E684EDFF79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5E36629A-6EF1-4961-8DE6-3E737B5AA426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9C3F1BEB-36F9-4CE3-935F-BE56C3E922E9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CC0F59D5-BB49-4E36-81BF-CA642DCF1761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95FA58CB-DD09-4761-B507-E4DE984D48D6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45536622-43B4-40BD-9C23-E4DDAB39D877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F8107722-108E-4489-8D4E-2ED0D75ECCBD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EBC1621F-77E3-4C5B-8847-0EE6CC2788B4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522328B4-EC88-4A08-AED5-D02CAF6584A5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E0A178C0-ACB5-4A9E-875A-195935834ECD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9ED1D982-7332-4E9D-A6C7-2CE26E6BD1B3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F2EFAC18-705C-42B2-AF4C-BD331889057B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9B7370E5-FBFE-47C2-9DBB-F325DEE53A9E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1D81A479-8FBA-4C18-8515-D1EF1F6B88CE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761A4D57-A01C-42CB-8BA4-64AB3BE7D053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63922197-216D-4BD5-A557-F3A1C0C54F9C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11C58014-AB03-48D3-BCFF-95EFCEB47391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14C93DB9-AA8C-42D0-9A72-226EB6CCC325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991CB37F-3829-4121-8A5C-05E5A84BA212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92D9A8BD-EE0C-4EA9-8A52-8729D4A1BD42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2A9C4A0F-3CD2-41E7-ADCA-87C493828E6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DD057B5D-65C5-47C5-8018-E1C03CC61B07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A65361EB-DB06-46EC-9A69-DC8BD3D3F448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EBE61DF9-1133-46D2-8217-CDD39A0D2829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3EEB384F-E096-43C7-9E3A-FAE634089F5A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0D759140-C306-4027-9056-6751B97D90AA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EEA853C4-91CB-44FC-BADA-DF7F5238D251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710832F3-C320-4390-867B-85749C46B2D8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EA846DD3-0251-4071-A29C-F278F6E9F0FA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CD4D3C26-778C-4C0E-AFE3-3BF9FF46F638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6F576358-B9AA-4D6E-AEC4-C8160EBCF782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F434134B-16C8-40B8-96E3-70190346E759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0D202B08-40FA-48B0-BDDD-A06C9926C21F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AD269E8F-E72C-4EA4-A226-C7BCCC3F2C06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F27CC588-4672-4A1D-9F64-CF3A5A2EE7AE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EDD68955-3C5E-436B-8714-05D2DA44F44E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2A7D1DC7-1923-4FC4-9C63-2F62DD60B689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92A01BA2-38E4-4273-8731-F5C4C08D9809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1FC4D058-54BC-4907-9E59-4C26BFBCD4E7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2C891C-7276-4D69-B9F5-9CF3FF45F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7B37C93A-BD84-428C-912E-54040A22AAEF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D766CD6F-9770-4FFD-97B5-04F6DE50891E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EAF9C182-7FAA-40E8-A408-A0A47F9963AE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2F234059-C7FE-4112-8D44-1C5EF6197289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91CBD071-6E34-49DC-9C9B-C1E575C1B697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F77665B1-2A6E-4CB6-9965-A8FB36347F2E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ECCEFDF9-BB98-4505-95BD-37E100789A11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559DCB56-C9CE-4525-857E-46320934E1E4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555B7FEE-33B0-4C9C-8944-F16A31720311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C0532444-043B-4763-9584-2D8399D66E03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D4295BB5-E75F-4FB1-BDB1-0AD6182078C6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A03A38E3-347F-4591-9E71-1CA674BAD741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81D8E52C-CA98-4597-B959-7B5F137E990E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899BE6B1-D7FE-47EF-A27A-6434252644CD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1AFC4AD9-8017-41C5-A23B-D563DD069F25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C686F559-1B1D-43C8-93DF-DA0323A58EC1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95BB6773-197C-4CFF-9E23-F7A54861C8BB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FFB33A4E-4148-4008-A0F8-7B27FE208133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5EAFD655-408D-40F9-84DA-7FC6B085D02E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E52B8E74-F3C7-4D42-B2EF-A495C1D0164F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BC3C66D7-7DDD-4259-9988-2BA03DC3C61B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18032997-A3F8-4836-9600-AF7613BFE6D0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433679D1-77FC-4006-A2A4-A41EF393B742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292B005D-B0C9-496B-8CDF-2DE1A108B17C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DC756846-B738-4F94-B710-13E60876E180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43DBC7CC-2BEB-46BE-ABAD-221BBA2B3A01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7D38F4A0-6C1D-40B4-8F70-4BB3372F26DF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A5948365-1581-4386-98CB-27BA9BD403E9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48B5890F-D8C8-4B24-979C-FCAFA8C40475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2B95F505-7F4E-4713-98E3-CFE55C34ADFD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04DA5D4E-8FBB-4C45-BBF9-3AD2102F6824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1BD34AFE-1636-489F-AC4F-69AFBD3F586A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BA1FC871-9BA8-4F51-A793-1081ACE1D796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0FC5327A-A444-4C60-836E-7A1266C24275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FFECB96E-686A-4A30-9A47-B1E741E84FEE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11CDBE83-3F90-4EBA-93F0-CA6D6284F9F7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04233497-D9C2-41BD-8E76-79C141608D9B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1891A0DF-9735-405B-A396-D0F31512153A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FB446058-45AA-46DD-A623-5460A4913159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42366EA1-157B-42C6-B796-7C33C83E37B7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9536FF58-D66D-47A0-BA2A-8B950013F017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EA027C58-2177-4B6F-B03B-4A62687C05D1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BB83FFE3-6306-4DE1-84B7-3528822C39E7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2C073CF4-F974-4359-82A1-6A5309E24CF3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95A66A89-7FEC-46FF-B991-B82A9EF5176A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2D97480F-18B7-4FA7-BF75-665B16BC0053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FBE2C5AD-F00A-4FC8-BB06-8A747D0A8CAB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3BC46B52-FD7D-4DF3-9EE1-B99F24D52496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F57A7E72-FA7C-48A2-8F52-72CED2AFB8D3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9E783AE1-AD26-4377-8D35-8B6785B913FF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E5FC11D6-F757-4A07-B3DE-093D7AA9BDAE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2D8DD497-B9D0-451F-BAC5-135F52AF5AED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3EF16178-88F9-4640-B670-1FDECD0CF073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DDCB6DC2-143D-4226-B6F6-B17C9ACE6825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4A23DDD9-4D2F-423C-83FB-5737E85B74A0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C7AB634C-F27C-4D2C-84DD-D7A60846B344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C9822325-33E2-4071-87D4-59A91ABD9505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BA3A0242-791E-4246-BEBD-CF6E70C860CA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18BFEEED-BD4A-448E-B20F-0C49E21AE801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16582D46-D3A4-491A-B8CF-E12A4E89B80B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E69F24E8-B737-45B5-BC1E-4B8E68400D95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A88F0235-F72C-435F-BD8E-5B34B91E3BE5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071CDFDA-4536-4810-999E-E118C2A69198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73E0AD51-BF6C-4CD7-9A96-54D80AB9388A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4703AB68-CDE0-4B06-BB40-891B53A380B6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26ED74EC-7325-49A5-AF15-F7E3437921FF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3AC43642-E441-41D2-9EBE-CDDA26FB477A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5F492B09-F5B8-4298-A7B8-40417AB8A0C5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6C5AECED-9D7D-4F2B-8860-7E296677DD46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005F262A-BCE9-4BC0-8DC7-7052399EA5A4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4303D5B7-A2AA-4962-B31F-151F7BB707CE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03B37938-50FE-4E2E-9CF7-F9EEAC9F9576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F4B978-A50B-4341-BC2E-6B38FBCDD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6AEE5FE-49A2-4A75-BDA4-C40946C1CDB9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81874D85-CE36-426E-96B2-C67100CAF242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C0C0ED2A-8624-49BF-B7C2-85E2E5ED51D6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63C4970F-B260-4B8C-B814-A2B5639F66CB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F1206186-82D6-4CA9-907E-B1C5D8E0B8B0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990C6687-353D-4B71-BFF5-04906E048972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4C65BB8D-B9AF-4B41-A346-27FB8FC5BFC9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592159D5-D15E-42CE-9A6B-F790B9A1EA1D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66942CD7-701C-4AFA-9415-458476BF24E9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B274F547-04CC-416D-BB86-C312F0D4BDC8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7486168E-8B17-4BF2-BB24-11831E4F8FEB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B0ED4BF0-7475-4119-B297-E84BE36A412D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6CE27A5B-9903-41BE-9BD4-5701127F2561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BBFD14AD-ABA4-4593-A8AD-F0D1A592E9D3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884B132B-756F-4B28-B519-C3B789B37A04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792312DE-F207-43F5-9886-293FBF95C815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F7C5C1D3-9E62-40B0-B7F0-A8E0DB152C68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1BB560C0-27EC-4C9A-B689-C74B5453A06A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EDE7F1EC-41FD-44A5-87CC-71E7A143E366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9720A07-A1F1-4E65-97E8-B2ED0FE9A57C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0ED7F6E-B7C4-4866-87DF-183A014BDE7F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30F458D5-416D-461E-B570-66879B7B4DD1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A56E0063-EAF4-4365-9153-5B40811B37C5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3A000C9A-53B5-4795-8002-11C4031B424A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D4DCDB2B-1766-422A-8748-C2A43C59D35B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F0E2712F-8B25-4441-8D4E-8FE07830D31A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B9DE4721-C9A2-44E2-BD19-9ED53EF0435E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F61CCC1-491A-4923-BA70-48DADFF4835E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ED5AC9EA-0C76-4B26-BCE5-C33B5B93235E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73C93095-54ED-4996-BBA2-A937EA0DE670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431AB978-1325-4A6B-B5D9-A23566123888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C19BD3B-70B2-44AA-BEF7-BB31948F75B3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9B6BAD49-EB10-48EA-8F8E-4084E07E69A0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BB8F8C14-0F4E-426D-B6EB-9F387A525C4D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253A9C12-2F90-4DE3-8CE0-C79AABE66613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1E789404-3DC2-4636-81DA-C365BABB3535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A071CA1D-CF1F-4493-92B9-3C4FDCC78C20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A01BFC6A-6E84-4194-A60B-7C3B5D7C3BFE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D8D62682-227B-428A-B019-440D2F5F9612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A46655E8-1DFA-47F1-B44D-DBAE64138AD8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7B8D8BA3-3DE0-4495-8DBF-F91BC1C8850F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D60EDB06-DF2B-460C-9AC5-B40A809ADB29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AD9CF7C2-FC4D-497A-8F04-AA65810E7452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354880E9-D3ED-4229-895B-5FD026FE9FB4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F1CC23E5-B682-4351-92D9-A71BA4013986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FDA747C6-0BC5-4D76-8BD6-8E52C7688902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5CA0E372-4C88-4F77-978B-2B635CF7CFB5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96BDB92F-410A-4586-9248-38FA75A53A95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0DF39402-B66D-4055-BF4A-D1AF04BA20A9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2C8BB0E0-1728-422F-A1C6-5205E9895D3C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89BCA296-89FC-420A-8410-43F5FCB3965F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FD5E76DE-DCD4-4F1C-9ABD-FFFA3B0854B1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CE6E8D10-DE1E-4478-B5F1-2F34A458AAFC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B38909E0-AA1C-4736-B8DB-760580344515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8EEBB258-5AA6-4703-8383-8AE14BFCBF06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818E9B83-5144-4E59-9251-48AF63631C9F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38D18CB-C78D-4F1C-9248-07D08800051F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6959A7EC-DE0B-4563-9CB2-66968C8CCE51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27866FE5-F739-4F2C-8010-B3387BDE3EB0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8F0A306D-1273-4F2B-B80D-08D8E8C4062E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97C00234-3801-4F6E-9641-93BBF9DC2D1B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51BE485B-AF67-4C81-88C0-47950C7A05C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46582430-79FE-4CA0-8F0E-68817F683021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FF9B6D0-A1B7-4E22-8E90-AFFD31F12B4D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FB981CB3-8323-4656-BE28-C603818CB8E0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7C677D9A-33EE-426C-90E7-92F645FCAECB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0DF665C1-D00D-4735-9A7F-21CF1C753953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C8F6CDF0-FB8E-4694-9292-D0B36BF91CA6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5D46D1BB-B3DC-42F0-A897-5EE0E89A11C9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687EE5FC-6E97-4F35-AB6F-5EE2234791FE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EB2CA0CB-8051-4046-AD0F-D132F195964B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ED4A68E6-DB98-4E9F-8987-CC84D1D4D112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0417AE-0B78-49DF-A02D-B4A91A668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B8495B0C-BF72-443A-AF9C-14361C6BB3B2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7F964DE9-78FF-4D35-A16C-0C7E3C2AF657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A7D11AC6-33C8-4DC1-8FA5-A124B4A6130C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4E2F2506-DF7C-46A2-BD09-88EC35303FD1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F4B5215E-8CFF-44AC-A65E-E8D6A9B902F7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1EE7EB03-10E0-4D3B-B236-BEC201900F39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186A0B83-C656-41D0-8751-1B4C02C81DE0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388B7383-8A9B-457A-9B00-D2F2C4363B5A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49056E29-DD1A-41D9-8BB0-7E9478C36248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797FA89B-BD52-4D39-91E6-A18067EEAAFD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3547C539-CE31-4E2A-9B20-E562766E1A44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D28D1033-5D7D-4AD8-8ABC-A865C7A2A94F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60AAACD7-783C-4D79-9A32-9B2E3C73F88E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EBB1320F-C099-4791-9607-15331BF4F4AB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89291D5C-1397-4306-A0C4-B9C7163C6DF0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ABF285BC-C328-4DE2-99C1-C1631ECDF266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AFDD1AA2-A49A-4E65-A416-EC3008FFBDB2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419B3D06-BBA2-4786-A693-3233BD394F3C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21B81ADA-F048-4EEF-A0B0-5DC02B1D63D0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453A424F-9C83-4145-99AC-4D156A6EE390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D6FCF40A-9BAB-4C67-98EF-6DD2E7EBD6B8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1C51E53E-11BD-4543-A4C7-876C46D09740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D6D1BCA1-AF45-4193-995D-5F079D88CD7E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4EE9FE50-C6DC-4191-B023-0CA6BB4E1D36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95610560-C228-4BFE-B9CF-DC59BE37CD35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3392C952-53F4-44CB-9CF6-33FF4B143223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0C6344F9-1BB5-402D-B715-028597F64A5D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AA63B056-6F3A-47BE-A5CF-9DBFA902017F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0BF386B8-2181-450D-9A1A-CA4315D2EC6E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B30937A4-94C3-4C3F-A724-AEBFF0B5E925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1D68487B-8485-4F60-8B97-B37BD06A6D4B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3549570-6BE3-4853-817E-2227D228EEED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80B76A6D-B2E7-4CD8-9DD0-4667C63D35FC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F9143436-F69D-4751-9E6E-49B5D1EF2EDF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B9F4AF62-D5B4-4270-B405-143973D59BCD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DF1A75B5-D8E4-4545-B47A-7962C936E1FF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636948CB-7CD9-40D7-9F59-A99F6DB83D49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D0AD4A79-6FEE-49D6-943B-A0B26A5407A2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E2F0CCB3-9C77-41B6-993C-757299837CD5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FE5C8E2-9A87-4F14-9AA3-8F70D678901D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A96E25B3-579E-4F70-A0B9-3A0C5B7C51B6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D8608A35-79D4-49F3-8DFD-DE933FB6F5CA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CF8C0C72-1111-4EEC-B692-BB8F7712CF3F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DB9BC40E-2267-4AC5-8912-C790475A2104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5D6583A8-A255-44CC-BF6F-23F231B68F2C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E12C2495-52EA-4069-8FD6-854E21BD4B52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BFAD0EC6-2BAA-4515-A5C9-5EEA510CC833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0B429039-55B2-4DAF-A493-978F5293F8E1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37C376B6-CAA1-4006-AD17-B8A814A5AE5A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FA0311E5-6CAA-4FAC-9120-8C204DC12779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D5F94722-0F1E-4783-A6CF-F3C25BB2D84B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FCF7D342-1429-4F09-943A-F0A89AF6816C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44A69A6F-BBF4-40CB-87A7-211FE09838BD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85B934E7-FA4A-4524-92F2-2C8642F122A5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6394BE96-9FA7-4C9A-AA12-8C4B8B740685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17B97031-532A-4ECF-99DF-B4C9FE12FF85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C73F5D8D-3B0D-4AE0-9F9D-633CC076D893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6E98DAA6-39F0-4A8C-9526-EC2E3A8B8F34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9DEF76A7-5A81-4E91-A785-077FA8B6B20C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F6990ACF-9BFD-4E9F-913E-3C6F922AA49F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A87137C8-49E5-4E2F-8C17-9C3F90D21523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24FB7EEA-FB4A-48A3-A162-EA6F45F13B1F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0899506B-7438-4076-8E26-870F1EAA7C79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32120EB-2B54-420E-A79E-BA743C48AB7D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2C6D893B-9E5B-45F6-8609-4F97AD8B3454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893A8734-D829-4B67-B02D-BCA262707964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0D0049B6-7F5C-4097-BC88-28142E381E3B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E7681EB2-61BE-4F84-BDB0-4013252C5703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EE5DBDA2-1AE6-4B2B-8DA3-0DAEC1770A9A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4628A361-EA9B-46CF-BD26-8D992C4EF540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D2588999-ED7F-4A8D-94EE-63E278F7771A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C6608A77-C55C-461F-BEE1-C3DB5ED29593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2B1BDA-EC55-4661-9B61-E5E969B2D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9FDBB6-17AE-4E56-B4BD-B7E206071710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E9E7BCC0-09AA-48CC-AB7B-AED582B4E556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23FFD143-8AAF-4D18-B826-5B3232EB1002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CF2427FF-0D30-4E38-AE7C-504DEA795682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C4CE891D-B932-49B1-9AE0-27BDD5E8E91B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611CCBFB-A7DB-47A1-B72E-0D4D3BBE046D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5C524C43-0184-42AA-9FEF-FEFAFA618BAE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2FE3E290-16BE-4117-9742-7F4F06A6D69B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0012EFB9-86E3-4BDE-997A-922C0B6A8E13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AE9888E9-0AB4-4F08-81AC-4F2C9E89D1C5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B2B6DA30-9858-493E-8FF7-DE65CCF8B8FB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6C66FDBC-C557-4A26-B741-42E50091C1BD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27DF6F49-DDF8-4181-BD3D-CCE89EC017BE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65D608E1-B983-4ADD-A022-463FB531EBA9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20479FC8-9E10-4429-A3D6-BB87D81EE2AD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2ED7FC30-CC8B-41FE-9215-59E53F1CEF69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66207DE0-49DF-4B09-B3E2-389D8CA33163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05C9EAEF-4EA2-4851-89ED-51EB277F7FA6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F984FFA-C1CD-4308-9068-D04D52380D65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99535ECD-A107-45FA-8663-5DFC08B55430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6E06847F-987B-4095-9074-972CAEF2185C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CB1FDCD2-6D56-45A9-8D5E-191E1EE7271C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74F2C1CE-AF95-41BF-BAF4-AD92E37BAFF7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B454E29-23C3-4CBC-A4D0-68ECDFAC2CE2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08DE08BC-72F5-454D-99CE-5ABB9ABEC167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10C7F5A6-617A-42F3-A1DD-EF995A8BAABC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2E1BE849-65C6-4006-A544-F99EB0B1A241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93B5CC4A-B4FF-4856-955D-4BFD67789E66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9E4CE7AC-9FEA-4EDA-853C-A48E9840C215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11A64EC8-5464-42F3-AF91-A5F241B0DD0D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42A935A1-A735-4BEB-8454-D5B7990A54DF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3BBE9B1C-62FC-4A47-9E76-8B6E0827CEA4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7A2552FF-FA63-490F-B851-8395F0AFAE3C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1B226F5B-4EEB-4292-8941-268F8D88B2CF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C7770F88-968F-4852-9EA2-0185854DA8EC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92EE72A2-3F35-4A25-BD5D-2272BF2525AA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70F8DAE2-EE07-4F7B-AC0E-A1EFDED05862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903CF778-9F00-4ECD-B416-5299A37926D8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17B93D6D-6BDA-47A1-A817-F2F617B763B2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4E3BE810-E352-4472-825C-062BD6CF7686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F2D1DE8D-D120-4D20-BB69-2A95A9549E14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318840C1-DF5B-458B-B8DE-E5F4AA9A9E4C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B4844AC2-7EE3-4215-A4C4-7C22EE092DC9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B28C20DD-EEE2-4D72-9E31-C824719E17EC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B73BB310-D4C5-4AE7-99A0-3C6C7767F380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E8D7DB7E-3701-4DEB-B86F-D40E69AD1FEF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1BEA7B18-22C5-4C6E-A33D-9A00C188C5F0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ED610374-A146-4D34-B283-527ABA820A94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8AFA4276-51A4-4D1A-A933-730E8FF31B76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619ED6FE-1827-46D8-950F-9AE33767DABC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0A0976A1-0E0D-46EB-8B95-285BC85AE5A9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25C82A15-F9A5-41DA-B272-168C19521801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771704D3-1C42-4021-A37A-28D46F0FAC7D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A239F183-7E5C-4CD9-9576-A715BA37FB17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4D66A807-EC22-4720-B926-0381ACEBF8B8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79B1149F-0977-477E-86D6-A62EF77C20A8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E2E3AD7E-E70A-4449-A3EB-2D61F64C475D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553E3016-692E-4CB3-B408-9EC5187580E5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A8EFEB41-E4EB-42DA-94EB-1A4A136008E1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F04F473D-1331-4877-AEA4-C6773A6B078B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E37C57F6-F42B-4B6C-A0CF-799AB25B9C4F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D64C78A2-F050-4181-9245-7F027786DA6A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1B8F20AF-0CC2-4172-8BB8-198D371EE3AE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A0496B2C-D285-4FF2-AF58-779BA5789856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D6A10D66-5107-4D7C-A28D-68DAFCF67626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5E3486AB-2FA9-401C-BF06-49820DA8AE33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8C66310F-8AB7-40A8-BABE-7D61DBF23BE9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91A5B984-31F3-4DD5-A8E2-2A2C08F1B130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446F863B-4DB1-4592-BB3D-68FB13FFA920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BFD87F3E-8234-4947-9F11-63040C33495F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5788150A-229F-43CA-BD94-26E75B1F9689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0D804591-68FE-4B93-8042-4174A6C69330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C49132-2C79-43D1-8D9D-90EAA10F7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4176970-5F11-435B-B8C7-A63EE0CA1449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4BA6835C-00B3-47B0-A525-E7D0B4597F77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A5EA2183-612E-4F0A-8C07-3C7038755CC9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25207373-06F3-4995-AF08-CAD863DEC9FA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CAA06385-071A-4ADF-A222-7A2312BEA191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638DD64F-94FA-4366-9935-636E2078F7A0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8C34134-7E44-4A37-B9E0-89097E9A23B7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706336D6-F492-4E40-B140-0C7B49112C7B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7CF9B231-2F38-4148-A428-EA62AFE3F2BD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448511D8-E5E7-4E18-A2DA-62163A3559B7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54E4FBA-BC7F-43EE-A932-82448420F176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5A6DC487-2613-4C98-BD1F-1F9257568F42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19F7DDF4-4D42-45A4-9C14-23B24586F272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67920B46-E310-4895-8560-14A971483318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D5E25F2-4737-4222-A5D5-77849BC479FE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58393437-F9FD-44FB-8717-2F852714E533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62BB1FC9-BFB9-451E-9837-39B1E261C4E6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F8F61F50-9938-4CA8-8605-72C99B7E0B98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B070B3BF-8455-4033-9AAC-F9EA0EF85A43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1C01DF76-7D45-44ED-B1A1-B641293A57F2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39A610A9-AEA4-4AD2-95B4-78ADAFE3A515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E306D2F7-3CA4-44FA-9293-FA33DA40922B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3FE442C0-399E-4FBD-B98E-3A9035F6B65D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A4D98BA4-2A77-4C78-93C3-4EA8A2CFCDCF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3F42D322-3E67-47C2-9A82-F6F8275065D4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960A9F64-9F6E-48B7-BA50-4A51B9D2F452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6BAB79FA-629E-4F3B-A5FC-5E299C18B2AA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A3AB73F2-2192-4463-B896-E397953E9A78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2674FC50-36FD-4BEC-9C11-DE7CB9DED5D2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AD56436E-32A8-492B-8361-3287753EDB92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A37A00F5-D39B-4239-9B2A-59B1765529C8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B307F85D-2479-4738-B716-00417D5A6A66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3E43F47B-E994-488B-A548-7CB18FFE2F1F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B6A6D081-E684-40C9-ABB9-3E25DA095152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6B54D581-7E51-4485-AEDF-FA113E27C00A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AEB069F9-65AF-4023-9AAC-F4E6C15BC227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7D3110CE-FD8C-494D-A3A6-250C08B78B85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AE9C4568-27B0-49D5-A1B5-1142332B68F1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30347771-9914-4D0B-A06B-6E92D45BCFBC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1565CA0C-0A69-4D81-8FDA-157C07B4D125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6F8179C6-7602-4483-8498-FF24300173E7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96288917-FDDF-4D7D-B8A8-6BE40FA1674F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C512ED55-17DC-4E29-AC4F-03380495DE66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AC0868D0-AF53-49D1-9506-BAB945512B01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436A7CC8-C7CE-476C-A222-91827D3CD5E7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5D8EBAAE-05CE-47C8-A1FE-F156BC919554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040BD0EB-6E6C-4720-A94C-FC3226357CC7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857C8AEC-06AB-4177-81CD-9230A844DC51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14E566A8-22CB-4043-954B-3A81C5D3B8E7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A640EF77-3290-4414-BF40-D220FF0D40DF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BB1C2609-82F6-4A9A-B0C5-B3236581C618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2B80671C-BF37-42D2-A8A7-AC13E4B02586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A7511D30-0FB0-4CF2-9D59-D397A1C6C3DC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DBD01FAD-EC44-42BC-AE18-FDDB250006B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8E4BBADA-5BC0-467A-B1F3-9C7400BD5683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30864451-36F7-4EB8-AA87-C41682BC05F1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DF4A93C5-5417-4139-BC66-564361E40FF8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D7AD7B3E-97E2-4DC1-A3A3-668A07446CC1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77016EC0-27EB-4577-AA75-DFB0DC4150D0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B1B329DA-093D-4315-ABF0-3662BBABD39A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6CAA8F30-0E71-4001-BE0F-2E394978A35F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179F2522-FE68-4D96-B922-2F3B1313EA4A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FF6D6C05-E893-4593-B56F-516A2F2A012E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323A20BF-1398-4BB1-A56F-4A55F4058527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97272939-C9C4-462F-88F9-CC90E0639F81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49A23688-7A66-4BE3-9CC3-37001F5658FB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2DF5F0D5-2C85-4308-8483-59F6F4016112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523D90C5-594F-42B6-B671-D01BE15CD28B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704B270C-61B5-4059-B291-36C6B80E7016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25F7F466-0A60-4DFB-82EB-A7AAFF091EF4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76F444EE-CE1B-434A-9A02-D1C0CEFCCD42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4B4093B9-22BC-447F-AA96-7812E0E42BE6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E38400-BBA4-446E-8DE1-3B693C092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E125AC81-3D3C-45E8-8C08-73C0EDA3C545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1C74B18-0170-4602-BBFB-99A2234C8480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D92DD4D-4CA8-4383-86BD-8D2D4707E42C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4CD9CF88-5498-47EE-A1FE-4FB0D6D355A8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90B1619C-E7C8-4FDC-AC20-2DC9C263E1CC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6D938E78-16A1-4A39-8D82-89C340073237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396C0112-7D7E-4A13-AD77-181C37FC00E4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59B4F76C-5FA3-490D-9C6F-7B47AB0DF19F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294F0380-48D0-48CB-A203-5F9F875FE4DD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8BF906AE-EE57-4632-956D-3BEA44B04724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E2B6CA3B-7331-4230-8179-9A03F93B5D8E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825B26CA-89D6-41C6-B845-0C33556158CD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CED2C5EB-81BB-4C56-8722-471A583C61EA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933F3397-B945-402E-8C06-8CD2227546D9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987CD7AB-414D-4ABF-9BC7-384F4D8AF3FB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E29CF619-33D3-4C00-B115-75E115246866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20B57869-2B66-4E38-8CCD-3196D7ED09A8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A9D2BB30-EB42-4036-89F6-80D60084AA1C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7AF1F56F-8A7F-461F-862A-605845310BE6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471CD367-CDA3-4FB0-9355-17A3140004BD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B7E5A2BE-F1B5-4E22-89F5-A754612E7ADA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539479A3-807E-47F4-84F5-93E9159F1EB0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0FC930A0-8D9E-423B-977F-E01716CC30FA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DF16CF3C-0BC0-47CB-863C-8B5EED7BAC9E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CEA25884-ED3A-4806-B469-47662AFE6307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FDB25844-EA89-44CF-96D1-0B4485C5E1EC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743D7E5F-02E2-4C08-958B-71CCA0DDF109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3369FEF6-4C57-4C41-9E4A-75C71551274A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772447CC-72C0-4BF0-8B36-AF6937C76A29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05853224-DBFD-46C5-9FB3-D0F2ACC248B4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74CF8FEA-834A-466E-B3DF-5EEC7FDCCFFB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58DD036-0526-439A-A9C3-B5EE51A974D8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60408012-3707-4E35-8578-CA79503C4A14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96B1CD7A-235A-4758-BCA7-DFB681883F5A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ADDE607D-7E3A-4B28-A09D-B5C70D67BA59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EB5B120D-5F1E-4768-BD15-953DD8E348D8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F4208244-399E-4F98-8238-A1184C43238D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49F7C81F-EAF5-4D97-965E-4B1FE09F02D1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4E3429A5-6F0B-4E00-9A11-2B2858558CDD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C0BA29E1-4101-4BFD-87B3-559A6F95A9AD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3E5234A7-DB95-4139-9D55-66E3C5CDE411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ABF5E5FB-6E12-42CB-BCB3-FF44E305EB5C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803F791F-B30B-4455-84E4-215D30835E5C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9FBA742A-6704-42C6-AE66-93400E5635FE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8B10DDA2-0C67-4330-8AA1-B8BC49540C5B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4E77277B-8812-4B7B-AF91-D81BEF19A7D7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ED7B2696-2AB0-4486-8AD8-6DDF958195EC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B73D1AB8-5A10-41C5-B110-10868C0EB4E9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07FD7393-2256-4D8E-B590-EE033767CE7E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2DD5C432-4ACF-4793-8D08-650252719EB3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02DAC805-D4D2-4D48-9EA9-38CFE8CE128D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96990DA-9BED-46BC-825B-94A6E3CAB19D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ED44A346-1822-4B34-98A5-AF1E1AF6EB8A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3AFAB7F3-2802-40F4-AC00-7678508F6B8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BF9AE1C6-D644-44EA-BBBD-126C7A0A5397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3C4683A9-79E5-4054-A586-334239DA1682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99EB5AA9-9648-433E-8797-43BCC42EEA8A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8463D2C9-5CAD-458F-9786-FD45D227851F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DE181076-B8A0-4297-B55B-6E59E2C449ED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8031A430-1A54-4A6A-B40A-7023951F105B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773AC27C-2D6B-4282-8B0D-8A3298CE72F3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7A3B8F4E-2045-404B-9040-63772A92DBE7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9B5882B6-1FF7-4938-8C82-7A07629EED4E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675C2160-677E-40AB-AC50-D37702279E5F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88D7B3E9-8B5E-4016-921D-1C82842638E0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F2C1FEC9-E595-4C68-B44C-11F168FE14EE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084AFEFF-0502-4793-801B-1E1225AD1FEA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4EE58BE4-4063-4F35-BE36-DF6B8EF9F343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4EC0FD86-22EB-4453-B6F5-D4CE35F6893E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2AEA80C2-4CC9-484C-9688-7417CEBA321D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DB5692C4-E6D0-4E74-9950-E3C0BC1CB026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75A8CC71-848F-454C-9E5C-26CDE36FB209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7B60F6-85C5-4454-B801-2B565BC41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6BD7CDD4-A490-4273-8214-89DFADC151F6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C12E6F48-E5E3-4E6E-B964-4C8BBD125ED9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3E19550E-5C1C-4032-9000-27C1CD8A69A9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7F2DC556-9234-46EC-8396-877413BE1539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57856FBE-D7E1-4580-A95D-1B8D96CDD95B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5B3988EE-8EEA-45B7-8EDC-6F9FABFCC18C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F6F47192-BB25-42F4-A62F-34520D6B67C2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FDA4C58B-415C-466A-995C-6833AA09907C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0B25EBAA-E248-4EF7-92F7-9890F9FAC535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4239C3C7-4A98-469F-A542-AD3E79C5D65B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57F00B69-AB8A-4DAA-B396-B26F76C8196E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A47AA67C-DF8E-47F1-9BB8-287FA937241B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B55CCD32-3F3A-4B27-A8DC-8161FFB59D4A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24BA4C9A-14C8-46EA-BD07-B2895F4CC4A5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D3615685-9931-4646-949C-9F86CFFB3C64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8FF30278-1A4C-45EA-BD40-7F73F445A8E7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736A2A1-92DD-4FF1-94AD-FB8276A71DFB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E4A1AFD9-7830-404B-B01E-B88EAFC7E98D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EF09CE5E-613D-490A-A75E-ECD8BB887D93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559C19F-A24E-4147-B36C-B12DEBEEDA61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9996CD45-AC13-4D48-B75B-B8D91730C782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CACBA6EB-A57F-42D3-A0F3-A02A34D3E2DC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4E6B385B-270B-41F0-B7C1-270AEB144D78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8B9BE3D9-DA72-4C4E-BF4F-D2C41D47A7B0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289D43B5-4849-4B75-AA62-CE7D829A749D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EBBCC4E8-8FA5-4B9A-94E9-68AF1158F8BC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154E7EC8-7415-4750-B463-411EB795045A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F505F780-0C51-46BE-AF3E-CEDF36971F59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D71253D1-EE8E-4159-AD88-B1A85545358A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5362611F-E4F9-4810-9FF3-5A49D79399D3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29D7298F-AD3A-4DAD-8E99-9DB26EEDE616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E7DF21CD-D16F-4B3A-98E9-86C0137723D1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DF5E8921-D8D4-410A-BA61-464D47663155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CA3DEB17-8492-49C9-A6A2-A6BE52B139A1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E83534E1-5150-437E-9262-87B509C04777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1FEED687-7115-4024-9BCA-48FB93306A4D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D5FD0B24-9679-4EE1-89B9-B98506B24F60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D710E0CF-B708-43E1-8061-B83335567F9E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D8DC869D-0903-4E1F-80D8-06FE70E94AA1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5BA805B2-25D4-437E-9C8F-45A1AFC1B3DA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D3F19C50-2887-4538-8AEC-5A2FB8078502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C406BFD8-17AA-46CF-A921-268519EC93F6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4A61F921-52D6-4AF8-A735-412CC9BAF518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1361BEB8-1F47-4D76-BD91-00DD2FFD4E8C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89BEC0E5-D0A9-403D-AAE3-816D002FBE55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70C7BEB3-24D7-43D1-8F0E-1169785BA16D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7EE9EB1D-E90C-4E08-BA8C-E17E30EAAAF8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57FC4111-DFF1-4138-AAFC-D5D51833F600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C973C907-5E3B-4618-B578-7990FBE5B773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3702811E-5AAF-475C-BA03-BEED1F0F8D2E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6CFCB02B-37D6-40F3-AA5B-D2BBEB95D600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D114CC7B-9DA8-4B6C-AA34-F6B1EC6F414E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20762366-ADC2-41F3-982E-44D574848216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8A99D7FE-AC32-464B-ADBA-2CB6E00E9522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F69DB23A-3962-47C1-82FE-469195B08103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5DEB827B-7710-4562-A41B-F4236DB4DEDD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6723B147-C667-4932-B2D8-DD322A3A6C83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289F9A36-EFAA-4855-82D9-015776548D30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F26E597-1A54-40D3-A061-CFC4A1CD99FC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2730F6B0-55D7-403D-967A-1D82A951ECC6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EAE81788-F494-4E52-9704-2A16D3E85DC4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3C505645-3116-443C-895A-30845E3F4EFF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F8D531D1-A9E6-4C0F-B8D6-351B06B9B854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7F4CCFFE-87EA-49B3-897B-5B9C9C273798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FD953E4F-9DDE-41CE-8638-F8A0593EB2B3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338A9726-1FF1-4953-9756-DF19B75B10AA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80EAED5F-880E-4E1C-BA56-D762469F0DA6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320FEE18-FCA7-46B0-9565-F24C0AF8D095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D755CE2A-E21C-4621-83F9-CF1119A3E8B7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5833B767-1559-496D-B64E-594E032C8D0B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919E5C48-D438-4E32-97D6-028B689F4F9F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09F84F33-DC57-42F5-B87E-F79181D64FDD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C1C6B3-FDD3-4561-A2D6-61F69FBF9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DF181840-338D-49B1-961A-FCF20C66D4AF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B9F163D2-8D3A-4A02-AB6F-EB1CFC240495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4FCD31E9-A70D-44AB-9FCB-EF495F772D8C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F2065B14-6ABD-4547-B0E6-60D4D47344E5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D10CF35B-1A1C-4371-ADD1-70DC20C243D9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327DC33A-BB90-4FE4-A176-8CF25DEC5693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361C09FB-36E5-4B27-B087-95750D61EEF6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5F25986A-EEED-4B6A-AB18-2FE7BF0D3050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189E986D-80ED-479C-9F00-46C70F999754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C9F75A37-D15F-4F30-B728-276ED88F6F41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92825BCA-C8C8-4CD1-8C8F-9525494814D7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8DE963AD-31EB-45A4-9B1D-0D4C42D70580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DB4E8070-46EF-47A1-88A9-A1D2A4F42075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BF8BA96D-2068-4342-822C-983BC5711365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734FC2FC-9BB4-4BFD-9A56-70DFAB85BB15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537F05F-102E-4C9B-8BD2-D6CCBD8494ED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9F706EA9-98B8-4310-A41B-5A79D832309A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ECD11535-5903-44B0-84BC-D4A28C9DED7B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1F5A91C-2156-4BE0-930E-8D9E3CF6248F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CCBF910B-5F57-4A9F-BB1D-B3E7F3CDC194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BF6B5411-039C-42A9-B7A8-C225F33B3FED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47C0A512-66E7-48E8-BC40-06F873C66516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72B63F3F-59BA-4146-9121-D8FF394BA1A8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5E689EAA-55E6-4A8D-A78E-749318564A0C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A07CF38B-6847-49CA-9462-CE7DE1F0B7A5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E598EE29-A2A0-426A-8BAD-58AA1F20AEB4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BE692E7F-0348-4C04-9C40-A1E480BA3001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2CF934F3-1AB9-4477-B2B4-78B7CF819672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CD09FB0C-CB5C-46D2-B560-87A5AAAD6002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83ABCFA9-6B80-4ED7-A133-910E3BDBF01C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5D299E76-F94B-4797-BAA5-EE91011BC2D7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AC517CD6-06D2-47F0-93B8-968B82593105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AD078698-EA8D-498C-9937-CFD6C3C5E7CE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B6D41D0D-4F93-48FD-B52A-22FE1C960163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6755E52C-909B-4ABE-B543-60DB5FFD31ED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A916B9CE-A8AD-453C-9424-5C15717D3425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093E04C1-44C0-493D-BC47-E13E43FCF9FE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311E7C37-83FC-445B-8A22-10C278A081D6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1D6F099A-5415-4782-9259-356ED0FBCC73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CE65BB7E-A289-44D0-BDD8-87A99B38143E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3D14B80F-C11D-4551-AE31-023F3DD75C90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301FC3FD-AAFD-4545-A744-F4995000F522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918DEE85-C716-48E7-AD0B-AE9072C8CC43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B80CC2CB-DCEC-4E62-9286-8C5E5899C272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771BF91B-2624-4E00-9E42-AAE62DE643C9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562C5977-F5EE-4A54-9FD3-5F5010CBF92B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A23C938E-64BD-48C6-A85B-0A6A8B5CBF14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9727406E-0733-4028-AFD5-532FB536D710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2431972C-94EC-4954-BAA7-2C49E2340518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543390E2-3150-43FD-A84A-243CD15C4F1B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4C86EBFD-8F0C-4561-B85D-1C70D1ED1EDF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5343AE45-5100-4430-A313-40199D62C684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5547A9C7-8FC5-4492-AA7F-BD37E6CC00EF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A35DC4EE-49BB-4152-98C1-259165C941F8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3D37AADD-5F66-4A8E-B169-0FF69C44CBB8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F1AC929B-07AB-4931-BC00-2DE9B29A5643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50DC4B94-02B8-46EE-85FC-448A2CAE02E6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50C07A2F-2D3D-44D9-94BA-28DF7B20BEB5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B97A8D81-9B92-4E4C-87CA-5F3549A06B69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4F225A7C-6571-4FDF-855E-366ED18DD350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B89B2EB5-EF46-4B33-9D4C-EA024B5E07E6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EA036444-E51E-47AA-8CC9-C70DF7A788BA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5FA95E01-B8A6-46B2-9E25-2F6E64F5C1E2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FFBF4EC2-262E-4873-9842-A192879596FF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77BAE2C5-EDF9-4C15-AAFC-108D3959A532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C490DF7A-6021-4F87-BC62-D8CE504B2129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73EB2918-6F0A-4DD5-B43D-388B636B2B9C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06A53FA7-2689-48DC-8381-E42F4BDA16BC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678C3943-1BD6-4551-A386-565D89B2EDBA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F0764471-3DF2-4A33-BFF4-E742BA96D864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6C789EA8-7B60-4A37-893E-18795082CABD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A420B9BF-A503-4DFE-B33A-1949A1707B73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044C43-1CCD-43CE-B2E3-C835232F6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2F2E6210-5312-4738-80A1-180A0F575979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8031A92E-62E6-4788-A27A-BF0E9972BDA4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E1715DDF-91A4-4043-90E1-7770655802AA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11046C59-965E-4AF1-A99C-03F725E90778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4A1F9D07-D00C-47DA-B7E4-7F1070319729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F276E09D-E66B-4EE8-A0EF-E18AE6F9107F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301DCF26-493A-4FF1-9C4E-EB31FE7E7E55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57F7411-B123-467F-8E0A-DF467C6EC10F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565BB0C1-5329-4F73-9DFD-1D795269A16E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7C222209-AE6D-4982-98DE-30A6FEEC9906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6FA19BC-06FA-42A3-9AEC-015EC2E552EF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3974D733-290F-4251-A68C-F63B63748F8C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514AD66C-B098-4286-94B5-41F93A9856B9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597C426A-F8F9-40EC-8EC8-433F78361B9A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ACA3CFF8-7C4B-4C61-9510-08BDB3D50528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1DBDC158-1C96-434F-9FE4-A3729B06598B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548A55CF-64D1-4BAD-B866-CB1CA4E5A4B1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4F866702-EDCA-47DF-BC28-6D8721EA81A6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69A59D2B-2BC4-415C-8533-431960CA3603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7D1636D-0658-4393-AC74-618B8D2A7E0D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E33BF94D-17FD-45F7-81AD-591E1E092962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131C7420-3CD4-498C-957A-15772C349CAB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4B9A6306-5469-494C-90F6-064F4A8A0C56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1EDBA457-7DEA-4A7C-AE66-10A527E992EA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4B0290BD-B1C1-4FBD-BCFE-658C8C5A53D0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AC4AEA27-B6B9-481E-9E7E-0DC74F742F12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FDFA4B38-4DE2-4434-BDE7-D2B9EFF58537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839B0F1-5D8D-4D67-815F-331F2AFD42E9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A776120F-D1D4-4E0E-8297-4AFD442F2EE0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BEF1E37C-7E8D-46FB-93E4-4B8C3AAB9F1E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2B5FF189-0F1E-49EA-86A7-5E0E2D81FB5D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7259773E-2264-4201-8604-48B01CA464E9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45B58905-CCF1-4B06-9B56-960D119EA5FA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E3695ECB-5ECA-4FD3-86D0-D944F93CC647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3822D1DB-E223-4826-962C-D67700E9B9C4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9C0ED0BA-BC49-4F56-B6E0-51D090834A38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B187E175-CC63-41EF-892B-59D1683FD08B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556F653B-384B-4D8C-B10A-87B37B7A731D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DC88928A-A44A-4EAA-921D-76FF845BDFA1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4BF01CE9-391E-421E-BCF6-2CB43C38055B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B779A03C-7220-4486-B64E-3C6985097604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A43BA8A8-14D3-4A76-81E8-D316C68066F5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144BE55F-4E95-47B6-9E72-8E9DA1D38D67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E8C85FC5-171B-4119-9AF1-5B72F47BB2F3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CFD761E0-37E4-412C-8568-EFEB8381372A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2C846370-A9E8-489B-B6DC-CFD4453427F6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C148900E-D230-4F37-814F-F0711D6BA397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358DFEC1-F854-4ED1-B6D9-2EEBA9D89221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642FC9C3-4F9D-4CFC-A50C-CE934626ADB9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116270B9-1AEF-4FD1-9CDB-547CF88EAAA9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77B448C1-EEC0-406E-99C7-60B20518F3ED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6D27D42-3887-4423-B058-9159043D531F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68E3BCCF-908C-4F1D-A75D-39A88D295E03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446B9243-6CE8-417C-A0BD-E3EAAB453822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E1F4141B-B6D9-4E6F-962D-B5D83D39429B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7450B294-0619-4923-8F6C-A309409BDA03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FF5C6C1B-B872-4C47-B484-E9D4C589B3C0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1FD9A25D-0A47-4A4D-A991-301FE58262E5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993B7737-90DF-4D9A-8F11-408688DB24DE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E9C1F706-D3B7-47FD-8CCD-739B932AA376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A5BBC607-7D6F-48C7-82E8-9EA92D4CB904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FC2C9D4F-BADB-4607-9661-C2A33842BE5E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C0D48BB3-A170-4035-8423-F07E07D3A6AB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1CA242B5-4AEE-4ABD-9CD4-668CDCC0E527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BD35369D-60E4-4E91-81D6-617A4AD2878B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7B406504-0D12-44E9-BC4C-2131C79E325C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A9ACC89F-043C-4017-B912-3EFA7C758FCD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F6837E09-0566-4E4E-9CAD-B8C1734A84ED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A9875D86-DDD9-4B29-81AC-C065B87F4789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5DC8DB5A-FB7D-4006-9F61-0F658C0F537D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D5A86E91-A48E-438B-8291-5309214351D7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6F6893BF-7800-4CFE-B592-047AC6788A95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8709E3-5596-4C4A-B856-A5FBD46AE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968EC374-0A60-489B-A3D0-0A66FBC92F00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83A66691-8CDE-4146-802F-8754D459359D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43BACF0B-BC36-469B-86B4-947EBD03DD05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70BE73B0-D6BA-4824-B5CD-C7A1E6813BE5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6C16D2D9-28E3-4C52-BFBF-30B222C3D320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32A37ECA-F9F8-48FA-B153-05CE91F67567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E533C573-421E-46D7-9722-8367E24CBA6E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266BB741-3655-4500-BA99-0F930A9A5F89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5FEEC88E-48E3-4013-832C-1309F208E702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25DD4BC-8F33-4F30-847C-C94FEE4D522F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4341AB8F-29DF-45BB-922F-C2A7106F9D7D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210FA6D7-5053-4DD3-9903-A241570FC1E2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CFA46BF6-3D54-4F2A-9833-FD07ED8E146F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44813602-EFE7-4177-9A26-6036D913BC34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69F0EF90-291B-4ADC-8451-D338953E7A0C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483DBD63-241B-477C-AA8B-8B0B30D55843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D3A186AF-8F11-4CD4-8D1D-6C386BC06F9C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6E604269-FB19-4A5D-AACA-947F395DEDC9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7CF26A8E-62B6-4B0B-954C-833A35025009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481D7362-D189-4787-A5A0-DB67FCD56A6F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F111C577-2B0B-4155-B928-A74C1E853A1F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B466ED04-27E8-4657-9A7E-1D7CE497376B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D8A08900-8657-4EAA-ACD6-5A5FEB406FA5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E4C7E807-39CD-4576-803B-A2242D8A2A4A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CD4C4D54-2EE0-4A94-8D63-9BC19D3133E3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BB682F8C-1E90-4CA5-A6BD-F371F9E58185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9DB7FF9C-ABC2-40BC-B2C9-4291829ED448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6A798E85-FEBE-47B3-B6A2-8CB9C4101C83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D17ECE39-779A-43AE-B1BF-F0191B647F5B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192F7705-E76E-44C8-AC4A-749F66BE4F58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C138C78B-93AA-48CD-85DD-FBC543820BC8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B6C5DD73-15E2-40E0-BB50-B4A0A174966D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F04E9E72-A743-4CBE-B1FB-94ED007718C9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D68706D5-A7D6-4478-BAD6-16FC933B3CC8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3733FB7B-507D-4A79-9B88-645B5BFBB7B3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1CB6CFCA-C4E9-4AA5-9927-B6B24E0B13E4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34EB9108-8DFC-45D0-913E-FC45AA7806EF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CBD17A60-E842-45C6-9618-0A7CD7287788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BF975DA7-693C-4408-A44E-9F66EE663F6E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D2F3A45B-D19D-4C47-9593-933FE6D98176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1B1C0C6A-93AD-45CC-9F98-692FCD7D6A8E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BC14E49C-934F-4334-963C-7D035BC4815B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3FC55571-C8E4-43DA-869B-CAA629A1D07A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BEB51215-0587-45E9-A676-3DC9D2B7B669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34FCECA4-0870-4871-9CDF-75E6A7903DFE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89F7BBC-C27C-4774-8563-1E98E03E84AC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404C2837-BC7C-4641-8F28-28B63E879CAC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CE5B9E79-8AE6-4C42-8E95-9C907D695C30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320D9915-DDB0-4D19-821F-C0AD13684793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B1EE3CC6-00CF-4D6A-9F14-7CC6B61D625A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308955D9-4974-49D2-9A22-2ABE2108ECE7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866ED201-8919-4141-BFAF-311C549941A8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8A8BFF32-B695-412E-9F1C-B70556BF2E46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AB4B0B31-443B-4D70-86AA-412EFC95CD12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355A57C7-10DD-4A2A-BEAC-5EBBA04A9F96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08ADEF45-52E1-477D-8888-BF5DDE692CD1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78DE82A5-A77A-4D4D-9492-D1056422CA61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A22FA17E-F8A9-4510-AD81-C875CBD1D5DE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F13DFA56-6F21-4435-BAFA-EFF48211FC43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71749D2A-9AF1-4171-A7B4-0D29CB9C3D98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C4075C1B-4233-413A-BAEA-27FB29D122CB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E2D4203F-DEC0-442A-9FEB-94A3DC7AD427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A7FF1077-90D3-47F9-8C10-2EA55D845E13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43812F77-4DF5-469D-BDCC-902643B7735C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CE932F37-2707-4D34-BCBD-5A7AF5E6F0D2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CCA800EC-6BD4-43BF-9864-15AAB37B5863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05C98444-4727-4E4C-8117-06A9107230FF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32E54232-68B8-4F71-AD15-D35AB052F318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ECEE226C-9A9E-4F90-BFC8-2A347CE7184F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0F63D8C9-1CCA-4CC8-9C3E-419E97D14984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611B895C-85D3-4088-BA5E-6E3E921A0E14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FDED7ACA-56C0-4325-BFC6-B25F2E32A9B5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5E60B8-7C53-4A22-AAB6-6A201352B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B52BB063-8E26-415B-A90B-4EF1C95D3898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F449C7D1-A9B0-495A-8F8F-A3D18BC397E0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1F99C34-FA91-4E29-AAA6-B2D082084BDD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758B2DF8-BE06-46C1-B811-3C7ED328C90D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E23FEA4B-5A59-4ACA-9364-DAA9E34D3A2C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8BC3A0B6-FFEE-41EF-9BE5-8FF9723182AF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1F5BF69-863D-4883-AC3F-FB520694429F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AD6A7CBD-C72B-4FC2-8A04-D89D5FD35102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B45B63A4-50FA-49D3-9492-99C90CF6BDCE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A2C6B98A-4C58-43C0-B3CF-D17411BC711A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78526688-F0E0-4E78-8CED-547463418018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D2DB231A-9ACA-4196-AA8E-543FE85683A5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45FADFCA-21DF-49E8-AA98-14686DD3F432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22E64D50-9AD9-45B8-A039-4F088316576D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C86DB551-6D40-42C5-A7B9-A6120ED11774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84278F79-2C82-45B3-8A8F-B8F97AF4F8E4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8D28E51F-F2DD-4D58-B1AF-A8971BB7836A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3494FBE3-4E5D-44D2-B25F-3C36A7CA3ECD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5B6CB6D2-E4A1-4210-814F-6E93E5D82AC8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6378EE3-02F9-40BA-B791-B81A585AD5CF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639E1CF6-0E30-4C29-806C-96892ABF2FA0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7926EB3D-801C-4E7C-B2C6-745D6F2EE79C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E7B778CE-787A-4C79-8EDF-F3F646EAF39B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38C1470-9858-464E-A534-02496368F610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5370B692-0D2E-4865-8B39-8697B62B0490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654D97BD-EEBE-4D03-BDEC-5E3AD0933D5A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C609B18C-B329-4B2A-86DA-47CA2C86BDCD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768B6A17-DF3B-4C2F-83F5-82042DF339AA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7A4A039A-3C56-49FF-954F-47401D42082D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F459F6F9-3D38-4CE2-A53D-66FD8049DAEF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3A7A6736-F11D-4FA6-BA96-60D3E87A8EA4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30F6E1DF-DED7-4ED7-90CC-5C1773C52EE7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7C358819-4581-4D46-9B79-615AB60C580E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C5D2FA9F-9AB9-4CBA-B53A-4D94A7129C7C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684EAA18-C94F-43A9-AE09-4D70AB3474C0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7963302D-697C-46B6-969B-808EE0C96144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8E1A01C0-ED5B-44BB-A80F-D6C07322BC09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0A50036C-75D4-45C9-AC9C-03F5E77D52B6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B66EFA94-EA02-4AA4-8C72-A75534E42F06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64652D5-4EE6-4B00-B28E-C79913E6FC33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A09B1B62-3DB4-4F41-90C6-1B59857852BF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B7F2A200-1C4C-46F9-9D16-2468CC4FF11C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295C3B61-412B-44FA-BBEF-5C24A687C835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82C4D9BD-7AA3-4F47-B1CA-1D4B581E8ECD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0660DF04-F1B7-4E79-BCDB-CB042C68F845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F45E11C7-E560-409A-A559-75199D85253B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EC4624A9-84CC-4ED9-A311-87354493D376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84DC66A1-E5FB-438C-9D40-6E465A096483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2D668C9D-3E6F-4F71-88F3-BF3C456C8596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2381B46E-C49D-4940-8EB9-4AC94938C190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9C1E1A14-EB09-4955-990C-29B56ECF7C9F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1F24C1B8-D684-478F-98E9-2E800C29E778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9677A587-F428-48A0-9FEE-E7642AEB2619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41D762D4-77D8-40E5-8230-6BEF2B314281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DCDE5D29-235F-44B0-9E26-40D65BC535AB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8230AC73-10ED-45F3-8C2A-3101395DF81D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C807C230-D248-4C54-BE38-0F88B5AEEA16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AF63A6E6-CE2B-44FD-9BB8-98B1FDBC0FF6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2269336F-539D-486E-A889-EF7186DCE126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0162DA64-CF4F-47FF-BA44-EEE78E7F565A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7FD362D8-D015-4E28-8334-4A0A154314EA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0999236F-8C8B-4FDE-8EA7-BB250E76B946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34897B60-AAA4-4E9B-8B00-170C987CFA4D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7CBCF9EC-12A9-4C83-BC2D-C598958B82E8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FCA1B698-0F42-4114-8BB2-65954E671260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E6B5E969-A12A-4032-9729-49573FB7C74F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7D486FB1-56B1-442F-814C-F9753CF3C272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22F0CA7D-E5AD-40FB-A1D8-239B71B2DD23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FE0B4ABD-4680-4D28-B64C-C5C2329DF387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AE22ECBA-60E1-4D0C-8A12-F00AE8423C7E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FC9D9960-E226-4EE6-AE5E-247473BD58E5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68A2F871-82C6-41D3-8BC8-BF2D9ECEE7EA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BA17FA-EC56-4C6B-BD77-3668F57DB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F707217C-4C9B-429B-8470-89E4ECC1F06D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DAB7D623-F0E9-405D-9F58-18D2035D0D6B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3681E2BE-FBD7-4F40-964A-161422D4F3BC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62332052-49D8-4755-A7A5-7AA90A10FB2E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4AFC14F7-7F8E-4103-959C-367A64123D35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4B041247-CD29-4863-B19A-736C7395CEA3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D5AE444F-FDAB-4EF6-BA9F-002FE18B4414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9CB8FAE-7547-4FE8-AD7C-95521C232EDA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F7B8C565-8249-473E-B2C3-B4F8B318501D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B5158A52-E1EB-432D-B898-329F66560E17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15BA872C-3234-4C6A-813D-91C28E1EB732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3848AFB4-2D34-4137-A642-C8BBBAE5419E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BCC3A272-F3E5-4C1A-8B5E-1D6A322E1D0D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2F2F21D7-C48A-42F4-B7B9-A7EA9633F7B6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A777045A-95DF-401C-95DA-96EA011BD457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4AAB2C7D-CCFE-461C-A148-153BA2D6E0C2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183C93FF-880D-495E-8750-89C2724F54EF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2F7ACCAE-A301-44B2-93AE-42DEF72ED2C3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DB9F7F1F-6212-43B0-B3BE-88703676EE44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A806211A-65EA-4816-9EA0-2327E7E380FC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C930C68D-1061-46B4-88E5-4B8D1F20CBCB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C3ECA14A-54DD-4E24-944D-6EBDF8C6A354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9321EDC-CDC1-4ABA-A4F4-1CE86E12D786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18E9A653-14CA-4CBD-9E77-1F7D9C746B27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06C99E24-FF06-4AAF-B016-E271B2C5304B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3D36FA99-F591-4C77-9525-80DF6A8F9B02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6D34FBB4-47C7-4080-8BFF-D56287379D94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53EAC2FF-0E45-42E6-A369-88C807414596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4F7BBF70-0EC7-4360-8E7F-C5D5E56DA897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F3A2B959-8860-448A-B451-1C45445C18EE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B07226C6-3D7C-4FF2-8299-5159EB002DDE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F710F175-2686-4EC6-86E9-A1A290B5B434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42D23DA5-1681-496A-915E-1D601EA5FDF1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4A2FCB6B-25A7-46D0-B432-3F6627DB1C17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F8CF05A9-4CB4-4EF6-A6D7-9A4AE625809A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F7073A84-CBBA-429F-8383-78140B2587BC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52518970-DE93-404E-9D96-C8A50958AC6E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53A81046-61D3-4E3E-84FF-61C545A78EC8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E63A8F8-F692-446F-91A5-77A6826FBC50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28888307-C149-47C8-AC0C-76DD94508E9F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E1AECA3B-96FA-48ED-80B9-F6B3CC3E680D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A68DA62A-A62F-47EB-8D84-3D1388A235CB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7CB5DD40-660D-402F-95D4-E3D151F142C3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9F64CD3E-B183-4AC2-9785-4F0DD5A27934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4BBCBBB1-B871-4162-82F9-BD476E55E0AE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A8E912E6-3D09-47B6-946E-6219FD24B6B9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6CB357DB-A007-4C5C-AE30-603ADB7465B5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CD69915C-A7D8-4526-8C46-70DE3A3D043F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635C7AF8-1B83-4CA8-9658-CC38D82456F9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86FCFD4E-5E90-4FE5-8589-CDB005A0C5A7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9DC36911-1DC7-4F87-843E-BBD65DFC530C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F19546E2-E46C-4FED-8AA0-30A7EC774864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1EB3D6E0-783E-44FF-9283-51AADE827A15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02918965-F6B7-42FC-9861-B8AEC5A0BE73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09BD62E0-D488-49BD-A8A9-FF501F2542A5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76536A75-FAC4-437E-B189-CF3E711B696E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15D02677-DB7B-442F-8D42-2278419F3403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068DADB4-0133-4B89-89CF-5A92C7336BC0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2B02A927-42A6-45B5-8A9E-4DB1991A33E8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7CD25885-D56E-4C49-9BA5-DD1A87A85E96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5A9DB918-547E-4A7C-9769-FD044AFEB4B6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701077BC-4536-4ED2-9715-41711DD2F412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5E96D3B7-80B6-4EB1-A36F-02106B46E71E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FE690084-E6F3-4562-A70C-A3EF8BA8E48B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AD2518ED-4A25-4A6A-91E8-F66BDB25D2EC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E5618219-EEBB-4AC4-A8A5-05F82F4E5B0C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C2F0D2BD-9BE8-4239-BE00-B9DF676FE47F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CF66D33C-AA9D-44BC-815E-8DE5A30C907B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D2E9B9B4-8EF8-4420-9EC8-F78D2E6FFDE0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749B799E-7508-47C4-8235-1A82E888D029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2CD64AA8-6223-435C-BE5B-1DB4746C5586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40FD76C6-BC4E-4714-AF52-3AB95C9C6946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6D9911-0505-4C72-940E-02564A6ED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CD98ABD5-A2C1-46C5-A597-9E8D698139F5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E6CB9EC7-CAED-4BB6-8560-3AA244F76EAA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16E58F7E-5CEC-4258-97EC-9D3E89626573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280013BC-680B-40C6-80E4-922EE806C022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BCC06F25-DCCD-46A4-B8E2-B850E28751AD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5AF95CDE-FDE4-4088-A417-F2647884D983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789851B6-B8DA-4BDA-8A60-EE2960A0BB0B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436F75BD-B95B-4CAE-9BDC-DED32D2D2497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FEBF1595-F93B-4818-8370-236A402AD6D9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6679C7B7-E702-40DC-9F21-139A8D5E0EA9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A5C122E3-0E98-4CA2-9C39-5D263A3A8FD1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70F5C390-ADAC-4817-AFE4-CF70566A71F9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92FCA662-7265-467C-A1E6-31F9C9DDDFFE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ABF1534E-B9EB-47E5-9661-4CD4E67DC530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2C753CCB-E3CE-4ED3-9299-6D98CC790EAB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A210BCBB-B4A5-4504-A28E-D96233958897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A4932180-42EF-4CD2-9CAA-F8EA40D4EF83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81A42FB4-284B-45C1-8B2F-5427741B080E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C8974F4E-297C-4676-9AFF-17398EF527CD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3114071B-B26C-42FF-9EA1-C87073196672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78BBB389-F0D1-4DD5-A7EE-0DA46879B778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8D9F261E-D683-4CE1-991D-E5E2DD7FDA6A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7D86B418-0F2B-40D6-A575-62A0FA2962D9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7A8DA579-FD82-4EF4-94C3-9A3761D9AA80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875F4AE8-4661-4797-89DF-6A0D5415F407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BCCE4315-1086-4B93-A0BF-2A65821C7B41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F05B3E2C-9468-40E3-AC44-3CAD13C6B8E7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857B4F98-1727-4097-B842-F0B95B46C33C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B344D303-2DF5-492C-AB51-DC51A813FE87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EBA781A7-2235-4FF0-9209-FB159F2CEC33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AF88EB84-27A8-407C-A359-0B11C6E2ECEF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3B8CBE5-1B13-49BB-AC5D-A094EF38B050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8D48CF5A-B70D-4B23-967D-46C7A955E567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C5EB2D8A-49DE-42EF-BFDB-DAF6D462FBFE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240C08B9-B58D-4F8D-B059-CC5BD0F5A035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10CC8788-C8A9-47AF-9E92-C1A68F9332B7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5DFF53B3-3ED8-49B9-93D6-F7ABE5BFD203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2AA5BF95-F8D6-4B10-A3B2-C3479EB71E07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1C27C45B-507F-4EEB-9D18-6674000F8390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3611855-F748-4438-B090-45BD114FE0A3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0DF48EBC-B0A9-4DA0-8A21-F47458AF28E2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4016CAAD-FB23-45B1-895D-7B9758762462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1B4982AF-CD35-4414-84E8-683E093F3E09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B1D59111-DCCB-4890-AC14-5112BCD389DD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6AD30217-DCDA-4177-929F-66CE021E2CC8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89ACCEF3-1946-44C3-A657-1E51C9F23AF9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E5044B51-1436-4D75-AACE-5A92025918FB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8F740335-F289-4240-B952-7871FF54A92B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37DE9CC5-FFD6-43E3-ACB9-F375C0634C29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E4F40040-4590-4425-AA8A-2C274F0C1F11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7AB394D9-65F1-43A9-8BEC-BF5E8E5293C4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D09E932B-ABD5-40FF-B460-04EF544BE701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FF046165-5A78-4901-A710-1C23723A2B00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D408C400-6F0A-4230-9D73-0DE2079C52E3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BF993897-4DE0-4583-A3FE-03F273B6D57B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C8A3685C-B4E5-4363-860B-2FA4FE8E6740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85CD5E9C-AE2E-4872-A5BB-54A9AF52FDDF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367E2EFD-A182-40DE-B8B1-2A037905486F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10499B1B-E1BE-4063-85B1-BB8040CF2993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A38DD625-5348-4E3C-AA25-64FF7B9F4003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CE56CDE5-2D72-450D-828B-9AB3210E37CE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72067770-674C-4859-B431-51FE1699F1EC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5D654BA1-8E8D-4240-9C9C-48ABF42E1745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C6450EF-1D02-4868-A800-0AB49ABA927A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D6A282EA-2071-42F0-949D-D7C9C7A07AF6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53DF812D-A7AC-45DF-9392-6BD52708D980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A8FA4081-3CC3-48CF-82F3-26A58B23FC30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9F348A0B-A879-41E2-A42B-42F5373F9A64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889F5D01-7535-4A28-A3E4-70FAD77B627C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2965490E-EE7F-45A3-91B8-FFB55BC85371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B1D057D7-EDC0-4635-B034-B632DCDE91C8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1D02E7EB-5256-4D10-920D-4D8BEC46CC43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04E90C-0A33-4047-A6B8-D953D1658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D1A97D2-E27A-4D62-A9C1-07F4F5FF91FD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54A3EEB3-DFBF-4FC1-A520-D1A7CF98FF40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D7C8CD56-B8D7-483B-8E11-62CE05528ACD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EC97ECFB-B398-404F-A4F8-634D889FD1E2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3D4192BC-AF19-451F-A794-4C924AACDD42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52438AA2-6549-4290-B870-178E5DA6BCC6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BE6307C2-D8C9-4F77-8E06-511C664EA412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47974B34-F0B8-4E15-9DF8-5AA0959019F3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7C07C6FD-E886-4650-BA90-9328575DDF48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F8B7C6D6-E496-48EC-B377-E013D96B208B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11B6D4B2-0A47-456C-B688-998CD409E408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FAC334D6-CFB2-4E1C-ABD1-AECE6EAA539A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02C37BFB-24AF-4440-AD8F-49FECFC64C0E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C0760AA0-8EA3-48B3-B807-E78093AEE219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2F2C8CC4-70F7-4876-9C39-789AF517234F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C7132B3F-E5CD-4BC7-83CD-468AF7BC2924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CAE7A8AD-1990-4B38-B7A2-51B3E8EC03BF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90DA4780-9221-46A2-A35F-C760DB56B673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D490BBC0-BC2D-42AA-A1DF-2C8A3E2380DF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A64BFDEE-DCEC-4051-A988-DE86E3188444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837239BD-0DA0-4E2D-9595-8C471E3DE88E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80758723-790C-4D86-A595-E32759AF3F04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14CB8280-9B96-41D1-999C-7BE3C3DE49F4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2615EB1C-AE91-476F-83A4-0F622853C46F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A55ED1A9-19E9-4964-BA2D-10AFA3077BB7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9770B3C7-9BD1-4B99-82CD-A330406D0EC9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6EAA1550-FDBC-4D60-8B5C-F0C5744958F7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76BB7544-7CFE-42D6-8E0E-B91403517F70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88EAA309-643D-4A79-B928-B92BA6B86718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8E0CB429-A2FC-4334-BE27-7F826D5A0C5F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B32705FA-CDF6-4085-BC13-0A64476FED20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6DDF3298-778B-4B8D-B350-1168E4FE68B3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23A4BA97-387B-49FD-8389-BAD656CB3218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C0213211-D033-47DE-AC81-101FEFFC7CD7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9D25EDD7-ECD6-40AA-8793-D2E6214AA01D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F0A588DA-BB7C-44EA-ABEB-1AB793E2E28E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21D4B9E4-7025-4961-8A26-EE5C4F93A503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6EFAE095-DCAF-486F-BE5F-EE03F3AE1B9F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C0021EC7-FA5C-46ED-AF5B-393A1037A605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3FDE8997-C3DF-430C-A0A4-90B15BB427BA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1506C4A3-4FBE-4BE2-9EE8-5C2CFF50F6C5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C1A4AA3A-E208-496E-857B-354E6E0DBBCF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224D4A96-AE1E-430A-B27F-3D08103E2567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1EA732A1-1CB8-4F0D-9E17-6924FD9C4EC4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531147A5-FD46-4885-8FD9-F8781BA863AC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1952E8B4-2D46-456A-9290-FC72789E0AD2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AFE4866F-FEBF-4115-B3AA-472AC8E17D9F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4CC51610-07C8-4B5D-B1AC-AA1D4DF930AD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95586314-C8EC-43F5-AD6E-0CD8C9B7A754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F7523695-4D6A-4B9D-8DEB-45151EDD456A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852D5490-D792-4032-B1A6-308A57CD2371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8E6EF670-DFC4-49FC-BE2D-481B7F11A35F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C5A54B09-4F1D-4AAE-97DB-7FA857E8E381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12AEE825-C07F-4E37-94D0-9A429A0C407C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90955925-584B-467D-8F89-445F8FD09A54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F289D9DA-034D-4A57-AC60-AE41C733B8A0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F5103D7A-1777-4766-941E-0614E6A81826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2249DD83-41A8-4B35-9020-9A3519061797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BA3565FF-3E45-405C-A52D-4940093BC964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66F4AAD5-F10D-4A4A-AB23-ECAC32696289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FDAD0507-7D91-44FA-B25A-3298142418AA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CFBA1D54-9A2B-46E2-BD53-477843CE63ED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29430DBA-22D3-4D88-A46F-E5B3A53A8388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377C3109-E154-42F0-ABB9-8FB504648E7C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584171DB-8849-4997-9E37-5333B8B72143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4465A8A2-B80C-4D92-A30A-5F25971D12E9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7AD71E33-CC80-4D20-99B5-7C2AD0B4BBEA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6E96D667-9DCD-4D47-97CD-ED87885F9334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1D2147DC-BDDD-4CBC-AB5D-A4139C87EBD7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FED9230C-EAF7-44ED-B95D-057D282E27EE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6BC8847D-22D6-41A9-9220-00E7911564C9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7F76DE67-20D7-47EB-9484-C33212F26842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D07921-15E0-4776-B57C-68A1DFCA3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4D0481C1-0E7A-4B07-9521-0603ECEC6DB2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C0DA2953-7049-4844-8D2B-390E74F054C2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F955967D-FE81-4DA1-A620-190B49205476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4F32FE2E-704C-450B-A65F-76DD4A9788D4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9B52DEE-8336-4843-8197-8FD861255E93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13F2FC1D-8DC7-46C8-B3CD-29FAF004E49B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271F8933-6AEF-4F25-ACEB-354DD4FC21C0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675ABE4F-323B-40A1-ABC9-13ED17C8DECE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32430EDA-9E4E-4022-AF4A-B85AEAA0E998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AD8D426E-9015-4893-8FF9-87334E37E96D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935D6518-82DC-4BC3-B07A-91EED34B0BB4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7AB85912-F80F-4618-870B-7D9C4AC53EA6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9F6B23C5-1876-41A9-A1EA-967AFA8D0B7A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FA10B8F7-5BA2-4D6B-867C-9DFDA1AC1EA0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6E6047BD-61B2-4C71-838C-F38A5DCD8121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3BD4EA78-0A34-4CE7-BA1E-6823B4B2174C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2A64E09B-FDFC-4C8A-8A49-177C6B7FEA2A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D7BEF89E-ED23-4D92-BEA6-1D0629854A65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54A58E5B-C073-4CF1-8F99-422157E3D7CD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4E7F457A-B291-4936-8987-B15E68EE4E03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544548F7-9F7A-4C2D-B81D-B638C43417F1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33B4647C-8738-4590-A045-CE668D652C4D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CB927D1F-45F9-4727-A1ED-6A077DF2C94F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D304181A-C08B-4E1F-8259-B3069B57A3ED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5FC2BC6A-902E-4ABD-A015-1A9C0545FEFA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FF39C2EC-E22B-4254-9E5E-05F6807BF630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540A10DD-B8FF-4A40-A610-9AFF05A96CC5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5153E6A1-B53D-4E92-8042-928E961BE514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C32BA51E-2BBC-4815-B001-BE28D51DBA31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09A1213E-02E9-4CC6-8ADC-FA68DB25F2C0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6B8CB1F3-4117-47CF-A4D5-EE14D9940C54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7726D08-3729-4F7F-AEB3-A8AC6E0715FC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29274170-93C1-4AE2-9B35-E76C01627022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6C69970E-AF87-4948-9DAE-1908CE322001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54F0A6DE-AD6F-4D0C-8A74-F13E6191DE81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BECEE790-01EF-43CE-BB25-74816CBF3376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6ED12D20-F490-4A1C-81F6-306E05E7097A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5772E607-59B6-4AD0-8C68-DC7745A3A009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EF565701-6CDC-44A9-B2D6-66AB92E4DD51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F3310BD8-4137-4CBC-B395-DFDEA160097C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D0E04DC6-EB20-48B5-8140-214D1593680E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CE0EFBAA-EDC5-43D4-B3A5-721F7059DA97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85BD611E-DBCF-42D6-AAEA-98C7CA3165F6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AA6750F6-56CC-4E8A-8CCD-E971CF89701F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729975B3-A1E7-4371-A429-27807CDDC76F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41DCA89F-5ED2-4DDB-A2D8-1F31DF936A0C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0E0ABFB9-A6D4-49E5-8B4A-9F5127C84A9D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52E08A9C-7127-4969-B4AD-6E2A91EF8EBD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903448CD-EFFB-444E-A67B-9E1088AB4502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564272B3-1622-4E16-BF61-F79759220A8B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2E708BE5-A5F1-44DE-A00C-8AB43B901686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C0676033-2E22-4BA3-BB10-9DA43F5C93A6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6A516C44-0F86-4EE4-83ED-4B0B2E46AF6E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64D193CE-D04E-4549-A6D9-75FF515C2C31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906B2B29-D18A-4735-A3D3-0914A8A84CAF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CA8F24FE-1789-4A92-8584-A624D01CB441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20CEF5E1-3319-453A-AFB2-9C4DC6F368F0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D7882CAA-E01C-4A75-AFCF-C4F5F384F33B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725E754D-DF78-4A7E-B2E5-2FD1B64549B6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B0A90A48-4A4C-4FC9-AC9A-64C5A0EE8D1A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35926283-973D-4177-8A1B-607705A15002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662C3B30-D421-4FBA-BE51-F89DAE61FE45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B16C2D8B-C9C1-4998-8D48-67C8D70DDED1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5E3E4A41-011A-4BE5-8A34-892E383F3DD3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D23A7750-B32C-403F-A8F3-FF7F17942E0C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6BE62111-4636-43A8-8C2B-C5DC4B3CF9B9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E9204513-6570-4170-B61A-A307F3EDC23E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D25EFF3B-F538-4E13-928C-E5D55EE86B13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6D46D22C-ED57-463C-9D8E-2319B39D13C9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08E5E4F8-8400-4AFD-A122-0D8A0566E835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32509017-9CA9-47F0-A1F2-042BA26C8990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BAA16823-C5CB-4C53-BB04-39C8DAEA1B12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D4BED4-4C5B-45F6-8A0D-0940DBB2F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6D77268F-D7A7-46D8-A7D7-FFCCD966F314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A147DAFC-E5BA-4163-B521-FE56D13504DF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61497C8E-05AE-44E8-BC32-7BBC7AF35486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BAE5730A-2B25-40EC-B09D-1941C25372C6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643EB376-51D5-4D09-A32E-B7271C153B08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A5F84537-AA55-460A-8785-79A7B43FBAF7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B9FAB9E9-10CC-4E40-9E4D-D8C7109C03ED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84374E1E-6BC7-4F4C-A7D4-D786B1FC272C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1E3D3821-208C-4EE8-A66C-1AD40F3D6323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4C731D7F-291A-4800-971B-4F8F3AC2E021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ACEB2568-EA93-4FA8-873A-960D6F27385A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E41C2FB-6761-4F4A-AE87-A2CC680ECFAE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206A1C83-AEAD-42B8-AC84-3C0ACE1FDAC2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34330BB5-C7F1-40A3-B18E-D793B345EA33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FC512C7F-6959-4064-9DF4-3DC26FC09B79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21F5F2EB-AEA8-438E-ACB9-B67D444AE425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D89A2647-A025-4ABB-925B-2A81C5471BF6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E0E411A6-E18D-4A0D-976B-28E495CF6F5D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429371BD-B9E2-43D5-B828-1AD6C68924E5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1DD2C083-2552-44E7-84C8-49F79A0CC67C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6B2D6634-7114-4DB9-8E74-9BA211F2AEBC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5B5F0F44-F7B5-4373-BD45-0B940428BC06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288B0C40-1012-47B2-9AC3-0AC5EF029F86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515D7B2A-BA54-46CD-88BD-1194D5102185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2D1B214E-B03C-4914-B604-E899B4D394F5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6DFD9AB4-B4D2-4960-A530-2AAF6FE9DEDE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865185DA-3157-49FC-B339-3DE3F3577A59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59EA8B82-56C6-416E-8099-E5A4196E9A6C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317D547D-8B33-453B-9BCA-7E1E31B20B62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4FB569B6-3184-4625-82F2-B4A40D9E8528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8D1367B7-4C1C-4D3F-ADFD-90C50C049E7A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F767B9F4-3449-47CA-A6D5-3600132EBA2B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96113746-D4BC-4582-A9AA-94D6B99CEBF0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8F6F4CBA-457B-4AEB-A218-5F7A24A14D4E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C6A28539-4A80-449B-A500-4A870079F81C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10632207-9153-4ECB-9133-17990AB0BDE8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D17BD938-8776-4915-8683-24C10061E549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672FC8A1-4F4F-47CF-8762-2E4492511AB0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12F713F0-D6E9-45E9-AECC-875E1B620B40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9A6D15C-5D28-42A9-9072-D966D24DB89C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63311097-1C5A-41D8-97F9-4E2A3947927A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8D8D8062-4552-4F43-9FF0-04692C0B1500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A95A4CA7-6941-488D-B7E8-F2D82455DEEF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72DEE93A-285E-4FE2-8ACC-844B6E43988A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826AB349-56B5-4ADB-AD81-666E9251B49D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2A0C7463-E7FD-4FB7-A5A7-56543A4D4D24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A513A6C6-0B47-43E7-BBE5-94A7B0A614AA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D8EC3B05-8C03-4E63-8F77-938110F266ED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96A13C09-B563-4283-8E27-B47C3C55A500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8CAAEB14-F338-465F-8AD7-A3453E901829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2FC767CE-6587-4924-90E0-7D2FA560E554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EA0295E7-0904-4388-8F9A-F10CFBF7B17E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2EE34653-C6E5-44D2-8B2B-4AE3965BD7D4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B5B02082-529A-4180-BA33-69ED0D510314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EFDB859E-9EE5-4758-AF55-77C1E0A8B3B8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6BE60CD4-1360-4F09-868C-2126F6094003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E9F1CDA4-67B0-41CF-9502-E792A025A94A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827419E7-EA66-4376-A362-79CC6015E3B2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6D778D93-BA57-4A34-8565-EE211D0AE6DB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676AF9BE-21EE-4110-BA21-D38475205F13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8D0E5622-B069-464C-A8BC-AA0475BF4731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EF29DD1B-E8EB-4D69-BBE8-80D43F80B741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227133D5-3B78-4489-B797-043CB3204BA8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987D5A01-B55C-43CD-BC58-BE17B643AC02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65C1CBB2-C890-42BD-902F-21C37ECB362C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E1B47070-E8C3-49EC-86DB-09CB5B32ACD6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4C2007D6-76A9-4B54-8AB0-D57C567CB052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9A5567FF-4FA1-4EC4-B18F-934C6909EEB9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94D293B6-C4D3-4408-B148-499BF84159CE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5DC2D40C-87F2-4745-B48D-047B64EF2D03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77107A84-C00E-44CB-AC66-4112BD4EEC72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92A23726-F84C-4A6D-9849-224F7ED3D909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CDA336-98C3-41AF-A142-A21C871E1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5C7BC621-94F1-4725-A85B-75E394937C88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D4904776-A328-4CBF-B4E5-9D573826A586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158CF7B-BBF5-41A4-B239-9DCC43126A2A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2ECA410A-0B3D-4E5A-A0FA-B9120D20EB32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E47CD939-6011-4AEF-B5CA-0EC998AA9245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F0191AE9-A252-412A-BFE6-76FDF023C181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D8EFEFA8-19D0-4769-AA58-634930197D4D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E214AE79-4D96-4D76-9DA2-5A03F385E641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70378B29-AB93-4BF5-AD4C-6D7B92108393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967A8BF9-2D4C-4C5C-A671-7F8FE82F3C92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CD5894E1-016E-4C5E-BFF0-0D374E5C94BA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E1F20EC9-2C67-4F9B-BF93-2CC5DBA0257B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0C22A1AA-570E-4879-9BBF-2B7E950C2087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5445930A-B12F-4347-8BBE-95A943685DF7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BFA56150-3577-4222-82C9-2B7A4D28FBC3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9C8B7ED5-461E-48B9-8225-B9F9C9465CF0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650D4286-DD9E-4A01-883A-F517FC7A3CBD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FEEBD61E-A2CB-45E7-8C0A-5781222632CE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DD4454E-45A5-445D-A8C3-6F1CCBAF2D7C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16740868-2190-4596-9B15-98316AD0BB3A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2BF83257-36B7-46DA-9FF9-8A27EC114721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840390B3-F3D3-4DA5-8588-2BB6DD54A46B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81B7D370-FF51-48D9-9031-64A56879ACFF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79B9B12-F43A-4BD7-8682-404DF267F094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8CF73930-F92F-4D68-9D82-2F6CC13DBB5B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44C52244-13FD-4FEF-81D7-E34C26ED3D40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62DEE422-8816-4873-B212-BA2DE38FE527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70C4584B-E0EE-4520-8252-0DBB2BD43B75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2992D947-D487-48C0-9D85-B07A033EC83E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1D6806DA-D3FD-434D-99CF-C4F5D0FA822F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54781F1A-AC2D-4693-99D5-2CE74B0F730E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3654D06C-5655-4873-B227-318F6E2DE34E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2D72F5CB-6887-4F10-85A7-BB1762C5E781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0CE2AE72-ED2F-4736-8656-712925909E85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A31CBB62-ACC7-4EED-A069-153CFA81BB1F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55D2D1B8-1428-4E25-9F9A-B46B2A073612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C317710A-6EE7-430D-B91D-9668043AE018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978D0310-9C04-46E0-B224-7A8634C30568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BA49871F-31DF-4B35-A32B-11C8405F01AF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12EA40F8-1E6C-423B-8EE4-47889852A9BD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50D465D3-D251-4F38-A4D7-9B7130EBE587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A7B21725-F46E-4615-B959-48988686BD6E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9053E30C-0775-447D-AA71-87992BED560F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FB55E2AE-0DB6-49C3-B361-053E9EADAE8C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5D565636-FD15-4160-AC95-5D6D669E3DE4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E03119C9-9340-4E19-9AD5-8670023887C9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2BF260F0-083A-4490-B81A-86E6775A7C59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DF09CB3E-5227-497D-96CD-49115D6BBAF4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E67F6F13-DCC9-4F80-9785-B3CEDAAC4767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5128B772-8F81-4DF8-B2D5-766AED3E64A9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D8021AD1-4909-4D77-88B4-A3535EBE417D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6BF01BD2-8331-457E-B532-8DBC12C1A7AF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1DA8ADA9-A1BB-46C5-AA85-46A7E08855A3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6038D103-0CCE-4B67-8CA9-5D8292C615E6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B657CB8C-B162-490E-B633-0682E9255CC2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F909F170-C457-420F-9C56-0FD5043F4934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6DF4CB57-ABC2-4559-BC8E-2B470DF59EE0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2FB28C79-7EB7-4298-841A-60649C984E5F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8D92C96A-A642-4187-A985-BB72EF3299DA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7EB60908-CBFB-471C-AA1C-47BF974BFBD9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624E99CB-EEBF-4429-8A95-3FF0F7122940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BEC8311F-C2AD-4598-89C8-FEC66DDB76EA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748047BB-E37B-4D1F-9282-726AECDBF582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B949551F-6F2B-4AAD-B3EF-1E15CB4F41B7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42C9C5B1-A6A8-48C2-B138-C159B5A0BB5F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55A6DA50-5D8C-4785-B27E-622A7FDFE219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7A4833CF-90E4-4736-80CF-250DA7F2E097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63CB6E14-E6A7-4A44-8FB8-208408517BBF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1ECF2BA1-944B-4786-8D08-EF0D73D4A485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A0E795FD-C548-4EFB-9CE1-17CA7C7167E6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FC89ECDA-1A6C-4452-B5E6-E70148C45770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5240C1B7-87FC-43A2-9190-60CC7861F153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4EB655-9102-4284-8BF2-B3D2B8845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A3A4A435-6ACB-4E4F-892A-0F6625F32105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F02F9AC8-BF06-4E2E-8AE3-EA7DBF727E15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5420F09B-9197-4769-B726-B138590163BC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CB69E4E6-3E2A-4643-BF4B-C758483A0514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CA0FA022-58E8-4396-863E-2928C220A48A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B9AD500B-EA77-4F99-95DE-5D2398E3F685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60C3CE0A-552F-49AC-81D5-13E439A87C2A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D3F38BDD-62C6-4BB0-82F0-3E139D27BE1E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6305E8F1-2CF7-4899-9E8B-0065C6349E3E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101C0D2E-69F7-4D5C-B2FD-34EC9343FFF6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76486919-C535-4037-9C18-F26F57E47BBD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53FC9D98-C00A-407F-9270-B2317BA8EDC0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AAD23FC9-4E65-46CB-83AC-38182C9FDBC6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BDADB4BD-AB37-4D0C-8B23-87F8E43BC623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9A170CEA-9345-4CFC-BCEA-25D1DEE0D4BB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9F675E5A-F60E-4B24-B313-D565BAC70B2A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5D684C3C-DEEE-4106-88EB-A89EA38DF50F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D40EC5EF-1914-4936-9662-FB07876FB019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2DBFE13-0F70-4085-9755-DBF54A2B7246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58B0477-1544-457F-B7C9-E5EED0D613AF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43DAA90D-8B33-4FC6-8F61-B7E23747FE5B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8442208E-3800-4EBF-8CD0-47747606041C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DBF0B747-8D21-4155-91DD-BDD20F89C6B2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4D331792-11C0-43DF-B647-D08229BA66FC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F6928A77-4C7C-4F58-8542-FBC38BE3CB74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07DB655E-C955-405F-AEA1-A8F4BA9F514E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D8C0DE58-702F-48C9-8498-89062AA5391F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D3B1AAEA-0C58-4443-AE10-1443AC84B17A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299A8FBC-E840-4159-9794-0353B3C24F7C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EAC6FB44-5773-4CEB-B4DC-505E7C02F4C7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7B69F127-3F4B-404E-AA8D-671D5DBD8729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784E5433-F5F3-421C-9307-06949CF4DC97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05022B0E-686C-4FF1-8A52-5D50B95239B0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A063AD56-7290-4E58-A27B-FC2CFFA3AA91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F92246AF-14A8-4550-B112-3F1F08399F25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A3A18068-8164-42D6-83E7-AF68F5E0B792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E1D18697-04D0-401C-88AA-5365DC56FB20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F5DB8E6E-03B7-40AA-8745-C31258F9E501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79690E07-5922-47B4-98D0-7B7503FB8674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9D610DD9-5CE7-4D66-8AA7-CAE8B8FAF8E4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38243FF4-85DC-46BC-8A49-425D57D997B4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92619E42-6D5B-45F4-8BD6-A138C0BE735C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A9570ABE-55EC-4836-977D-BB15CCDAB841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FB79BE1F-A20F-40B7-9DA7-6B4DEA508F18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3FB3045B-18EA-4E51-803C-D4B557DD2924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412E5321-9F9E-4C13-86B4-9228EAB1987C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6C9DDBB0-BEA5-4FDA-AD2A-3F7F6E4D78F6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6EDC42B9-9B89-4CF0-8E21-ED91D928AA9E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C3124EEC-F93F-40C5-9EB3-9E0E5B0BC086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D98CB032-C973-43A5-A394-8D5B11D78B73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D3FF8337-AC61-4153-AC37-F072E449C32C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D8AEBBC0-B13C-40A7-936D-6C61BE3BD650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AF9D6BF0-D22B-4361-8073-E4C33952DB62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63F05555-965F-4011-9109-F487450D80BF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B8F50482-8434-4EED-B58A-94CC9A9F36FB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3D1A8C07-E552-4C92-84D8-C3EF4A9AAE28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B4089101-714B-4E1B-BBF5-20599AF5C5F5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F564CADC-96A7-4B87-B817-10CEFCE4B2E6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C9845AF8-B706-4DB6-AE3D-7609B8DD01C3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D0290595-4909-4B5D-9BB9-F8D052D85F22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E98E8F07-A8B9-4485-B75B-E79B08934361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298BD0D4-C485-4058-8448-3FE1F9DB7D1A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74EB8B96-DEDC-464C-9203-2887B89BC50C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B28AF902-B8B1-4C16-9082-98F348470685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50891FD2-5C73-405D-A27C-34A496DEC8B6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2575C1D0-8D7C-4707-9D39-44E126FF871C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C75DF818-2D22-4450-B8F1-CB70148AA608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1E9D51C7-3FB8-441A-9CE9-20DB18770455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8216DD7E-DCB0-4DC3-B20B-8EAFC6B205A8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11DC35E9-EF37-46D8-8E03-B7A8818A33D6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5839C9A2-AD2F-4458-944B-4F53CF9E446E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48E3F4E3-D20A-43F9-A430-2ADB1F17C35E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89CA50-2E7A-42FD-8229-5AA6EC901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6BD248C9-1785-4ADF-9ABA-A3193C35BD6B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AE254178-5CBC-4CFB-9FC3-1B9BDBB3245F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A6B989C0-5F0F-46B6-884C-7FD68C8EFB52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190436C7-2C9F-4C13-B49C-EDBAC640F438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9AF662FD-565F-46FE-A4CC-6D23BFE26B39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12217F08-1CC7-4299-807F-770551CF3CEE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6A7FE126-EB4A-45DC-A0C9-425374503F15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439925A3-7AB7-4E62-B852-732C5ABCF551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7B223BFD-7ABE-425A-AD37-CD8D3AAC825E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E53C6B14-FC24-4A9E-9C2D-34D74D104E93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166C9558-F506-45D7-8F6D-8A37A7886CED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84A0F396-5DBA-44FD-8732-6C3FD55AE97A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220E6D60-1CF0-4BC3-9492-831E86EBBAE6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B226CDFE-8AEB-45F7-90C7-D063F4EBF995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9371C672-5AD9-4385-8D30-52E986CE9281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26287913-68D4-445F-85B1-26AC306EB5A4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27669E63-C8C8-4889-84D9-573618932D6D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612628C9-E575-4982-BAC8-98B49D606709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7C45FFA-A89B-4ABE-87D3-70CEA806612F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9D404026-4355-408A-896E-3F9E943081CC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139C3CB3-2617-48C1-B620-3804D107E6CE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CCA4D2BF-49F8-4699-8487-37D38E375FD1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0B2088BF-7C17-473B-89AC-E9AD138BA2D9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8B3986E2-58D3-4D17-ADFF-103B43B10889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2FB035CF-494A-42E4-A7B2-269AB01133E3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E95575C0-8CA0-4367-BA36-840A48705D93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83CD4D21-35C2-4B7F-AEFA-29A9E03A4058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82B02679-F198-408B-AF0B-87BE970BEAAD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C76D2131-4F2A-49E0-AF95-9F8750440FD0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40D801BD-2258-4E90-9320-A0233A3A71AE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94618EB3-4645-4767-A1DC-B66971CFA6CA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C598A4CA-DB4C-49DB-BA9F-75FBA2937ED7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787B4541-B4BE-44AD-BE7A-86B219742DB6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474F49A9-EB8D-4AA4-BDBA-42A3805AB359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BEE43091-A437-4518-AB53-70F23BC07F10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BC35CA1A-E0B8-454A-9EB3-39B224C6676F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FB0B45A1-5AC4-4578-8F3C-6738223080F7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1AF04CBF-7C47-4D36-A3E6-8C4939F19E29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41A2B2BA-5384-43BE-94FA-D9193F681726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7B72AD2C-43F3-4A80-AAD4-7B5A4C6F2CAE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EA06E975-325E-4E66-9705-27FB54E116F1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8DC6668E-B9DD-48AD-A9B4-646D71427C2E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7994800B-F80E-4602-AA7E-9A8CD4570BDF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99D4BE2C-5565-4251-9C8B-8CCC94E61F13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9A8C9675-3D2C-4770-A0F0-8D8FB41732FB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FBC7DBD9-8025-431B-8237-7FE5F54B6136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2CB943D2-1508-46DF-90C1-62F7B9050C65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1E2AD41E-346A-4899-883F-B0C0DDADCDE0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C64BE490-CA7E-47BD-83F0-8109CA726EDC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0CD4AFA7-D12E-4DCD-9EE4-D42C3770D1B5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17BFD12C-495C-41AE-92D7-F7AE04060A67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B4A47A2D-DEAD-4383-9547-8A7B669336A4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A12E66D7-30D8-420F-B9A0-79ADEA3D63FE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A46825B8-4CE1-4A2E-B79F-52F71408DAD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148C4B86-6E3C-4B80-ACDA-930803E29924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5DCDB0C4-9C6F-4919-857A-80E82B9BD2E1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F16C100A-2A27-47AB-BC2B-9DD3AC478BB3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2F2823BF-19B5-432D-8D81-3E523E60ECBB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21D64AB3-4FD2-4F27-8581-E89C5D2C4129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0A780CEE-73E2-48C1-A426-B06FD67C58A7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D4FCC22E-503A-4D48-BC7E-CDDC1C5821DB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EE6EF475-C4B8-43E1-B959-53D661CEBD3F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785B0B6A-378F-404A-AF36-DD3CEE1BCC13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E3DF5D3C-1280-4E44-99BB-073351D937F7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CF9DADC0-6805-4383-BD76-106D14E82CE1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8CF617E6-CD9F-4B2C-BE02-EA269BEAD8F9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FA0165E9-B251-4D00-9E22-7972B8B7BEBA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974AD448-B4C9-4CE7-A03A-79516994342E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A8BBA143-6E82-49B0-82D9-A30636FAA7B5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05AF478A-62DE-451B-9598-8E1749649FE2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4C82A3F9-9C70-4CBB-B747-63969CB3E6A7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ED6CD3B1-CBEC-4983-AD83-EF7E7109E323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5A35A7-4FCD-48A0-B914-3BCC3D053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D818A42F-53C0-4613-B37A-82A5F9459752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81F25976-2D8F-4842-A1B8-F439D22548F0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35831D2C-6BBE-4D55-AA9A-224D1B3A41FC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B8149C20-AC88-494F-9B76-DB0BE84E3A7B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EFF0A4A4-3E5D-42F9-9075-2F141C14FEBF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BF028251-B2BD-49F7-91F3-0617C0FBBBB6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888000B1-9521-4943-B115-41D0D98745F7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D3D18000-4C7C-4CE7-A029-EE7849897AD8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211F66C9-FD32-4A98-A75E-C9D779E14CFD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EC5589A1-CEDA-4824-A26A-98C98CD1BE57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D1A3C252-A1EB-493B-A087-1D93098F1783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E8A93A1F-132D-4355-A8BE-E5F6FE1B81CB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DF56B9B9-1BAB-4D8D-B72D-279870C9D50F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B28E6F42-5050-440A-A9A9-031BD7BC4D87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A6E8C96C-BD46-4A62-A84C-00E503FEBAA2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B5431138-9ABD-4BFB-BE71-7C9582EC951D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6F533EC9-9668-4D70-A43B-AB06796C245A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80074890-2668-453B-8EAD-3DDBEB51D3F2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8397A781-3036-40EB-9718-A87EC5889DD3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C28F44A4-0F89-4009-8526-F39D3E6FECBD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4F44B16C-BD4E-4A6A-A445-DE9103473FEC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87874646-3B16-40FD-82E0-BFD23AA05944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4DC31E43-1187-4F3F-AB04-FC4BB2EA1FB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6AA2C218-A902-4F85-A4C2-0E6F083DFEC7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A59C16C8-0AA0-4355-8C52-C5D6CD0B5834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94006D70-3B9C-4457-BFBA-E677C9C0EF8B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386E00AD-3619-4D55-880E-60DFF632E566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36D10B74-04FF-40F5-8A0D-361F03F1AB00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33DA1F4E-12E6-4AA1-A0BF-D61F9EEDA7CD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25913560-C03F-4137-B18E-991A79BD9A13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9B2E8CE1-B356-4D19-A4D7-F2FDC03A3007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4390DFB2-F28C-4297-BEE7-2132BCCDE4F1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5D4F5C56-9242-4FA0-98E1-06DDA3AA7567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8ED92D6E-CA91-4BFC-9D76-A92740A384DE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58284441-CAAE-4F79-904F-4B1900ABE096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4BABB7D0-06C4-4AB3-94FE-CCC3C77513A1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789D7A0B-CCBB-437D-8A2A-8CBA5C386A94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993574A2-BE92-4BC8-A9B0-1228F5583250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C2C3C8DD-955D-468C-A9C5-63D76FA0D0C9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82B29D7-ACC4-44A7-A8D5-4157EF4EDDCC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C0FBE038-4EBB-486A-B8D8-4D784E4EE36B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7E4CBB0B-5D64-4FB1-A678-58EA530C3B78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C90EB479-75E0-46DE-A9EE-201877F96C34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9B33F2E4-9C1B-404D-A202-EA8A37F251DB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0DD62D60-DA18-4E22-9718-F7008AB20366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B00CB735-69BB-4036-BC60-A3A3A2A41D6E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8E52007F-DA20-4969-9BF1-7C4D93379F8C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21B40264-F981-429D-A697-EFFFC0D59213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0794F04E-E6E0-4C25-84BD-E09318CE2E62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7D791532-8767-40E5-AEB5-ADA8785022C2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28DB2682-4443-4067-B401-0F5B0A5ED72B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DB0258FB-DDF9-486D-A120-DF88B60EC497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6FB6510F-BADA-4C5B-979C-5E666348FEA8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8DA8EB96-D3E7-4D6C-AB7F-E3ADA3969B26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B5B1DB7A-EBD1-4EDF-A73E-68B654A1A17D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1ED17BD1-40EA-44B1-9EBD-BD15C3BD8D8A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CA43651A-2B65-491C-8072-FE4AA49134B1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480206E1-E8A2-4C42-B32E-09575E34C3E8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B048FD97-D2D1-44E1-B2B5-08154D60FEDA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9817E53F-756B-4C74-896F-34A5DE4B4BC6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BF781644-2F82-4CB0-AC59-8C5418CC0BA3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0C47E0FC-6176-4A76-B685-B09A63CDEB99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97677AF0-40CB-443B-9662-B367BA38F416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149F5705-F40C-4970-A022-33AF02F15618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2CF92F3E-A93D-4C6B-86A5-A786082EB9B4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317347E4-B9B1-4E4C-98A5-35B7B34440C8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C29D5714-9C39-492E-9863-5C07FE191F20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D0094F04-E2FE-416E-A61D-1118B63F96D8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27DBDC02-746A-4AD6-BFD8-926B3D4A7E19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52BDE9F3-933D-4EA2-A6CD-EAFB5969FCC7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B9F3A23B-BE51-4CF3-83A6-F095AB15553A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19940EFF-67F7-419B-9383-93CFEF17862B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EA759A-5E83-4660-8F13-5F2BED25F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B4D1D2E4-E292-4ABF-84A5-5CA9D4670EC4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E9F0190E-95E4-4CEF-8616-8F60A2F544DA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43E4F168-7346-4248-AA61-83B5DEF03541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ADA246C3-03C2-4DD1-B9A5-CF5706A20E18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EAEF268B-3C56-4E33-BBF9-17C119AB9188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F0389698-583B-4475-931D-933A2061AD96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80E6064D-EE02-4AD7-A4D1-EBF50A8A8FE3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4411FC6E-C255-41E9-9064-B73F2266C4BE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9AFEA60F-3479-49F7-B647-27B532AB54F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4D30C788-5418-4B4E-BCDF-D131DAC486E3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D452880F-6181-4CFD-B54C-2E2F365B76BC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A5F213B7-81B9-4712-A9E5-7A12B176B806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A5070DB2-D202-4F0E-BE87-8430178B46AF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2A6DE471-3B04-4F2A-895D-23C4EE578744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5646F172-FCE3-48E6-83A6-8F4B2E9312D9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F7017949-C255-42EC-B889-7EB22728162D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39C3E7BB-C27C-4B1B-8B72-0BEE84C4DE65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CD09D670-A760-43F6-A563-A15C63702C92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45607500-F8DB-43C8-8B83-F0B516448593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A0DDF94A-6E24-4DAF-A63C-17EEE9EDF2AC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5EFEC066-8B53-47D5-9C27-A2000561CACA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B203FD4B-FCDB-41D6-8554-9541CBDC2602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E5DF16E-D576-4340-94AD-82A3E8C2533F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EB4A31F-64B6-461A-AD78-D6CF1AF391AD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39C6DC3D-3CCE-467C-8D0C-8F85E32E3B5A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C32B44E9-EC9F-4759-A528-E5706C4D85E6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8C7E6875-EB2E-4CB7-ACEE-29E9C6173BE3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E6FCAB3E-4E26-433F-8D0E-3562150F9EB4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34B339B2-AEFA-4533-8BC3-2AC57EEB01DD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BDE88911-AB73-4125-9FE3-35920CE4BFA2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C878CFC1-7AEB-468D-96DA-C8ED98FCD85A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24330C6E-4FE5-4246-992A-D474B84B6ED5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A9BB14F1-E4C2-4408-8FA0-FB66342A2196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A121FAB8-3800-4BAA-9D39-67EDAD843E7E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6A338B25-6D7B-4C82-B578-28DE957D4411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223DD7FD-355E-43CD-BA66-47B10A3BC7B6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49EBB772-DC5F-4D58-8736-F56C2700C2C0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3E8AD59B-ACAE-4703-8167-6E7DAAFDC833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9A939F8D-4CF5-4694-BDCE-BE0055766E06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470A18BD-17CD-4844-B09E-17C0E1B69A66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83DAABFE-2071-4F06-8EA1-B01732EF1DD4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C613B03D-DC36-40CA-B749-319C6D1CFD9A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759F3A25-C0A7-48F6-A9B7-68D55DE71DC9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8A23FA8A-D7B8-4F83-9F71-AF7C8C72B297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4512374E-7CE1-4E80-A1FB-737481881306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10597591-D0B7-4E26-93BE-2ECD776FF8CE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8BC4739A-858D-4BA0-BFED-F08B705E754D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1BEC0AFF-0371-4F9B-AA10-FE782553ABF7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5153B241-A1AE-4437-AAFE-9AABEE2947F0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DA011FD4-23DF-4B05-98EA-FBCDEDC552DA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75B9195C-1596-406B-BB2C-58595D51CCED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C2A920B3-33E9-49C6-9051-D9CD65703485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467C98AB-893C-4422-BB22-DF71612CD919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CC3A41EE-0CE5-4C86-8C8C-04D4D606DE9B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EA52072B-96FA-43C2-881D-D19AB5F9CEA4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EC89EA00-5B78-4B06-9987-B77BF71694E9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28E832BC-8656-4965-8FDE-529F392687B1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EA1BC973-A820-4A3D-BF76-5C3A5843197A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F97CAC92-D486-4FB6-AB23-F8F11158BDBD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DC3EF811-8C29-4EB5-A487-18DFB20CC75D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705DCC92-48C3-4F2B-8978-F7FF0CD5B63B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431AD8D2-5EB2-4499-97A1-D409E8723171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E81056AB-0EA8-47E1-A3E0-EBC4BEA020A1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3307BCA-1065-43F9-971D-31D919563BB9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E75DD500-BA95-47F4-9775-F23EB2CA01CB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00FB6E54-9B4C-4365-8BB8-7A2706D46197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B083E7D4-E4D0-48FA-B3E9-6A29148D02D7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57A625ED-4C5D-4D15-B12E-E759A8AB575D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07C1DB2A-E507-46FC-BCC6-6BE6D1A66766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8433624F-4794-45B1-998F-97FFFA4E6093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B86DC472-E6E2-4CDD-9436-78117BA2E9C0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3CFDEF2A-72D6-4894-90C8-3A04076F96A9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3F7FF7-B784-4B1D-8FBF-D7F53AA4E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31F45729-9156-494C-91FD-1A5ABBE038C8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B4A3B9CF-6266-47BB-B614-34671747A39D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9E8EC25-6BF4-4715-9A61-9D849F5CE145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BE7CD4E5-7A61-49BC-B07B-8504167C9660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9C643825-EF88-4DD8-A6A1-F61934DB5C1E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647F042C-1092-4DC8-9E04-8BB93F06D08A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67CBE990-F612-4535-9DEA-281F1B3F37B4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23E89295-7406-4BC0-8071-B9A5A4C070FF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F721F515-6C10-47E8-B14E-66C36E0BD2C1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1DC2E6A-544F-42EE-9E89-2D4C4E5411E4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43605692-2694-42ED-BD6F-92030BC8761F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D89E6190-D58B-4FD4-8427-F15A3C742D0A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727AA19C-1377-40C7-BDDC-0169CE3999C3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903B05C-E73B-4B75-8477-835B8526DB58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118FD366-ACBA-4DC0-8DF9-920F3247BE27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C3B0D0AF-7557-4CDE-A062-8CDD64817746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B875346B-3F04-49E0-9CC3-4BB48ECE1F46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2EB7C33C-0E6A-4D28-9ABE-5A595E195565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C9464A06-FBE7-4E3B-B222-6DA3195B1347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C0961A94-77AA-4018-BB46-64D37B2F7BA9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DFFB0373-5B8B-4242-9B4A-A624255BEF22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AE73C0C6-E079-447A-94ED-1EFC217E72C8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6EBA7797-5609-48EB-9D19-6657D5216415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4FF7F3FA-7E19-4B33-BCAC-4CB1291DDF64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508ADB6F-C803-44DF-AA26-F7B06CB1B8A9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680A701A-7BB5-4B78-A089-F35897D4CA65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675DE510-5EC4-4827-86DA-0CB5EF4B8F02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74D79EF2-80AD-42A4-9348-F8BB51FCDD2F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0B1E9F7F-CFD0-453D-A449-3D6EE70EC9DB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01757838-CE72-44D3-A327-8BF134D2EEE5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AE4BB370-A042-4DDE-B8F9-8031C8F22C5D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DA7815C0-3ABB-4388-A1BB-88CB81A6AA55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E1D4339D-9B43-453F-A05F-164F201C4F60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3D5F8FA9-096A-4445-8188-4856CCE3D185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828B36AC-B1BB-4EBC-8C36-150F766A8AF8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2465C4FA-63C5-4F60-AB87-3EBEC03298FD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5C3D78F2-3602-4268-9080-ADC10FF798FF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2491DCF8-A7DB-4A97-BBF1-CB47A5D57DFC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FAC51F2B-A7EB-4806-93FC-432635E4DFFD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F3167615-5560-42F1-B4D8-5439747FFC31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A2710098-D763-46B1-B4DB-4ED9269C8070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4277C3E7-9221-4E5E-BE3A-A54C973720D6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65A05066-CAC0-4058-AEEF-6A6781A3F1F3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A22F804A-5F0C-45B1-B096-637CBC9EC1C6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CEE3C97F-EB75-42C9-BDC4-F63C08BE78C7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72F4C006-7585-45F6-8D3A-E47F13C633F3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D7A24A60-B1E9-4A6F-A9B9-81D3755657F3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05E08C1A-B1A2-44BD-ADAC-10B03BB592D6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D2486417-3A48-4409-98E1-F66F101F22D6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E71ACA15-CE66-48BC-995E-42A1689AD271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08169F92-E74E-4528-9DA0-A51281475E9C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CBEF1831-7FF1-4317-B186-8ABDAB4727BA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9749F5DD-EE66-4AB5-A4AA-5FF372763E89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DE88C305-25E6-481E-BB79-A42D101CD7FF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C3A17F94-58E7-4316-9295-FD51F49C229C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FEE19D72-6B4B-45F2-A80A-C56A21733CB1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C4100463-539C-4895-82CC-F7481FBFC616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78D510DE-6C31-4425-A04B-63F9D0BD04BA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CEB3DE19-8808-4A3A-AAF2-A78933EA0C87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F5501D45-F88B-4022-B22F-F17515429471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7CF2EC12-9D6F-450F-BA50-3D078B57CF13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88F9A56F-8E7C-4915-8682-9A53E958DF7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DC9768F5-A97D-419C-B8E5-23F3C30FBDBA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1F6A4A26-F172-4A1D-A624-3DBB00585CA1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A364AEC0-0B68-4CFA-AC9D-BCCD70ECE868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8CCCE83F-1A9E-4CF4-9DED-E831A1A8EED2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E432E413-1762-402F-8C80-57796491F832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4C821116-AC78-4445-BECE-2E7E169F67F8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E44F9CDF-4C73-4161-B8F2-FCFF4687C2AE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98C78EDB-771F-435D-9FF0-8EEC682CBBEC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792A49CF-2A4D-4818-937B-39D1A2C6987F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4941047E-3FFD-4CA8-8A61-ACA666B02AF2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59"/>
  <sheetViews>
    <sheetView view="pageBreakPreview" topLeftCell="B1" zoomScale="85" zoomScaleNormal="60" workbookViewId="0">
      <selection activeCell="H17" sqref="H17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2" spans="2:17">
      <c r="B2" s="107"/>
      <c r="C2" s="110" t="s">
        <v>0</v>
      </c>
      <c r="D2" s="111"/>
      <c r="E2" s="111"/>
      <c r="F2" s="111"/>
      <c r="G2" s="111"/>
      <c r="H2" s="111"/>
      <c r="I2" s="111"/>
      <c r="J2" s="111"/>
      <c r="K2" s="111"/>
      <c r="L2" s="111"/>
      <c r="M2" s="112"/>
      <c r="N2" s="18" t="s">
        <v>1</v>
      </c>
      <c r="O2" s="19"/>
      <c r="P2" s="19"/>
      <c r="Q2" s="28"/>
    </row>
    <row r="3" spans="2:17">
      <c r="B3" s="108"/>
      <c r="C3" s="113"/>
      <c r="D3" s="114"/>
      <c r="E3" s="114"/>
      <c r="F3" s="114"/>
      <c r="G3" s="114"/>
      <c r="H3" s="114"/>
      <c r="I3" s="114"/>
      <c r="J3" s="114"/>
      <c r="K3" s="114"/>
      <c r="L3" s="114"/>
      <c r="M3" s="115"/>
      <c r="N3" s="26" t="s">
        <v>2</v>
      </c>
      <c r="O3" s="27" t="s">
        <v>3</v>
      </c>
      <c r="P3" s="27"/>
      <c r="Q3" s="29"/>
    </row>
    <row r="4" spans="2:17">
      <c r="B4" s="108"/>
      <c r="C4" s="113"/>
      <c r="D4" s="114"/>
      <c r="E4" s="114"/>
      <c r="F4" s="114"/>
      <c r="G4" s="114"/>
      <c r="H4" s="114"/>
      <c r="I4" s="114"/>
      <c r="J4" s="114"/>
      <c r="K4" s="114"/>
      <c r="L4" s="114"/>
      <c r="M4" s="115"/>
      <c r="N4" s="26" t="s">
        <v>4</v>
      </c>
      <c r="O4" s="27"/>
      <c r="P4" s="27"/>
      <c r="Q4" s="29"/>
    </row>
    <row r="5" spans="2:17">
      <c r="B5" s="109"/>
      <c r="C5" s="116"/>
      <c r="D5" s="117"/>
      <c r="E5" s="117"/>
      <c r="F5" s="117"/>
      <c r="G5" s="117"/>
      <c r="H5" s="117"/>
      <c r="I5" s="117"/>
      <c r="J5" s="117"/>
      <c r="K5" s="117"/>
      <c r="L5" s="117"/>
      <c r="M5" s="118"/>
      <c r="N5" s="24" t="s">
        <v>5</v>
      </c>
      <c r="O5" s="25"/>
      <c r="P5" s="25"/>
      <c r="Q5" s="30"/>
    </row>
    <row r="7" spans="2:17">
      <c r="B7" s="98" t="s">
        <v>6</v>
      </c>
      <c r="C7" s="99"/>
      <c r="D7" s="100">
        <v>45717</v>
      </c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2"/>
    </row>
    <row r="8" spans="2:17">
      <c r="B8" s="97" t="s">
        <v>7</v>
      </c>
      <c r="C8" s="97"/>
      <c r="D8" s="97"/>
      <c r="E8" s="105" t="s">
        <v>8</v>
      </c>
      <c r="F8" s="103" t="s">
        <v>9</v>
      </c>
      <c r="G8" s="103"/>
      <c r="H8" s="104" t="s">
        <v>10</v>
      </c>
      <c r="I8" s="104"/>
      <c r="J8" s="103" t="s">
        <v>11</v>
      </c>
      <c r="K8" s="103"/>
      <c r="L8" s="104" t="s">
        <v>12</v>
      </c>
      <c r="M8" s="104"/>
      <c r="N8" s="103" t="s">
        <v>13</v>
      </c>
      <c r="O8" s="103"/>
      <c r="P8" s="104" t="s">
        <v>14</v>
      </c>
      <c r="Q8" s="104"/>
    </row>
    <row r="9" spans="2:17">
      <c r="B9" s="98" t="s">
        <v>15</v>
      </c>
      <c r="C9" s="119"/>
      <c r="D9" s="99"/>
      <c r="E9" s="106"/>
      <c r="F9" s="3">
        <v>0.375</v>
      </c>
      <c r="G9" s="32" t="s">
        <v>16</v>
      </c>
      <c r="H9" s="4">
        <v>0.375</v>
      </c>
      <c r="I9" s="33" t="s">
        <v>16</v>
      </c>
      <c r="J9" s="3">
        <v>0.375</v>
      </c>
      <c r="K9" s="32" t="s">
        <v>16</v>
      </c>
      <c r="L9" s="4">
        <v>0.375</v>
      </c>
      <c r="M9" s="33" t="s">
        <v>16</v>
      </c>
      <c r="N9" s="3">
        <v>0.375</v>
      </c>
      <c r="O9" s="32" t="s">
        <v>16</v>
      </c>
      <c r="P9" s="4">
        <v>0.375</v>
      </c>
      <c r="Q9" s="33" t="s">
        <v>16</v>
      </c>
    </row>
    <row r="10" spans="2:17" ht="26.25" customHeight="1">
      <c r="B10" s="120" t="s">
        <v>17</v>
      </c>
      <c r="C10" s="121"/>
      <c r="D10" s="2" t="s">
        <v>18</v>
      </c>
      <c r="E10" s="5"/>
      <c r="F10" s="6"/>
      <c r="G10" s="34" t="s">
        <v>19</v>
      </c>
      <c r="H10" s="35" t="s">
        <v>19</v>
      </c>
      <c r="I10" s="35" t="s">
        <v>19</v>
      </c>
      <c r="J10" s="34" t="s">
        <v>19</v>
      </c>
      <c r="K10" s="34" t="s">
        <v>19</v>
      </c>
      <c r="L10" s="35" t="s">
        <v>19</v>
      </c>
      <c r="M10" s="35" t="s">
        <v>19</v>
      </c>
      <c r="N10" s="6"/>
      <c r="O10" s="34" t="s">
        <v>19</v>
      </c>
      <c r="P10" s="35" t="s">
        <v>19</v>
      </c>
      <c r="Q10" s="35" t="s">
        <v>19</v>
      </c>
    </row>
    <row r="11" spans="2:17" ht="20.100000000000001" customHeight="1">
      <c r="B11" s="97" t="s">
        <v>20</v>
      </c>
      <c r="C11" s="97"/>
      <c r="D11" s="7" t="s">
        <v>21</v>
      </c>
      <c r="E11" s="7" t="s">
        <v>22</v>
      </c>
      <c r="F11" s="8"/>
      <c r="G11" s="8">
        <v>62.8</v>
      </c>
      <c r="H11" s="9"/>
      <c r="I11" s="9">
        <v>78.8</v>
      </c>
      <c r="J11" s="8">
        <v>72</v>
      </c>
      <c r="K11" s="8">
        <v>74.900000000000006</v>
      </c>
      <c r="L11" s="9"/>
      <c r="M11" s="9">
        <v>77.3</v>
      </c>
      <c r="N11" s="8">
        <v>80</v>
      </c>
      <c r="O11" s="8">
        <v>77.099999999999994</v>
      </c>
      <c r="P11" s="9"/>
      <c r="Q11" s="9">
        <v>72.900000000000006</v>
      </c>
    </row>
    <row r="12" spans="2:17" ht="20.100000000000001" customHeight="1">
      <c r="B12" s="97" t="s">
        <v>23</v>
      </c>
      <c r="C12" s="97"/>
      <c r="D12" s="7" t="s">
        <v>21</v>
      </c>
      <c r="E12" s="7" t="s">
        <v>22</v>
      </c>
      <c r="F12" s="8"/>
      <c r="G12" s="8">
        <v>0.6</v>
      </c>
      <c r="H12" s="9"/>
      <c r="I12" s="9">
        <v>0</v>
      </c>
      <c r="J12" s="8">
        <v>0</v>
      </c>
      <c r="K12" s="8">
        <v>0</v>
      </c>
      <c r="L12" s="9"/>
      <c r="M12" s="9">
        <v>0.1</v>
      </c>
      <c r="N12" s="8">
        <v>0</v>
      </c>
      <c r="O12" s="8">
        <v>0</v>
      </c>
      <c r="P12" s="9"/>
      <c r="Q12" s="9">
        <v>0</v>
      </c>
    </row>
    <row r="13" spans="2:17" ht="20.100000000000001" customHeight="1">
      <c r="B13" s="97" t="s">
        <v>24</v>
      </c>
      <c r="C13" s="97"/>
      <c r="D13" s="7" t="s">
        <v>21</v>
      </c>
      <c r="E13" s="7" t="s">
        <v>22</v>
      </c>
      <c r="F13" s="8"/>
      <c r="G13" s="8">
        <v>55.5</v>
      </c>
      <c r="H13" s="9"/>
      <c r="I13" s="9">
        <v>74.3</v>
      </c>
      <c r="J13" s="8">
        <v>68.7</v>
      </c>
      <c r="K13" s="8">
        <v>70.2</v>
      </c>
      <c r="L13" s="9"/>
      <c r="M13" s="9">
        <v>73.2</v>
      </c>
      <c r="N13" s="8">
        <v>75.900000000000006</v>
      </c>
      <c r="O13" s="8">
        <v>72.2</v>
      </c>
      <c r="P13" s="9"/>
      <c r="Q13" s="9">
        <v>67</v>
      </c>
    </row>
    <row r="14" spans="2:17" ht="20.100000000000001" customHeight="1">
      <c r="B14" s="97" t="s">
        <v>25</v>
      </c>
      <c r="C14" s="97"/>
      <c r="D14" s="7" t="s">
        <v>21</v>
      </c>
      <c r="E14" s="7" t="s">
        <v>22</v>
      </c>
      <c r="F14" s="8"/>
      <c r="G14" s="8">
        <v>66.5</v>
      </c>
      <c r="H14" s="9"/>
      <c r="I14" s="9">
        <v>67.8</v>
      </c>
      <c r="J14" s="8">
        <v>64.2</v>
      </c>
      <c r="K14" s="8">
        <v>64.2</v>
      </c>
      <c r="L14" s="9"/>
      <c r="M14" s="9">
        <v>66.2</v>
      </c>
      <c r="N14" s="8">
        <v>74.8</v>
      </c>
      <c r="O14" s="8">
        <v>72.2</v>
      </c>
      <c r="P14" s="9"/>
      <c r="Q14" s="9">
        <v>72.5</v>
      </c>
    </row>
    <row r="15" spans="2:17" ht="20.100000000000001" customHeight="1">
      <c r="B15" s="97" t="s">
        <v>26</v>
      </c>
      <c r="C15" s="97"/>
      <c r="D15" s="7" t="s">
        <v>21</v>
      </c>
      <c r="E15" s="7" t="s">
        <v>22</v>
      </c>
      <c r="F15" s="8"/>
      <c r="G15" s="8">
        <v>43.3</v>
      </c>
      <c r="H15" s="9"/>
      <c r="I15" s="9">
        <v>58.6</v>
      </c>
      <c r="J15" s="8">
        <v>40.200000000000003</v>
      </c>
      <c r="K15" s="8">
        <v>41.6</v>
      </c>
      <c r="L15" s="9"/>
      <c r="M15" s="9">
        <v>36.5</v>
      </c>
      <c r="N15" s="8">
        <v>59.1</v>
      </c>
      <c r="O15" s="8">
        <v>49.3</v>
      </c>
      <c r="P15" s="9"/>
      <c r="Q15" s="9">
        <v>42.6</v>
      </c>
    </row>
    <row r="16" spans="2:17" ht="20.100000000000001" customHeight="1">
      <c r="B16" s="103" t="s">
        <v>27</v>
      </c>
      <c r="C16" s="10" t="s">
        <v>28</v>
      </c>
      <c r="D16" s="7" t="s">
        <v>29</v>
      </c>
      <c r="E16" s="7" t="s">
        <v>30</v>
      </c>
      <c r="F16" s="8"/>
      <c r="G16" s="8">
        <v>6.6</v>
      </c>
      <c r="H16" s="8"/>
      <c r="I16" s="8">
        <v>6.6</v>
      </c>
      <c r="J16" s="8">
        <v>6.6</v>
      </c>
      <c r="K16" s="8">
        <v>6.6</v>
      </c>
      <c r="L16" s="8"/>
      <c r="M16" s="8">
        <v>6.6</v>
      </c>
      <c r="N16" s="8">
        <v>6.6</v>
      </c>
      <c r="O16" s="8">
        <v>6.6</v>
      </c>
      <c r="P16" s="8"/>
      <c r="Q16" s="8">
        <v>6.6</v>
      </c>
    </row>
    <row r="17" spans="2:17" ht="20.100000000000001" customHeight="1">
      <c r="B17" s="103"/>
      <c r="C17" s="10" t="s">
        <v>31</v>
      </c>
      <c r="D17" s="7" t="s">
        <v>32</v>
      </c>
      <c r="E17" s="7" t="s">
        <v>33</v>
      </c>
      <c r="F17" s="8"/>
      <c r="G17" s="8">
        <v>110.5</v>
      </c>
      <c r="H17" s="9"/>
      <c r="I17" s="9">
        <v>117.6</v>
      </c>
      <c r="J17" s="8">
        <v>115.9</v>
      </c>
      <c r="K17" s="8">
        <v>117.3</v>
      </c>
      <c r="L17" s="9"/>
      <c r="M17" s="9">
        <v>119.9</v>
      </c>
      <c r="N17" s="8">
        <v>117.4</v>
      </c>
      <c r="O17" s="8">
        <v>118.8</v>
      </c>
      <c r="P17" s="9"/>
      <c r="Q17" s="9">
        <v>116.9</v>
      </c>
    </row>
    <row r="18" spans="2:17" ht="20.100000000000001" customHeight="1">
      <c r="B18" s="103"/>
      <c r="C18" s="10" t="s">
        <v>34</v>
      </c>
      <c r="D18" s="7" t="s">
        <v>35</v>
      </c>
      <c r="E18" s="7" t="s">
        <v>36</v>
      </c>
      <c r="F18" s="8"/>
      <c r="G18" s="8">
        <v>1081</v>
      </c>
      <c r="H18" s="9"/>
      <c r="I18" s="9">
        <v>1176</v>
      </c>
      <c r="J18" s="8">
        <v>1172</v>
      </c>
      <c r="K18" s="8">
        <v>1192</v>
      </c>
      <c r="L18" s="9"/>
      <c r="M18" s="9">
        <v>1201</v>
      </c>
      <c r="N18" s="8">
        <v>1202</v>
      </c>
      <c r="O18" s="8">
        <v>1191</v>
      </c>
      <c r="P18" s="9"/>
      <c r="Q18" s="9">
        <v>1166</v>
      </c>
    </row>
    <row r="19" spans="2:17" ht="20.100000000000001" customHeight="1">
      <c r="B19" s="103" t="s">
        <v>37</v>
      </c>
      <c r="C19" s="10" t="s">
        <v>38</v>
      </c>
      <c r="D19" s="7" t="s">
        <v>39</v>
      </c>
      <c r="E19" s="11" t="s">
        <v>40</v>
      </c>
      <c r="F19" s="8"/>
      <c r="G19" s="8">
        <v>49371.199999999997</v>
      </c>
      <c r="H19" s="9"/>
      <c r="I19" s="9">
        <v>50580.1</v>
      </c>
      <c r="J19" s="8">
        <v>482190</v>
      </c>
      <c r="K19" s="8">
        <v>48209.2</v>
      </c>
      <c r="L19" s="9"/>
      <c r="M19" s="9">
        <v>50606.2</v>
      </c>
      <c r="N19" s="8">
        <v>49794.2</v>
      </c>
      <c r="O19" s="8">
        <v>49784.4</v>
      </c>
      <c r="P19" s="9"/>
      <c r="Q19" s="9">
        <v>49951.8</v>
      </c>
    </row>
    <row r="20" spans="2:17" ht="20.100000000000001" customHeight="1">
      <c r="B20" s="103"/>
      <c r="C20" s="10" t="s">
        <v>41</v>
      </c>
      <c r="D20" s="7" t="s">
        <v>42</v>
      </c>
      <c r="E20" s="7" t="s">
        <v>43</v>
      </c>
      <c r="F20" s="8"/>
      <c r="G20" s="8"/>
      <c r="H20" s="9"/>
      <c r="I20" s="9"/>
      <c r="J20" s="8"/>
      <c r="K20" s="8"/>
      <c r="L20" s="9"/>
      <c r="M20" s="9"/>
      <c r="N20" s="8"/>
      <c r="O20" s="8"/>
      <c r="P20" s="9"/>
      <c r="Q20" s="9"/>
    </row>
    <row r="21" spans="2:17" ht="20.100000000000001" customHeight="1">
      <c r="B21" s="103"/>
      <c r="C21" s="10" t="s">
        <v>44</v>
      </c>
      <c r="D21" s="7" t="s">
        <v>42</v>
      </c>
      <c r="E21" s="7" t="s">
        <v>45</v>
      </c>
      <c r="F21" s="8"/>
      <c r="G21" s="8"/>
      <c r="H21" s="9"/>
      <c r="I21" s="9"/>
      <c r="J21" s="8"/>
      <c r="K21" s="8"/>
      <c r="L21" s="9"/>
      <c r="M21" s="9"/>
      <c r="N21" s="8"/>
      <c r="O21" s="8"/>
      <c r="P21" s="9"/>
      <c r="Q21" s="9"/>
    </row>
    <row r="22" spans="2:17" ht="20.100000000000001" customHeight="1">
      <c r="B22" s="103"/>
      <c r="C22" s="10" t="s">
        <v>46</v>
      </c>
      <c r="D22" s="7" t="s">
        <v>42</v>
      </c>
      <c r="E22" s="7" t="s">
        <v>47</v>
      </c>
      <c r="F22" s="8"/>
      <c r="G22" s="8">
        <v>62.4</v>
      </c>
      <c r="H22" s="9"/>
      <c r="I22" s="9">
        <v>59.3</v>
      </c>
      <c r="J22" s="8">
        <v>57.6</v>
      </c>
      <c r="K22" s="8">
        <v>58.2</v>
      </c>
      <c r="L22" s="9"/>
      <c r="M22" s="9">
        <v>57.6</v>
      </c>
      <c r="N22" s="8">
        <v>58.3</v>
      </c>
      <c r="O22" s="8">
        <v>58.8</v>
      </c>
      <c r="P22" s="9"/>
      <c r="Q22" s="9">
        <v>60.5</v>
      </c>
    </row>
    <row r="23" spans="2:17" ht="60">
      <c r="B23" s="103"/>
      <c r="C23" s="12" t="s">
        <v>48</v>
      </c>
      <c r="D23" s="8" t="s">
        <v>49</v>
      </c>
      <c r="E23" s="13" t="s">
        <v>50</v>
      </c>
      <c r="F23" s="8"/>
      <c r="G23" s="8">
        <v>0.52</v>
      </c>
      <c r="H23" s="9"/>
      <c r="I23" s="9">
        <v>0.49</v>
      </c>
      <c r="J23" s="8">
        <v>0.57999999999999996</v>
      </c>
      <c r="K23" s="8">
        <v>0.57999999999999996</v>
      </c>
      <c r="L23" s="9"/>
      <c r="M23" s="9">
        <v>0.52</v>
      </c>
      <c r="N23" s="8">
        <v>0.47</v>
      </c>
      <c r="O23" s="8">
        <v>0.48</v>
      </c>
      <c r="P23" s="9"/>
      <c r="Q23" s="9">
        <v>0.49</v>
      </c>
    </row>
    <row r="24" spans="2:17" ht="39.75" customHeight="1">
      <c r="B24" s="103"/>
      <c r="C24" s="12" t="s">
        <v>51</v>
      </c>
      <c r="D24" s="7"/>
      <c r="E24" s="7"/>
      <c r="F24" s="8"/>
      <c r="G24" s="8"/>
      <c r="H24" s="9"/>
      <c r="I24" s="9"/>
      <c r="J24" s="8"/>
      <c r="K24" s="8"/>
      <c r="L24" s="8"/>
      <c r="M24" s="9"/>
      <c r="N24" s="8"/>
      <c r="O24" s="8"/>
      <c r="P24" s="9"/>
      <c r="Q24" s="9"/>
    </row>
    <row r="25" spans="2:17" ht="20.100000000000001" customHeight="1">
      <c r="B25" s="103"/>
      <c r="C25" s="10" t="s">
        <v>52</v>
      </c>
      <c r="D25" s="7" t="s">
        <v>42</v>
      </c>
      <c r="E25" s="7" t="s">
        <v>53</v>
      </c>
      <c r="F25" s="8"/>
      <c r="G25" s="8">
        <v>51.7</v>
      </c>
      <c r="H25" s="9"/>
      <c r="I25" s="9">
        <v>45.4</v>
      </c>
      <c r="J25" s="8">
        <v>45.2</v>
      </c>
      <c r="K25" s="8">
        <v>44.9</v>
      </c>
      <c r="L25" s="9"/>
      <c r="M25" s="9">
        <v>44.9</v>
      </c>
      <c r="N25" s="8">
        <v>44.8</v>
      </c>
      <c r="O25" s="8">
        <v>44.9</v>
      </c>
      <c r="P25" s="9"/>
      <c r="Q25" s="9">
        <v>46.6</v>
      </c>
    </row>
    <row r="26" spans="2:17" ht="20.100000000000001" customHeight="1">
      <c r="B26" s="103" t="s">
        <v>54</v>
      </c>
      <c r="C26" s="10" t="s">
        <v>55</v>
      </c>
      <c r="D26" s="7" t="s">
        <v>49</v>
      </c>
      <c r="E26" s="14" t="s">
        <v>56</v>
      </c>
      <c r="F26" s="8"/>
      <c r="G26" s="8">
        <v>0.23</v>
      </c>
      <c r="H26" s="9"/>
      <c r="I26" s="9">
        <v>0.21</v>
      </c>
      <c r="J26" s="8">
        <v>0.22</v>
      </c>
      <c r="K26" s="8">
        <v>0.23</v>
      </c>
      <c r="L26" s="9"/>
      <c r="M26" s="9">
        <v>0.22</v>
      </c>
      <c r="N26" s="8">
        <v>0.22</v>
      </c>
      <c r="O26" s="8">
        <v>0.22</v>
      </c>
      <c r="P26" s="9"/>
      <c r="Q26" s="9">
        <v>0.23</v>
      </c>
    </row>
    <row r="27" spans="2:17" ht="20.100000000000001" customHeight="1">
      <c r="B27" s="103"/>
      <c r="C27" s="10" t="s">
        <v>57</v>
      </c>
      <c r="D27" s="7" t="s">
        <v>42</v>
      </c>
      <c r="E27" s="7" t="s">
        <v>43</v>
      </c>
      <c r="F27" s="8"/>
      <c r="G27" s="8">
        <v>4.5999999999999996</v>
      </c>
      <c r="H27" s="9"/>
      <c r="I27" s="9">
        <v>3.2</v>
      </c>
      <c r="J27" s="8">
        <v>4.0999999999999996</v>
      </c>
      <c r="K27" s="8">
        <v>4.3</v>
      </c>
      <c r="L27" s="9"/>
      <c r="M27" s="9">
        <v>3.9</v>
      </c>
      <c r="N27" s="8">
        <v>3.7</v>
      </c>
      <c r="O27" s="8">
        <v>3.9</v>
      </c>
      <c r="P27" s="9"/>
      <c r="Q27" s="9">
        <v>4.5999999999999996</v>
      </c>
    </row>
    <row r="28" spans="2:17" ht="20.100000000000001" customHeight="1">
      <c r="B28" s="103"/>
      <c r="C28" s="10" t="s">
        <v>58</v>
      </c>
      <c r="D28" s="7" t="s">
        <v>42</v>
      </c>
      <c r="E28" s="7" t="s">
        <v>43</v>
      </c>
      <c r="F28" s="8"/>
      <c r="G28" s="8">
        <v>4</v>
      </c>
      <c r="H28" s="9"/>
      <c r="I28" s="9">
        <v>2.4</v>
      </c>
      <c r="J28" s="8">
        <v>3.3</v>
      </c>
      <c r="K28" s="8">
        <v>3.6</v>
      </c>
      <c r="L28" s="9"/>
      <c r="M28" s="9">
        <v>2.7</v>
      </c>
      <c r="N28" s="8">
        <v>2.6</v>
      </c>
      <c r="O28" s="8">
        <v>2.7</v>
      </c>
      <c r="P28" s="9"/>
      <c r="Q28" s="9">
        <v>3.4</v>
      </c>
    </row>
    <row r="29" spans="2:17" ht="20.100000000000001" customHeight="1">
      <c r="B29" s="103"/>
      <c r="C29" s="10" t="s">
        <v>59</v>
      </c>
      <c r="D29" s="7" t="s">
        <v>42</v>
      </c>
      <c r="E29" s="7" t="s">
        <v>43</v>
      </c>
      <c r="F29" s="15"/>
      <c r="G29" s="15">
        <f t="shared" ref="G29:Q29" si="0">G32-G28</f>
        <v>0.29999999999999982</v>
      </c>
      <c r="H29" s="15">
        <f t="shared" si="0"/>
        <v>0</v>
      </c>
      <c r="I29" s="15">
        <f t="shared" si="0"/>
        <v>1.9</v>
      </c>
      <c r="J29" s="15">
        <f t="shared" si="0"/>
        <v>0.79999999999999982</v>
      </c>
      <c r="K29" s="15">
        <f t="shared" si="0"/>
        <v>0.89999999999999991</v>
      </c>
      <c r="L29" s="15">
        <f t="shared" si="0"/>
        <v>0</v>
      </c>
      <c r="M29" s="15">
        <f t="shared" si="0"/>
        <v>0.89999999999999991</v>
      </c>
      <c r="N29" s="15">
        <f>N32-N28</f>
        <v>1.4</v>
      </c>
      <c r="O29" s="15">
        <f>O32-O28</f>
        <v>1.1999999999999997</v>
      </c>
      <c r="P29" s="15">
        <f t="shared" si="0"/>
        <v>0</v>
      </c>
      <c r="Q29" s="15">
        <f t="shared" si="0"/>
        <v>1.0000000000000004</v>
      </c>
    </row>
    <row r="30" spans="2:17" ht="20.100000000000001" customHeight="1">
      <c r="B30" s="103"/>
      <c r="C30" s="10" t="s">
        <v>60</v>
      </c>
      <c r="D30" s="7" t="s">
        <v>61</v>
      </c>
      <c r="E30" s="7" t="s">
        <v>62</v>
      </c>
      <c r="F30" s="8"/>
      <c r="G30" s="8">
        <v>658.32</v>
      </c>
      <c r="H30" s="9"/>
      <c r="I30" s="9">
        <v>641.20000000000005</v>
      </c>
      <c r="J30" s="8">
        <v>653.79999999999995</v>
      </c>
      <c r="K30" s="8">
        <v>640.55999999999995</v>
      </c>
      <c r="L30" s="9"/>
      <c r="M30" s="9">
        <v>621.36</v>
      </c>
      <c r="N30" s="8">
        <v>663</v>
      </c>
      <c r="O30" s="8">
        <v>638.84</v>
      </c>
      <c r="P30" s="9"/>
      <c r="Q30" s="9">
        <v>634.32000000000005</v>
      </c>
    </row>
    <row r="31" spans="2:17" ht="20.100000000000001" customHeight="1">
      <c r="B31" s="103"/>
      <c r="C31" s="10" t="s">
        <v>63</v>
      </c>
      <c r="D31" s="7" t="s">
        <v>42</v>
      </c>
      <c r="E31" s="7">
        <v>13.5</v>
      </c>
      <c r="F31" s="8"/>
      <c r="G31" s="8">
        <v>12.8</v>
      </c>
      <c r="H31" s="9"/>
      <c r="I31" s="9">
        <v>12.8</v>
      </c>
      <c r="J31" s="8">
        <v>13.2</v>
      </c>
      <c r="K31" s="8">
        <v>13.4</v>
      </c>
      <c r="L31" s="9"/>
      <c r="M31" s="9">
        <v>13.2</v>
      </c>
      <c r="N31" s="8">
        <v>13.4</v>
      </c>
      <c r="O31" s="8">
        <v>12.8</v>
      </c>
      <c r="P31" s="9"/>
      <c r="Q31" s="9">
        <v>13.2</v>
      </c>
    </row>
    <row r="32" spans="2:17" ht="20.100000000000001" customHeight="1">
      <c r="B32" s="103"/>
      <c r="C32" s="10" t="s">
        <v>64</v>
      </c>
      <c r="D32" s="7" t="s">
        <v>42</v>
      </c>
      <c r="E32" s="7">
        <v>4</v>
      </c>
      <c r="F32" s="8"/>
      <c r="G32" s="8">
        <v>4.3</v>
      </c>
      <c r="H32" s="9"/>
      <c r="I32" s="9">
        <v>4.3</v>
      </c>
      <c r="J32" s="8">
        <v>4.0999999999999996</v>
      </c>
      <c r="K32" s="8">
        <v>4.5</v>
      </c>
      <c r="L32" s="9"/>
      <c r="M32" s="9">
        <v>3.6</v>
      </c>
      <c r="N32" s="8">
        <v>4</v>
      </c>
      <c r="O32" s="8">
        <v>3.9</v>
      </c>
      <c r="P32" s="9"/>
      <c r="Q32" s="9">
        <v>4.4000000000000004</v>
      </c>
    </row>
    <row r="33" spans="2:17" ht="20.100000000000001" customHeight="1">
      <c r="B33" s="103"/>
      <c r="C33" s="10" t="s">
        <v>65</v>
      </c>
      <c r="D33" s="7" t="s">
        <v>42</v>
      </c>
      <c r="E33" s="7">
        <v>9.5</v>
      </c>
      <c r="F33" s="15"/>
      <c r="G33" s="15">
        <f t="shared" ref="G33:Q33" si="1">G31-G32</f>
        <v>8.5</v>
      </c>
      <c r="H33" s="15">
        <f t="shared" si="1"/>
        <v>0</v>
      </c>
      <c r="I33" s="15">
        <f t="shared" si="1"/>
        <v>8.5</v>
      </c>
      <c r="J33" s="15">
        <f t="shared" si="1"/>
        <v>9.1</v>
      </c>
      <c r="K33" s="15">
        <f t="shared" si="1"/>
        <v>8.9</v>
      </c>
      <c r="L33" s="15">
        <f t="shared" si="1"/>
        <v>0</v>
      </c>
      <c r="M33" s="15">
        <f t="shared" si="1"/>
        <v>9.6</v>
      </c>
      <c r="N33" s="15">
        <f>N31-N32</f>
        <v>9.4</v>
      </c>
      <c r="O33" s="15">
        <f>O31-O32</f>
        <v>8.9</v>
      </c>
      <c r="P33" s="15">
        <f t="shared" si="1"/>
        <v>0</v>
      </c>
      <c r="Q33" s="15">
        <f t="shared" si="1"/>
        <v>8.7999999999999989</v>
      </c>
    </row>
    <row r="34" spans="2:17" ht="20.100000000000001" customHeight="1">
      <c r="B34" s="103"/>
      <c r="C34" s="10" t="s">
        <v>66</v>
      </c>
      <c r="D34" s="7" t="s">
        <v>67</v>
      </c>
      <c r="E34" s="7" t="s">
        <v>68</v>
      </c>
      <c r="F34" s="16"/>
      <c r="G34" s="16">
        <f t="shared" ref="G34:Q34" si="2">(G33*G30)/0.866</f>
        <v>6461.5704387990763</v>
      </c>
      <c r="H34" s="16">
        <f t="shared" si="2"/>
        <v>0</v>
      </c>
      <c r="I34" s="16">
        <f t="shared" si="2"/>
        <v>6293.533487297922</v>
      </c>
      <c r="J34" s="16">
        <f t="shared" si="2"/>
        <v>6870.1847575057727</v>
      </c>
      <c r="K34" s="16">
        <f t="shared" si="2"/>
        <v>6583.1224018475741</v>
      </c>
      <c r="L34" s="16">
        <f t="shared" si="2"/>
        <v>0</v>
      </c>
      <c r="M34" s="16">
        <f t="shared" si="2"/>
        <v>6888.055427251732</v>
      </c>
      <c r="N34" s="16">
        <f>(N33*N30)/0.866</f>
        <v>7196.5357967667433</v>
      </c>
      <c r="O34" s="16">
        <f>(O33*O30)/0.866</f>
        <v>6565.4457274826791</v>
      </c>
      <c r="P34" s="16">
        <f t="shared" si="2"/>
        <v>0</v>
      </c>
      <c r="Q34" s="16">
        <f t="shared" si="2"/>
        <v>6445.7459584295611</v>
      </c>
    </row>
    <row r="35" spans="2:17" ht="20.100000000000001" customHeight="1">
      <c r="B35" s="103" t="s">
        <v>69</v>
      </c>
      <c r="C35" s="10" t="s">
        <v>70</v>
      </c>
      <c r="D35" s="7" t="s">
        <v>49</v>
      </c>
      <c r="E35" s="7" t="s">
        <v>71</v>
      </c>
      <c r="F35" s="8"/>
      <c r="G35" s="8">
        <v>0.81</v>
      </c>
      <c r="H35" s="9"/>
      <c r="I35" s="9">
        <v>0.83</v>
      </c>
      <c r="J35" s="8">
        <v>0.79</v>
      </c>
      <c r="K35" s="8">
        <v>0.82</v>
      </c>
      <c r="L35" s="9"/>
      <c r="M35" s="9">
        <v>0.82</v>
      </c>
      <c r="N35" s="8">
        <v>0.76</v>
      </c>
      <c r="O35" s="8">
        <v>0.73</v>
      </c>
      <c r="P35" s="9"/>
      <c r="Q35" s="9">
        <v>0.82</v>
      </c>
    </row>
    <row r="36" spans="2:17" ht="20.100000000000001" customHeight="1">
      <c r="B36" s="103"/>
      <c r="C36" s="10" t="s">
        <v>72</v>
      </c>
      <c r="D36" s="7" t="s">
        <v>42</v>
      </c>
      <c r="E36" s="7" t="s">
        <v>43</v>
      </c>
      <c r="F36" s="8"/>
      <c r="G36" s="8">
        <v>34.6</v>
      </c>
      <c r="H36" s="9"/>
      <c r="I36" s="9">
        <v>35.700000000000003</v>
      </c>
      <c r="J36" s="8">
        <v>34.799999999999997</v>
      </c>
      <c r="K36" s="8">
        <v>35.6</v>
      </c>
      <c r="L36" s="9"/>
      <c r="M36" s="9">
        <v>35.6</v>
      </c>
      <c r="N36" s="8">
        <v>33.6</v>
      </c>
      <c r="O36" s="8">
        <v>34.9</v>
      </c>
      <c r="P36" s="9"/>
      <c r="Q36" s="9">
        <v>35.200000000000003</v>
      </c>
    </row>
    <row r="37" spans="2:17" ht="20.100000000000001" customHeight="1">
      <c r="B37" s="103"/>
      <c r="C37" s="10" t="s">
        <v>73</v>
      </c>
      <c r="D37" s="7" t="s">
        <v>42</v>
      </c>
      <c r="E37" s="7" t="s">
        <v>43</v>
      </c>
      <c r="F37" s="8"/>
      <c r="G37" s="8">
        <v>36.1</v>
      </c>
      <c r="H37" s="9"/>
      <c r="I37" s="9">
        <v>36.9</v>
      </c>
      <c r="J37" s="8">
        <v>35.5</v>
      </c>
      <c r="K37" s="8">
        <v>36.6</v>
      </c>
      <c r="L37" s="9"/>
      <c r="M37" s="9">
        <v>36.4</v>
      </c>
      <c r="N37" s="8">
        <v>34.299999999999997</v>
      </c>
      <c r="O37" s="8">
        <v>35.4</v>
      </c>
      <c r="P37" s="9"/>
      <c r="Q37" s="9">
        <v>36.6</v>
      </c>
    </row>
    <row r="38" spans="2:17" ht="20.100000000000001" customHeight="1">
      <c r="B38" s="103"/>
      <c r="C38" s="12" t="s">
        <v>74</v>
      </c>
      <c r="D38" s="7" t="s">
        <v>42</v>
      </c>
      <c r="E38" s="7"/>
      <c r="F38" s="15"/>
      <c r="G38" s="15">
        <f t="shared" ref="G38:Q38" si="3">G37-G41</f>
        <v>2.5</v>
      </c>
      <c r="H38" s="15">
        <f t="shared" si="3"/>
        <v>0</v>
      </c>
      <c r="I38" s="15">
        <f t="shared" si="3"/>
        <v>3.6999999999999957</v>
      </c>
      <c r="J38" s="15">
        <f t="shared" si="3"/>
        <v>2.2999999999999972</v>
      </c>
      <c r="K38" s="15">
        <f t="shared" si="3"/>
        <v>2.8000000000000043</v>
      </c>
      <c r="L38" s="15">
        <f t="shared" si="3"/>
        <v>0</v>
      </c>
      <c r="M38" s="15">
        <f t="shared" si="3"/>
        <v>3.1000000000000014</v>
      </c>
      <c r="N38" s="15">
        <f>N37-N41</f>
        <v>1.5999999999999943</v>
      </c>
      <c r="O38" s="15">
        <f>O37-O41</f>
        <v>2</v>
      </c>
      <c r="P38" s="15">
        <f t="shared" si="3"/>
        <v>0</v>
      </c>
      <c r="Q38" s="15">
        <f t="shared" si="3"/>
        <v>3</v>
      </c>
    </row>
    <row r="39" spans="2:17" ht="20.100000000000001" customHeight="1">
      <c r="B39" s="103"/>
      <c r="C39" s="10" t="s">
        <v>75</v>
      </c>
      <c r="D39" s="7" t="s">
        <v>76</v>
      </c>
      <c r="E39" s="7"/>
      <c r="F39" s="8"/>
      <c r="G39" s="8"/>
      <c r="H39" s="9"/>
      <c r="I39" s="9"/>
      <c r="J39" s="8"/>
      <c r="K39" s="8"/>
      <c r="L39" s="9"/>
      <c r="M39" s="9"/>
      <c r="N39" s="8"/>
      <c r="O39" s="8"/>
      <c r="P39" s="9"/>
      <c r="Q39" s="9"/>
    </row>
    <row r="40" spans="2:17" ht="20.100000000000001" customHeight="1">
      <c r="B40" s="103"/>
      <c r="C40" s="10" t="s">
        <v>77</v>
      </c>
      <c r="D40" s="7" t="s">
        <v>42</v>
      </c>
      <c r="E40" s="7">
        <v>30.8</v>
      </c>
      <c r="F40" s="8"/>
      <c r="G40" s="8">
        <v>27.9</v>
      </c>
      <c r="H40" s="9"/>
      <c r="I40" s="9">
        <v>27.7</v>
      </c>
      <c r="J40" s="8">
        <v>27.7</v>
      </c>
      <c r="K40" s="8">
        <v>27.8</v>
      </c>
      <c r="L40" s="9"/>
      <c r="M40" s="9">
        <v>27.6</v>
      </c>
      <c r="N40" s="8">
        <v>27.2</v>
      </c>
      <c r="O40" s="8">
        <v>27.7</v>
      </c>
      <c r="P40" s="9"/>
      <c r="Q40" s="9">
        <v>27.9</v>
      </c>
    </row>
    <row r="41" spans="2:17" ht="20.100000000000001" customHeight="1">
      <c r="B41" s="103"/>
      <c r="C41" s="10" t="s">
        <v>78</v>
      </c>
      <c r="D41" s="7" t="s">
        <v>42</v>
      </c>
      <c r="E41" s="7">
        <v>36.4</v>
      </c>
      <c r="F41" s="8"/>
      <c r="G41" s="8">
        <v>33.6</v>
      </c>
      <c r="H41" s="9"/>
      <c r="I41" s="9">
        <v>33.200000000000003</v>
      </c>
      <c r="J41" s="8">
        <v>33.200000000000003</v>
      </c>
      <c r="K41" s="8">
        <v>33.799999999999997</v>
      </c>
      <c r="L41" s="9"/>
      <c r="M41" s="9">
        <v>33.299999999999997</v>
      </c>
      <c r="N41" s="8">
        <v>32.700000000000003</v>
      </c>
      <c r="O41" s="8">
        <v>33.4</v>
      </c>
      <c r="P41" s="9"/>
      <c r="Q41" s="9">
        <v>33.6</v>
      </c>
    </row>
    <row r="42" spans="2:17" ht="20.100000000000001" customHeight="1">
      <c r="B42" s="103"/>
      <c r="C42" s="10" t="s">
        <v>79</v>
      </c>
      <c r="D42" s="7" t="s">
        <v>42</v>
      </c>
      <c r="E42" s="7">
        <v>5.6</v>
      </c>
      <c r="F42" s="15"/>
      <c r="G42" s="15">
        <f t="shared" ref="G42:Q42" si="4">G41-G40</f>
        <v>5.7000000000000028</v>
      </c>
      <c r="H42" s="15">
        <f t="shared" si="4"/>
        <v>0</v>
      </c>
      <c r="I42" s="15">
        <f t="shared" si="4"/>
        <v>5.5000000000000036</v>
      </c>
      <c r="J42" s="15">
        <f t="shared" si="4"/>
        <v>5.5000000000000036</v>
      </c>
      <c r="K42" s="15">
        <f t="shared" si="4"/>
        <v>5.9999999999999964</v>
      </c>
      <c r="L42" s="15">
        <f t="shared" si="4"/>
        <v>0</v>
      </c>
      <c r="M42" s="15">
        <f t="shared" si="4"/>
        <v>5.6999999999999957</v>
      </c>
      <c r="N42" s="15">
        <f>N41-N40</f>
        <v>5.5000000000000036</v>
      </c>
      <c r="O42" s="15">
        <f>O41-O40</f>
        <v>5.6999999999999993</v>
      </c>
      <c r="P42" s="15">
        <f t="shared" si="4"/>
        <v>0</v>
      </c>
      <c r="Q42" s="15">
        <f t="shared" si="4"/>
        <v>5.7000000000000028</v>
      </c>
    </row>
    <row r="43" spans="2:17" ht="20.100000000000001" customHeight="1">
      <c r="B43" s="103"/>
      <c r="C43" s="10" t="s">
        <v>80</v>
      </c>
      <c r="D43" s="7" t="s">
        <v>61</v>
      </c>
      <c r="E43" s="7">
        <v>1273.0999999999999</v>
      </c>
      <c r="F43" s="8"/>
      <c r="G43" s="8">
        <v>1145.2</v>
      </c>
      <c r="H43" s="9"/>
      <c r="I43" s="9">
        <v>1156.4000000000001</v>
      </c>
      <c r="J43" s="8">
        <v>1298.9000000000001</v>
      </c>
      <c r="K43" s="8">
        <v>1184.68</v>
      </c>
      <c r="L43" s="9"/>
      <c r="M43" s="8">
        <v>1154.8599999999999</v>
      </c>
      <c r="N43" s="8">
        <v>1299.9000000000001</v>
      </c>
      <c r="O43" s="8">
        <v>1128.26</v>
      </c>
      <c r="P43" s="9"/>
      <c r="Q43" s="9">
        <v>1178.52</v>
      </c>
    </row>
    <row r="44" spans="2:17" ht="20.100000000000001" customHeight="1">
      <c r="B44" s="103"/>
      <c r="C44" s="10" t="s">
        <v>81</v>
      </c>
      <c r="D44" s="7" t="s">
        <v>67</v>
      </c>
      <c r="E44" s="7">
        <v>8226.9</v>
      </c>
      <c r="F44" s="16"/>
      <c r="G44" s="16">
        <f t="shared" ref="G44:Q44" si="5">G42*G43/0.866</f>
        <v>7537.6905311778337</v>
      </c>
      <c r="H44" s="16">
        <f t="shared" si="5"/>
        <v>0</v>
      </c>
      <c r="I44" s="16">
        <f t="shared" si="5"/>
        <v>7344.3418013856863</v>
      </c>
      <c r="J44" s="16">
        <f t="shared" si="5"/>
        <v>8249.3648960739083</v>
      </c>
      <c r="K44" s="16">
        <f t="shared" si="5"/>
        <v>8207.9445727482635</v>
      </c>
      <c r="L44" s="16">
        <f t="shared" si="5"/>
        <v>0</v>
      </c>
      <c r="M44" s="16">
        <f t="shared" si="5"/>
        <v>7601.2725173210101</v>
      </c>
      <c r="N44" s="16">
        <f>N42*N43/0.866</f>
        <v>8255.7159353348798</v>
      </c>
      <c r="O44" s="16">
        <f>O42*O43/0.866</f>
        <v>7426.1916859122393</v>
      </c>
      <c r="P44" s="16">
        <f t="shared" si="5"/>
        <v>0</v>
      </c>
      <c r="Q44" s="16">
        <f t="shared" si="5"/>
        <v>7757.0023094688258</v>
      </c>
    </row>
    <row r="45" spans="2:17" ht="20.100000000000001" customHeight="1">
      <c r="B45" s="103" t="s">
        <v>82</v>
      </c>
      <c r="C45" s="10" t="s">
        <v>83</v>
      </c>
      <c r="D45" s="7" t="s">
        <v>49</v>
      </c>
      <c r="E45" s="7" t="s">
        <v>84</v>
      </c>
      <c r="F45" s="8"/>
      <c r="G45" s="8">
        <v>0.46</v>
      </c>
      <c r="H45" s="9"/>
      <c r="I45" s="9">
        <v>0.45</v>
      </c>
      <c r="J45" s="8">
        <v>0.45</v>
      </c>
      <c r="K45" s="8">
        <v>0.45</v>
      </c>
      <c r="L45" s="9"/>
      <c r="M45" s="9">
        <v>0.45</v>
      </c>
      <c r="N45" s="8">
        <v>0.43</v>
      </c>
      <c r="O45" s="8">
        <v>0.44</v>
      </c>
      <c r="P45" s="9"/>
      <c r="Q45" s="9">
        <v>0.46</v>
      </c>
    </row>
    <row r="46" spans="2:17" ht="20.100000000000001" customHeight="1">
      <c r="B46" s="103"/>
      <c r="C46" s="10" t="s">
        <v>85</v>
      </c>
      <c r="D46" s="7" t="s">
        <v>42</v>
      </c>
      <c r="E46" s="7" t="s">
        <v>43</v>
      </c>
      <c r="F46" s="8"/>
      <c r="G46" s="8">
        <v>19.899999999999999</v>
      </c>
      <c r="H46" s="9"/>
      <c r="I46" s="9">
        <v>18.8</v>
      </c>
      <c r="J46" s="8">
        <v>18.7</v>
      </c>
      <c r="K46" s="8">
        <v>18.899999999999999</v>
      </c>
      <c r="L46" s="9"/>
      <c r="M46" s="9">
        <v>19.3</v>
      </c>
      <c r="N46" s="8">
        <v>17.600000000000001</v>
      </c>
      <c r="O46" s="8">
        <v>18.600000000000001</v>
      </c>
      <c r="P46" s="9"/>
      <c r="Q46" s="9">
        <v>19.7</v>
      </c>
    </row>
    <row r="47" spans="2:17" ht="20.100000000000001" customHeight="1">
      <c r="B47" s="103"/>
      <c r="C47" s="10" t="s">
        <v>86</v>
      </c>
      <c r="D47" s="7" t="s">
        <v>76</v>
      </c>
      <c r="E47" s="7" t="s">
        <v>76</v>
      </c>
      <c r="F47" s="8"/>
      <c r="G47" s="8">
        <v>165</v>
      </c>
      <c r="H47" s="9"/>
      <c r="I47" s="9">
        <v>119.2</v>
      </c>
      <c r="J47" s="8">
        <v>209.1</v>
      </c>
      <c r="K47" s="8">
        <v>196.3</v>
      </c>
      <c r="L47" s="9"/>
      <c r="M47" s="9">
        <v>198.7</v>
      </c>
      <c r="N47" s="8">
        <v>159.5</v>
      </c>
      <c r="O47" s="8">
        <v>160.9</v>
      </c>
      <c r="P47" s="9"/>
      <c r="Q47" s="9">
        <v>209.9</v>
      </c>
    </row>
    <row r="48" spans="2:17" ht="20.100000000000001" customHeight="1">
      <c r="B48" s="97" t="s">
        <v>87</v>
      </c>
      <c r="C48" s="97"/>
      <c r="D48" s="97"/>
      <c r="E48" s="17" t="s">
        <v>88</v>
      </c>
      <c r="F48" s="8"/>
      <c r="G48" s="8"/>
      <c r="H48" s="9"/>
      <c r="I48" s="9"/>
      <c r="J48" s="8"/>
      <c r="K48" s="8"/>
      <c r="L48" s="9"/>
      <c r="M48" s="9"/>
      <c r="N48" s="8"/>
      <c r="O48" s="8"/>
      <c r="P48" s="9"/>
      <c r="Q48" s="9"/>
    </row>
    <row r="49" spans="2:17" ht="20.100000000000001" customHeight="1">
      <c r="B49" s="97" t="s">
        <v>89</v>
      </c>
      <c r="C49" s="97"/>
      <c r="D49" s="97"/>
      <c r="E49" s="2">
        <v>5.89</v>
      </c>
      <c r="F49" s="8"/>
      <c r="G49" s="8">
        <v>5.46</v>
      </c>
      <c r="H49" s="9"/>
      <c r="I49" s="9">
        <v>5.57</v>
      </c>
      <c r="J49" s="8">
        <v>5.72</v>
      </c>
      <c r="K49" s="8">
        <v>5.55</v>
      </c>
      <c r="L49" s="9"/>
      <c r="M49" s="9">
        <v>5.48</v>
      </c>
      <c r="N49" s="8">
        <v>5.78</v>
      </c>
      <c r="O49" s="8">
        <v>5.53</v>
      </c>
      <c r="P49" s="9"/>
      <c r="Q49" s="9">
        <v>5.5</v>
      </c>
    </row>
    <row r="50" spans="2:17" ht="20.100000000000001" customHeight="1">
      <c r="B50" s="97" t="s">
        <v>90</v>
      </c>
      <c r="C50" s="97"/>
      <c r="D50" s="97"/>
      <c r="E50" s="2"/>
      <c r="F50" s="8"/>
      <c r="G50" s="8"/>
      <c r="H50" s="9"/>
      <c r="I50" s="9"/>
      <c r="J50" s="8"/>
      <c r="K50" s="8"/>
      <c r="L50" s="9"/>
      <c r="M50" s="9"/>
      <c r="N50" s="8"/>
      <c r="O50" s="8"/>
      <c r="P50" s="9"/>
      <c r="Q50" s="9"/>
    </row>
    <row r="51" spans="2:17" ht="20.100000000000001" customHeight="1">
      <c r="B51" s="97" t="s">
        <v>91</v>
      </c>
      <c r="C51" s="97"/>
      <c r="D51" s="97"/>
      <c r="E51" s="1"/>
      <c r="F51" s="8"/>
      <c r="G51" s="8"/>
      <c r="H51" s="9"/>
      <c r="I51" s="9"/>
      <c r="J51" s="8"/>
      <c r="K51" s="8"/>
      <c r="L51" s="9"/>
      <c r="M51" s="9"/>
      <c r="N51" s="8"/>
      <c r="O51" s="8"/>
      <c r="P51" s="9"/>
      <c r="Q51" s="9"/>
    </row>
    <row r="52" spans="2:17">
      <c r="B52" t="s">
        <v>92</v>
      </c>
      <c r="C52" s="18" t="s">
        <v>93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28"/>
    </row>
    <row r="53" spans="2:17">
      <c r="C53" s="20" t="s">
        <v>94</v>
      </c>
      <c r="Q53" s="31"/>
    </row>
    <row r="54" spans="2:17">
      <c r="C54" s="20" t="s">
        <v>95</v>
      </c>
      <c r="Q54" s="31"/>
    </row>
    <row r="55" spans="2:17">
      <c r="C55" s="20"/>
      <c r="Q55" s="31"/>
    </row>
    <row r="56" spans="2:17">
      <c r="C56" s="20"/>
      <c r="Q56" s="31"/>
    </row>
    <row r="57" spans="2:17">
      <c r="C57" s="20" t="s">
        <v>96</v>
      </c>
      <c r="F57" s="21" t="b">
        <v>0</v>
      </c>
      <c r="G57" s="22" t="s">
        <v>97</v>
      </c>
      <c r="Q57" s="31"/>
    </row>
    <row r="58" spans="2:17">
      <c r="C58" s="20" t="s">
        <v>96</v>
      </c>
      <c r="F58" s="8" t="s">
        <v>98</v>
      </c>
      <c r="G58" s="23" t="s">
        <v>99</v>
      </c>
      <c r="Q58" s="31"/>
    </row>
    <row r="59" spans="2:17"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30"/>
    </row>
  </sheetData>
  <mergeCells count="28">
    <mergeCell ref="B51:D51"/>
    <mergeCell ref="B2:B5"/>
    <mergeCell ref="B16:B18"/>
    <mergeCell ref="B19:B25"/>
    <mergeCell ref="B26:B34"/>
    <mergeCell ref="B35:B44"/>
    <mergeCell ref="B45:B47"/>
    <mergeCell ref="C2:M5"/>
    <mergeCell ref="B14:C14"/>
    <mergeCell ref="B15:C15"/>
    <mergeCell ref="B48:D48"/>
    <mergeCell ref="B49:D49"/>
    <mergeCell ref="B50:D50"/>
    <mergeCell ref="B9:D9"/>
    <mergeCell ref="B10:C10"/>
    <mergeCell ref="B11:C11"/>
    <mergeCell ref="B12:C12"/>
    <mergeCell ref="B13:C13"/>
    <mergeCell ref="B7:C7"/>
    <mergeCell ref="D7:Q7"/>
    <mergeCell ref="B8:D8"/>
    <mergeCell ref="F8:G8"/>
    <mergeCell ref="H8:I8"/>
    <mergeCell ref="J8:K8"/>
    <mergeCell ref="L8:M8"/>
    <mergeCell ref="N8:O8"/>
    <mergeCell ref="P8:Q8"/>
    <mergeCell ref="E8:E9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F6E8B-58C2-41F9-BDE7-251E8044B4FC}">
  <dimension ref="B1:Q59"/>
  <sheetViews>
    <sheetView view="pageBreakPreview" zoomScale="85" zoomScaleNormal="60" workbookViewId="0">
      <selection activeCell="B8" sqref="B8:D8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107"/>
      <c r="C2" s="110" t="s">
        <v>0</v>
      </c>
      <c r="D2" s="111"/>
      <c r="E2" s="111"/>
      <c r="F2" s="111"/>
      <c r="G2" s="111"/>
      <c r="H2" s="111"/>
      <c r="I2" s="111"/>
      <c r="J2" s="111"/>
      <c r="K2" s="111"/>
      <c r="L2" s="111"/>
      <c r="M2" s="112"/>
      <c r="N2" s="18" t="s">
        <v>1</v>
      </c>
      <c r="O2" s="19"/>
      <c r="P2" s="19"/>
      <c r="Q2" s="28"/>
    </row>
    <row r="3" spans="2:17" ht="15.75" thickBot="1">
      <c r="B3" s="108"/>
      <c r="C3" s="113"/>
      <c r="D3" s="114"/>
      <c r="E3" s="114"/>
      <c r="F3" s="114"/>
      <c r="G3" s="114"/>
      <c r="H3" s="114"/>
      <c r="I3" s="114"/>
      <c r="J3" s="114"/>
      <c r="K3" s="114"/>
      <c r="L3" s="114"/>
      <c r="M3" s="115"/>
      <c r="N3" s="26" t="s">
        <v>2</v>
      </c>
      <c r="O3" s="27" t="s">
        <v>3</v>
      </c>
      <c r="P3" s="27"/>
      <c r="Q3" s="29"/>
    </row>
    <row r="4" spans="2:17" ht="15.75" thickBot="1">
      <c r="B4" s="108"/>
      <c r="C4" s="113"/>
      <c r="D4" s="114"/>
      <c r="E4" s="114"/>
      <c r="F4" s="114"/>
      <c r="G4" s="114"/>
      <c r="H4" s="114"/>
      <c r="I4" s="114"/>
      <c r="J4" s="114"/>
      <c r="K4" s="114"/>
      <c r="L4" s="114"/>
      <c r="M4" s="115"/>
      <c r="N4" s="26" t="s">
        <v>4</v>
      </c>
      <c r="O4" s="27"/>
      <c r="P4" s="27"/>
      <c r="Q4" s="29"/>
    </row>
    <row r="5" spans="2:17" ht="15.75" thickBot="1">
      <c r="B5" s="109"/>
      <c r="C5" s="116"/>
      <c r="D5" s="117"/>
      <c r="E5" s="117"/>
      <c r="F5" s="117"/>
      <c r="G5" s="117"/>
      <c r="H5" s="117"/>
      <c r="I5" s="117"/>
      <c r="J5" s="117"/>
      <c r="K5" s="117"/>
      <c r="L5" s="117"/>
      <c r="M5" s="118"/>
      <c r="N5" s="24" t="s">
        <v>5</v>
      </c>
      <c r="O5" s="25"/>
      <c r="P5" s="25"/>
      <c r="Q5" s="30"/>
    </row>
    <row r="7" spans="2:17">
      <c r="B7" s="98" t="s">
        <v>6</v>
      </c>
      <c r="C7" s="99"/>
      <c r="D7" s="100">
        <v>45718</v>
      </c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2"/>
    </row>
    <row r="8" spans="2:17">
      <c r="B8" s="97" t="s">
        <v>7</v>
      </c>
      <c r="C8" s="97"/>
      <c r="D8" s="97"/>
      <c r="E8" s="105" t="s">
        <v>8</v>
      </c>
      <c r="F8" s="103" t="s">
        <v>9</v>
      </c>
      <c r="G8" s="103"/>
      <c r="H8" s="104" t="s">
        <v>10</v>
      </c>
      <c r="I8" s="104"/>
      <c r="J8" s="103" t="s">
        <v>11</v>
      </c>
      <c r="K8" s="103"/>
      <c r="L8" s="104" t="s">
        <v>12</v>
      </c>
      <c r="M8" s="104"/>
      <c r="N8" s="103" t="s">
        <v>13</v>
      </c>
      <c r="O8" s="103"/>
      <c r="P8" s="104" t="s">
        <v>14</v>
      </c>
      <c r="Q8" s="104"/>
    </row>
    <row r="9" spans="2:17">
      <c r="B9" s="98" t="s">
        <v>15</v>
      </c>
      <c r="C9" s="119"/>
      <c r="D9" s="99"/>
      <c r="E9" s="106"/>
      <c r="F9" s="3">
        <v>0.375</v>
      </c>
      <c r="G9" s="32" t="s">
        <v>16</v>
      </c>
      <c r="H9" s="4">
        <v>0.375</v>
      </c>
      <c r="I9" s="33" t="s">
        <v>16</v>
      </c>
      <c r="J9" s="3">
        <v>0.375</v>
      </c>
      <c r="K9" s="32" t="s">
        <v>16</v>
      </c>
      <c r="L9" s="4">
        <v>0.375</v>
      </c>
      <c r="M9" s="33" t="s">
        <v>16</v>
      </c>
      <c r="N9" s="3">
        <v>0.375</v>
      </c>
      <c r="O9" s="32" t="s">
        <v>16</v>
      </c>
      <c r="P9" s="4">
        <v>0.375</v>
      </c>
      <c r="Q9" s="33" t="s">
        <v>16</v>
      </c>
    </row>
    <row r="10" spans="2:17" ht="26.25" customHeight="1">
      <c r="B10" s="120" t="s">
        <v>17</v>
      </c>
      <c r="C10" s="121"/>
      <c r="D10" s="37" t="s">
        <v>18</v>
      </c>
      <c r="E10" s="5"/>
      <c r="F10" s="6"/>
      <c r="G10" s="34" t="s">
        <v>19</v>
      </c>
      <c r="H10" s="35" t="s">
        <v>19</v>
      </c>
      <c r="I10" s="35" t="s">
        <v>19</v>
      </c>
      <c r="J10" s="34" t="s">
        <v>19</v>
      </c>
      <c r="K10" s="34" t="s">
        <v>19</v>
      </c>
      <c r="L10" s="35" t="s">
        <v>19</v>
      </c>
      <c r="M10" s="35" t="s">
        <v>19</v>
      </c>
      <c r="N10" s="6"/>
      <c r="O10" s="34" t="s">
        <v>19</v>
      </c>
      <c r="P10" s="35" t="s">
        <v>19</v>
      </c>
      <c r="Q10" s="35" t="s">
        <v>19</v>
      </c>
    </row>
    <row r="11" spans="2:17" ht="20.100000000000001" customHeight="1">
      <c r="B11" s="97" t="s">
        <v>20</v>
      </c>
      <c r="C11" s="97"/>
      <c r="D11" s="7" t="s">
        <v>21</v>
      </c>
      <c r="E11" s="7" t="s">
        <v>22</v>
      </c>
      <c r="F11" s="8"/>
      <c r="G11" s="8">
        <v>69.099999999999994</v>
      </c>
      <c r="H11" s="9"/>
      <c r="I11" s="9">
        <v>81.599999999999994</v>
      </c>
      <c r="J11" s="8"/>
      <c r="K11" s="8">
        <v>73.8</v>
      </c>
      <c r="L11" s="9"/>
      <c r="M11" s="9">
        <v>70</v>
      </c>
      <c r="N11" s="8"/>
      <c r="O11" s="8">
        <v>75.8</v>
      </c>
      <c r="P11" s="9"/>
      <c r="Q11" s="9">
        <v>72.8</v>
      </c>
    </row>
    <row r="12" spans="2:17" ht="20.100000000000001" customHeight="1">
      <c r="B12" s="97" t="s">
        <v>23</v>
      </c>
      <c r="C12" s="97"/>
      <c r="D12" s="7" t="s">
        <v>21</v>
      </c>
      <c r="E12" s="7" t="s">
        <v>22</v>
      </c>
      <c r="F12" s="8"/>
      <c r="G12" s="8">
        <v>0.4</v>
      </c>
      <c r="H12" s="9"/>
      <c r="I12" s="9">
        <v>0</v>
      </c>
      <c r="J12" s="8"/>
      <c r="K12" s="8">
        <v>0</v>
      </c>
      <c r="L12" s="9"/>
      <c r="M12" s="9">
        <v>0</v>
      </c>
      <c r="N12" s="8"/>
      <c r="O12" s="8">
        <v>0.2</v>
      </c>
      <c r="P12" s="9"/>
      <c r="Q12" s="9">
        <v>0</v>
      </c>
    </row>
    <row r="13" spans="2:17" ht="20.100000000000001" customHeight="1">
      <c r="B13" s="97" t="s">
        <v>24</v>
      </c>
      <c r="C13" s="97"/>
      <c r="D13" s="7" t="s">
        <v>21</v>
      </c>
      <c r="E13" s="7" t="s">
        <v>22</v>
      </c>
      <c r="F13" s="8"/>
      <c r="G13" s="8">
        <v>62.6</v>
      </c>
      <c r="H13" s="9"/>
      <c r="I13" s="9">
        <v>77.900000000000006</v>
      </c>
      <c r="J13" s="8"/>
      <c r="K13" s="8">
        <v>67.8</v>
      </c>
      <c r="L13" s="9"/>
      <c r="M13" s="9">
        <v>65.2</v>
      </c>
      <c r="N13" s="8"/>
      <c r="O13" s="8">
        <v>71.599999999999994</v>
      </c>
      <c r="P13" s="9"/>
      <c r="Q13" s="9">
        <v>67.7</v>
      </c>
    </row>
    <row r="14" spans="2:17" ht="20.100000000000001" customHeight="1">
      <c r="B14" s="97" t="s">
        <v>25</v>
      </c>
      <c r="C14" s="97"/>
      <c r="D14" s="7" t="s">
        <v>21</v>
      </c>
      <c r="E14" s="7" t="s">
        <v>22</v>
      </c>
      <c r="F14" s="8"/>
      <c r="G14" s="8">
        <v>66.7</v>
      </c>
      <c r="H14" s="9"/>
      <c r="I14" s="9">
        <v>66.900000000000006</v>
      </c>
      <c r="J14" s="8"/>
      <c r="K14" s="8">
        <v>63.6</v>
      </c>
      <c r="L14" s="9"/>
      <c r="M14" s="9">
        <v>66.2</v>
      </c>
      <c r="N14" s="8"/>
      <c r="O14" s="8">
        <v>73.3</v>
      </c>
      <c r="P14" s="9"/>
      <c r="Q14" s="9">
        <v>70.3</v>
      </c>
    </row>
    <row r="15" spans="2:17" ht="20.100000000000001" customHeight="1">
      <c r="B15" s="97" t="s">
        <v>26</v>
      </c>
      <c r="C15" s="97"/>
      <c r="D15" s="7" t="s">
        <v>21</v>
      </c>
      <c r="E15" s="7" t="s">
        <v>22</v>
      </c>
      <c r="F15" s="8"/>
      <c r="G15" s="8">
        <v>36.9</v>
      </c>
      <c r="H15" s="9"/>
      <c r="I15" s="9">
        <v>52</v>
      </c>
      <c r="J15" s="8"/>
      <c r="K15" s="8">
        <v>39.299999999999997</v>
      </c>
      <c r="L15" s="9"/>
      <c r="M15" s="9">
        <v>34.9</v>
      </c>
      <c r="N15" s="8"/>
      <c r="O15" s="8">
        <v>53.8</v>
      </c>
      <c r="P15" s="9"/>
      <c r="Q15" s="9">
        <v>43.2</v>
      </c>
    </row>
    <row r="16" spans="2:17" ht="20.100000000000001" customHeight="1">
      <c r="B16" s="103" t="s">
        <v>27</v>
      </c>
      <c r="C16" s="10" t="s">
        <v>28</v>
      </c>
      <c r="D16" s="7" t="s">
        <v>29</v>
      </c>
      <c r="E16" s="7" t="s">
        <v>30</v>
      </c>
      <c r="F16" s="8"/>
      <c r="G16" s="8">
        <v>6.6</v>
      </c>
      <c r="H16" s="9"/>
      <c r="I16" s="9">
        <v>6.6</v>
      </c>
      <c r="J16" s="8"/>
      <c r="K16" s="8">
        <v>6.6</v>
      </c>
      <c r="L16" s="9"/>
      <c r="M16" s="9">
        <v>6.6</v>
      </c>
      <c r="N16" s="8"/>
      <c r="O16" s="8">
        <v>6.6</v>
      </c>
      <c r="P16" s="9"/>
      <c r="Q16" s="9">
        <v>6.6</v>
      </c>
    </row>
    <row r="17" spans="2:17" ht="20.100000000000001" customHeight="1">
      <c r="B17" s="103"/>
      <c r="C17" s="10" t="s">
        <v>31</v>
      </c>
      <c r="D17" s="7" t="s">
        <v>32</v>
      </c>
      <c r="E17" s="7" t="s">
        <v>33</v>
      </c>
      <c r="F17" s="8"/>
      <c r="G17" s="8">
        <v>116.5</v>
      </c>
      <c r="H17" s="9"/>
      <c r="I17" s="9">
        <v>118.3</v>
      </c>
      <c r="J17" s="8"/>
      <c r="K17" s="8">
        <v>116</v>
      </c>
      <c r="L17" s="9"/>
      <c r="M17" s="9">
        <v>111.7</v>
      </c>
      <c r="N17" s="8"/>
      <c r="O17" s="8">
        <v>116.6</v>
      </c>
      <c r="P17" s="9"/>
      <c r="Q17" s="9">
        <v>115.5</v>
      </c>
    </row>
    <row r="18" spans="2:17" ht="20.100000000000001" customHeight="1">
      <c r="B18" s="103"/>
      <c r="C18" s="10" t="s">
        <v>34</v>
      </c>
      <c r="D18" s="7" t="s">
        <v>35</v>
      </c>
      <c r="E18" s="7" t="s">
        <v>36</v>
      </c>
      <c r="F18" s="8"/>
      <c r="G18" s="8">
        <v>1131</v>
      </c>
      <c r="H18" s="9"/>
      <c r="I18" s="9">
        <v>1189</v>
      </c>
      <c r="J18" s="8"/>
      <c r="K18" s="8">
        <v>1178</v>
      </c>
      <c r="L18" s="9"/>
      <c r="M18" s="9">
        <v>1135</v>
      </c>
      <c r="N18" s="8"/>
      <c r="O18" s="8">
        <v>1191</v>
      </c>
      <c r="P18" s="9"/>
      <c r="Q18" s="9">
        <v>1171</v>
      </c>
    </row>
    <row r="19" spans="2:17" ht="20.100000000000001" customHeight="1">
      <c r="B19" s="103" t="s">
        <v>37</v>
      </c>
      <c r="C19" s="10" t="s">
        <v>38</v>
      </c>
      <c r="D19" s="7" t="s">
        <v>39</v>
      </c>
      <c r="E19" s="11" t="s">
        <v>40</v>
      </c>
      <c r="F19" s="8"/>
      <c r="G19" s="8">
        <v>49381</v>
      </c>
      <c r="H19" s="9"/>
      <c r="I19" s="9">
        <v>50590.3</v>
      </c>
      <c r="J19" s="8"/>
      <c r="K19" s="8">
        <v>48227.199999999997</v>
      </c>
      <c r="L19" s="9"/>
      <c r="M19" s="9">
        <v>50616.3</v>
      </c>
      <c r="N19" s="8"/>
      <c r="O19" s="8">
        <v>49806.2</v>
      </c>
      <c r="P19" s="9"/>
      <c r="Q19" s="9">
        <v>49961.9</v>
      </c>
    </row>
    <row r="20" spans="2:17" ht="20.100000000000001" customHeight="1">
      <c r="B20" s="103"/>
      <c r="C20" s="10" t="s">
        <v>41</v>
      </c>
      <c r="D20" s="7" t="s">
        <v>42</v>
      </c>
      <c r="E20" s="7" t="s">
        <v>43</v>
      </c>
      <c r="F20" s="8"/>
      <c r="G20" s="8"/>
      <c r="H20" s="9"/>
      <c r="I20" s="9"/>
      <c r="J20" s="8"/>
      <c r="K20" s="8"/>
      <c r="L20" s="9"/>
      <c r="M20" s="9"/>
      <c r="N20" s="8"/>
      <c r="O20" s="8"/>
      <c r="P20" s="9"/>
      <c r="Q20" s="9"/>
    </row>
    <row r="21" spans="2:17" ht="20.100000000000001" customHeight="1">
      <c r="B21" s="103"/>
      <c r="C21" s="10" t="s">
        <v>44</v>
      </c>
      <c r="D21" s="7" t="s">
        <v>42</v>
      </c>
      <c r="E21" s="7" t="s">
        <v>45</v>
      </c>
      <c r="F21" s="8"/>
      <c r="G21" s="8"/>
      <c r="H21" s="9"/>
      <c r="I21" s="9"/>
      <c r="J21" s="8"/>
      <c r="K21" s="8"/>
      <c r="L21" s="9"/>
      <c r="M21" s="9"/>
      <c r="N21" s="8"/>
      <c r="O21" s="8"/>
      <c r="P21" s="9"/>
      <c r="Q21" s="9"/>
    </row>
    <row r="22" spans="2:17" ht="20.100000000000001" customHeight="1">
      <c r="B22" s="103"/>
      <c r="C22" s="10" t="s">
        <v>46</v>
      </c>
      <c r="D22" s="7" t="s">
        <v>42</v>
      </c>
      <c r="E22" s="7" t="s">
        <v>47</v>
      </c>
      <c r="F22" s="8"/>
      <c r="G22" s="8">
        <v>58.4</v>
      </c>
      <c r="H22" s="9"/>
      <c r="I22" s="9">
        <v>59.1</v>
      </c>
      <c r="J22" s="8"/>
      <c r="K22" s="8">
        <v>57.8</v>
      </c>
      <c r="L22" s="9"/>
      <c r="M22" s="9">
        <v>57.2</v>
      </c>
      <c r="N22" s="8"/>
      <c r="O22" s="8">
        <v>58.6</v>
      </c>
      <c r="P22" s="9"/>
      <c r="Q22" s="9">
        <v>58.9</v>
      </c>
    </row>
    <row r="23" spans="2:17" ht="60">
      <c r="B23" s="103"/>
      <c r="C23" s="12" t="s">
        <v>48</v>
      </c>
      <c r="D23" s="8" t="s">
        <v>49</v>
      </c>
      <c r="E23" s="13" t="s">
        <v>50</v>
      </c>
      <c r="F23" s="8"/>
      <c r="G23" s="8">
        <v>0.52</v>
      </c>
      <c r="H23" s="9"/>
      <c r="I23" s="9">
        <v>0.48</v>
      </c>
      <c r="J23" s="8"/>
      <c r="K23" s="8">
        <v>0.59</v>
      </c>
      <c r="L23" s="9"/>
      <c r="M23" s="9">
        <v>0.59</v>
      </c>
      <c r="N23" s="8"/>
      <c r="O23" s="8">
        <v>0.48</v>
      </c>
      <c r="P23" s="9"/>
      <c r="Q23" s="9">
        <v>0.49</v>
      </c>
    </row>
    <row r="24" spans="2:17" ht="39.75" customHeight="1">
      <c r="B24" s="103"/>
      <c r="C24" s="12" t="s">
        <v>51</v>
      </c>
      <c r="D24" s="7"/>
      <c r="E24" s="7"/>
      <c r="F24" s="8"/>
      <c r="G24" s="8"/>
      <c r="H24" s="9"/>
      <c r="I24" s="9"/>
      <c r="J24" s="8"/>
      <c r="K24" s="8"/>
      <c r="L24" s="8"/>
      <c r="M24" s="9"/>
      <c r="N24" s="8"/>
      <c r="O24" s="8"/>
      <c r="P24" s="9"/>
      <c r="Q24" s="9"/>
    </row>
    <row r="25" spans="2:17" ht="20.100000000000001" customHeight="1">
      <c r="B25" s="103"/>
      <c r="C25" s="10" t="s">
        <v>52</v>
      </c>
      <c r="D25" s="7" t="s">
        <v>42</v>
      </c>
      <c r="E25" s="7" t="s">
        <v>53</v>
      </c>
      <c r="F25" s="8"/>
      <c r="G25" s="8">
        <v>45.3</v>
      </c>
      <c r="H25" s="9"/>
      <c r="I25" s="9">
        <v>44.9</v>
      </c>
      <c r="J25" s="8"/>
      <c r="K25" s="8">
        <v>44.8</v>
      </c>
      <c r="L25" s="9"/>
      <c r="M25" s="9">
        <v>45.3</v>
      </c>
      <c r="N25" s="8"/>
      <c r="O25" s="8">
        <v>44.6</v>
      </c>
      <c r="P25" s="9"/>
      <c r="Q25" s="9">
        <v>44.9</v>
      </c>
    </row>
    <row r="26" spans="2:17" ht="20.100000000000001" customHeight="1">
      <c r="B26" s="103" t="s">
        <v>54</v>
      </c>
      <c r="C26" s="10" t="s">
        <v>55</v>
      </c>
      <c r="D26" s="7" t="s">
        <v>49</v>
      </c>
      <c r="E26" s="14" t="s">
        <v>56</v>
      </c>
      <c r="F26" s="8"/>
      <c r="G26" s="8">
        <v>0.23</v>
      </c>
      <c r="H26" s="9"/>
      <c r="I26" s="9">
        <v>0.21</v>
      </c>
      <c r="J26" s="8"/>
      <c r="K26" s="8">
        <v>0.23</v>
      </c>
      <c r="L26" s="9"/>
      <c r="M26" s="9">
        <v>0.22</v>
      </c>
      <c r="N26" s="8"/>
      <c r="O26" s="8">
        <v>0.22</v>
      </c>
      <c r="P26" s="9"/>
      <c r="Q26" s="9">
        <v>0.23</v>
      </c>
    </row>
    <row r="27" spans="2:17" ht="20.100000000000001" customHeight="1">
      <c r="B27" s="103"/>
      <c r="C27" s="10" t="s">
        <v>57</v>
      </c>
      <c r="D27" s="7" t="s">
        <v>42</v>
      </c>
      <c r="E27" s="7" t="s">
        <v>43</v>
      </c>
      <c r="F27" s="8"/>
      <c r="G27" s="8">
        <v>4</v>
      </c>
      <c r="H27" s="9"/>
      <c r="I27" s="9">
        <v>2.9</v>
      </c>
      <c r="J27" s="8"/>
      <c r="K27" s="8">
        <v>4.5999999999999996</v>
      </c>
      <c r="L27" s="9"/>
      <c r="M27" s="9">
        <v>3.6</v>
      </c>
      <c r="N27" s="8"/>
      <c r="O27" s="8">
        <v>4</v>
      </c>
      <c r="P27" s="9"/>
      <c r="Q27" s="9">
        <v>4.2</v>
      </c>
    </row>
    <row r="28" spans="2:17" ht="20.100000000000001" customHeight="1">
      <c r="B28" s="103"/>
      <c r="C28" s="10" t="s">
        <v>58</v>
      </c>
      <c r="D28" s="7" t="s">
        <v>42</v>
      </c>
      <c r="E28" s="7" t="s">
        <v>43</v>
      </c>
      <c r="F28" s="8"/>
      <c r="G28" s="8">
        <v>3.8</v>
      </c>
      <c r="H28" s="9"/>
      <c r="I28" s="9">
        <v>2</v>
      </c>
      <c r="J28" s="8"/>
      <c r="K28" s="8">
        <v>3.4</v>
      </c>
      <c r="L28" s="9"/>
      <c r="M28" s="9">
        <v>2.9</v>
      </c>
      <c r="N28" s="8"/>
      <c r="O28" s="8">
        <v>3</v>
      </c>
      <c r="P28" s="9"/>
      <c r="Q28" s="9">
        <v>3.4</v>
      </c>
    </row>
    <row r="29" spans="2:17" ht="20.100000000000001" customHeight="1">
      <c r="B29" s="103"/>
      <c r="C29" s="10" t="s">
        <v>59</v>
      </c>
      <c r="D29" s="7" t="s">
        <v>42</v>
      </c>
      <c r="E29" s="7" t="s">
        <v>43</v>
      </c>
      <c r="F29" s="15"/>
      <c r="G29" s="15">
        <f t="shared" ref="G29:Q29" si="0">G32-G28</f>
        <v>0.60000000000000053</v>
      </c>
      <c r="H29" s="15">
        <f t="shared" si="0"/>
        <v>0</v>
      </c>
      <c r="I29" s="15">
        <f t="shared" si="0"/>
        <v>2</v>
      </c>
      <c r="J29" s="15">
        <f t="shared" si="0"/>
        <v>0</v>
      </c>
      <c r="K29" s="15">
        <f t="shared" si="0"/>
        <v>1.1999999999999997</v>
      </c>
      <c r="L29" s="15">
        <f t="shared" si="0"/>
        <v>0</v>
      </c>
      <c r="M29" s="15">
        <f t="shared" si="0"/>
        <v>1</v>
      </c>
      <c r="N29" s="15">
        <f>N32-N28</f>
        <v>0</v>
      </c>
      <c r="O29" s="15">
        <f>O32-O28</f>
        <v>1</v>
      </c>
      <c r="P29" s="15">
        <f t="shared" si="0"/>
        <v>0</v>
      </c>
      <c r="Q29" s="15">
        <f t="shared" si="0"/>
        <v>0.89999999999999991</v>
      </c>
    </row>
    <row r="30" spans="2:17" ht="20.100000000000001" customHeight="1">
      <c r="B30" s="103"/>
      <c r="C30" s="10" t="s">
        <v>60</v>
      </c>
      <c r="D30" s="7" t="s">
        <v>61</v>
      </c>
      <c r="E30" s="7" t="s">
        <v>62</v>
      </c>
      <c r="F30" s="8"/>
      <c r="G30" s="8">
        <v>655.04</v>
      </c>
      <c r="H30" s="9"/>
      <c r="I30" s="9">
        <v>640.55999999999995</v>
      </c>
      <c r="J30" s="8"/>
      <c r="K30" s="8">
        <v>639.04</v>
      </c>
      <c r="L30" s="9"/>
      <c r="M30" s="9">
        <v>630.4</v>
      </c>
      <c r="N30" s="8"/>
      <c r="O30" s="8">
        <v>638.64</v>
      </c>
      <c r="P30" s="9"/>
      <c r="Q30" s="9">
        <v>637.84</v>
      </c>
    </row>
    <row r="31" spans="2:17" ht="20.100000000000001" customHeight="1">
      <c r="B31" s="103"/>
      <c r="C31" s="10" t="s">
        <v>63</v>
      </c>
      <c r="D31" s="7" t="s">
        <v>42</v>
      </c>
      <c r="E31" s="7">
        <v>13.5</v>
      </c>
      <c r="F31" s="8"/>
      <c r="G31" s="8">
        <v>12.9</v>
      </c>
      <c r="H31" s="9"/>
      <c r="I31" s="9">
        <v>12.7</v>
      </c>
      <c r="J31" s="8"/>
      <c r="K31" s="8">
        <v>13.5</v>
      </c>
      <c r="L31" s="9"/>
      <c r="M31" s="9">
        <v>13.2</v>
      </c>
      <c r="N31" s="8"/>
      <c r="O31" s="8">
        <v>13</v>
      </c>
      <c r="P31" s="9"/>
      <c r="Q31" s="9">
        <v>12.8</v>
      </c>
    </row>
    <row r="32" spans="2:17" ht="20.100000000000001" customHeight="1">
      <c r="B32" s="103"/>
      <c r="C32" s="10" t="s">
        <v>64</v>
      </c>
      <c r="D32" s="7" t="s">
        <v>42</v>
      </c>
      <c r="E32" s="7">
        <v>4</v>
      </c>
      <c r="F32" s="8"/>
      <c r="G32" s="8">
        <v>4.4000000000000004</v>
      </c>
      <c r="H32" s="9"/>
      <c r="I32" s="9">
        <v>4</v>
      </c>
      <c r="J32" s="8"/>
      <c r="K32" s="8">
        <v>4.5999999999999996</v>
      </c>
      <c r="L32" s="9"/>
      <c r="M32" s="9">
        <v>3.9</v>
      </c>
      <c r="N32" s="8"/>
      <c r="O32" s="8">
        <v>4</v>
      </c>
      <c r="P32" s="9"/>
      <c r="Q32" s="9">
        <v>4.3</v>
      </c>
    </row>
    <row r="33" spans="2:17" ht="20.100000000000001" customHeight="1">
      <c r="B33" s="103"/>
      <c r="C33" s="10" t="s">
        <v>65</v>
      </c>
      <c r="D33" s="7" t="s">
        <v>42</v>
      </c>
      <c r="E33" s="7">
        <v>9.5</v>
      </c>
      <c r="F33" s="15"/>
      <c r="G33" s="15">
        <f t="shared" ref="G33:Q33" si="1">G31-G32</f>
        <v>8.5</v>
      </c>
      <c r="H33" s="15">
        <f t="shared" si="1"/>
        <v>0</v>
      </c>
      <c r="I33" s="15">
        <f t="shared" si="1"/>
        <v>8.6999999999999993</v>
      </c>
      <c r="J33" s="15">
        <f t="shared" si="1"/>
        <v>0</v>
      </c>
      <c r="K33" s="15">
        <f t="shared" si="1"/>
        <v>8.9</v>
      </c>
      <c r="L33" s="15">
        <f t="shared" si="1"/>
        <v>0</v>
      </c>
      <c r="M33" s="15">
        <f t="shared" si="1"/>
        <v>9.2999999999999989</v>
      </c>
      <c r="N33" s="15">
        <f>N31-N32</f>
        <v>0</v>
      </c>
      <c r="O33" s="15">
        <f>O31-O32</f>
        <v>9</v>
      </c>
      <c r="P33" s="15">
        <f t="shared" si="1"/>
        <v>0</v>
      </c>
      <c r="Q33" s="15">
        <f t="shared" si="1"/>
        <v>8.5</v>
      </c>
    </row>
    <row r="34" spans="2:17" ht="20.100000000000001" customHeight="1">
      <c r="B34" s="103"/>
      <c r="C34" s="10" t="s">
        <v>66</v>
      </c>
      <c r="D34" s="7" t="s">
        <v>67</v>
      </c>
      <c r="E34" s="7" t="s">
        <v>68</v>
      </c>
      <c r="F34" s="16"/>
      <c r="G34" s="16">
        <f t="shared" ref="G34:Q34" si="2">(G33*G30)/0.866</f>
        <v>6429.3764434180139</v>
      </c>
      <c r="H34" s="16">
        <f t="shared" si="2"/>
        <v>0</v>
      </c>
      <c r="I34" s="16">
        <f t="shared" si="2"/>
        <v>6435.1870669745949</v>
      </c>
      <c r="J34" s="16">
        <f t="shared" si="2"/>
        <v>0</v>
      </c>
      <c r="K34" s="16">
        <f t="shared" si="2"/>
        <v>6567.5011547344111</v>
      </c>
      <c r="L34" s="16">
        <f t="shared" si="2"/>
        <v>0</v>
      </c>
      <c r="M34" s="16">
        <f t="shared" si="2"/>
        <v>6769.8845265588907</v>
      </c>
      <c r="N34" s="16">
        <f>(N33*N30)/0.866</f>
        <v>0</v>
      </c>
      <c r="O34" s="16">
        <f>(O33*O30)/0.866</f>
        <v>6637.1362586605082</v>
      </c>
      <c r="P34" s="16">
        <f t="shared" si="2"/>
        <v>0</v>
      </c>
      <c r="Q34" s="16">
        <f t="shared" si="2"/>
        <v>6260.5542725173218</v>
      </c>
    </row>
    <row r="35" spans="2:17" ht="20.100000000000001" customHeight="1">
      <c r="B35" s="103" t="s">
        <v>69</v>
      </c>
      <c r="C35" s="10" t="s">
        <v>70</v>
      </c>
      <c r="D35" s="7" t="s">
        <v>49</v>
      </c>
      <c r="E35" s="7" t="s">
        <v>71</v>
      </c>
      <c r="F35" s="8"/>
      <c r="G35" s="8">
        <v>0.82</v>
      </c>
      <c r="H35" s="9"/>
      <c r="I35" s="9">
        <v>0.83</v>
      </c>
      <c r="J35" s="8"/>
      <c r="K35" s="8">
        <v>0.82</v>
      </c>
      <c r="L35" s="9"/>
      <c r="M35" s="9">
        <v>0.82</v>
      </c>
      <c r="N35" s="8"/>
      <c r="O35" s="8">
        <v>0.8</v>
      </c>
      <c r="P35" s="9"/>
      <c r="Q35" s="9">
        <v>0.82</v>
      </c>
    </row>
    <row r="36" spans="2:17" ht="20.100000000000001" customHeight="1">
      <c r="B36" s="103"/>
      <c r="C36" s="10" t="s">
        <v>72</v>
      </c>
      <c r="D36" s="7" t="s">
        <v>42</v>
      </c>
      <c r="E36" s="7" t="s">
        <v>43</v>
      </c>
      <c r="F36" s="8"/>
      <c r="G36" s="8">
        <v>35.700000000000003</v>
      </c>
      <c r="H36" s="9"/>
      <c r="I36" s="9">
        <v>35.9</v>
      </c>
      <c r="J36" s="8"/>
      <c r="K36" s="8">
        <v>35.6</v>
      </c>
      <c r="L36" s="9"/>
      <c r="M36" s="9">
        <v>35.4</v>
      </c>
      <c r="N36" s="8"/>
      <c r="O36" s="8">
        <v>35</v>
      </c>
      <c r="P36" s="9"/>
      <c r="Q36" s="9">
        <v>35.5</v>
      </c>
    </row>
    <row r="37" spans="2:17" ht="20.100000000000001" customHeight="1">
      <c r="B37" s="103"/>
      <c r="C37" s="10" t="s">
        <v>73</v>
      </c>
      <c r="D37" s="7" t="s">
        <v>42</v>
      </c>
      <c r="E37" s="7" t="s">
        <v>43</v>
      </c>
      <c r="F37" s="8"/>
      <c r="G37" s="8">
        <v>36.4</v>
      </c>
      <c r="H37" s="9"/>
      <c r="I37" s="9">
        <v>36.9</v>
      </c>
      <c r="J37" s="8"/>
      <c r="K37" s="8">
        <v>36.4</v>
      </c>
      <c r="L37" s="9"/>
      <c r="M37" s="9">
        <v>36.299999999999997</v>
      </c>
      <c r="N37" s="8"/>
      <c r="O37" s="8">
        <v>35.5</v>
      </c>
      <c r="P37" s="9"/>
      <c r="Q37" s="9">
        <v>36.4</v>
      </c>
    </row>
    <row r="38" spans="2:17" ht="20.100000000000001" customHeight="1">
      <c r="B38" s="103"/>
      <c r="C38" s="12" t="s">
        <v>74</v>
      </c>
      <c r="D38" s="7" t="s">
        <v>42</v>
      </c>
      <c r="E38" s="7"/>
      <c r="F38" s="15"/>
      <c r="G38" s="15">
        <f t="shared" ref="G38:Q38" si="3">G37-G41</f>
        <v>2.5</v>
      </c>
      <c r="H38" s="15">
        <f t="shared" si="3"/>
        <v>0</v>
      </c>
      <c r="I38" s="15">
        <f t="shared" si="3"/>
        <v>3.8999999999999986</v>
      </c>
      <c r="J38" s="15">
        <f t="shared" si="3"/>
        <v>0</v>
      </c>
      <c r="K38" s="15">
        <f t="shared" si="3"/>
        <v>3</v>
      </c>
      <c r="L38" s="15">
        <f t="shared" si="3"/>
        <v>0</v>
      </c>
      <c r="M38" s="15">
        <f t="shared" si="3"/>
        <v>3.0999999999999943</v>
      </c>
      <c r="N38" s="15">
        <f>N37-N41</f>
        <v>0</v>
      </c>
      <c r="O38" s="15">
        <f>O37-O41</f>
        <v>2.2999999999999972</v>
      </c>
      <c r="P38" s="15">
        <f t="shared" si="3"/>
        <v>0</v>
      </c>
      <c r="Q38" s="15">
        <f t="shared" si="3"/>
        <v>3</v>
      </c>
    </row>
    <row r="39" spans="2:17" ht="20.100000000000001" customHeight="1">
      <c r="B39" s="103"/>
      <c r="C39" s="10" t="s">
        <v>75</v>
      </c>
      <c r="D39" s="7" t="s">
        <v>76</v>
      </c>
      <c r="E39" s="7"/>
      <c r="F39" s="8"/>
      <c r="G39" s="8"/>
      <c r="H39" s="9"/>
      <c r="I39" s="9"/>
      <c r="J39" s="8"/>
      <c r="K39" s="8"/>
      <c r="L39" s="9"/>
      <c r="M39" s="9"/>
      <c r="N39" s="8"/>
      <c r="O39" s="8"/>
      <c r="P39" s="9"/>
      <c r="Q39" s="9"/>
    </row>
    <row r="40" spans="2:17" ht="20.100000000000001" customHeight="1">
      <c r="B40" s="103"/>
      <c r="C40" s="10" t="s">
        <v>77</v>
      </c>
      <c r="D40" s="7" t="s">
        <v>42</v>
      </c>
      <c r="E40" s="7">
        <v>30.8</v>
      </c>
      <c r="F40" s="8"/>
      <c r="G40" s="8">
        <v>27.7</v>
      </c>
      <c r="H40" s="9"/>
      <c r="I40" s="9">
        <v>27.5</v>
      </c>
      <c r="J40" s="8"/>
      <c r="K40" s="8">
        <v>27.6</v>
      </c>
      <c r="L40" s="9"/>
      <c r="M40" s="9">
        <v>27.4</v>
      </c>
      <c r="N40" s="8"/>
      <c r="O40" s="8">
        <v>27.5</v>
      </c>
      <c r="P40" s="9"/>
      <c r="Q40" s="9">
        <v>27.9</v>
      </c>
    </row>
    <row r="41" spans="2:17" ht="20.100000000000001" customHeight="1">
      <c r="B41" s="103"/>
      <c r="C41" s="10" t="s">
        <v>78</v>
      </c>
      <c r="D41" s="7" t="s">
        <v>42</v>
      </c>
      <c r="E41" s="7">
        <v>36.4</v>
      </c>
      <c r="F41" s="8"/>
      <c r="G41" s="8">
        <v>33.9</v>
      </c>
      <c r="H41" s="9"/>
      <c r="I41" s="9">
        <v>33</v>
      </c>
      <c r="J41" s="8"/>
      <c r="K41" s="8">
        <v>33.4</v>
      </c>
      <c r="L41" s="9"/>
      <c r="M41" s="9">
        <v>33.200000000000003</v>
      </c>
      <c r="N41" s="8"/>
      <c r="O41" s="8">
        <v>33.200000000000003</v>
      </c>
      <c r="P41" s="9"/>
      <c r="Q41" s="9">
        <v>33.4</v>
      </c>
    </row>
    <row r="42" spans="2:17" ht="20.100000000000001" customHeight="1">
      <c r="B42" s="103"/>
      <c r="C42" s="10" t="s">
        <v>79</v>
      </c>
      <c r="D42" s="7" t="s">
        <v>42</v>
      </c>
      <c r="E42" s="7">
        <v>5.6</v>
      </c>
      <c r="F42" s="15"/>
      <c r="G42" s="15">
        <f t="shared" ref="G42:Q42" si="4">G41-G40</f>
        <v>6.1999999999999993</v>
      </c>
      <c r="H42" s="15">
        <f t="shared" si="4"/>
        <v>0</v>
      </c>
      <c r="I42" s="15">
        <f t="shared" si="4"/>
        <v>5.5</v>
      </c>
      <c r="J42" s="15">
        <f t="shared" si="4"/>
        <v>0</v>
      </c>
      <c r="K42" s="15">
        <f t="shared" si="4"/>
        <v>5.7999999999999972</v>
      </c>
      <c r="L42" s="15">
        <f t="shared" si="4"/>
        <v>0</v>
      </c>
      <c r="M42" s="15">
        <f t="shared" si="4"/>
        <v>5.8000000000000043</v>
      </c>
      <c r="N42" s="15">
        <f>N41-N40</f>
        <v>0</v>
      </c>
      <c r="O42" s="15">
        <f>O41-O40</f>
        <v>5.7000000000000028</v>
      </c>
      <c r="P42" s="15">
        <f t="shared" si="4"/>
        <v>0</v>
      </c>
      <c r="Q42" s="15">
        <f t="shared" si="4"/>
        <v>5.5</v>
      </c>
    </row>
    <row r="43" spans="2:17" ht="20.100000000000001" customHeight="1">
      <c r="B43" s="103"/>
      <c r="C43" s="10" t="s">
        <v>80</v>
      </c>
      <c r="D43" s="7" t="s">
        <v>61</v>
      </c>
      <c r="E43" s="7">
        <v>1273.0999999999999</v>
      </c>
      <c r="F43" s="8"/>
      <c r="G43" s="8">
        <v>1044.4000000000001</v>
      </c>
      <c r="H43" s="9"/>
      <c r="I43" s="9">
        <v>1172.22</v>
      </c>
      <c r="J43" s="8"/>
      <c r="K43" s="8">
        <v>1198.54</v>
      </c>
      <c r="L43" s="9"/>
      <c r="M43" s="8">
        <v>1170.1199999999999</v>
      </c>
      <c r="N43" s="8"/>
      <c r="O43" s="8">
        <v>1143.24</v>
      </c>
      <c r="P43" s="9"/>
      <c r="Q43" s="9">
        <v>1195.8800000000001</v>
      </c>
    </row>
    <row r="44" spans="2:17" ht="20.100000000000001" customHeight="1">
      <c r="B44" s="103"/>
      <c r="C44" s="10" t="s">
        <v>81</v>
      </c>
      <c r="D44" s="7" t="s">
        <v>67</v>
      </c>
      <c r="E44" s="7">
        <v>8226.9</v>
      </c>
      <c r="F44" s="16"/>
      <c r="G44" s="16">
        <f t="shared" ref="G44:Q44" si="5">G42*G43/0.866</f>
        <v>7477.2286374133946</v>
      </c>
      <c r="H44" s="16">
        <f t="shared" si="5"/>
        <v>0</v>
      </c>
      <c r="I44" s="16">
        <f t="shared" si="5"/>
        <v>7444.8152424942264</v>
      </c>
      <c r="J44" s="16">
        <f t="shared" si="5"/>
        <v>0</v>
      </c>
      <c r="K44" s="16">
        <f t="shared" si="5"/>
        <v>8027.173210161659</v>
      </c>
      <c r="L44" s="16">
        <f t="shared" si="5"/>
        <v>0</v>
      </c>
      <c r="M44" s="16">
        <f t="shared" si="5"/>
        <v>7836.8314087759863</v>
      </c>
      <c r="N44" s="16">
        <f>N42*N43/0.866</f>
        <v>0</v>
      </c>
      <c r="O44" s="16">
        <f>O42*O43/0.866</f>
        <v>7524.7898383371867</v>
      </c>
      <c r="P44" s="16">
        <f t="shared" si="5"/>
        <v>0</v>
      </c>
      <c r="Q44" s="16">
        <f t="shared" si="5"/>
        <v>7595.0808314087762</v>
      </c>
    </row>
    <row r="45" spans="2:17" ht="20.100000000000001" customHeight="1">
      <c r="B45" s="103" t="s">
        <v>82</v>
      </c>
      <c r="C45" s="10" t="s">
        <v>83</v>
      </c>
      <c r="D45" s="7" t="s">
        <v>49</v>
      </c>
      <c r="E45" s="7" t="s">
        <v>84</v>
      </c>
      <c r="F45" s="8"/>
      <c r="G45" s="8">
        <v>0.47</v>
      </c>
      <c r="H45" s="9"/>
      <c r="I45" s="9">
        <v>0.46</v>
      </c>
      <c r="J45" s="8"/>
      <c r="K45" s="8">
        <v>0.46</v>
      </c>
      <c r="L45" s="9"/>
      <c r="M45" s="9">
        <v>0.46</v>
      </c>
      <c r="N45" s="8"/>
      <c r="O45" s="8">
        <v>0.45</v>
      </c>
      <c r="P45" s="9"/>
      <c r="Q45" s="9">
        <v>0.46</v>
      </c>
    </row>
    <row r="46" spans="2:17" ht="20.100000000000001" customHeight="1">
      <c r="B46" s="103"/>
      <c r="C46" s="10" t="s">
        <v>85</v>
      </c>
      <c r="D46" s="7" t="s">
        <v>42</v>
      </c>
      <c r="E46" s="7" t="s">
        <v>43</v>
      </c>
      <c r="F46" s="8"/>
      <c r="G46" s="8">
        <v>20</v>
      </c>
      <c r="H46" s="9"/>
      <c r="I46" s="9">
        <v>18.7</v>
      </c>
      <c r="J46" s="8"/>
      <c r="K46" s="8">
        <v>19.2</v>
      </c>
      <c r="L46" s="9"/>
      <c r="M46" s="9">
        <v>19.399999999999999</v>
      </c>
      <c r="N46" s="8"/>
      <c r="O46" s="8">
        <v>19.3</v>
      </c>
      <c r="P46" s="9"/>
      <c r="Q46" s="9">
        <v>19.5</v>
      </c>
    </row>
    <row r="47" spans="2:17" ht="20.100000000000001" customHeight="1">
      <c r="B47" s="103"/>
      <c r="C47" s="10" t="s">
        <v>86</v>
      </c>
      <c r="D47" s="7" t="s">
        <v>76</v>
      </c>
      <c r="E47" s="7" t="s">
        <v>76</v>
      </c>
      <c r="F47" s="8"/>
      <c r="G47" s="8">
        <v>200</v>
      </c>
      <c r="H47" s="9"/>
      <c r="I47" s="9">
        <v>129.80000000000001</v>
      </c>
      <c r="J47" s="8"/>
      <c r="K47" s="8">
        <v>208.2</v>
      </c>
      <c r="L47" s="9"/>
      <c r="M47" s="9">
        <v>200.1</v>
      </c>
      <c r="N47" s="8"/>
      <c r="O47" s="8">
        <v>157.1</v>
      </c>
      <c r="P47" s="9"/>
      <c r="Q47" s="9">
        <v>203.5</v>
      </c>
    </row>
    <row r="48" spans="2:17" ht="20.100000000000001" customHeight="1">
      <c r="B48" s="97" t="s">
        <v>87</v>
      </c>
      <c r="C48" s="97"/>
      <c r="D48" s="97"/>
      <c r="E48" s="17" t="s">
        <v>88</v>
      </c>
      <c r="F48" s="8"/>
      <c r="G48" s="8"/>
      <c r="H48" s="9"/>
      <c r="I48" s="9"/>
      <c r="J48" s="8"/>
      <c r="K48" s="8"/>
      <c r="L48" s="9"/>
      <c r="M48" s="9"/>
      <c r="N48" s="8"/>
      <c r="O48" s="8"/>
      <c r="P48" s="9"/>
      <c r="Q48" s="9"/>
    </row>
    <row r="49" spans="2:17" ht="20.100000000000001" customHeight="1">
      <c r="B49" s="97" t="s">
        <v>89</v>
      </c>
      <c r="C49" s="97"/>
      <c r="D49" s="97"/>
      <c r="E49" s="37">
        <v>5.89</v>
      </c>
      <c r="F49" s="8"/>
      <c r="G49" s="8">
        <v>5.66</v>
      </c>
      <c r="H49" s="9"/>
      <c r="I49" s="9">
        <v>5.37</v>
      </c>
      <c r="J49" s="8"/>
      <c r="K49" s="8">
        <v>5.65</v>
      </c>
      <c r="L49" s="9"/>
      <c r="M49" s="9">
        <v>5.8</v>
      </c>
      <c r="N49" s="8"/>
      <c r="O49" s="8">
        <v>5.74</v>
      </c>
      <c r="P49" s="9"/>
      <c r="Q49" s="9">
        <v>5.42</v>
      </c>
    </row>
    <row r="50" spans="2:17" ht="20.100000000000001" customHeight="1">
      <c r="B50" s="97" t="s">
        <v>90</v>
      </c>
      <c r="C50" s="97"/>
      <c r="D50" s="97"/>
      <c r="E50" s="37"/>
      <c r="F50" s="8"/>
      <c r="G50" s="8"/>
      <c r="H50" s="9"/>
      <c r="I50" s="9"/>
      <c r="J50" s="8"/>
      <c r="K50" s="8"/>
      <c r="L50" s="9"/>
      <c r="M50" s="9"/>
      <c r="N50" s="8"/>
      <c r="O50" s="8"/>
      <c r="P50" s="9"/>
      <c r="Q50" s="9"/>
    </row>
    <row r="51" spans="2:17" ht="20.100000000000001" customHeight="1" thickBot="1">
      <c r="B51" s="97" t="s">
        <v>91</v>
      </c>
      <c r="C51" s="97"/>
      <c r="D51" s="97"/>
      <c r="E51" s="36"/>
      <c r="F51" s="8"/>
      <c r="G51" s="8"/>
      <c r="H51" s="9"/>
      <c r="I51" s="9"/>
      <c r="J51" s="8"/>
      <c r="K51" s="8"/>
      <c r="L51" s="9"/>
      <c r="M51" s="9"/>
      <c r="N51" s="8"/>
      <c r="O51" s="8"/>
      <c r="P51" s="9"/>
      <c r="Q51" s="9"/>
    </row>
    <row r="52" spans="2:17">
      <c r="B52" t="s">
        <v>92</v>
      </c>
      <c r="C52" s="18" t="s">
        <v>93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28"/>
    </row>
    <row r="53" spans="2:17">
      <c r="C53" s="20" t="s">
        <v>94</v>
      </c>
      <c r="Q53" s="31"/>
    </row>
    <row r="54" spans="2:17">
      <c r="C54" s="20" t="s">
        <v>95</v>
      </c>
      <c r="Q54" s="31"/>
    </row>
    <row r="55" spans="2:17">
      <c r="C55" s="20"/>
      <c r="Q55" s="31"/>
    </row>
    <row r="56" spans="2:17">
      <c r="C56" s="20"/>
      <c r="Q56" s="31"/>
    </row>
    <row r="57" spans="2:17">
      <c r="C57" s="20" t="s">
        <v>96</v>
      </c>
      <c r="F57" s="21" t="b">
        <v>0</v>
      </c>
      <c r="G57" s="22" t="s">
        <v>97</v>
      </c>
      <c r="Q57" s="31"/>
    </row>
    <row r="58" spans="2:17">
      <c r="C58" s="20" t="s">
        <v>96</v>
      </c>
      <c r="F58" s="8" t="s">
        <v>98</v>
      </c>
      <c r="G58" s="23" t="s">
        <v>99</v>
      </c>
      <c r="Q58" s="31"/>
    </row>
    <row r="59" spans="2:17" ht="15.75" thickBot="1"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30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D564C-B1AF-4E52-AE4A-F92C4BB19718}">
  <dimension ref="B1:Q59"/>
  <sheetViews>
    <sheetView view="pageBreakPreview" topLeftCell="B1" zoomScale="85" zoomScaleNormal="60" workbookViewId="0">
      <selection activeCell="B8" sqref="B8:D8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107"/>
      <c r="C2" s="110" t="s">
        <v>0</v>
      </c>
      <c r="D2" s="111"/>
      <c r="E2" s="111"/>
      <c r="F2" s="111"/>
      <c r="G2" s="111"/>
      <c r="H2" s="111"/>
      <c r="I2" s="111"/>
      <c r="J2" s="111"/>
      <c r="K2" s="111"/>
      <c r="L2" s="111"/>
      <c r="M2" s="112"/>
      <c r="N2" s="18" t="s">
        <v>1</v>
      </c>
      <c r="O2" s="19"/>
      <c r="P2" s="19"/>
      <c r="Q2" s="28"/>
    </row>
    <row r="3" spans="2:17" ht="15.75" thickBot="1">
      <c r="B3" s="108"/>
      <c r="C3" s="113"/>
      <c r="D3" s="114"/>
      <c r="E3" s="114"/>
      <c r="F3" s="114"/>
      <c r="G3" s="114"/>
      <c r="H3" s="114"/>
      <c r="I3" s="114"/>
      <c r="J3" s="114"/>
      <c r="K3" s="114"/>
      <c r="L3" s="114"/>
      <c r="M3" s="115"/>
      <c r="N3" s="26" t="s">
        <v>2</v>
      </c>
      <c r="O3" s="27" t="s">
        <v>3</v>
      </c>
      <c r="P3" s="27"/>
      <c r="Q3" s="29"/>
    </row>
    <row r="4" spans="2:17" ht="15.75" thickBot="1">
      <c r="B4" s="108"/>
      <c r="C4" s="113"/>
      <c r="D4" s="114"/>
      <c r="E4" s="114"/>
      <c r="F4" s="114"/>
      <c r="G4" s="114"/>
      <c r="H4" s="114"/>
      <c r="I4" s="114"/>
      <c r="J4" s="114"/>
      <c r="K4" s="114"/>
      <c r="L4" s="114"/>
      <c r="M4" s="115"/>
      <c r="N4" s="26" t="s">
        <v>4</v>
      </c>
      <c r="O4" s="27"/>
      <c r="P4" s="27"/>
      <c r="Q4" s="29"/>
    </row>
    <row r="5" spans="2:17" ht="15.75" thickBot="1">
      <c r="B5" s="109"/>
      <c r="C5" s="116"/>
      <c r="D5" s="117"/>
      <c r="E5" s="117"/>
      <c r="F5" s="117"/>
      <c r="G5" s="117"/>
      <c r="H5" s="117"/>
      <c r="I5" s="117"/>
      <c r="J5" s="117"/>
      <c r="K5" s="117"/>
      <c r="L5" s="117"/>
      <c r="M5" s="118"/>
      <c r="N5" s="24" t="s">
        <v>5</v>
      </c>
      <c r="O5" s="25"/>
      <c r="P5" s="25"/>
      <c r="Q5" s="30"/>
    </row>
    <row r="7" spans="2:17">
      <c r="B7" s="98" t="s">
        <v>6</v>
      </c>
      <c r="C7" s="99"/>
      <c r="D7" s="100">
        <v>45719</v>
      </c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2"/>
    </row>
    <row r="8" spans="2:17">
      <c r="B8" s="97" t="s">
        <v>7</v>
      </c>
      <c r="C8" s="97"/>
      <c r="D8" s="97"/>
      <c r="E8" s="105" t="s">
        <v>8</v>
      </c>
      <c r="F8" s="103" t="s">
        <v>9</v>
      </c>
      <c r="G8" s="103"/>
      <c r="H8" s="104" t="s">
        <v>10</v>
      </c>
      <c r="I8" s="104"/>
      <c r="J8" s="103" t="s">
        <v>11</v>
      </c>
      <c r="K8" s="103"/>
      <c r="L8" s="104" t="s">
        <v>12</v>
      </c>
      <c r="M8" s="104"/>
      <c r="N8" s="103" t="s">
        <v>13</v>
      </c>
      <c r="O8" s="103"/>
      <c r="P8" s="104" t="s">
        <v>14</v>
      </c>
      <c r="Q8" s="104"/>
    </row>
    <row r="9" spans="2:17">
      <c r="B9" s="98" t="s">
        <v>15</v>
      </c>
      <c r="C9" s="119"/>
      <c r="D9" s="99"/>
      <c r="E9" s="106"/>
      <c r="F9" s="3">
        <v>0.375</v>
      </c>
      <c r="G9" s="32" t="s">
        <v>16</v>
      </c>
      <c r="H9" s="4">
        <v>0.375</v>
      </c>
      <c r="I9" s="33" t="s">
        <v>16</v>
      </c>
      <c r="J9" s="3">
        <v>0.375</v>
      </c>
      <c r="K9" s="32" t="s">
        <v>16</v>
      </c>
      <c r="L9" s="4">
        <v>0.375</v>
      </c>
      <c r="M9" s="33" t="s">
        <v>16</v>
      </c>
      <c r="N9" s="3">
        <v>0.375</v>
      </c>
      <c r="O9" s="32" t="s">
        <v>16</v>
      </c>
      <c r="P9" s="4">
        <v>0.375</v>
      </c>
      <c r="Q9" s="33" t="s">
        <v>16</v>
      </c>
    </row>
    <row r="10" spans="2:17" ht="26.25" customHeight="1">
      <c r="B10" s="120" t="s">
        <v>17</v>
      </c>
      <c r="C10" s="121"/>
      <c r="D10" s="39" t="s">
        <v>18</v>
      </c>
      <c r="E10" s="5"/>
      <c r="F10" s="6"/>
      <c r="G10" s="34" t="s">
        <v>19</v>
      </c>
      <c r="H10" s="35" t="s">
        <v>19</v>
      </c>
      <c r="I10" s="35" t="s">
        <v>19</v>
      </c>
      <c r="J10" s="34" t="s">
        <v>19</v>
      </c>
      <c r="K10" s="34" t="s">
        <v>19</v>
      </c>
      <c r="L10" s="35" t="s">
        <v>19</v>
      </c>
      <c r="M10" s="35" t="s">
        <v>19</v>
      </c>
      <c r="N10" s="6"/>
      <c r="O10" s="34" t="s">
        <v>19</v>
      </c>
      <c r="P10" s="35" t="s">
        <v>19</v>
      </c>
      <c r="Q10" s="35" t="s">
        <v>19</v>
      </c>
    </row>
    <row r="11" spans="2:17" ht="20.100000000000001" customHeight="1">
      <c r="B11" s="97" t="s">
        <v>20</v>
      </c>
      <c r="C11" s="97"/>
      <c r="D11" s="7" t="s">
        <v>21</v>
      </c>
      <c r="E11" s="7" t="s">
        <v>22</v>
      </c>
      <c r="F11" s="8"/>
      <c r="G11" s="8">
        <v>62.8</v>
      </c>
      <c r="H11" s="9"/>
      <c r="I11" s="9">
        <v>78.8</v>
      </c>
      <c r="J11" s="8">
        <v>76.3</v>
      </c>
      <c r="K11" s="8">
        <v>74.900000000000006</v>
      </c>
      <c r="L11" s="9">
        <v>76.7</v>
      </c>
      <c r="M11" s="9">
        <v>77.3</v>
      </c>
      <c r="N11" s="8"/>
      <c r="O11" s="8">
        <v>77.099999999999994</v>
      </c>
      <c r="P11" s="9"/>
      <c r="Q11" s="9">
        <v>72.900000000000006</v>
      </c>
    </row>
    <row r="12" spans="2:17" ht="20.100000000000001" customHeight="1">
      <c r="B12" s="97" t="s">
        <v>23</v>
      </c>
      <c r="C12" s="97"/>
      <c r="D12" s="7" t="s">
        <v>21</v>
      </c>
      <c r="E12" s="7" t="s">
        <v>22</v>
      </c>
      <c r="F12" s="8"/>
      <c r="G12" s="8">
        <v>0.6</v>
      </c>
      <c r="H12" s="9"/>
      <c r="I12" s="9">
        <v>0</v>
      </c>
      <c r="J12" s="8">
        <v>0</v>
      </c>
      <c r="K12" s="8">
        <v>0</v>
      </c>
      <c r="L12" s="9">
        <v>0</v>
      </c>
      <c r="M12" s="9">
        <v>0.1</v>
      </c>
      <c r="N12" s="8"/>
      <c r="O12" s="8">
        <v>0</v>
      </c>
      <c r="P12" s="9"/>
      <c r="Q12" s="9">
        <v>0</v>
      </c>
    </row>
    <row r="13" spans="2:17" ht="20.100000000000001" customHeight="1">
      <c r="B13" s="97" t="s">
        <v>24</v>
      </c>
      <c r="C13" s="97"/>
      <c r="D13" s="7" t="s">
        <v>21</v>
      </c>
      <c r="E13" s="7" t="s">
        <v>22</v>
      </c>
      <c r="F13" s="8"/>
      <c r="G13" s="8">
        <v>55.5</v>
      </c>
      <c r="H13" s="9"/>
      <c r="I13" s="9">
        <v>74.3</v>
      </c>
      <c r="J13" s="8">
        <v>70.7</v>
      </c>
      <c r="K13" s="8">
        <v>70.2</v>
      </c>
      <c r="L13" s="9">
        <v>72.7</v>
      </c>
      <c r="M13" s="9">
        <v>73.2</v>
      </c>
      <c r="N13" s="8"/>
      <c r="O13" s="8">
        <v>72.2</v>
      </c>
      <c r="P13" s="9"/>
      <c r="Q13" s="9">
        <v>67</v>
      </c>
    </row>
    <row r="14" spans="2:17" ht="20.100000000000001" customHeight="1">
      <c r="B14" s="97" t="s">
        <v>25</v>
      </c>
      <c r="C14" s="97"/>
      <c r="D14" s="7" t="s">
        <v>21</v>
      </c>
      <c r="E14" s="7" t="s">
        <v>22</v>
      </c>
      <c r="F14" s="8"/>
      <c r="G14" s="8">
        <v>66.5</v>
      </c>
      <c r="H14" s="9"/>
      <c r="I14" s="9">
        <v>67.8</v>
      </c>
      <c r="J14" s="8">
        <v>63.9</v>
      </c>
      <c r="K14" s="8">
        <v>64.2</v>
      </c>
      <c r="L14" s="9">
        <v>67.099999999999994</v>
      </c>
      <c r="M14" s="9">
        <v>66.2</v>
      </c>
      <c r="N14" s="8"/>
      <c r="O14" s="8">
        <v>72.2</v>
      </c>
      <c r="P14" s="9"/>
      <c r="Q14" s="9">
        <v>72.5</v>
      </c>
    </row>
    <row r="15" spans="2:17" ht="20.100000000000001" customHeight="1">
      <c r="B15" s="97" t="s">
        <v>26</v>
      </c>
      <c r="C15" s="97"/>
      <c r="D15" s="7" t="s">
        <v>21</v>
      </c>
      <c r="E15" s="7" t="s">
        <v>22</v>
      </c>
      <c r="F15" s="8"/>
      <c r="G15" s="8">
        <v>43.3</v>
      </c>
      <c r="H15" s="9"/>
      <c r="I15" s="9">
        <v>58.6</v>
      </c>
      <c r="J15" s="8">
        <v>43.9</v>
      </c>
      <c r="K15" s="8">
        <v>41.6</v>
      </c>
      <c r="L15" s="9">
        <v>38.200000000000003</v>
      </c>
      <c r="M15" s="9">
        <v>36.5</v>
      </c>
      <c r="N15" s="8"/>
      <c r="O15" s="8">
        <v>49.3</v>
      </c>
      <c r="P15" s="9"/>
      <c r="Q15" s="9">
        <v>42.6</v>
      </c>
    </row>
    <row r="16" spans="2:17" ht="20.100000000000001" customHeight="1">
      <c r="B16" s="103" t="s">
        <v>27</v>
      </c>
      <c r="C16" s="10" t="s">
        <v>28</v>
      </c>
      <c r="D16" s="7" t="s">
        <v>29</v>
      </c>
      <c r="E16" s="7" t="s">
        <v>30</v>
      </c>
      <c r="F16" s="8"/>
      <c r="G16" s="8">
        <v>6.6</v>
      </c>
      <c r="H16" s="8"/>
      <c r="I16" s="8">
        <v>6.6</v>
      </c>
      <c r="J16" s="8">
        <v>6.6</v>
      </c>
      <c r="K16" s="8">
        <v>6.6</v>
      </c>
      <c r="L16" s="8">
        <v>6.6</v>
      </c>
      <c r="M16" s="8">
        <v>6.6</v>
      </c>
      <c r="N16" s="8"/>
      <c r="O16" s="8">
        <v>6.6</v>
      </c>
      <c r="P16" s="8"/>
      <c r="Q16" s="8">
        <v>6.6</v>
      </c>
    </row>
    <row r="17" spans="2:17" ht="20.100000000000001" customHeight="1">
      <c r="B17" s="103"/>
      <c r="C17" s="10" t="s">
        <v>31</v>
      </c>
      <c r="D17" s="7" t="s">
        <v>32</v>
      </c>
      <c r="E17" s="7" t="s">
        <v>33</v>
      </c>
      <c r="F17" s="8"/>
      <c r="G17" s="8">
        <v>110.5</v>
      </c>
      <c r="H17" s="9"/>
      <c r="I17" s="9">
        <v>117.6</v>
      </c>
      <c r="J17" s="8">
        <v>116.4</v>
      </c>
      <c r="K17" s="8">
        <v>117.3</v>
      </c>
      <c r="L17" s="9">
        <v>117.2</v>
      </c>
      <c r="M17" s="9">
        <v>119.9</v>
      </c>
      <c r="N17" s="8"/>
      <c r="O17" s="8">
        <v>118.8</v>
      </c>
      <c r="P17" s="9"/>
      <c r="Q17" s="9">
        <v>116.9</v>
      </c>
    </row>
    <row r="18" spans="2:17" ht="20.100000000000001" customHeight="1">
      <c r="B18" s="103"/>
      <c r="C18" s="10" t="s">
        <v>34</v>
      </c>
      <c r="D18" s="7" t="s">
        <v>35</v>
      </c>
      <c r="E18" s="7" t="s">
        <v>36</v>
      </c>
      <c r="F18" s="8"/>
      <c r="G18" s="8">
        <v>1081</v>
      </c>
      <c r="H18" s="9"/>
      <c r="I18" s="9">
        <v>1176</v>
      </c>
      <c r="J18" s="8">
        <v>1178</v>
      </c>
      <c r="K18" s="8">
        <v>1192</v>
      </c>
      <c r="L18" s="9">
        <v>1194</v>
      </c>
      <c r="M18" s="9">
        <v>1201</v>
      </c>
      <c r="N18" s="8"/>
      <c r="O18" s="8">
        <v>1191</v>
      </c>
      <c r="P18" s="9"/>
      <c r="Q18" s="9">
        <v>1166</v>
      </c>
    </row>
    <row r="19" spans="2:17" ht="20.100000000000001" customHeight="1">
      <c r="B19" s="103" t="s">
        <v>37</v>
      </c>
      <c r="C19" s="10" t="s">
        <v>38</v>
      </c>
      <c r="D19" s="7" t="s">
        <v>39</v>
      </c>
      <c r="E19" s="11" t="s">
        <v>40</v>
      </c>
      <c r="F19" s="8"/>
      <c r="G19" s="8">
        <v>49390.5</v>
      </c>
      <c r="H19" s="9"/>
      <c r="I19" s="9">
        <v>50615</v>
      </c>
      <c r="J19" s="8">
        <v>48245.7</v>
      </c>
      <c r="K19" s="8">
        <v>48237</v>
      </c>
      <c r="L19" s="9">
        <v>50635</v>
      </c>
      <c r="M19" s="9">
        <v>50626.3</v>
      </c>
      <c r="N19" s="8"/>
      <c r="O19" s="8">
        <v>49816.2</v>
      </c>
      <c r="P19" s="9"/>
      <c r="Q19" s="9">
        <v>49979.6</v>
      </c>
    </row>
    <row r="20" spans="2:17" ht="20.100000000000001" customHeight="1">
      <c r="B20" s="103"/>
      <c r="C20" s="10" t="s">
        <v>41</v>
      </c>
      <c r="D20" s="7" t="s">
        <v>42</v>
      </c>
      <c r="E20" s="7" t="s">
        <v>43</v>
      </c>
      <c r="F20" s="8"/>
      <c r="G20" s="8"/>
      <c r="H20" s="9"/>
      <c r="I20" s="9"/>
      <c r="J20" s="8"/>
      <c r="K20" s="8"/>
      <c r="L20" s="9"/>
      <c r="M20" s="9"/>
      <c r="N20" s="8"/>
      <c r="O20" s="8"/>
      <c r="P20" s="9"/>
      <c r="Q20" s="9"/>
    </row>
    <row r="21" spans="2:17" ht="20.100000000000001" customHeight="1">
      <c r="B21" s="103"/>
      <c r="C21" s="10" t="s">
        <v>44</v>
      </c>
      <c r="D21" s="7" t="s">
        <v>42</v>
      </c>
      <c r="E21" s="7" t="s">
        <v>45</v>
      </c>
      <c r="F21" s="8"/>
      <c r="G21" s="8"/>
      <c r="H21" s="9"/>
      <c r="I21" s="9"/>
      <c r="J21" s="8"/>
      <c r="K21" s="8"/>
      <c r="L21" s="9"/>
      <c r="M21" s="9"/>
      <c r="N21" s="8"/>
      <c r="O21" s="8"/>
      <c r="P21" s="9"/>
      <c r="Q21" s="9"/>
    </row>
    <row r="22" spans="2:17" ht="20.100000000000001" customHeight="1">
      <c r="B22" s="103"/>
      <c r="C22" s="10" t="s">
        <v>46</v>
      </c>
      <c r="D22" s="7" t="s">
        <v>42</v>
      </c>
      <c r="E22" s="7" t="s">
        <v>47</v>
      </c>
      <c r="F22" s="8"/>
      <c r="G22" s="8">
        <v>58.4</v>
      </c>
      <c r="H22" s="9"/>
      <c r="I22" s="9">
        <v>59.3</v>
      </c>
      <c r="J22" s="8">
        <v>57.2</v>
      </c>
      <c r="K22" s="8">
        <v>58.2</v>
      </c>
      <c r="L22" s="9">
        <v>57.1</v>
      </c>
      <c r="M22" s="9">
        <v>57.6</v>
      </c>
      <c r="N22" s="8"/>
      <c r="O22" s="8">
        <v>58.8</v>
      </c>
      <c r="P22" s="9"/>
      <c r="Q22" s="9">
        <v>60.5</v>
      </c>
    </row>
    <row r="23" spans="2:17" ht="60">
      <c r="B23" s="103"/>
      <c r="C23" s="12" t="s">
        <v>48</v>
      </c>
      <c r="D23" s="8" t="s">
        <v>49</v>
      </c>
      <c r="E23" s="13" t="s">
        <v>50</v>
      </c>
      <c r="F23" s="8"/>
      <c r="G23" s="8">
        <v>0.52</v>
      </c>
      <c r="H23" s="9"/>
      <c r="I23" s="9">
        <v>0.49</v>
      </c>
      <c r="J23" s="8">
        <v>0.57999999999999996</v>
      </c>
      <c r="K23" s="8">
        <v>0.57999999999999996</v>
      </c>
      <c r="L23" s="9">
        <v>0.52</v>
      </c>
      <c r="M23" s="9">
        <v>0.52</v>
      </c>
      <c r="N23" s="8"/>
      <c r="O23" s="8">
        <v>0.48</v>
      </c>
      <c r="P23" s="9"/>
      <c r="Q23" s="9">
        <v>0.49</v>
      </c>
    </row>
    <row r="24" spans="2:17" ht="39.75" customHeight="1">
      <c r="B24" s="103"/>
      <c r="C24" s="12" t="s">
        <v>51</v>
      </c>
      <c r="D24" s="7"/>
      <c r="E24" s="7"/>
      <c r="F24" s="8"/>
      <c r="G24" s="8"/>
      <c r="H24" s="9"/>
      <c r="I24" s="9"/>
      <c r="J24" s="8"/>
      <c r="K24" s="8"/>
      <c r="L24" s="8"/>
      <c r="M24" s="9"/>
      <c r="N24" s="8"/>
      <c r="O24" s="8"/>
      <c r="P24" s="9"/>
      <c r="Q24" s="9"/>
    </row>
    <row r="25" spans="2:17" ht="20.100000000000001" customHeight="1">
      <c r="B25" s="103"/>
      <c r="C25" s="10" t="s">
        <v>52</v>
      </c>
      <c r="D25" s="7" t="s">
        <v>42</v>
      </c>
      <c r="E25" s="7" t="s">
        <v>53</v>
      </c>
      <c r="F25" s="8"/>
      <c r="G25" s="8">
        <v>51.7</v>
      </c>
      <c r="H25" s="9"/>
      <c r="I25" s="9">
        <v>45.4</v>
      </c>
      <c r="J25" s="8">
        <v>44.6</v>
      </c>
      <c r="K25" s="8">
        <v>44.9</v>
      </c>
      <c r="L25" s="9">
        <v>44.9</v>
      </c>
      <c r="M25" s="9">
        <v>44.9</v>
      </c>
      <c r="N25" s="8"/>
      <c r="O25" s="8">
        <v>44.9</v>
      </c>
      <c r="P25" s="9"/>
      <c r="Q25" s="9">
        <v>46.6</v>
      </c>
    </row>
    <row r="26" spans="2:17" ht="20.100000000000001" customHeight="1">
      <c r="B26" s="103" t="s">
        <v>54</v>
      </c>
      <c r="C26" s="10" t="s">
        <v>55</v>
      </c>
      <c r="D26" s="7" t="s">
        <v>49</v>
      </c>
      <c r="E26" s="14" t="s">
        <v>56</v>
      </c>
      <c r="F26" s="8"/>
      <c r="G26" s="8">
        <v>0.23</v>
      </c>
      <c r="H26" s="9"/>
      <c r="I26" s="9">
        <v>0.21</v>
      </c>
      <c r="J26" s="8">
        <v>0.22</v>
      </c>
      <c r="K26" s="8">
        <v>0.23</v>
      </c>
      <c r="L26" s="9">
        <v>0.22</v>
      </c>
      <c r="M26" s="9">
        <v>0.22</v>
      </c>
      <c r="N26" s="8"/>
      <c r="O26" s="8">
        <v>0.22</v>
      </c>
      <c r="P26" s="9"/>
      <c r="Q26" s="9">
        <v>0.23</v>
      </c>
    </row>
    <row r="27" spans="2:17" ht="20.100000000000001" customHeight="1">
      <c r="B27" s="103"/>
      <c r="C27" s="10" t="s">
        <v>57</v>
      </c>
      <c r="D27" s="7" t="s">
        <v>42</v>
      </c>
      <c r="E27" s="7" t="s">
        <v>43</v>
      </c>
      <c r="F27" s="8"/>
      <c r="G27" s="8">
        <v>4.5999999999999996</v>
      </c>
      <c r="H27" s="9"/>
      <c r="I27" s="9">
        <v>3.2</v>
      </c>
      <c r="J27" s="8">
        <v>3.7</v>
      </c>
      <c r="K27" s="8">
        <v>4.3</v>
      </c>
      <c r="L27" s="9">
        <v>3.8</v>
      </c>
      <c r="M27" s="9">
        <v>3.9</v>
      </c>
      <c r="N27" s="8"/>
      <c r="O27" s="8">
        <v>3.9</v>
      </c>
      <c r="P27" s="9"/>
      <c r="Q27" s="9">
        <v>4.5999999999999996</v>
      </c>
    </row>
    <row r="28" spans="2:17" ht="20.100000000000001" customHeight="1">
      <c r="B28" s="103"/>
      <c r="C28" s="10" t="s">
        <v>58</v>
      </c>
      <c r="D28" s="7" t="s">
        <v>42</v>
      </c>
      <c r="E28" s="7" t="s">
        <v>43</v>
      </c>
      <c r="F28" s="8"/>
      <c r="G28" s="8">
        <v>4</v>
      </c>
      <c r="H28" s="9"/>
      <c r="I28" s="9">
        <v>2.4</v>
      </c>
      <c r="J28" s="8">
        <v>2.9</v>
      </c>
      <c r="K28" s="8">
        <v>3.6</v>
      </c>
      <c r="L28" s="9">
        <v>2.8</v>
      </c>
      <c r="M28" s="9">
        <v>2.7</v>
      </c>
      <c r="N28" s="8"/>
      <c r="O28" s="8">
        <v>2.7</v>
      </c>
      <c r="P28" s="9"/>
      <c r="Q28" s="9">
        <v>3.4</v>
      </c>
    </row>
    <row r="29" spans="2:17" ht="20.100000000000001" customHeight="1">
      <c r="B29" s="103"/>
      <c r="C29" s="10" t="s">
        <v>59</v>
      </c>
      <c r="D29" s="7" t="s">
        <v>42</v>
      </c>
      <c r="E29" s="7" t="s">
        <v>43</v>
      </c>
      <c r="F29" s="15"/>
      <c r="G29" s="15">
        <f t="shared" ref="G29:Q29" si="0">G32-G28</f>
        <v>0.20000000000000018</v>
      </c>
      <c r="H29" s="15">
        <f t="shared" si="0"/>
        <v>0</v>
      </c>
      <c r="I29" s="15">
        <f t="shared" si="0"/>
        <v>1.6999999999999997</v>
      </c>
      <c r="J29" s="15">
        <f t="shared" si="0"/>
        <v>1.3000000000000003</v>
      </c>
      <c r="K29" s="15">
        <f t="shared" si="0"/>
        <v>0.80000000000000027</v>
      </c>
      <c r="L29" s="15">
        <f t="shared" si="0"/>
        <v>1.5</v>
      </c>
      <c r="M29" s="15">
        <f t="shared" si="0"/>
        <v>1.0999999999999996</v>
      </c>
      <c r="N29" s="15">
        <f>N32-N28</f>
        <v>0</v>
      </c>
      <c r="O29" s="15">
        <f>O32-O28</f>
        <v>1.1999999999999997</v>
      </c>
      <c r="P29" s="15">
        <f t="shared" si="0"/>
        <v>0</v>
      </c>
      <c r="Q29" s="15">
        <f t="shared" si="0"/>
        <v>0.89999999999999991</v>
      </c>
    </row>
    <row r="30" spans="2:17" ht="20.100000000000001" customHeight="1">
      <c r="B30" s="103"/>
      <c r="C30" s="10" t="s">
        <v>60</v>
      </c>
      <c r="D30" s="7" t="s">
        <v>61</v>
      </c>
      <c r="E30" s="7" t="s">
        <v>62</v>
      </c>
      <c r="F30" s="8"/>
      <c r="G30" s="8">
        <v>651.20000000000005</v>
      </c>
      <c r="H30" s="9"/>
      <c r="I30" s="9">
        <v>642.08000000000004</v>
      </c>
      <c r="J30" s="8">
        <v>646.9</v>
      </c>
      <c r="K30" s="8">
        <v>641.04</v>
      </c>
      <c r="L30" s="9">
        <v>657.2</v>
      </c>
      <c r="M30" s="9">
        <v>622.4</v>
      </c>
      <c r="N30" s="8"/>
      <c r="O30" s="8">
        <v>638.48</v>
      </c>
      <c r="P30" s="9"/>
      <c r="Q30" s="9">
        <v>639.67999999999995</v>
      </c>
    </row>
    <row r="31" spans="2:17" ht="20.100000000000001" customHeight="1">
      <c r="B31" s="103"/>
      <c r="C31" s="10" t="s">
        <v>63</v>
      </c>
      <c r="D31" s="7" t="s">
        <v>42</v>
      </c>
      <c r="E31" s="7">
        <v>13.5</v>
      </c>
      <c r="F31" s="8"/>
      <c r="G31" s="8">
        <v>12.9</v>
      </c>
      <c r="H31" s="9"/>
      <c r="I31" s="9">
        <v>12.7</v>
      </c>
      <c r="J31" s="8">
        <v>13.3</v>
      </c>
      <c r="K31" s="8">
        <v>13.4</v>
      </c>
      <c r="L31" s="9">
        <v>13.5</v>
      </c>
      <c r="M31" s="9">
        <v>13.1</v>
      </c>
      <c r="N31" s="8"/>
      <c r="O31" s="8">
        <v>13.1</v>
      </c>
      <c r="P31" s="9"/>
      <c r="Q31" s="9">
        <v>13</v>
      </c>
    </row>
    <row r="32" spans="2:17" ht="20.100000000000001" customHeight="1">
      <c r="B32" s="103"/>
      <c r="C32" s="10" t="s">
        <v>64</v>
      </c>
      <c r="D32" s="7" t="s">
        <v>42</v>
      </c>
      <c r="E32" s="7">
        <v>4</v>
      </c>
      <c r="F32" s="8"/>
      <c r="G32" s="8">
        <v>4.2</v>
      </c>
      <c r="H32" s="9"/>
      <c r="I32" s="9">
        <v>4.0999999999999996</v>
      </c>
      <c r="J32" s="8">
        <v>4.2</v>
      </c>
      <c r="K32" s="8">
        <v>4.4000000000000004</v>
      </c>
      <c r="L32" s="9">
        <v>4.3</v>
      </c>
      <c r="M32" s="9">
        <v>3.8</v>
      </c>
      <c r="N32" s="8"/>
      <c r="O32" s="8">
        <v>3.9</v>
      </c>
      <c r="P32" s="9"/>
      <c r="Q32" s="9">
        <v>4.3</v>
      </c>
    </row>
    <row r="33" spans="2:17" ht="20.100000000000001" customHeight="1">
      <c r="B33" s="103"/>
      <c r="C33" s="10" t="s">
        <v>65</v>
      </c>
      <c r="D33" s="7" t="s">
        <v>42</v>
      </c>
      <c r="E33" s="7">
        <v>9.5</v>
      </c>
      <c r="F33" s="15"/>
      <c r="G33" s="15">
        <f t="shared" ref="G33:Q33" si="1">G31-G32</f>
        <v>8.6999999999999993</v>
      </c>
      <c r="H33" s="15">
        <f t="shared" si="1"/>
        <v>0</v>
      </c>
      <c r="I33" s="15">
        <f t="shared" si="1"/>
        <v>8.6</v>
      </c>
      <c r="J33" s="15">
        <f t="shared" si="1"/>
        <v>9.1000000000000014</v>
      </c>
      <c r="K33" s="15">
        <f t="shared" si="1"/>
        <v>9</v>
      </c>
      <c r="L33" s="15">
        <f t="shared" si="1"/>
        <v>9.1999999999999993</v>
      </c>
      <c r="M33" s="15">
        <f t="shared" si="1"/>
        <v>9.3000000000000007</v>
      </c>
      <c r="N33" s="15">
        <f>N31-N32</f>
        <v>0</v>
      </c>
      <c r="O33" s="15">
        <f>O31-O32</f>
        <v>9.1999999999999993</v>
      </c>
      <c r="P33" s="15">
        <f t="shared" si="1"/>
        <v>0</v>
      </c>
      <c r="Q33" s="15">
        <f t="shared" si="1"/>
        <v>8.6999999999999993</v>
      </c>
    </row>
    <row r="34" spans="2:17" ht="20.100000000000001" customHeight="1">
      <c r="B34" s="103"/>
      <c r="C34" s="10" t="s">
        <v>66</v>
      </c>
      <c r="D34" s="7" t="s">
        <v>67</v>
      </c>
      <c r="E34" s="7" t="s">
        <v>68</v>
      </c>
      <c r="F34" s="16"/>
      <c r="G34" s="16">
        <f t="shared" ref="G34:Q34" si="2">(G33*G30)/0.866</f>
        <v>6542.0785219399531</v>
      </c>
      <c r="H34" s="16">
        <f t="shared" si="2"/>
        <v>0</v>
      </c>
      <c r="I34" s="16">
        <f t="shared" si="2"/>
        <v>6376.3140877598153</v>
      </c>
      <c r="J34" s="16">
        <f t="shared" si="2"/>
        <v>6797.678983833719</v>
      </c>
      <c r="K34" s="16">
        <f t="shared" si="2"/>
        <v>6662.0785219399531</v>
      </c>
      <c r="L34" s="16">
        <f t="shared" si="2"/>
        <v>6981.8013856812931</v>
      </c>
      <c r="M34" s="16">
        <f t="shared" si="2"/>
        <v>6683.9722863741345</v>
      </c>
      <c r="N34" s="16">
        <f>(N33*N30)/0.866</f>
        <v>0</v>
      </c>
      <c r="O34" s="16">
        <f>(O33*O30)/0.866</f>
        <v>6782.9284064665126</v>
      </c>
      <c r="P34" s="16">
        <f t="shared" si="2"/>
        <v>0</v>
      </c>
      <c r="Q34" s="16">
        <f t="shared" si="2"/>
        <v>6426.3464203233252</v>
      </c>
    </row>
    <row r="35" spans="2:17" ht="20.100000000000001" customHeight="1">
      <c r="B35" s="103" t="s">
        <v>69</v>
      </c>
      <c r="C35" s="10" t="s">
        <v>70</v>
      </c>
      <c r="D35" s="7" t="s">
        <v>49</v>
      </c>
      <c r="E35" s="7" t="s">
        <v>71</v>
      </c>
      <c r="F35" s="8"/>
      <c r="G35" s="8">
        <v>0.8</v>
      </c>
      <c r="H35" s="9"/>
      <c r="I35" s="9">
        <v>0.82</v>
      </c>
      <c r="J35" s="8">
        <v>0.79</v>
      </c>
      <c r="K35" s="8">
        <v>0.81</v>
      </c>
      <c r="L35" s="9">
        <v>0.79</v>
      </c>
      <c r="M35" s="9">
        <v>0.81</v>
      </c>
      <c r="N35" s="8"/>
      <c r="O35" s="8">
        <v>0.79</v>
      </c>
      <c r="P35" s="9"/>
      <c r="Q35" s="9">
        <v>0.82</v>
      </c>
    </row>
    <row r="36" spans="2:17" ht="20.100000000000001" customHeight="1">
      <c r="B36" s="103"/>
      <c r="C36" s="10" t="s">
        <v>72</v>
      </c>
      <c r="D36" s="7" t="s">
        <v>42</v>
      </c>
      <c r="E36" s="7" t="s">
        <v>43</v>
      </c>
      <c r="F36" s="8"/>
      <c r="G36" s="8">
        <v>34.6</v>
      </c>
      <c r="H36" s="9"/>
      <c r="I36" s="9">
        <v>35.700000000000003</v>
      </c>
      <c r="J36" s="8">
        <v>35.700000000000003</v>
      </c>
      <c r="K36" s="8">
        <v>35.6</v>
      </c>
      <c r="L36" s="9">
        <v>34.5</v>
      </c>
      <c r="M36" s="9">
        <v>35.6</v>
      </c>
      <c r="N36" s="8"/>
      <c r="O36" s="8">
        <v>34.9</v>
      </c>
      <c r="P36" s="9"/>
      <c r="Q36" s="9">
        <v>35.200000000000003</v>
      </c>
    </row>
    <row r="37" spans="2:17" ht="20.100000000000001" customHeight="1">
      <c r="B37" s="103"/>
      <c r="C37" s="10" t="s">
        <v>73</v>
      </c>
      <c r="D37" s="7" t="s">
        <v>42</v>
      </c>
      <c r="E37" s="7" t="s">
        <v>43</v>
      </c>
      <c r="F37" s="8"/>
      <c r="G37" s="8">
        <v>35.700000000000003</v>
      </c>
      <c r="H37" s="9"/>
      <c r="I37" s="9">
        <v>36.5</v>
      </c>
      <c r="J37" s="8">
        <v>35.4</v>
      </c>
      <c r="K37" s="8">
        <v>36.200000000000003</v>
      </c>
      <c r="L37" s="9">
        <v>35.299999999999997</v>
      </c>
      <c r="M37" s="9">
        <v>35.9</v>
      </c>
      <c r="N37" s="8"/>
      <c r="O37" s="8">
        <v>35.299999999999997</v>
      </c>
      <c r="P37" s="9"/>
      <c r="Q37" s="9">
        <v>35.299999999999997</v>
      </c>
    </row>
    <row r="38" spans="2:17" ht="20.100000000000001" customHeight="1">
      <c r="B38" s="103"/>
      <c r="C38" s="12" t="s">
        <v>74</v>
      </c>
      <c r="D38" s="7" t="s">
        <v>42</v>
      </c>
      <c r="E38" s="7"/>
      <c r="F38" s="15"/>
      <c r="G38" s="15">
        <f t="shared" ref="G38:Q38" si="3">G37-G41</f>
        <v>2.6000000000000014</v>
      </c>
      <c r="H38" s="15">
        <f t="shared" si="3"/>
        <v>0</v>
      </c>
      <c r="I38" s="15">
        <f t="shared" si="3"/>
        <v>3.7000000000000028</v>
      </c>
      <c r="J38" s="15">
        <f t="shared" si="3"/>
        <v>2.1999999999999957</v>
      </c>
      <c r="K38" s="15">
        <f t="shared" si="3"/>
        <v>2.9000000000000057</v>
      </c>
      <c r="L38" s="15">
        <f t="shared" si="3"/>
        <v>2.5</v>
      </c>
      <c r="M38" s="15">
        <f t="shared" si="3"/>
        <v>3</v>
      </c>
      <c r="N38" s="15">
        <f>N37-N41</f>
        <v>0</v>
      </c>
      <c r="O38" s="15">
        <f>O37-O41</f>
        <v>2.2999999999999972</v>
      </c>
      <c r="P38" s="15">
        <f t="shared" si="3"/>
        <v>0</v>
      </c>
      <c r="Q38" s="15">
        <f t="shared" si="3"/>
        <v>2</v>
      </c>
    </row>
    <row r="39" spans="2:17" ht="20.100000000000001" customHeight="1">
      <c r="B39" s="103"/>
      <c r="C39" s="10" t="s">
        <v>75</v>
      </c>
      <c r="D39" s="7" t="s">
        <v>76</v>
      </c>
      <c r="E39" s="7"/>
      <c r="F39" s="8"/>
      <c r="G39" s="8"/>
      <c r="H39" s="9"/>
      <c r="I39" s="9"/>
      <c r="J39" s="8"/>
      <c r="K39" s="8"/>
      <c r="L39" s="9"/>
      <c r="M39" s="9"/>
      <c r="N39" s="8"/>
      <c r="O39" s="8"/>
      <c r="P39" s="9"/>
      <c r="Q39" s="9"/>
    </row>
    <row r="40" spans="2:17" ht="20.100000000000001" customHeight="1">
      <c r="B40" s="103"/>
      <c r="C40" s="10" t="s">
        <v>77</v>
      </c>
      <c r="D40" s="7" t="s">
        <v>42</v>
      </c>
      <c r="E40" s="7">
        <v>30.8</v>
      </c>
      <c r="F40" s="8"/>
      <c r="G40" s="8">
        <v>27.4</v>
      </c>
      <c r="H40" s="9"/>
      <c r="I40" s="9">
        <v>27.2</v>
      </c>
      <c r="J40" s="8">
        <v>27.6</v>
      </c>
      <c r="K40" s="8">
        <v>27.4</v>
      </c>
      <c r="L40" s="9">
        <v>27.5</v>
      </c>
      <c r="M40" s="9">
        <v>27.1</v>
      </c>
      <c r="N40" s="8"/>
      <c r="O40" s="8">
        <v>27.2</v>
      </c>
      <c r="P40" s="9"/>
      <c r="Q40" s="9">
        <v>27.5</v>
      </c>
    </row>
    <row r="41" spans="2:17" ht="20.100000000000001" customHeight="1">
      <c r="B41" s="103"/>
      <c r="C41" s="10" t="s">
        <v>78</v>
      </c>
      <c r="D41" s="7" t="s">
        <v>42</v>
      </c>
      <c r="E41" s="7">
        <v>36.4</v>
      </c>
      <c r="F41" s="8"/>
      <c r="G41" s="8">
        <v>33.1</v>
      </c>
      <c r="H41" s="9"/>
      <c r="I41" s="9">
        <v>32.799999999999997</v>
      </c>
      <c r="J41" s="8">
        <v>33.200000000000003</v>
      </c>
      <c r="K41" s="8">
        <v>33.299999999999997</v>
      </c>
      <c r="L41" s="9">
        <v>32.799999999999997</v>
      </c>
      <c r="M41" s="9">
        <v>32.9</v>
      </c>
      <c r="N41" s="8"/>
      <c r="O41" s="8">
        <v>33</v>
      </c>
      <c r="P41" s="9"/>
      <c r="Q41" s="9">
        <v>33.299999999999997</v>
      </c>
    </row>
    <row r="42" spans="2:17" ht="20.100000000000001" customHeight="1">
      <c r="B42" s="103"/>
      <c r="C42" s="10" t="s">
        <v>79</v>
      </c>
      <c r="D42" s="7" t="s">
        <v>42</v>
      </c>
      <c r="E42" s="7">
        <v>5.6</v>
      </c>
      <c r="F42" s="15"/>
      <c r="G42" s="15">
        <f t="shared" ref="G42:Q42" si="4">G41-G40</f>
        <v>5.7000000000000028</v>
      </c>
      <c r="H42" s="15">
        <f t="shared" si="4"/>
        <v>0</v>
      </c>
      <c r="I42" s="15">
        <f t="shared" si="4"/>
        <v>5.5999999999999979</v>
      </c>
      <c r="J42" s="15">
        <f t="shared" si="4"/>
        <v>5.6000000000000014</v>
      </c>
      <c r="K42" s="15">
        <f t="shared" si="4"/>
        <v>5.8999999999999986</v>
      </c>
      <c r="L42" s="15">
        <f t="shared" si="4"/>
        <v>5.2999999999999972</v>
      </c>
      <c r="M42" s="15">
        <f t="shared" si="4"/>
        <v>5.7999999999999972</v>
      </c>
      <c r="N42" s="15">
        <f>N41-N40</f>
        <v>0</v>
      </c>
      <c r="O42" s="15">
        <f>O41-O40</f>
        <v>5.8000000000000007</v>
      </c>
      <c r="P42" s="15">
        <f t="shared" si="4"/>
        <v>0</v>
      </c>
      <c r="Q42" s="15">
        <f t="shared" si="4"/>
        <v>5.7999999999999972</v>
      </c>
    </row>
    <row r="43" spans="2:17" ht="20.100000000000001" customHeight="1">
      <c r="B43" s="103"/>
      <c r="C43" s="10" t="s">
        <v>80</v>
      </c>
      <c r="D43" s="7" t="s">
        <v>61</v>
      </c>
      <c r="E43" s="7">
        <v>1273.0999999999999</v>
      </c>
      <c r="F43" s="8"/>
      <c r="G43" s="8">
        <v>1161.3</v>
      </c>
      <c r="H43" s="9"/>
      <c r="I43" s="9">
        <v>1155.98</v>
      </c>
      <c r="J43" s="8">
        <v>1302.4000000000001</v>
      </c>
      <c r="K43" s="8">
        <v>1179.3599999999999</v>
      </c>
      <c r="L43" s="9">
        <v>1290.0999999999999</v>
      </c>
      <c r="M43" s="8">
        <v>1155.42</v>
      </c>
      <c r="N43" s="8"/>
      <c r="O43" s="8">
        <v>1130.08</v>
      </c>
      <c r="P43" s="9"/>
      <c r="Q43" s="9">
        <v>1175.44</v>
      </c>
    </row>
    <row r="44" spans="2:17" ht="20.100000000000001" customHeight="1">
      <c r="B44" s="103"/>
      <c r="C44" s="10" t="s">
        <v>81</v>
      </c>
      <c r="D44" s="7" t="s">
        <v>67</v>
      </c>
      <c r="E44" s="7">
        <v>8226.9</v>
      </c>
      <c r="F44" s="16"/>
      <c r="G44" s="16">
        <f t="shared" ref="G44:Q44" si="5">G42*G43/0.866</f>
        <v>7643.660508083145</v>
      </c>
      <c r="H44" s="16">
        <f t="shared" si="5"/>
        <v>0</v>
      </c>
      <c r="I44" s="16">
        <f t="shared" si="5"/>
        <v>7475.1593533487267</v>
      </c>
      <c r="J44" s="16">
        <f t="shared" si="5"/>
        <v>8421.9861431870704</v>
      </c>
      <c r="K44" s="16">
        <f t="shared" si="5"/>
        <v>8034.9006928406434</v>
      </c>
      <c r="L44" s="16">
        <f t="shared" si="5"/>
        <v>7895.5311778290952</v>
      </c>
      <c r="M44" s="16">
        <f t="shared" si="5"/>
        <v>7738.3787528868324</v>
      </c>
      <c r="N44" s="16">
        <f>N42*N43/0.866</f>
        <v>0</v>
      </c>
      <c r="O44" s="16">
        <f>O42*O43/0.866</f>
        <v>7568.6651270207849</v>
      </c>
      <c r="P44" s="16">
        <f t="shared" si="5"/>
        <v>0</v>
      </c>
      <c r="Q44" s="16">
        <f t="shared" si="5"/>
        <v>7872.4618937644309</v>
      </c>
    </row>
    <row r="45" spans="2:17" ht="20.100000000000001" customHeight="1">
      <c r="B45" s="103" t="s">
        <v>82</v>
      </c>
      <c r="C45" s="10" t="s">
        <v>83</v>
      </c>
      <c r="D45" s="7" t="s">
        <v>49</v>
      </c>
      <c r="E45" s="7" t="s">
        <v>84</v>
      </c>
      <c r="F45" s="8"/>
      <c r="G45" s="8">
        <v>0.46</v>
      </c>
      <c r="H45" s="9"/>
      <c r="I45" s="9">
        <v>0.45</v>
      </c>
      <c r="J45" s="8">
        <v>0.44</v>
      </c>
      <c r="K45" s="8">
        <v>0.45</v>
      </c>
      <c r="L45" s="9">
        <v>0.45</v>
      </c>
      <c r="M45" s="9">
        <v>0.45</v>
      </c>
      <c r="N45" s="8"/>
      <c r="O45" s="8">
        <v>0.44</v>
      </c>
      <c r="P45" s="9"/>
      <c r="Q45" s="9">
        <v>0.46</v>
      </c>
    </row>
    <row r="46" spans="2:17" ht="20.100000000000001" customHeight="1">
      <c r="B46" s="103"/>
      <c r="C46" s="10" t="s">
        <v>85</v>
      </c>
      <c r="D46" s="7" t="s">
        <v>42</v>
      </c>
      <c r="E46" s="7" t="s">
        <v>43</v>
      </c>
      <c r="F46" s="8"/>
      <c r="G46" s="8">
        <v>19.899999999999999</v>
      </c>
      <c r="H46" s="9"/>
      <c r="I46" s="9">
        <v>18.8</v>
      </c>
      <c r="J46" s="8">
        <v>18.2</v>
      </c>
      <c r="K46" s="8">
        <v>18.899999999999999</v>
      </c>
      <c r="L46" s="9">
        <v>18.8</v>
      </c>
      <c r="M46" s="9">
        <v>19.3</v>
      </c>
      <c r="N46" s="8"/>
      <c r="O46" s="8">
        <v>18.600000000000001</v>
      </c>
      <c r="P46" s="9"/>
      <c r="Q46" s="9">
        <v>19.7</v>
      </c>
    </row>
    <row r="47" spans="2:17" ht="20.100000000000001" customHeight="1">
      <c r="B47" s="103"/>
      <c r="C47" s="10" t="s">
        <v>86</v>
      </c>
      <c r="D47" s="7" t="s">
        <v>76</v>
      </c>
      <c r="E47" s="7" t="s">
        <v>76</v>
      </c>
      <c r="F47" s="8"/>
      <c r="G47" s="8">
        <v>165</v>
      </c>
      <c r="H47" s="9"/>
      <c r="I47" s="9">
        <v>119.2</v>
      </c>
      <c r="J47" s="8">
        <v>215.1</v>
      </c>
      <c r="K47" s="8">
        <v>196.3</v>
      </c>
      <c r="L47" s="9">
        <v>213.5</v>
      </c>
      <c r="M47" s="9">
        <v>198.7</v>
      </c>
      <c r="N47" s="8"/>
      <c r="O47" s="8">
        <v>160.9</v>
      </c>
      <c r="P47" s="9"/>
      <c r="Q47" s="9">
        <v>209.9</v>
      </c>
    </row>
    <row r="48" spans="2:17" ht="20.100000000000001" customHeight="1">
      <c r="B48" s="97" t="s">
        <v>87</v>
      </c>
      <c r="C48" s="97"/>
      <c r="D48" s="97"/>
      <c r="E48" s="17" t="s">
        <v>88</v>
      </c>
      <c r="F48" s="8"/>
      <c r="G48" s="8"/>
      <c r="H48" s="9"/>
      <c r="I48" s="9"/>
      <c r="J48" s="8"/>
      <c r="K48" s="8"/>
      <c r="L48" s="9"/>
      <c r="M48" s="9"/>
      <c r="N48" s="8"/>
      <c r="O48" s="8"/>
      <c r="P48" s="9"/>
      <c r="Q48" s="9"/>
    </row>
    <row r="49" spans="2:17" ht="20.100000000000001" customHeight="1">
      <c r="B49" s="97" t="s">
        <v>89</v>
      </c>
      <c r="C49" s="97"/>
      <c r="D49" s="97"/>
      <c r="E49" s="39">
        <v>5.89</v>
      </c>
      <c r="F49" s="8"/>
      <c r="G49" s="8">
        <v>5.46</v>
      </c>
      <c r="H49" s="9"/>
      <c r="I49" s="9">
        <v>5.57</v>
      </c>
      <c r="J49" s="8">
        <v>5.72</v>
      </c>
      <c r="K49" s="8">
        <v>5.55</v>
      </c>
      <c r="L49" s="9">
        <v>5.57</v>
      </c>
      <c r="M49" s="9">
        <v>5.48</v>
      </c>
      <c r="N49" s="8"/>
      <c r="O49" s="8">
        <v>5.53</v>
      </c>
      <c r="P49" s="9"/>
      <c r="Q49" s="9">
        <v>5.5</v>
      </c>
    </row>
    <row r="50" spans="2:17" ht="20.100000000000001" customHeight="1">
      <c r="B50" s="97" t="s">
        <v>90</v>
      </c>
      <c r="C50" s="97"/>
      <c r="D50" s="97"/>
      <c r="E50" s="39"/>
      <c r="F50" s="8"/>
      <c r="G50" s="8"/>
      <c r="H50" s="9"/>
      <c r="I50" s="9"/>
      <c r="J50" s="8"/>
      <c r="K50" s="8"/>
      <c r="L50" s="9"/>
      <c r="M50" s="9"/>
      <c r="N50" s="8"/>
      <c r="O50" s="8"/>
      <c r="P50" s="9"/>
      <c r="Q50" s="9"/>
    </row>
    <row r="51" spans="2:17" ht="20.100000000000001" customHeight="1" thickBot="1">
      <c r="B51" s="97" t="s">
        <v>91</v>
      </c>
      <c r="C51" s="97"/>
      <c r="D51" s="97"/>
      <c r="E51" s="38"/>
      <c r="F51" s="8"/>
      <c r="G51" s="8"/>
      <c r="H51" s="9"/>
      <c r="I51" s="9"/>
      <c r="J51" s="8"/>
      <c r="K51" s="8"/>
      <c r="L51" s="9"/>
      <c r="M51" s="9"/>
      <c r="N51" s="8"/>
      <c r="O51" s="8"/>
      <c r="P51" s="9"/>
      <c r="Q51" s="9"/>
    </row>
    <row r="52" spans="2:17">
      <c r="B52" t="s">
        <v>92</v>
      </c>
      <c r="C52" s="18" t="s">
        <v>93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28"/>
    </row>
    <row r="53" spans="2:17">
      <c r="C53" s="20" t="s">
        <v>94</v>
      </c>
      <c r="Q53" s="31"/>
    </row>
    <row r="54" spans="2:17">
      <c r="C54" s="20" t="s">
        <v>95</v>
      </c>
      <c r="Q54" s="31"/>
    </row>
    <row r="55" spans="2:17">
      <c r="C55" s="20"/>
      <c r="Q55" s="31"/>
    </row>
    <row r="56" spans="2:17">
      <c r="C56" s="20"/>
      <c r="Q56" s="31"/>
    </row>
    <row r="57" spans="2:17">
      <c r="C57" s="20" t="s">
        <v>96</v>
      </c>
      <c r="F57" s="21" t="b">
        <v>0</v>
      </c>
      <c r="G57" s="22" t="s">
        <v>97</v>
      </c>
      <c r="Q57" s="31"/>
    </row>
    <row r="58" spans="2:17">
      <c r="C58" s="20" t="s">
        <v>96</v>
      </c>
      <c r="F58" s="8" t="s">
        <v>98</v>
      </c>
      <c r="G58" s="23" t="s">
        <v>99</v>
      </c>
      <c r="Q58" s="31"/>
    </row>
    <row r="59" spans="2:17" ht="15.75" thickBot="1"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30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7CAA2-A59A-4724-B640-8B361D0E0B5B}">
  <dimension ref="B1:Q59"/>
  <sheetViews>
    <sheetView view="pageBreakPreview" topLeftCell="B1" zoomScale="85" zoomScaleNormal="60" workbookViewId="0">
      <selection activeCell="N10" sqref="N10:N49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107"/>
      <c r="C2" s="110" t="s">
        <v>0</v>
      </c>
      <c r="D2" s="111"/>
      <c r="E2" s="111"/>
      <c r="F2" s="111"/>
      <c r="G2" s="111"/>
      <c r="H2" s="111"/>
      <c r="I2" s="111"/>
      <c r="J2" s="111"/>
      <c r="K2" s="111"/>
      <c r="L2" s="111"/>
      <c r="M2" s="112"/>
      <c r="N2" s="18" t="s">
        <v>1</v>
      </c>
      <c r="O2" s="19"/>
      <c r="P2" s="19"/>
      <c r="Q2" s="28"/>
    </row>
    <row r="3" spans="2:17" ht="15.75" thickBot="1">
      <c r="B3" s="108"/>
      <c r="C3" s="113"/>
      <c r="D3" s="114"/>
      <c r="E3" s="114"/>
      <c r="F3" s="114"/>
      <c r="G3" s="114"/>
      <c r="H3" s="114"/>
      <c r="I3" s="114"/>
      <c r="J3" s="114"/>
      <c r="K3" s="114"/>
      <c r="L3" s="114"/>
      <c r="M3" s="115"/>
      <c r="N3" s="26" t="s">
        <v>2</v>
      </c>
      <c r="O3" s="27" t="s">
        <v>3</v>
      </c>
      <c r="P3" s="27"/>
      <c r="Q3" s="29"/>
    </row>
    <row r="4" spans="2:17" ht="15.75" thickBot="1">
      <c r="B4" s="108"/>
      <c r="C4" s="113"/>
      <c r="D4" s="114"/>
      <c r="E4" s="114"/>
      <c r="F4" s="114"/>
      <c r="G4" s="114"/>
      <c r="H4" s="114"/>
      <c r="I4" s="114"/>
      <c r="J4" s="114"/>
      <c r="K4" s="114"/>
      <c r="L4" s="114"/>
      <c r="M4" s="115"/>
      <c r="N4" s="26" t="s">
        <v>4</v>
      </c>
      <c r="O4" s="27"/>
      <c r="P4" s="27"/>
      <c r="Q4" s="29"/>
    </row>
    <row r="5" spans="2:17" ht="15.75" thickBot="1">
      <c r="B5" s="109"/>
      <c r="C5" s="116"/>
      <c r="D5" s="117"/>
      <c r="E5" s="117"/>
      <c r="F5" s="117"/>
      <c r="G5" s="117"/>
      <c r="H5" s="117"/>
      <c r="I5" s="117"/>
      <c r="J5" s="117"/>
      <c r="K5" s="117"/>
      <c r="L5" s="117"/>
      <c r="M5" s="118"/>
      <c r="N5" s="24" t="s">
        <v>5</v>
      </c>
      <c r="O5" s="25"/>
      <c r="P5" s="25"/>
      <c r="Q5" s="30"/>
    </row>
    <row r="7" spans="2:17">
      <c r="B7" s="98" t="s">
        <v>6</v>
      </c>
      <c r="C7" s="99"/>
      <c r="D7" s="100">
        <v>45720</v>
      </c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2"/>
    </row>
    <row r="8" spans="2:17">
      <c r="B8" s="97" t="s">
        <v>7</v>
      </c>
      <c r="C8" s="97"/>
      <c r="D8" s="97"/>
      <c r="E8" s="105" t="s">
        <v>8</v>
      </c>
      <c r="F8" s="103" t="s">
        <v>9</v>
      </c>
      <c r="G8" s="103"/>
      <c r="H8" s="104" t="s">
        <v>10</v>
      </c>
      <c r="I8" s="104"/>
      <c r="J8" s="103" t="s">
        <v>11</v>
      </c>
      <c r="K8" s="103"/>
      <c r="L8" s="104" t="s">
        <v>12</v>
      </c>
      <c r="M8" s="104"/>
      <c r="N8" s="103" t="s">
        <v>13</v>
      </c>
      <c r="O8" s="103"/>
      <c r="P8" s="104" t="s">
        <v>14</v>
      </c>
      <c r="Q8" s="104"/>
    </row>
    <row r="9" spans="2:17">
      <c r="B9" s="98" t="s">
        <v>15</v>
      </c>
      <c r="C9" s="119"/>
      <c r="D9" s="99"/>
      <c r="E9" s="106"/>
      <c r="F9" s="3">
        <v>0.375</v>
      </c>
      <c r="G9" s="32" t="s">
        <v>16</v>
      </c>
      <c r="H9" s="4">
        <v>0.375</v>
      </c>
      <c r="I9" s="33" t="s">
        <v>16</v>
      </c>
      <c r="J9" s="3">
        <v>0.375</v>
      </c>
      <c r="K9" s="32" t="s">
        <v>16</v>
      </c>
      <c r="L9" s="4">
        <v>0.375</v>
      </c>
      <c r="M9" s="33" t="s">
        <v>16</v>
      </c>
      <c r="N9" s="3">
        <v>0.375</v>
      </c>
      <c r="O9" s="32" t="s">
        <v>16</v>
      </c>
      <c r="P9" s="4">
        <v>0.375</v>
      </c>
      <c r="Q9" s="33" t="s">
        <v>16</v>
      </c>
    </row>
    <row r="10" spans="2:17" ht="26.25" customHeight="1">
      <c r="B10" s="120" t="s">
        <v>17</v>
      </c>
      <c r="C10" s="121"/>
      <c r="D10" s="41" t="s">
        <v>18</v>
      </c>
      <c r="E10" s="5"/>
      <c r="F10" s="34" t="s">
        <v>19</v>
      </c>
      <c r="G10" s="34" t="s">
        <v>19</v>
      </c>
      <c r="H10" s="35"/>
      <c r="I10" s="35" t="s">
        <v>19</v>
      </c>
      <c r="J10" s="34"/>
      <c r="K10" s="34" t="s">
        <v>19</v>
      </c>
      <c r="L10" s="35"/>
      <c r="M10" s="35" t="s">
        <v>19</v>
      </c>
      <c r="N10" s="34" t="s">
        <v>19</v>
      </c>
      <c r="O10" s="34" t="s">
        <v>19</v>
      </c>
      <c r="P10" s="35"/>
      <c r="Q10" s="35" t="s">
        <v>19</v>
      </c>
    </row>
    <row r="11" spans="2:17" ht="20.100000000000001" customHeight="1">
      <c r="B11" s="97" t="s">
        <v>20</v>
      </c>
      <c r="C11" s="97"/>
      <c r="D11" s="7" t="s">
        <v>21</v>
      </c>
      <c r="E11" s="7" t="s">
        <v>22</v>
      </c>
      <c r="F11" s="8">
        <v>74</v>
      </c>
      <c r="G11" s="8">
        <v>70.599999999999994</v>
      </c>
      <c r="H11" s="9"/>
      <c r="I11" s="9">
        <v>80</v>
      </c>
      <c r="J11" s="8"/>
      <c r="K11" s="8">
        <v>74</v>
      </c>
      <c r="L11" s="9"/>
      <c r="M11" s="9">
        <v>71.400000000000006</v>
      </c>
      <c r="N11" s="8">
        <v>80</v>
      </c>
      <c r="O11" s="8">
        <v>75.599999999999994</v>
      </c>
      <c r="P11" s="9"/>
      <c r="Q11" s="9">
        <v>73.400000000000006</v>
      </c>
    </row>
    <row r="12" spans="2:17" ht="20.100000000000001" customHeight="1">
      <c r="B12" s="97" t="s">
        <v>23</v>
      </c>
      <c r="C12" s="97"/>
      <c r="D12" s="7" t="s">
        <v>21</v>
      </c>
      <c r="E12" s="7" t="s">
        <v>22</v>
      </c>
      <c r="F12" s="8">
        <v>0.1</v>
      </c>
      <c r="G12" s="8">
        <v>0.1</v>
      </c>
      <c r="H12" s="9"/>
      <c r="I12" s="9">
        <v>0</v>
      </c>
      <c r="J12" s="8"/>
      <c r="K12" s="8">
        <v>0</v>
      </c>
      <c r="L12" s="9"/>
      <c r="M12" s="9">
        <v>0.1</v>
      </c>
      <c r="N12" s="8">
        <v>0</v>
      </c>
      <c r="O12" s="8">
        <v>0</v>
      </c>
      <c r="P12" s="9"/>
      <c r="Q12" s="9">
        <v>0</v>
      </c>
    </row>
    <row r="13" spans="2:17" ht="20.100000000000001" customHeight="1">
      <c r="B13" s="97" t="s">
        <v>24</v>
      </c>
      <c r="C13" s="97"/>
      <c r="D13" s="7" t="s">
        <v>21</v>
      </c>
      <c r="E13" s="7" t="s">
        <v>22</v>
      </c>
      <c r="F13" s="8">
        <v>69</v>
      </c>
      <c r="G13" s="8">
        <v>64.7</v>
      </c>
      <c r="H13" s="9"/>
      <c r="I13" s="9">
        <v>76.2</v>
      </c>
      <c r="J13" s="8"/>
      <c r="K13" s="8">
        <v>69</v>
      </c>
      <c r="L13" s="9"/>
      <c r="M13" s="9">
        <v>67.8</v>
      </c>
      <c r="N13" s="8">
        <v>76.099999999999994</v>
      </c>
      <c r="O13" s="8">
        <v>71</v>
      </c>
      <c r="P13" s="9"/>
      <c r="Q13" s="9">
        <v>67.8</v>
      </c>
    </row>
    <row r="14" spans="2:17" ht="20.100000000000001" customHeight="1">
      <c r="B14" s="97" t="s">
        <v>25</v>
      </c>
      <c r="C14" s="97"/>
      <c r="D14" s="7" t="s">
        <v>21</v>
      </c>
      <c r="E14" s="7" t="s">
        <v>22</v>
      </c>
      <c r="F14" s="8">
        <v>69.599999999999994</v>
      </c>
      <c r="G14" s="8">
        <v>67.400000000000006</v>
      </c>
      <c r="H14" s="9"/>
      <c r="I14" s="9">
        <v>68.8</v>
      </c>
      <c r="J14" s="8"/>
      <c r="K14" s="8">
        <v>63.6</v>
      </c>
      <c r="L14" s="9"/>
      <c r="M14" s="9">
        <v>66.3</v>
      </c>
      <c r="N14" s="8">
        <v>75.3</v>
      </c>
      <c r="O14" s="8">
        <v>73.400000000000006</v>
      </c>
      <c r="P14" s="9"/>
      <c r="Q14" s="9">
        <v>72</v>
      </c>
    </row>
    <row r="15" spans="2:17" ht="20.100000000000001" customHeight="1">
      <c r="B15" s="97" t="s">
        <v>26</v>
      </c>
      <c r="C15" s="97"/>
      <c r="D15" s="7" t="s">
        <v>21</v>
      </c>
      <c r="E15" s="7" t="s">
        <v>22</v>
      </c>
      <c r="F15" s="8">
        <v>37.4</v>
      </c>
      <c r="G15" s="8">
        <v>36.200000000000003</v>
      </c>
      <c r="H15" s="9"/>
      <c r="I15" s="9">
        <v>50.9</v>
      </c>
      <c r="J15" s="8"/>
      <c r="K15" s="8">
        <v>39.9</v>
      </c>
      <c r="L15" s="9"/>
      <c r="M15" s="9">
        <v>33.9</v>
      </c>
      <c r="N15" s="8">
        <v>53</v>
      </c>
      <c r="O15" s="8">
        <v>52.3</v>
      </c>
      <c r="P15" s="9"/>
      <c r="Q15" s="9">
        <v>42.4</v>
      </c>
    </row>
    <row r="16" spans="2:17" ht="20.100000000000001" customHeight="1">
      <c r="B16" s="103" t="s">
        <v>27</v>
      </c>
      <c r="C16" s="10" t="s">
        <v>28</v>
      </c>
      <c r="D16" s="7" t="s">
        <v>29</v>
      </c>
      <c r="E16" s="7" t="s">
        <v>30</v>
      </c>
      <c r="F16" s="8">
        <v>6.6</v>
      </c>
      <c r="G16" s="8">
        <v>6.6</v>
      </c>
      <c r="H16" s="9"/>
      <c r="I16" s="9">
        <v>6.6</v>
      </c>
      <c r="J16" s="8"/>
      <c r="K16" s="8">
        <v>6.6</v>
      </c>
      <c r="L16" s="9"/>
      <c r="M16" s="9">
        <v>6.6</v>
      </c>
      <c r="N16" s="8">
        <v>6.6</v>
      </c>
      <c r="O16" s="8">
        <v>6.6</v>
      </c>
      <c r="P16" s="9"/>
      <c r="Q16" s="9">
        <v>6.6</v>
      </c>
    </row>
    <row r="17" spans="2:17" ht="20.100000000000001" customHeight="1">
      <c r="B17" s="103"/>
      <c r="C17" s="10" t="s">
        <v>31</v>
      </c>
      <c r="D17" s="7" t="s">
        <v>32</v>
      </c>
      <c r="E17" s="7" t="s">
        <v>33</v>
      </c>
      <c r="F17" s="8">
        <v>117.4</v>
      </c>
      <c r="G17" s="8">
        <v>117.2</v>
      </c>
      <c r="H17" s="9"/>
      <c r="I17" s="9">
        <v>118.1</v>
      </c>
      <c r="J17" s="8"/>
      <c r="K17" s="8">
        <v>116.7</v>
      </c>
      <c r="L17" s="9"/>
      <c r="M17" s="9">
        <v>113.9</v>
      </c>
      <c r="N17" s="8">
        <v>118.5</v>
      </c>
      <c r="O17" s="8">
        <v>118.6</v>
      </c>
      <c r="P17" s="9"/>
      <c r="Q17" s="9">
        <v>186.2</v>
      </c>
    </row>
    <row r="18" spans="2:17" ht="20.100000000000001" customHeight="1">
      <c r="B18" s="103"/>
      <c r="C18" s="10" t="s">
        <v>34</v>
      </c>
      <c r="D18" s="7" t="s">
        <v>35</v>
      </c>
      <c r="E18" s="7" t="s">
        <v>36</v>
      </c>
      <c r="F18" s="8">
        <v>1158</v>
      </c>
      <c r="G18" s="8">
        <v>1147</v>
      </c>
      <c r="H18" s="9"/>
      <c r="I18" s="9">
        <v>1194</v>
      </c>
      <c r="J18" s="8"/>
      <c r="K18" s="8">
        <v>1181</v>
      </c>
      <c r="L18" s="9"/>
      <c r="M18" s="9">
        <v>1161</v>
      </c>
      <c r="N18" s="8">
        <v>1217</v>
      </c>
      <c r="O18" s="8">
        <v>1208</v>
      </c>
      <c r="P18" s="9"/>
      <c r="Q18" s="9">
        <v>1182</v>
      </c>
    </row>
    <row r="19" spans="2:17" ht="20.100000000000001" customHeight="1">
      <c r="B19" s="103" t="s">
        <v>37</v>
      </c>
      <c r="C19" s="10" t="s">
        <v>38</v>
      </c>
      <c r="D19" s="7" t="s">
        <v>39</v>
      </c>
      <c r="E19" s="11" t="s">
        <v>40</v>
      </c>
      <c r="F19" s="8">
        <v>49407.8</v>
      </c>
      <c r="G19" s="8">
        <v>49398.5</v>
      </c>
      <c r="H19" s="9"/>
      <c r="I19" s="9">
        <v>50623.9</v>
      </c>
      <c r="J19" s="8"/>
      <c r="K19" s="8">
        <v>48255.4</v>
      </c>
      <c r="L19" s="9"/>
      <c r="M19" s="9">
        <v>50648.2</v>
      </c>
      <c r="N19" s="8">
        <v>49834.400000000001</v>
      </c>
      <c r="O19" s="8">
        <v>49825.1</v>
      </c>
      <c r="P19" s="9"/>
      <c r="Q19" s="9">
        <v>49988.2</v>
      </c>
    </row>
    <row r="20" spans="2:17" ht="20.100000000000001" customHeight="1">
      <c r="B20" s="103"/>
      <c r="C20" s="10" t="s">
        <v>41</v>
      </c>
      <c r="D20" s="7" t="s">
        <v>42</v>
      </c>
      <c r="E20" s="7" t="s">
        <v>43</v>
      </c>
      <c r="F20" s="8"/>
      <c r="G20" s="8"/>
      <c r="H20" s="9"/>
      <c r="I20" s="9"/>
      <c r="J20" s="8"/>
      <c r="K20" s="8"/>
      <c r="L20" s="9"/>
      <c r="M20" s="9"/>
      <c r="N20" s="8"/>
      <c r="O20" s="8"/>
      <c r="P20" s="9"/>
      <c r="Q20" s="9"/>
    </row>
    <row r="21" spans="2:17" ht="20.100000000000001" customHeight="1">
      <c r="B21" s="103"/>
      <c r="C21" s="10" t="s">
        <v>44</v>
      </c>
      <c r="D21" s="7" t="s">
        <v>42</v>
      </c>
      <c r="E21" s="7" t="s">
        <v>45</v>
      </c>
      <c r="F21" s="8"/>
      <c r="G21" s="8"/>
      <c r="H21" s="9"/>
      <c r="I21" s="9"/>
      <c r="J21" s="8"/>
      <c r="K21" s="8"/>
      <c r="L21" s="9"/>
      <c r="M21" s="9"/>
      <c r="N21" s="8"/>
      <c r="O21" s="8"/>
      <c r="P21" s="9"/>
      <c r="Q21" s="9"/>
    </row>
    <row r="22" spans="2:17" ht="20.100000000000001" customHeight="1">
      <c r="B22" s="103"/>
      <c r="C22" s="10" t="s">
        <v>46</v>
      </c>
      <c r="D22" s="7" t="s">
        <v>42</v>
      </c>
      <c r="E22" s="7" t="s">
        <v>47</v>
      </c>
      <c r="F22" s="8">
        <v>58</v>
      </c>
      <c r="G22" s="8">
        <v>58.5</v>
      </c>
      <c r="H22" s="9"/>
      <c r="I22" s="9">
        <v>59.4</v>
      </c>
      <c r="J22" s="8"/>
      <c r="K22" s="8">
        <v>57.5</v>
      </c>
      <c r="L22" s="9"/>
      <c r="M22" s="9">
        <v>57.4</v>
      </c>
      <c r="N22" s="8">
        <v>58.1</v>
      </c>
      <c r="O22" s="8">
        <v>58.7</v>
      </c>
      <c r="P22" s="9"/>
      <c r="Q22" s="9">
        <v>59.2</v>
      </c>
    </row>
    <row r="23" spans="2:17" ht="60">
      <c r="B23" s="103"/>
      <c r="C23" s="12" t="s">
        <v>48</v>
      </c>
      <c r="D23" s="8" t="s">
        <v>49</v>
      </c>
      <c r="E23" s="13" t="s">
        <v>50</v>
      </c>
      <c r="F23" s="8">
        <v>0.52</v>
      </c>
      <c r="G23" s="8">
        <v>0.53</v>
      </c>
      <c r="H23" s="9"/>
      <c r="I23" s="9">
        <v>0.49</v>
      </c>
      <c r="J23" s="8"/>
      <c r="K23" s="8">
        <v>0.59</v>
      </c>
      <c r="L23" s="9"/>
      <c r="M23" s="9">
        <v>0.52</v>
      </c>
      <c r="N23" s="8">
        <v>0.48</v>
      </c>
      <c r="O23" s="8">
        <v>0.48</v>
      </c>
      <c r="P23" s="9"/>
      <c r="Q23" s="9">
        <v>0.49</v>
      </c>
    </row>
    <row r="24" spans="2:17" ht="39.75" customHeight="1">
      <c r="B24" s="103"/>
      <c r="C24" s="12" t="s">
        <v>51</v>
      </c>
      <c r="D24" s="7"/>
      <c r="E24" s="7"/>
      <c r="F24" s="8"/>
      <c r="G24" s="8"/>
      <c r="H24" s="9"/>
      <c r="I24" s="9"/>
      <c r="J24" s="8"/>
      <c r="K24" s="8"/>
      <c r="L24" s="8"/>
      <c r="M24" s="9"/>
      <c r="N24" s="8"/>
      <c r="O24" s="8"/>
      <c r="P24" s="9"/>
      <c r="Q24" s="9"/>
    </row>
    <row r="25" spans="2:17" ht="20.100000000000001" customHeight="1">
      <c r="B25" s="103"/>
      <c r="C25" s="10" t="s">
        <v>52</v>
      </c>
      <c r="D25" s="7" t="s">
        <v>42</v>
      </c>
      <c r="E25" s="7" t="s">
        <v>53</v>
      </c>
      <c r="F25" s="8">
        <v>45.2</v>
      </c>
      <c r="G25" s="8">
        <v>44.8</v>
      </c>
      <c r="H25" s="9"/>
      <c r="I25" s="9">
        <v>44.8</v>
      </c>
      <c r="J25" s="8"/>
      <c r="K25" s="8">
        <v>45</v>
      </c>
      <c r="L25" s="9"/>
      <c r="M25" s="9">
        <v>44.9</v>
      </c>
      <c r="N25" s="8">
        <v>45.9</v>
      </c>
      <c r="O25" s="8">
        <v>44.8</v>
      </c>
      <c r="P25" s="9"/>
      <c r="Q25" s="9">
        <v>44.9</v>
      </c>
    </row>
    <row r="26" spans="2:17" ht="20.100000000000001" customHeight="1">
      <c r="B26" s="103" t="s">
        <v>54</v>
      </c>
      <c r="C26" s="10" t="s">
        <v>55</v>
      </c>
      <c r="D26" s="7" t="s">
        <v>49</v>
      </c>
      <c r="E26" s="14" t="s">
        <v>56</v>
      </c>
      <c r="F26" s="8">
        <v>0.23</v>
      </c>
      <c r="G26" s="8">
        <v>0.23</v>
      </c>
      <c r="H26" s="9"/>
      <c r="I26" s="9">
        <v>0.22</v>
      </c>
      <c r="J26" s="8"/>
      <c r="K26" s="8">
        <v>0.23</v>
      </c>
      <c r="L26" s="9"/>
      <c r="M26" s="9">
        <v>0.22</v>
      </c>
      <c r="N26" s="8">
        <v>0.22</v>
      </c>
      <c r="O26" s="8">
        <v>0.23</v>
      </c>
      <c r="P26" s="9"/>
      <c r="Q26" s="9">
        <v>0.23</v>
      </c>
    </row>
    <row r="27" spans="2:17" ht="20.100000000000001" customHeight="1">
      <c r="B27" s="103"/>
      <c r="C27" s="10" t="s">
        <v>57</v>
      </c>
      <c r="D27" s="7" t="s">
        <v>42</v>
      </c>
      <c r="E27" s="7" t="s">
        <v>43</v>
      </c>
      <c r="F27" s="8">
        <v>3.8</v>
      </c>
      <c r="G27" s="8">
        <v>4.3</v>
      </c>
      <c r="H27" s="9"/>
      <c r="I27" s="9">
        <v>3.3</v>
      </c>
      <c r="J27" s="8"/>
      <c r="K27" s="8">
        <v>4.2</v>
      </c>
      <c r="L27" s="9"/>
      <c r="M27" s="9">
        <v>3.9</v>
      </c>
      <c r="N27" s="8">
        <v>3.9</v>
      </c>
      <c r="O27" s="8">
        <v>4.5999999999999996</v>
      </c>
      <c r="P27" s="9"/>
      <c r="Q27" s="9">
        <v>4.5</v>
      </c>
    </row>
    <row r="28" spans="2:17" ht="20.100000000000001" customHeight="1">
      <c r="B28" s="103"/>
      <c r="C28" s="10" t="s">
        <v>58</v>
      </c>
      <c r="D28" s="7" t="s">
        <v>42</v>
      </c>
      <c r="E28" s="7" t="s">
        <v>43</v>
      </c>
      <c r="F28" s="8">
        <v>3.3</v>
      </c>
      <c r="G28" s="8">
        <v>4</v>
      </c>
      <c r="H28" s="9"/>
      <c r="I28" s="9">
        <v>2.5</v>
      </c>
      <c r="J28" s="8"/>
      <c r="K28" s="8">
        <v>3.5</v>
      </c>
      <c r="L28" s="9"/>
      <c r="M28" s="9">
        <v>2.8</v>
      </c>
      <c r="N28" s="8">
        <v>2.9</v>
      </c>
      <c r="O28" s="8">
        <v>3.6</v>
      </c>
      <c r="P28" s="9"/>
      <c r="Q28" s="9">
        <v>3.5</v>
      </c>
    </row>
    <row r="29" spans="2:17" ht="20.100000000000001" customHeight="1">
      <c r="B29" s="103"/>
      <c r="C29" s="10" t="s">
        <v>59</v>
      </c>
      <c r="D29" s="7" t="s">
        <v>42</v>
      </c>
      <c r="E29" s="7" t="s">
        <v>43</v>
      </c>
      <c r="F29" s="15">
        <f t="shared" ref="F29:Q29" si="0">F32-F28</f>
        <v>1</v>
      </c>
      <c r="G29" s="15">
        <f t="shared" si="0"/>
        <v>1</v>
      </c>
      <c r="H29" s="15">
        <f t="shared" si="0"/>
        <v>0</v>
      </c>
      <c r="I29" s="15">
        <f t="shared" si="0"/>
        <v>2.5</v>
      </c>
      <c r="J29" s="15">
        <f t="shared" si="0"/>
        <v>0</v>
      </c>
      <c r="K29" s="15">
        <f t="shared" si="0"/>
        <v>0.70000000000000018</v>
      </c>
      <c r="L29" s="15">
        <f t="shared" si="0"/>
        <v>0</v>
      </c>
      <c r="M29" s="15">
        <f t="shared" si="0"/>
        <v>1.2000000000000002</v>
      </c>
      <c r="N29" s="15">
        <f>N32-N28</f>
        <v>1</v>
      </c>
      <c r="O29" s="15">
        <f>O32-O28</f>
        <v>1.1999999999999997</v>
      </c>
      <c r="P29" s="15">
        <f t="shared" si="0"/>
        <v>0</v>
      </c>
      <c r="Q29" s="15">
        <f t="shared" si="0"/>
        <v>1.2000000000000002</v>
      </c>
    </row>
    <row r="30" spans="2:17" ht="20.100000000000001" customHeight="1">
      <c r="B30" s="103"/>
      <c r="C30" s="10" t="s">
        <v>60</v>
      </c>
      <c r="D30" s="7" t="s">
        <v>61</v>
      </c>
      <c r="E30" s="7" t="s">
        <v>62</v>
      </c>
      <c r="F30" s="8">
        <v>646.4</v>
      </c>
      <c r="G30" s="8">
        <v>677.3</v>
      </c>
      <c r="H30" s="9"/>
      <c r="I30" s="9">
        <v>649.4</v>
      </c>
      <c r="J30" s="8"/>
      <c r="K30" s="8">
        <v>648.6</v>
      </c>
      <c r="L30" s="9"/>
      <c r="M30" s="9">
        <v>628.6</v>
      </c>
      <c r="N30" s="8">
        <v>636.88</v>
      </c>
      <c r="O30" s="8">
        <v>654.79999999999995</v>
      </c>
      <c r="P30" s="9"/>
      <c r="Q30" s="9">
        <v>642.20000000000005</v>
      </c>
    </row>
    <row r="31" spans="2:17" ht="20.100000000000001" customHeight="1">
      <c r="B31" s="103"/>
      <c r="C31" s="10" t="s">
        <v>63</v>
      </c>
      <c r="D31" s="7" t="s">
        <v>42</v>
      </c>
      <c r="E31" s="7">
        <v>13.5</v>
      </c>
      <c r="F31" s="8">
        <v>13.2</v>
      </c>
      <c r="G31" s="8">
        <v>13.5</v>
      </c>
      <c r="H31" s="9"/>
      <c r="I31" s="9">
        <v>13.6</v>
      </c>
      <c r="J31" s="8"/>
      <c r="K31" s="8">
        <v>13.2</v>
      </c>
      <c r="L31" s="9"/>
      <c r="M31" s="9">
        <v>13</v>
      </c>
      <c r="N31" s="8">
        <v>13.3</v>
      </c>
      <c r="O31" s="8">
        <v>13.7</v>
      </c>
      <c r="P31" s="9"/>
      <c r="Q31" s="9">
        <v>13</v>
      </c>
    </row>
    <row r="32" spans="2:17" ht="20.100000000000001" customHeight="1">
      <c r="B32" s="103"/>
      <c r="C32" s="10" t="s">
        <v>64</v>
      </c>
      <c r="D32" s="7" t="s">
        <v>42</v>
      </c>
      <c r="E32" s="7">
        <v>4</v>
      </c>
      <c r="F32" s="8">
        <v>4.3</v>
      </c>
      <c r="G32" s="8">
        <v>5</v>
      </c>
      <c r="H32" s="9"/>
      <c r="I32" s="9">
        <v>5</v>
      </c>
      <c r="J32" s="8"/>
      <c r="K32" s="8">
        <v>4.2</v>
      </c>
      <c r="L32" s="9"/>
      <c r="M32" s="9">
        <v>4</v>
      </c>
      <c r="N32" s="8">
        <v>3.9</v>
      </c>
      <c r="O32" s="8">
        <v>4.8</v>
      </c>
      <c r="P32" s="9"/>
      <c r="Q32" s="9">
        <v>4.7</v>
      </c>
    </row>
    <row r="33" spans="2:17" ht="20.100000000000001" customHeight="1">
      <c r="B33" s="103"/>
      <c r="C33" s="10" t="s">
        <v>65</v>
      </c>
      <c r="D33" s="7" t="s">
        <v>42</v>
      </c>
      <c r="E33" s="7">
        <v>9.5</v>
      </c>
      <c r="F33" s="15">
        <f t="shared" ref="F33" si="1">F31-F32</f>
        <v>8.8999999999999986</v>
      </c>
      <c r="G33" s="15">
        <f t="shared" ref="G33:Q33" si="2">G31-G32</f>
        <v>8.5</v>
      </c>
      <c r="H33" s="15">
        <f t="shared" si="2"/>
        <v>0</v>
      </c>
      <c r="I33" s="15">
        <f t="shared" si="2"/>
        <v>8.6</v>
      </c>
      <c r="J33" s="15">
        <f t="shared" si="2"/>
        <v>0</v>
      </c>
      <c r="K33" s="15">
        <f t="shared" si="2"/>
        <v>9</v>
      </c>
      <c r="L33" s="15">
        <f t="shared" si="2"/>
        <v>0</v>
      </c>
      <c r="M33" s="15">
        <f t="shared" si="2"/>
        <v>9</v>
      </c>
      <c r="N33" s="15">
        <f>N31-N32</f>
        <v>9.4</v>
      </c>
      <c r="O33" s="15">
        <f>O31-O32</f>
        <v>8.8999999999999986</v>
      </c>
      <c r="P33" s="15">
        <f t="shared" si="2"/>
        <v>0</v>
      </c>
      <c r="Q33" s="15">
        <f t="shared" si="2"/>
        <v>8.3000000000000007</v>
      </c>
    </row>
    <row r="34" spans="2:17" ht="20.100000000000001" customHeight="1">
      <c r="B34" s="103"/>
      <c r="C34" s="10" t="s">
        <v>66</v>
      </c>
      <c r="D34" s="7" t="s">
        <v>67</v>
      </c>
      <c r="E34" s="7" t="s">
        <v>68</v>
      </c>
      <c r="F34" s="16">
        <f t="shared" ref="F34" si="3">(F33*F30)/0.866</f>
        <v>6643.1408775981517</v>
      </c>
      <c r="G34" s="16">
        <f t="shared" ref="G34:Q34" si="4">(G33*G30)/0.866</f>
        <v>6647.8637413394908</v>
      </c>
      <c r="H34" s="16">
        <f t="shared" si="4"/>
        <v>0</v>
      </c>
      <c r="I34" s="16">
        <f t="shared" si="4"/>
        <v>6449.0069284064657</v>
      </c>
      <c r="J34" s="16">
        <f t="shared" si="4"/>
        <v>0</v>
      </c>
      <c r="K34" s="16">
        <f t="shared" si="4"/>
        <v>6740.6466512702082</v>
      </c>
      <c r="L34" s="16">
        <f t="shared" si="4"/>
        <v>0</v>
      </c>
      <c r="M34" s="16">
        <f t="shared" si="4"/>
        <v>6532.7944572748274</v>
      </c>
      <c r="N34" s="16">
        <f>(N33*N30)/0.866</f>
        <v>6913.0161662817554</v>
      </c>
      <c r="O34" s="16">
        <f>(O33*O30)/0.866</f>
        <v>6729.4688221708993</v>
      </c>
      <c r="P34" s="16">
        <f t="shared" si="4"/>
        <v>0</v>
      </c>
      <c r="Q34" s="16">
        <f t="shared" si="4"/>
        <v>6155.034642032334</v>
      </c>
    </row>
    <row r="35" spans="2:17" ht="20.100000000000001" customHeight="1">
      <c r="B35" s="103" t="s">
        <v>69</v>
      </c>
      <c r="C35" s="10" t="s">
        <v>70</v>
      </c>
      <c r="D35" s="7" t="s">
        <v>49</v>
      </c>
      <c r="E35" s="7" t="s">
        <v>71</v>
      </c>
      <c r="F35" s="8">
        <v>0.8</v>
      </c>
      <c r="G35" s="8">
        <v>0.82</v>
      </c>
      <c r="H35" s="9"/>
      <c r="I35" s="9">
        <v>0.85</v>
      </c>
      <c r="J35" s="8"/>
      <c r="K35" s="8">
        <v>0.83</v>
      </c>
      <c r="L35" s="9"/>
      <c r="M35" s="9">
        <v>0.82</v>
      </c>
      <c r="N35" s="8">
        <v>0.79</v>
      </c>
      <c r="O35" s="8">
        <v>0.81</v>
      </c>
      <c r="P35" s="9"/>
      <c r="Q35" s="9">
        <v>0.83</v>
      </c>
    </row>
    <row r="36" spans="2:17" ht="20.100000000000001" customHeight="1">
      <c r="B36" s="103"/>
      <c r="C36" s="10" t="s">
        <v>72</v>
      </c>
      <c r="D36" s="7" t="s">
        <v>42</v>
      </c>
      <c r="E36" s="7" t="s">
        <v>43</v>
      </c>
      <c r="F36" s="8">
        <v>35</v>
      </c>
      <c r="G36" s="8">
        <v>36.1</v>
      </c>
      <c r="H36" s="9"/>
      <c r="I36" s="9">
        <v>36.6</v>
      </c>
      <c r="J36" s="8"/>
      <c r="K36" s="8">
        <v>36.4</v>
      </c>
      <c r="L36" s="9"/>
      <c r="M36" s="9">
        <v>36.4</v>
      </c>
      <c r="N36" s="8">
        <v>34.5</v>
      </c>
      <c r="O36" s="8">
        <v>35.9</v>
      </c>
      <c r="P36" s="9"/>
      <c r="Q36" s="9">
        <v>36.299999999999997</v>
      </c>
    </row>
    <row r="37" spans="2:17" ht="20.100000000000001" customHeight="1">
      <c r="B37" s="103"/>
      <c r="C37" s="10" t="s">
        <v>73</v>
      </c>
      <c r="D37" s="7" t="s">
        <v>42</v>
      </c>
      <c r="E37" s="7" t="s">
        <v>43</v>
      </c>
      <c r="F37" s="8">
        <v>35.799999999999997</v>
      </c>
      <c r="G37" s="8">
        <v>36.700000000000003</v>
      </c>
      <c r="H37" s="9"/>
      <c r="I37" s="9">
        <v>37.6</v>
      </c>
      <c r="J37" s="8"/>
      <c r="K37" s="8">
        <v>37.1</v>
      </c>
      <c r="L37" s="9"/>
      <c r="M37" s="9">
        <v>36.700000000000003</v>
      </c>
      <c r="N37" s="8">
        <v>35.299999999999997</v>
      </c>
      <c r="O37" s="8">
        <v>36.299999999999997</v>
      </c>
      <c r="P37" s="9"/>
      <c r="Q37" s="9">
        <v>37.1</v>
      </c>
    </row>
    <row r="38" spans="2:17" ht="20.100000000000001" customHeight="1">
      <c r="B38" s="103"/>
      <c r="C38" s="12" t="s">
        <v>74</v>
      </c>
      <c r="D38" s="7" t="s">
        <v>42</v>
      </c>
      <c r="E38" s="7"/>
      <c r="F38" s="15">
        <f t="shared" ref="F38:Q38" si="5">F37-F41</f>
        <v>2.6999999999999957</v>
      </c>
      <c r="G38" s="15">
        <f t="shared" si="5"/>
        <v>1.8000000000000043</v>
      </c>
      <c r="H38" s="15">
        <f t="shared" si="5"/>
        <v>0</v>
      </c>
      <c r="I38" s="15">
        <f t="shared" si="5"/>
        <v>3.3000000000000043</v>
      </c>
      <c r="J38" s="15">
        <f t="shared" si="5"/>
        <v>0</v>
      </c>
      <c r="K38" s="15">
        <f t="shared" si="5"/>
        <v>2.3000000000000043</v>
      </c>
      <c r="L38" s="15">
        <f t="shared" si="5"/>
        <v>0</v>
      </c>
      <c r="M38" s="15">
        <f t="shared" si="5"/>
        <v>2.2000000000000028</v>
      </c>
      <c r="N38" s="15">
        <f>N37-N41</f>
        <v>2.5</v>
      </c>
      <c r="O38" s="15">
        <f>O37-O41</f>
        <v>1.5</v>
      </c>
      <c r="P38" s="15">
        <f t="shared" si="5"/>
        <v>0</v>
      </c>
      <c r="Q38" s="15">
        <f t="shared" si="5"/>
        <v>2.6000000000000014</v>
      </c>
    </row>
    <row r="39" spans="2:17" ht="20.100000000000001" customHeight="1">
      <c r="B39" s="103"/>
      <c r="C39" s="10" t="s">
        <v>75</v>
      </c>
      <c r="D39" s="7" t="s">
        <v>76</v>
      </c>
      <c r="E39" s="7"/>
      <c r="F39" s="8"/>
      <c r="G39" s="8"/>
      <c r="H39" s="9"/>
      <c r="I39" s="9"/>
      <c r="J39" s="8"/>
      <c r="K39" s="8"/>
      <c r="L39" s="9"/>
      <c r="M39" s="9"/>
      <c r="N39" s="8"/>
      <c r="O39" s="8"/>
      <c r="P39" s="9"/>
      <c r="Q39" s="9"/>
    </row>
    <row r="40" spans="2:17" ht="20.100000000000001" customHeight="1">
      <c r="B40" s="103"/>
      <c r="C40" s="10" t="s">
        <v>77</v>
      </c>
      <c r="D40" s="7" t="s">
        <v>42</v>
      </c>
      <c r="E40" s="7">
        <v>30.8</v>
      </c>
      <c r="F40" s="8">
        <v>27.8</v>
      </c>
      <c r="G40" s="8">
        <v>28.7</v>
      </c>
      <c r="H40" s="9"/>
      <c r="I40" s="9">
        <v>28.7</v>
      </c>
      <c r="J40" s="8"/>
      <c r="K40" s="8">
        <v>28.9</v>
      </c>
      <c r="L40" s="9"/>
      <c r="M40" s="9">
        <v>28.8</v>
      </c>
      <c r="N40" s="8">
        <v>27.5</v>
      </c>
      <c r="O40" s="8">
        <v>28.6</v>
      </c>
      <c r="P40" s="9"/>
      <c r="Q40" s="9">
        <v>28.6</v>
      </c>
    </row>
    <row r="41" spans="2:17" ht="20.100000000000001" customHeight="1">
      <c r="B41" s="103"/>
      <c r="C41" s="10" t="s">
        <v>78</v>
      </c>
      <c r="D41" s="7" t="s">
        <v>42</v>
      </c>
      <c r="E41" s="7">
        <v>36.4</v>
      </c>
      <c r="F41" s="8">
        <v>33.1</v>
      </c>
      <c r="G41" s="8">
        <v>34.9</v>
      </c>
      <c r="H41" s="9"/>
      <c r="I41" s="9">
        <v>34.299999999999997</v>
      </c>
      <c r="J41" s="8"/>
      <c r="K41" s="8">
        <v>34.799999999999997</v>
      </c>
      <c r="L41" s="9"/>
      <c r="M41" s="9">
        <v>34.5</v>
      </c>
      <c r="N41" s="8">
        <v>32.799999999999997</v>
      </c>
      <c r="O41" s="8">
        <v>34.799999999999997</v>
      </c>
      <c r="P41" s="9"/>
      <c r="Q41" s="9">
        <v>34.5</v>
      </c>
    </row>
    <row r="42" spans="2:17" ht="20.100000000000001" customHeight="1">
      <c r="B42" s="103"/>
      <c r="C42" s="10" t="s">
        <v>79</v>
      </c>
      <c r="D42" s="7" t="s">
        <v>42</v>
      </c>
      <c r="E42" s="7">
        <v>5.6</v>
      </c>
      <c r="F42" s="15">
        <f t="shared" ref="F42:Q42" si="6">F41-F40</f>
        <v>5.3000000000000007</v>
      </c>
      <c r="G42" s="15">
        <f t="shared" si="6"/>
        <v>6.1999999999999993</v>
      </c>
      <c r="H42" s="15">
        <f t="shared" si="6"/>
        <v>0</v>
      </c>
      <c r="I42" s="15">
        <f t="shared" si="6"/>
        <v>5.5999999999999979</v>
      </c>
      <c r="J42" s="15">
        <f t="shared" si="6"/>
        <v>0</v>
      </c>
      <c r="K42" s="15">
        <f t="shared" si="6"/>
        <v>5.8999999999999986</v>
      </c>
      <c r="L42" s="15">
        <f t="shared" si="6"/>
        <v>0</v>
      </c>
      <c r="M42" s="15">
        <f t="shared" si="6"/>
        <v>5.6999999999999993</v>
      </c>
      <c r="N42" s="15">
        <f>N41-N40</f>
        <v>5.2999999999999972</v>
      </c>
      <c r="O42" s="15">
        <f>O41-O40</f>
        <v>6.1999999999999957</v>
      </c>
      <c r="P42" s="15">
        <f t="shared" si="6"/>
        <v>0</v>
      </c>
      <c r="Q42" s="15">
        <f t="shared" si="6"/>
        <v>5.8999999999999986</v>
      </c>
    </row>
    <row r="43" spans="2:17" ht="20.100000000000001" customHeight="1">
      <c r="B43" s="103"/>
      <c r="C43" s="10" t="s">
        <v>80</v>
      </c>
      <c r="D43" s="7" t="s">
        <v>61</v>
      </c>
      <c r="E43" s="7">
        <v>1273.0999999999999</v>
      </c>
      <c r="F43" s="8">
        <v>1294.44</v>
      </c>
      <c r="G43" s="8">
        <v>1160.3</v>
      </c>
      <c r="H43" s="9"/>
      <c r="I43" s="9">
        <v>1154.5</v>
      </c>
      <c r="J43" s="8"/>
      <c r="K43" s="8">
        <v>1138.9000000000001</v>
      </c>
      <c r="L43" s="9"/>
      <c r="M43" s="8">
        <v>1151.5</v>
      </c>
      <c r="N43" s="8">
        <v>1282.96</v>
      </c>
      <c r="O43" s="8">
        <v>1129.4000000000001</v>
      </c>
      <c r="P43" s="9"/>
      <c r="Q43" s="9">
        <v>1174.0999999999999</v>
      </c>
    </row>
    <row r="44" spans="2:17" ht="20.100000000000001" customHeight="1">
      <c r="B44" s="103"/>
      <c r="C44" s="10" t="s">
        <v>81</v>
      </c>
      <c r="D44" s="7" t="s">
        <v>67</v>
      </c>
      <c r="E44" s="7">
        <v>8226.9</v>
      </c>
      <c r="F44" s="16">
        <f t="shared" ref="F44:Q44" si="7">F42*F43/0.866</f>
        <v>7922.0923787528882</v>
      </c>
      <c r="G44" s="16">
        <f t="shared" si="7"/>
        <v>8306.997690531176</v>
      </c>
      <c r="H44" s="16">
        <f t="shared" si="7"/>
        <v>0</v>
      </c>
      <c r="I44" s="16">
        <f t="shared" si="7"/>
        <v>7465.5889145496503</v>
      </c>
      <c r="J44" s="16">
        <f t="shared" si="7"/>
        <v>0</v>
      </c>
      <c r="K44" s="16">
        <f t="shared" si="7"/>
        <v>7759.2494226327935</v>
      </c>
      <c r="L44" s="16">
        <f t="shared" si="7"/>
        <v>0</v>
      </c>
      <c r="M44" s="16">
        <f t="shared" si="7"/>
        <v>7579.1570438799072</v>
      </c>
      <c r="N44" s="16">
        <f>N42*N43/0.866</f>
        <v>7851.8337182447995</v>
      </c>
      <c r="O44" s="16">
        <f>O42*O43/0.866</f>
        <v>8085.773672055423</v>
      </c>
      <c r="P44" s="16">
        <f t="shared" si="7"/>
        <v>0</v>
      </c>
      <c r="Q44" s="16">
        <f t="shared" si="7"/>
        <v>7999.0646651270181</v>
      </c>
    </row>
    <row r="45" spans="2:17" ht="20.100000000000001" customHeight="1">
      <c r="B45" s="103" t="s">
        <v>82</v>
      </c>
      <c r="C45" s="10" t="s">
        <v>83</v>
      </c>
      <c r="D45" s="7" t="s">
        <v>49</v>
      </c>
      <c r="E45" s="7" t="s">
        <v>84</v>
      </c>
      <c r="F45" s="8">
        <v>0.45</v>
      </c>
      <c r="G45" s="8">
        <v>0.47</v>
      </c>
      <c r="H45" s="9"/>
      <c r="I45" s="9">
        <v>0.46</v>
      </c>
      <c r="J45" s="8"/>
      <c r="K45" s="8">
        <v>0.46</v>
      </c>
      <c r="L45" s="9"/>
      <c r="M45" s="9">
        <v>0.46</v>
      </c>
      <c r="N45" s="8">
        <v>0.44</v>
      </c>
      <c r="O45" s="8">
        <v>0.46</v>
      </c>
      <c r="P45" s="9"/>
      <c r="Q45" s="9">
        <v>0.47</v>
      </c>
    </row>
    <row r="46" spans="2:17" ht="20.100000000000001" customHeight="1">
      <c r="B46" s="103"/>
      <c r="C46" s="10" t="s">
        <v>85</v>
      </c>
      <c r="D46" s="7" t="s">
        <v>42</v>
      </c>
      <c r="E46" s="7" t="s">
        <v>43</v>
      </c>
      <c r="F46" s="8">
        <v>19.7</v>
      </c>
      <c r="G46" s="8">
        <v>20.2</v>
      </c>
      <c r="H46" s="9"/>
      <c r="I46" s="9">
        <v>19.5</v>
      </c>
      <c r="J46" s="8"/>
      <c r="K46" s="8">
        <v>19.7</v>
      </c>
      <c r="L46" s="9"/>
      <c r="M46" s="9">
        <v>19.7</v>
      </c>
      <c r="N46" s="8">
        <v>18.399999999999999</v>
      </c>
      <c r="O46" s="8">
        <v>19.399999999999999</v>
      </c>
      <c r="P46" s="9"/>
      <c r="Q46" s="9">
        <v>20.100000000000001</v>
      </c>
    </row>
    <row r="47" spans="2:17" ht="20.100000000000001" customHeight="1">
      <c r="B47" s="103"/>
      <c r="C47" s="10" t="s">
        <v>86</v>
      </c>
      <c r="D47" s="7" t="s">
        <v>76</v>
      </c>
      <c r="E47" s="7" t="s">
        <v>76</v>
      </c>
      <c r="F47" s="8">
        <v>208.1</v>
      </c>
      <c r="G47" s="8">
        <v>201</v>
      </c>
      <c r="H47" s="9"/>
      <c r="I47" s="9">
        <v>122.6</v>
      </c>
      <c r="J47" s="8"/>
      <c r="K47" s="8">
        <v>202.2</v>
      </c>
      <c r="L47" s="9"/>
      <c r="M47" s="9">
        <v>208</v>
      </c>
      <c r="N47" s="8">
        <v>159.4</v>
      </c>
      <c r="O47" s="8">
        <v>167.4</v>
      </c>
      <c r="P47" s="9"/>
      <c r="Q47" s="9">
        <v>186.2</v>
      </c>
    </row>
    <row r="48" spans="2:17" ht="20.100000000000001" customHeight="1">
      <c r="B48" s="97" t="s">
        <v>87</v>
      </c>
      <c r="C48" s="97"/>
      <c r="D48" s="97"/>
      <c r="E48" s="17" t="s">
        <v>88</v>
      </c>
      <c r="F48" s="8"/>
      <c r="G48" s="8"/>
      <c r="H48" s="9"/>
      <c r="I48" s="9"/>
      <c r="J48" s="8"/>
      <c r="K48" s="8"/>
      <c r="L48" s="9"/>
      <c r="M48" s="9"/>
      <c r="N48" s="8"/>
      <c r="O48" s="8"/>
      <c r="P48" s="9"/>
      <c r="Q48" s="9"/>
    </row>
    <row r="49" spans="2:17" ht="20.100000000000001" customHeight="1">
      <c r="B49" s="97" t="s">
        <v>89</v>
      </c>
      <c r="C49" s="97"/>
      <c r="D49" s="97"/>
      <c r="E49" s="41">
        <v>5.89</v>
      </c>
      <c r="F49" s="8">
        <v>6.05</v>
      </c>
      <c r="G49" s="8">
        <v>5.62</v>
      </c>
      <c r="H49" s="9"/>
      <c r="I49" s="9">
        <v>5.36</v>
      </c>
      <c r="J49" s="8"/>
      <c r="K49" s="8">
        <v>5.66</v>
      </c>
      <c r="L49" s="9"/>
      <c r="M49" s="9">
        <v>5.65</v>
      </c>
      <c r="N49" s="8">
        <v>5.76</v>
      </c>
      <c r="O49" s="8">
        <v>5.45</v>
      </c>
      <c r="P49" s="9"/>
      <c r="Q49" s="9">
        <v>5.23</v>
      </c>
    </row>
    <row r="50" spans="2:17" ht="20.100000000000001" customHeight="1">
      <c r="B50" s="97" t="s">
        <v>90</v>
      </c>
      <c r="C50" s="97"/>
      <c r="D50" s="97"/>
      <c r="E50" s="41"/>
      <c r="F50" s="8"/>
      <c r="G50" s="8"/>
      <c r="H50" s="9"/>
      <c r="I50" s="9"/>
      <c r="J50" s="8"/>
      <c r="K50" s="8"/>
      <c r="L50" s="9"/>
      <c r="M50" s="9"/>
      <c r="N50" s="8"/>
      <c r="O50" s="8"/>
      <c r="P50" s="9"/>
      <c r="Q50" s="9"/>
    </row>
    <row r="51" spans="2:17" ht="20.100000000000001" customHeight="1" thickBot="1">
      <c r="B51" s="97" t="s">
        <v>91</v>
      </c>
      <c r="C51" s="97"/>
      <c r="D51" s="97"/>
      <c r="E51" s="40"/>
      <c r="F51" s="8"/>
      <c r="G51" s="8"/>
      <c r="H51" s="9"/>
      <c r="I51" s="9"/>
      <c r="J51" s="8"/>
      <c r="K51" s="8"/>
      <c r="L51" s="9"/>
      <c r="M51" s="9"/>
      <c r="N51" s="8"/>
      <c r="O51" s="8"/>
      <c r="P51" s="9"/>
      <c r="Q51" s="9"/>
    </row>
    <row r="52" spans="2:17">
      <c r="B52" t="s">
        <v>92</v>
      </c>
      <c r="C52" s="18" t="s">
        <v>93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28"/>
    </row>
    <row r="53" spans="2:17">
      <c r="C53" s="20" t="s">
        <v>94</v>
      </c>
      <c r="Q53" s="31"/>
    </row>
    <row r="54" spans="2:17">
      <c r="C54" s="20" t="s">
        <v>95</v>
      </c>
      <c r="Q54" s="31"/>
    </row>
    <row r="55" spans="2:17">
      <c r="C55" s="20"/>
      <c r="Q55" s="31"/>
    </row>
    <row r="56" spans="2:17">
      <c r="C56" s="20"/>
      <c r="Q56" s="31"/>
    </row>
    <row r="57" spans="2:17">
      <c r="C57" s="20" t="s">
        <v>96</v>
      </c>
      <c r="F57" s="21" t="b">
        <v>0</v>
      </c>
      <c r="G57" s="22" t="s">
        <v>97</v>
      </c>
      <c r="Q57" s="31"/>
    </row>
    <row r="58" spans="2:17">
      <c r="C58" s="20" t="s">
        <v>96</v>
      </c>
      <c r="F58" s="8" t="s">
        <v>98</v>
      </c>
      <c r="G58" s="23" t="s">
        <v>99</v>
      </c>
      <c r="Q58" s="31"/>
    </row>
    <row r="59" spans="2:17" ht="15.75" thickBot="1"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30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0CFAE-F770-40BD-AA2F-747875F4CBF5}">
  <dimension ref="B1:Q59"/>
  <sheetViews>
    <sheetView view="pageBreakPreview" zoomScale="85" zoomScaleNormal="60" workbookViewId="0">
      <selection activeCell="D7" sqref="D7:Q7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107"/>
      <c r="C2" s="110" t="s">
        <v>0</v>
      </c>
      <c r="D2" s="111"/>
      <c r="E2" s="111"/>
      <c r="F2" s="111"/>
      <c r="G2" s="111"/>
      <c r="H2" s="111"/>
      <c r="I2" s="111"/>
      <c r="J2" s="111"/>
      <c r="K2" s="111"/>
      <c r="L2" s="111"/>
      <c r="M2" s="112"/>
      <c r="N2" s="18" t="s">
        <v>1</v>
      </c>
      <c r="O2" s="19"/>
      <c r="P2" s="19"/>
      <c r="Q2" s="28"/>
    </row>
    <row r="3" spans="2:17" ht="15.75" thickBot="1">
      <c r="B3" s="108"/>
      <c r="C3" s="113"/>
      <c r="D3" s="114"/>
      <c r="E3" s="114"/>
      <c r="F3" s="114"/>
      <c r="G3" s="114"/>
      <c r="H3" s="114"/>
      <c r="I3" s="114"/>
      <c r="J3" s="114"/>
      <c r="K3" s="114"/>
      <c r="L3" s="114"/>
      <c r="M3" s="115"/>
      <c r="N3" s="26" t="s">
        <v>2</v>
      </c>
      <c r="O3" s="27" t="s">
        <v>3</v>
      </c>
      <c r="P3" s="27"/>
      <c r="Q3" s="29"/>
    </row>
    <row r="4" spans="2:17" ht="15.75" thickBot="1">
      <c r="B4" s="108"/>
      <c r="C4" s="113"/>
      <c r="D4" s="114"/>
      <c r="E4" s="114"/>
      <c r="F4" s="114"/>
      <c r="G4" s="114"/>
      <c r="H4" s="114"/>
      <c r="I4" s="114"/>
      <c r="J4" s="114"/>
      <c r="K4" s="114"/>
      <c r="L4" s="114"/>
      <c r="M4" s="115"/>
      <c r="N4" s="26" t="s">
        <v>4</v>
      </c>
      <c r="O4" s="27"/>
      <c r="P4" s="27"/>
      <c r="Q4" s="29"/>
    </row>
    <row r="5" spans="2:17" ht="15.75" thickBot="1">
      <c r="B5" s="109"/>
      <c r="C5" s="116"/>
      <c r="D5" s="117"/>
      <c r="E5" s="117"/>
      <c r="F5" s="117"/>
      <c r="G5" s="117"/>
      <c r="H5" s="117"/>
      <c r="I5" s="117"/>
      <c r="J5" s="117"/>
      <c r="K5" s="117"/>
      <c r="L5" s="117"/>
      <c r="M5" s="118"/>
      <c r="N5" s="24" t="s">
        <v>5</v>
      </c>
      <c r="O5" s="25"/>
      <c r="P5" s="25"/>
      <c r="Q5" s="30"/>
    </row>
    <row r="7" spans="2:17">
      <c r="B7" s="98" t="s">
        <v>6</v>
      </c>
      <c r="C7" s="99"/>
      <c r="D7" s="100">
        <v>45721</v>
      </c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2"/>
    </row>
    <row r="8" spans="2:17">
      <c r="B8" s="97" t="s">
        <v>7</v>
      </c>
      <c r="C8" s="97"/>
      <c r="D8" s="97"/>
      <c r="E8" s="105" t="s">
        <v>8</v>
      </c>
      <c r="F8" s="103" t="s">
        <v>9</v>
      </c>
      <c r="G8" s="103"/>
      <c r="H8" s="104" t="s">
        <v>10</v>
      </c>
      <c r="I8" s="104"/>
      <c r="J8" s="103" t="s">
        <v>11</v>
      </c>
      <c r="K8" s="103"/>
      <c r="L8" s="104" t="s">
        <v>12</v>
      </c>
      <c r="M8" s="104"/>
      <c r="N8" s="103" t="s">
        <v>13</v>
      </c>
      <c r="O8" s="103"/>
      <c r="P8" s="104" t="s">
        <v>14</v>
      </c>
      <c r="Q8" s="104"/>
    </row>
    <row r="9" spans="2:17">
      <c r="B9" s="98" t="s">
        <v>15</v>
      </c>
      <c r="C9" s="119"/>
      <c r="D9" s="99"/>
      <c r="E9" s="106"/>
      <c r="F9" s="3">
        <v>0.375</v>
      </c>
      <c r="G9" s="32" t="s">
        <v>16</v>
      </c>
      <c r="H9" s="4">
        <v>0.375</v>
      </c>
      <c r="I9" s="33" t="s">
        <v>16</v>
      </c>
      <c r="J9" s="3">
        <v>0.375</v>
      </c>
      <c r="K9" s="32" t="s">
        <v>16</v>
      </c>
      <c r="L9" s="4">
        <v>0.375</v>
      </c>
      <c r="M9" s="33" t="s">
        <v>16</v>
      </c>
      <c r="N9" s="3">
        <v>0.375</v>
      </c>
      <c r="O9" s="32" t="s">
        <v>16</v>
      </c>
      <c r="P9" s="4">
        <v>0.375</v>
      </c>
      <c r="Q9" s="33" t="s">
        <v>16</v>
      </c>
    </row>
    <row r="10" spans="2:17" ht="26.25" customHeight="1">
      <c r="B10" s="120" t="s">
        <v>17</v>
      </c>
      <c r="C10" s="121"/>
      <c r="D10" s="43" t="s">
        <v>18</v>
      </c>
      <c r="E10" s="5"/>
      <c r="F10" s="6"/>
      <c r="G10" s="34" t="s">
        <v>19</v>
      </c>
      <c r="H10" s="35"/>
      <c r="I10" s="35" t="s">
        <v>19</v>
      </c>
      <c r="J10" s="34" t="s">
        <v>19</v>
      </c>
      <c r="K10" s="34" t="s">
        <v>19</v>
      </c>
      <c r="L10" s="35"/>
      <c r="M10" s="35" t="s">
        <v>19</v>
      </c>
      <c r="N10" s="6"/>
      <c r="O10" s="34" t="s">
        <v>19</v>
      </c>
      <c r="P10" s="35" t="s">
        <v>19</v>
      </c>
      <c r="Q10" s="35" t="s">
        <v>19</v>
      </c>
    </row>
    <row r="11" spans="2:17" ht="20.100000000000001" customHeight="1">
      <c r="B11" s="97" t="s">
        <v>20</v>
      </c>
      <c r="C11" s="97"/>
      <c r="D11" s="7" t="s">
        <v>21</v>
      </c>
      <c r="E11" s="7" t="s">
        <v>22</v>
      </c>
      <c r="F11" s="8"/>
      <c r="G11" s="8">
        <v>67.599999999999994</v>
      </c>
      <c r="H11" s="9"/>
      <c r="I11" s="9">
        <v>76</v>
      </c>
      <c r="J11" s="8">
        <v>76.900000000000006</v>
      </c>
      <c r="K11" s="8">
        <v>73.8</v>
      </c>
      <c r="L11" s="9"/>
      <c r="M11" s="9">
        <v>70</v>
      </c>
      <c r="N11" s="8"/>
      <c r="O11" s="8">
        <v>75.8</v>
      </c>
      <c r="P11" s="9">
        <v>75.2</v>
      </c>
      <c r="Q11" s="9">
        <v>72.8</v>
      </c>
    </row>
    <row r="12" spans="2:17" ht="20.100000000000001" customHeight="1">
      <c r="B12" s="97" t="s">
        <v>23</v>
      </c>
      <c r="C12" s="97"/>
      <c r="D12" s="7" t="s">
        <v>21</v>
      </c>
      <c r="E12" s="7" t="s">
        <v>22</v>
      </c>
      <c r="F12" s="8"/>
      <c r="G12" s="8">
        <v>0.6</v>
      </c>
      <c r="H12" s="9"/>
      <c r="I12" s="9">
        <v>0</v>
      </c>
      <c r="J12" s="8">
        <v>0</v>
      </c>
      <c r="K12" s="8">
        <v>0</v>
      </c>
      <c r="L12" s="9"/>
      <c r="M12" s="9">
        <v>0</v>
      </c>
      <c r="N12" s="8"/>
      <c r="O12" s="8">
        <v>0.2</v>
      </c>
      <c r="P12" s="9">
        <v>0</v>
      </c>
      <c r="Q12" s="9">
        <v>0</v>
      </c>
    </row>
    <row r="13" spans="2:17" ht="20.100000000000001" customHeight="1">
      <c r="B13" s="97" t="s">
        <v>24</v>
      </c>
      <c r="C13" s="97"/>
      <c r="D13" s="7" t="s">
        <v>21</v>
      </c>
      <c r="E13" s="7" t="s">
        <v>22</v>
      </c>
      <c r="F13" s="8"/>
      <c r="G13" s="8">
        <v>60.9</v>
      </c>
      <c r="H13" s="9"/>
      <c r="I13" s="9">
        <v>71.2</v>
      </c>
      <c r="J13" s="8">
        <v>71.599999999999994</v>
      </c>
      <c r="K13" s="8">
        <v>67.8</v>
      </c>
      <c r="L13" s="9"/>
      <c r="M13" s="9">
        <v>65.2</v>
      </c>
      <c r="N13" s="8"/>
      <c r="O13" s="8">
        <v>71.599999999999994</v>
      </c>
      <c r="P13" s="9">
        <v>70.2</v>
      </c>
      <c r="Q13" s="9">
        <v>67.7</v>
      </c>
    </row>
    <row r="14" spans="2:17" ht="20.100000000000001" customHeight="1">
      <c r="B14" s="97" t="s">
        <v>25</v>
      </c>
      <c r="C14" s="97"/>
      <c r="D14" s="7" t="s">
        <v>21</v>
      </c>
      <c r="E14" s="7" t="s">
        <v>22</v>
      </c>
      <c r="F14" s="8"/>
      <c r="G14" s="8">
        <v>68.599999999999994</v>
      </c>
      <c r="H14" s="9"/>
      <c r="I14" s="9">
        <v>70.7</v>
      </c>
      <c r="J14" s="8">
        <v>63.8</v>
      </c>
      <c r="K14" s="8">
        <v>63.6</v>
      </c>
      <c r="L14" s="9"/>
      <c r="M14" s="9">
        <v>66.2</v>
      </c>
      <c r="N14" s="8"/>
      <c r="O14" s="8">
        <v>73.3</v>
      </c>
      <c r="P14" s="9">
        <v>72.900000000000006</v>
      </c>
      <c r="Q14" s="9">
        <v>70.3</v>
      </c>
    </row>
    <row r="15" spans="2:17" ht="20.100000000000001" customHeight="1">
      <c r="B15" s="97" t="s">
        <v>26</v>
      </c>
      <c r="C15" s="97"/>
      <c r="D15" s="7" t="s">
        <v>21</v>
      </c>
      <c r="E15" s="7" t="s">
        <v>22</v>
      </c>
      <c r="F15" s="8"/>
      <c r="G15" s="8">
        <v>34.200000000000003</v>
      </c>
      <c r="H15" s="9"/>
      <c r="I15" s="9">
        <v>50.9</v>
      </c>
      <c r="J15" s="8">
        <v>37.4</v>
      </c>
      <c r="K15" s="8">
        <v>39.299999999999997</v>
      </c>
      <c r="L15" s="9"/>
      <c r="M15" s="9">
        <v>34.9</v>
      </c>
      <c r="N15" s="8"/>
      <c r="O15" s="8">
        <v>53.8</v>
      </c>
      <c r="P15" s="9">
        <v>41.7</v>
      </c>
      <c r="Q15" s="9">
        <v>43.2</v>
      </c>
    </row>
    <row r="16" spans="2:17" ht="20.100000000000001" customHeight="1">
      <c r="B16" s="103" t="s">
        <v>27</v>
      </c>
      <c r="C16" s="10" t="s">
        <v>28</v>
      </c>
      <c r="D16" s="7" t="s">
        <v>29</v>
      </c>
      <c r="E16" s="7" t="s">
        <v>30</v>
      </c>
      <c r="F16" s="8"/>
      <c r="G16" s="8">
        <v>6.6</v>
      </c>
      <c r="H16" s="9"/>
      <c r="I16" s="9">
        <v>6.6</v>
      </c>
      <c r="J16" s="8">
        <v>6.6</v>
      </c>
      <c r="K16" s="8">
        <v>6.6</v>
      </c>
      <c r="L16" s="9"/>
      <c r="M16" s="9">
        <v>6.6</v>
      </c>
      <c r="N16" s="8"/>
      <c r="O16" s="8">
        <v>6.6</v>
      </c>
      <c r="P16" s="9">
        <v>6.6</v>
      </c>
      <c r="Q16" s="9">
        <v>6.6</v>
      </c>
    </row>
    <row r="17" spans="2:17" ht="20.100000000000001" customHeight="1">
      <c r="B17" s="103"/>
      <c r="C17" s="10" t="s">
        <v>31</v>
      </c>
      <c r="D17" s="7" t="s">
        <v>32</v>
      </c>
      <c r="E17" s="7" t="s">
        <v>33</v>
      </c>
      <c r="F17" s="8"/>
      <c r="G17" s="8">
        <v>115</v>
      </c>
      <c r="H17" s="9"/>
      <c r="I17" s="9">
        <v>115.9</v>
      </c>
      <c r="J17" s="8">
        <v>117.8</v>
      </c>
      <c r="K17" s="8">
        <v>116</v>
      </c>
      <c r="L17" s="9"/>
      <c r="M17" s="9">
        <v>111.7</v>
      </c>
      <c r="N17" s="8"/>
      <c r="O17" s="8">
        <v>116.6</v>
      </c>
      <c r="P17" s="9">
        <v>118.9</v>
      </c>
      <c r="Q17" s="9">
        <v>115.5</v>
      </c>
    </row>
    <row r="18" spans="2:17" ht="20.100000000000001" customHeight="1">
      <c r="B18" s="103"/>
      <c r="C18" s="10" t="s">
        <v>34</v>
      </c>
      <c r="D18" s="7" t="s">
        <v>35</v>
      </c>
      <c r="E18" s="7" t="s">
        <v>36</v>
      </c>
      <c r="F18" s="8"/>
      <c r="G18" s="8">
        <v>1143</v>
      </c>
      <c r="H18" s="9"/>
      <c r="I18" s="9">
        <v>1186</v>
      </c>
      <c r="J18" s="8">
        <v>1194</v>
      </c>
      <c r="K18" s="8">
        <v>1178</v>
      </c>
      <c r="L18" s="9"/>
      <c r="M18" s="9">
        <v>1135</v>
      </c>
      <c r="N18" s="8"/>
      <c r="O18" s="8">
        <v>1191</v>
      </c>
      <c r="P18" s="9">
        <v>1212</v>
      </c>
      <c r="Q18" s="9">
        <v>1171</v>
      </c>
    </row>
    <row r="19" spans="2:17" ht="20.100000000000001" customHeight="1">
      <c r="B19" s="103" t="s">
        <v>37</v>
      </c>
      <c r="C19" s="10" t="s">
        <v>38</v>
      </c>
      <c r="D19" s="7" t="s">
        <v>39</v>
      </c>
      <c r="E19" s="11" t="s">
        <v>40</v>
      </c>
      <c r="F19" s="8"/>
      <c r="G19" s="8">
        <v>49416.800000000003</v>
      </c>
      <c r="H19" s="9"/>
      <c r="I19" s="9">
        <v>50634</v>
      </c>
      <c r="J19" s="8">
        <v>48274.400000000001</v>
      </c>
      <c r="K19" s="8">
        <v>48265.8</v>
      </c>
      <c r="L19" s="9"/>
      <c r="M19" s="9">
        <v>50658.7</v>
      </c>
      <c r="N19" s="8"/>
      <c r="O19" s="8">
        <v>49847.6</v>
      </c>
      <c r="P19" s="9">
        <v>50007.199999999997</v>
      </c>
      <c r="Q19" s="9">
        <v>49998.6</v>
      </c>
    </row>
    <row r="20" spans="2:17" ht="20.100000000000001" customHeight="1">
      <c r="B20" s="103"/>
      <c r="C20" s="10" t="s">
        <v>41</v>
      </c>
      <c r="D20" s="7" t="s">
        <v>42</v>
      </c>
      <c r="E20" s="7" t="s">
        <v>43</v>
      </c>
      <c r="F20" s="8"/>
      <c r="G20" s="8"/>
      <c r="H20" s="9"/>
      <c r="I20" s="9"/>
      <c r="J20" s="8"/>
      <c r="K20" s="8"/>
      <c r="L20" s="9"/>
      <c r="M20" s="9"/>
      <c r="N20" s="8"/>
      <c r="O20" s="8"/>
      <c r="P20" s="9"/>
      <c r="Q20" s="9"/>
    </row>
    <row r="21" spans="2:17" ht="20.100000000000001" customHeight="1">
      <c r="B21" s="103"/>
      <c r="C21" s="10" t="s">
        <v>44</v>
      </c>
      <c r="D21" s="7" t="s">
        <v>42</v>
      </c>
      <c r="E21" s="7" t="s">
        <v>45</v>
      </c>
      <c r="F21" s="8"/>
      <c r="G21" s="8"/>
      <c r="H21" s="9"/>
      <c r="I21" s="9"/>
      <c r="J21" s="8"/>
      <c r="K21" s="8"/>
      <c r="L21" s="9"/>
      <c r="M21" s="9"/>
      <c r="N21" s="8"/>
      <c r="O21" s="8"/>
      <c r="P21" s="9"/>
      <c r="Q21" s="9"/>
    </row>
    <row r="22" spans="2:17" ht="20.100000000000001" customHeight="1">
      <c r="B22" s="103"/>
      <c r="C22" s="10" t="s">
        <v>46</v>
      </c>
      <c r="D22" s="7" t="s">
        <v>42</v>
      </c>
      <c r="E22" s="7" t="s">
        <v>47</v>
      </c>
      <c r="F22" s="8"/>
      <c r="G22" s="8">
        <v>58.4</v>
      </c>
      <c r="H22" s="9"/>
      <c r="I22" s="9">
        <v>59.8</v>
      </c>
      <c r="J22" s="8">
        <v>57.6</v>
      </c>
      <c r="K22" s="8">
        <v>57.8</v>
      </c>
      <c r="L22" s="9"/>
      <c r="M22" s="9">
        <v>57.2</v>
      </c>
      <c r="N22" s="8"/>
      <c r="O22" s="8">
        <v>58.6</v>
      </c>
      <c r="P22" s="9">
        <v>59.1</v>
      </c>
      <c r="Q22" s="9">
        <v>58.9</v>
      </c>
    </row>
    <row r="23" spans="2:17" ht="60">
      <c r="B23" s="103"/>
      <c r="C23" s="12" t="s">
        <v>48</v>
      </c>
      <c r="D23" s="8" t="s">
        <v>49</v>
      </c>
      <c r="E23" s="13" t="s">
        <v>50</v>
      </c>
      <c r="F23" s="8"/>
      <c r="G23" s="8">
        <v>0.53</v>
      </c>
      <c r="H23" s="9"/>
      <c r="I23" s="9">
        <v>0.49</v>
      </c>
      <c r="J23" s="8">
        <v>0.59</v>
      </c>
      <c r="K23" s="8">
        <v>0.59</v>
      </c>
      <c r="L23" s="9"/>
      <c r="M23" s="9">
        <v>0.59</v>
      </c>
      <c r="N23" s="8"/>
      <c r="O23" s="8">
        <v>0.48</v>
      </c>
      <c r="P23" s="9">
        <v>0.5</v>
      </c>
      <c r="Q23" s="9">
        <v>0.49</v>
      </c>
    </row>
    <row r="24" spans="2:17" ht="39.75" customHeight="1">
      <c r="B24" s="103"/>
      <c r="C24" s="12" t="s">
        <v>51</v>
      </c>
      <c r="D24" s="7"/>
      <c r="E24" s="7"/>
      <c r="F24" s="8"/>
      <c r="G24" s="8"/>
      <c r="H24" s="9"/>
      <c r="I24" s="9" t="s">
        <v>100</v>
      </c>
      <c r="J24" s="8"/>
      <c r="K24" s="8"/>
      <c r="L24" s="8"/>
      <c r="M24" s="9"/>
      <c r="N24" s="8"/>
      <c r="O24" s="8"/>
      <c r="P24" s="9"/>
      <c r="Q24" s="9"/>
    </row>
    <row r="25" spans="2:17" ht="20.100000000000001" customHeight="1">
      <c r="B25" s="103"/>
      <c r="C25" s="10" t="s">
        <v>52</v>
      </c>
      <c r="D25" s="7" t="s">
        <v>42</v>
      </c>
      <c r="E25" s="7" t="s">
        <v>53</v>
      </c>
      <c r="F25" s="8"/>
      <c r="G25" s="8">
        <v>45</v>
      </c>
      <c r="H25" s="9"/>
      <c r="I25" s="9">
        <v>44.9</v>
      </c>
      <c r="J25" s="8">
        <v>45.1</v>
      </c>
      <c r="K25" s="8">
        <v>44.8</v>
      </c>
      <c r="L25" s="9"/>
      <c r="M25" s="9">
        <v>45.3</v>
      </c>
      <c r="N25" s="8"/>
      <c r="O25" s="8">
        <v>44.6</v>
      </c>
      <c r="P25" s="9">
        <v>45.1</v>
      </c>
      <c r="Q25" s="9">
        <v>44.9</v>
      </c>
    </row>
    <row r="26" spans="2:17" ht="20.100000000000001" customHeight="1">
      <c r="B26" s="103" t="s">
        <v>54</v>
      </c>
      <c r="C26" s="10" t="s">
        <v>55</v>
      </c>
      <c r="D26" s="7" t="s">
        <v>49</v>
      </c>
      <c r="E26" s="14" t="s">
        <v>56</v>
      </c>
      <c r="F26" s="8"/>
      <c r="G26" s="8">
        <v>0.23</v>
      </c>
      <c r="H26" s="9"/>
      <c r="I26" s="9">
        <v>0.21</v>
      </c>
      <c r="J26" s="8">
        <v>0.23</v>
      </c>
      <c r="K26" s="8">
        <v>0.23</v>
      </c>
      <c r="L26" s="9"/>
      <c r="M26" s="9">
        <v>0.22</v>
      </c>
      <c r="N26" s="8"/>
      <c r="O26" s="8">
        <v>0.22</v>
      </c>
      <c r="P26" s="9">
        <v>0.23</v>
      </c>
      <c r="Q26" s="9">
        <v>0.23</v>
      </c>
    </row>
    <row r="27" spans="2:17" ht="20.100000000000001" customHeight="1">
      <c r="B27" s="103"/>
      <c r="C27" s="10" t="s">
        <v>57</v>
      </c>
      <c r="D27" s="7" t="s">
        <v>42</v>
      </c>
      <c r="E27" s="7" t="s">
        <v>43</v>
      </c>
      <c r="F27" s="8"/>
      <c r="G27" s="8">
        <v>4</v>
      </c>
      <c r="H27" s="9"/>
      <c r="I27" s="9">
        <v>2.9</v>
      </c>
      <c r="J27" s="8">
        <v>3.9</v>
      </c>
      <c r="K27" s="8">
        <v>4.5999999999999996</v>
      </c>
      <c r="L27" s="9"/>
      <c r="M27" s="9">
        <v>3.6</v>
      </c>
      <c r="N27" s="8"/>
      <c r="O27" s="8">
        <v>4</v>
      </c>
      <c r="P27" s="9">
        <v>4.8</v>
      </c>
      <c r="Q27" s="9">
        <v>4.2</v>
      </c>
    </row>
    <row r="28" spans="2:17" ht="20.100000000000001" customHeight="1">
      <c r="B28" s="103"/>
      <c r="C28" s="10" t="s">
        <v>58</v>
      </c>
      <c r="D28" s="7" t="s">
        <v>42</v>
      </c>
      <c r="E28" s="7" t="s">
        <v>43</v>
      </c>
      <c r="F28" s="8"/>
      <c r="G28" s="8">
        <v>3.8</v>
      </c>
      <c r="H28" s="9"/>
      <c r="I28" s="9">
        <v>2</v>
      </c>
      <c r="J28" s="8">
        <v>3.2</v>
      </c>
      <c r="K28" s="8">
        <v>3.4</v>
      </c>
      <c r="L28" s="9"/>
      <c r="M28" s="9">
        <v>2.9</v>
      </c>
      <c r="N28" s="8"/>
      <c r="O28" s="8">
        <v>3</v>
      </c>
      <c r="P28" s="9">
        <v>3.9</v>
      </c>
      <c r="Q28" s="9">
        <v>3.4</v>
      </c>
    </row>
    <row r="29" spans="2:17" ht="20.100000000000001" customHeight="1">
      <c r="B29" s="103"/>
      <c r="C29" s="10" t="s">
        <v>59</v>
      </c>
      <c r="D29" s="7" t="s">
        <v>42</v>
      </c>
      <c r="E29" s="7" t="s">
        <v>43</v>
      </c>
      <c r="F29" s="15"/>
      <c r="G29" s="15">
        <f t="shared" ref="G29:Q29" si="0">G32-G28</f>
        <v>0.60000000000000053</v>
      </c>
      <c r="H29" s="15">
        <f t="shared" si="0"/>
        <v>0</v>
      </c>
      <c r="I29" s="15">
        <f t="shared" si="0"/>
        <v>2</v>
      </c>
      <c r="J29" s="15">
        <f t="shared" si="0"/>
        <v>1.2000000000000002</v>
      </c>
      <c r="K29" s="15">
        <f t="shared" si="0"/>
        <v>1.1999999999999997</v>
      </c>
      <c r="L29" s="15">
        <f t="shared" si="0"/>
        <v>0</v>
      </c>
      <c r="M29" s="15">
        <f t="shared" si="0"/>
        <v>1</v>
      </c>
      <c r="N29" s="15">
        <f>N32-N28</f>
        <v>0</v>
      </c>
      <c r="O29" s="15">
        <f>O32-O28</f>
        <v>1</v>
      </c>
      <c r="P29" s="15">
        <f t="shared" si="0"/>
        <v>0.80000000000000027</v>
      </c>
      <c r="Q29" s="15">
        <f t="shared" si="0"/>
        <v>0.89999999999999991</v>
      </c>
    </row>
    <row r="30" spans="2:17" ht="20.100000000000001" customHeight="1">
      <c r="B30" s="103"/>
      <c r="C30" s="10" t="s">
        <v>60</v>
      </c>
      <c r="D30" s="7" t="s">
        <v>61</v>
      </c>
      <c r="E30" s="7" t="s">
        <v>62</v>
      </c>
      <c r="F30" s="8"/>
      <c r="G30" s="8">
        <v>644.4</v>
      </c>
      <c r="H30" s="9"/>
      <c r="I30" s="9">
        <v>645.79999999999995</v>
      </c>
      <c r="J30" s="8">
        <v>634.64</v>
      </c>
      <c r="K30" s="8">
        <v>641.5</v>
      </c>
      <c r="L30" s="9"/>
      <c r="M30" s="9">
        <v>635.5</v>
      </c>
      <c r="N30" s="8"/>
      <c r="O30" s="8">
        <v>634.1</v>
      </c>
      <c r="P30" s="9">
        <v>637.36</v>
      </c>
      <c r="Q30" s="9">
        <v>649</v>
      </c>
    </row>
    <row r="31" spans="2:17" ht="20.100000000000001" customHeight="1">
      <c r="B31" s="103"/>
      <c r="C31" s="10" t="s">
        <v>63</v>
      </c>
      <c r="D31" s="7" t="s">
        <v>42</v>
      </c>
      <c r="E31" s="7">
        <v>13.5</v>
      </c>
      <c r="F31" s="8"/>
      <c r="G31" s="8">
        <v>12.9</v>
      </c>
      <c r="H31" s="9"/>
      <c r="I31" s="9">
        <v>12.7</v>
      </c>
      <c r="J31" s="8">
        <v>13.5</v>
      </c>
      <c r="K31" s="8">
        <v>13.5</v>
      </c>
      <c r="L31" s="9"/>
      <c r="M31" s="9">
        <v>13.2</v>
      </c>
      <c r="N31" s="8"/>
      <c r="O31" s="8">
        <v>13</v>
      </c>
      <c r="P31" s="9">
        <v>13.5</v>
      </c>
      <c r="Q31" s="9">
        <v>12.8</v>
      </c>
    </row>
    <row r="32" spans="2:17" ht="20.100000000000001" customHeight="1">
      <c r="B32" s="103"/>
      <c r="C32" s="10" t="s">
        <v>64</v>
      </c>
      <c r="D32" s="7" t="s">
        <v>42</v>
      </c>
      <c r="E32" s="7">
        <v>4</v>
      </c>
      <c r="F32" s="8"/>
      <c r="G32" s="8">
        <v>4.4000000000000004</v>
      </c>
      <c r="H32" s="9"/>
      <c r="I32" s="9">
        <v>4</v>
      </c>
      <c r="J32" s="8">
        <v>4.4000000000000004</v>
      </c>
      <c r="K32" s="8">
        <v>4.5999999999999996</v>
      </c>
      <c r="L32" s="9"/>
      <c r="M32" s="9">
        <v>3.9</v>
      </c>
      <c r="N32" s="8"/>
      <c r="O32" s="8">
        <v>4</v>
      </c>
      <c r="P32" s="9">
        <v>4.7</v>
      </c>
      <c r="Q32" s="9">
        <v>4.3</v>
      </c>
    </row>
    <row r="33" spans="2:17" ht="20.100000000000001" customHeight="1">
      <c r="B33" s="103"/>
      <c r="C33" s="10" t="s">
        <v>65</v>
      </c>
      <c r="D33" s="7" t="s">
        <v>42</v>
      </c>
      <c r="E33" s="7">
        <v>9.5</v>
      </c>
      <c r="F33" s="15"/>
      <c r="G33" s="15">
        <f t="shared" ref="G33:Q33" si="1">G31-G32</f>
        <v>8.5</v>
      </c>
      <c r="H33" s="15">
        <f t="shared" si="1"/>
        <v>0</v>
      </c>
      <c r="I33" s="15">
        <f t="shared" si="1"/>
        <v>8.6999999999999993</v>
      </c>
      <c r="J33" s="15">
        <f t="shared" si="1"/>
        <v>9.1</v>
      </c>
      <c r="K33" s="15">
        <f t="shared" si="1"/>
        <v>8.9</v>
      </c>
      <c r="L33" s="15">
        <f t="shared" si="1"/>
        <v>0</v>
      </c>
      <c r="M33" s="15">
        <f t="shared" si="1"/>
        <v>9.2999999999999989</v>
      </c>
      <c r="N33" s="15">
        <f>N31-N32</f>
        <v>0</v>
      </c>
      <c r="O33" s="15">
        <f>O31-O32</f>
        <v>9</v>
      </c>
      <c r="P33" s="15">
        <f t="shared" si="1"/>
        <v>8.8000000000000007</v>
      </c>
      <c r="Q33" s="15">
        <f t="shared" si="1"/>
        <v>8.5</v>
      </c>
    </row>
    <row r="34" spans="2:17" ht="20.100000000000001" customHeight="1">
      <c r="B34" s="103"/>
      <c r="C34" s="10" t="s">
        <v>66</v>
      </c>
      <c r="D34" s="7" t="s">
        <v>67</v>
      </c>
      <c r="E34" s="7" t="s">
        <v>68</v>
      </c>
      <c r="F34" s="16"/>
      <c r="G34" s="16">
        <f t="shared" ref="G34:Q34" si="2">(G33*G30)/0.866</f>
        <v>6324.9422632794458</v>
      </c>
      <c r="H34" s="16">
        <f t="shared" si="2"/>
        <v>0</v>
      </c>
      <c r="I34" s="16">
        <f t="shared" si="2"/>
        <v>6487.8290993071587</v>
      </c>
      <c r="J34" s="16">
        <f t="shared" si="2"/>
        <v>6668.8498845265585</v>
      </c>
      <c r="K34" s="16">
        <f t="shared" si="2"/>
        <v>6592.7829099307164</v>
      </c>
      <c r="L34" s="16">
        <f t="shared" si="2"/>
        <v>0</v>
      </c>
      <c r="M34" s="16">
        <f t="shared" si="2"/>
        <v>6824.6535796766739</v>
      </c>
      <c r="N34" s="16">
        <f>(N33*N30)/0.866</f>
        <v>0</v>
      </c>
      <c r="O34" s="16">
        <f>(O33*O30)/0.866</f>
        <v>6589.9538106235568</v>
      </c>
      <c r="P34" s="16">
        <f t="shared" si="2"/>
        <v>6476.6374133949203</v>
      </c>
      <c r="Q34" s="16">
        <f t="shared" si="2"/>
        <v>6370.0923787528873</v>
      </c>
    </row>
    <row r="35" spans="2:17" ht="20.100000000000001" customHeight="1">
      <c r="B35" s="103" t="s">
        <v>69</v>
      </c>
      <c r="C35" s="10" t="s">
        <v>70</v>
      </c>
      <c r="D35" s="7" t="s">
        <v>49</v>
      </c>
      <c r="E35" s="7" t="s">
        <v>71</v>
      </c>
      <c r="F35" s="8"/>
      <c r="G35" s="8">
        <v>0.82</v>
      </c>
      <c r="H35" s="9"/>
      <c r="I35" s="9">
        <v>0.83</v>
      </c>
      <c r="J35" s="8">
        <v>0.84</v>
      </c>
      <c r="K35" s="8">
        <v>0.82</v>
      </c>
      <c r="L35" s="9"/>
      <c r="M35" s="9">
        <v>0.82</v>
      </c>
      <c r="N35" s="8"/>
      <c r="O35" s="8">
        <v>0.8</v>
      </c>
      <c r="P35" s="9">
        <v>0.84</v>
      </c>
      <c r="Q35" s="9">
        <v>0.82</v>
      </c>
    </row>
    <row r="36" spans="2:17" ht="20.100000000000001" customHeight="1">
      <c r="B36" s="103"/>
      <c r="C36" s="10" t="s">
        <v>72</v>
      </c>
      <c r="D36" s="7" t="s">
        <v>42</v>
      </c>
      <c r="E36" s="7" t="s">
        <v>43</v>
      </c>
      <c r="F36" s="8"/>
      <c r="G36" s="8">
        <v>35.700000000000003</v>
      </c>
      <c r="H36" s="9"/>
      <c r="I36" s="9">
        <v>35.9</v>
      </c>
      <c r="J36" s="8">
        <v>36.299999999999997</v>
      </c>
      <c r="K36" s="8">
        <v>35.6</v>
      </c>
      <c r="L36" s="9"/>
      <c r="M36" s="9">
        <v>35.4</v>
      </c>
      <c r="N36" s="8"/>
      <c r="O36" s="8">
        <v>35</v>
      </c>
      <c r="P36" s="9">
        <v>36.299999999999997</v>
      </c>
      <c r="Q36" s="9">
        <v>35.5</v>
      </c>
    </row>
    <row r="37" spans="2:17" ht="20.100000000000001" customHeight="1">
      <c r="B37" s="103"/>
      <c r="C37" s="10" t="s">
        <v>73</v>
      </c>
      <c r="D37" s="7" t="s">
        <v>42</v>
      </c>
      <c r="E37" s="7" t="s">
        <v>43</v>
      </c>
      <c r="F37" s="8"/>
      <c r="G37" s="8">
        <v>36.4</v>
      </c>
      <c r="H37" s="9"/>
      <c r="I37" s="9">
        <v>36.9</v>
      </c>
      <c r="J37" s="8">
        <v>37.1</v>
      </c>
      <c r="K37" s="8">
        <v>36.4</v>
      </c>
      <c r="L37" s="9"/>
      <c r="M37" s="9">
        <v>36.299999999999997</v>
      </c>
      <c r="N37" s="8"/>
      <c r="O37" s="8">
        <v>35.5</v>
      </c>
      <c r="P37" s="9">
        <v>37.1</v>
      </c>
      <c r="Q37" s="9">
        <v>36.4</v>
      </c>
    </row>
    <row r="38" spans="2:17" ht="20.100000000000001" customHeight="1">
      <c r="B38" s="103"/>
      <c r="C38" s="12" t="s">
        <v>74</v>
      </c>
      <c r="D38" s="7" t="s">
        <v>42</v>
      </c>
      <c r="E38" s="7"/>
      <c r="F38" s="15"/>
      <c r="G38" s="15">
        <f t="shared" ref="G38:Q38" si="3">G37-G41</f>
        <v>2.5</v>
      </c>
      <c r="H38" s="15">
        <f t="shared" si="3"/>
        <v>0</v>
      </c>
      <c r="I38" s="15">
        <f t="shared" si="3"/>
        <v>3.8999999999999986</v>
      </c>
      <c r="J38" s="15">
        <f t="shared" si="3"/>
        <v>3.1000000000000014</v>
      </c>
      <c r="K38" s="15">
        <f t="shared" si="3"/>
        <v>3</v>
      </c>
      <c r="L38" s="15">
        <f t="shared" si="3"/>
        <v>0</v>
      </c>
      <c r="M38" s="15">
        <f t="shared" si="3"/>
        <v>3.0999999999999943</v>
      </c>
      <c r="N38" s="15">
        <f>N37-N41</f>
        <v>0</v>
      </c>
      <c r="O38" s="15">
        <f>O37-O41</f>
        <v>2.2999999999999972</v>
      </c>
      <c r="P38" s="15">
        <f t="shared" si="3"/>
        <v>3.1000000000000014</v>
      </c>
      <c r="Q38" s="15">
        <f t="shared" si="3"/>
        <v>3</v>
      </c>
    </row>
    <row r="39" spans="2:17" ht="20.100000000000001" customHeight="1">
      <c r="B39" s="103"/>
      <c r="C39" s="10" t="s">
        <v>75</v>
      </c>
      <c r="D39" s="7" t="s">
        <v>76</v>
      </c>
      <c r="E39" s="7"/>
      <c r="F39" s="8"/>
      <c r="G39" s="8"/>
      <c r="H39" s="9"/>
      <c r="I39" s="9"/>
      <c r="J39" s="8"/>
      <c r="K39" s="8"/>
      <c r="L39" s="9"/>
      <c r="M39" s="9"/>
      <c r="N39" s="8"/>
      <c r="O39" s="8"/>
      <c r="P39" s="9"/>
      <c r="Q39" s="9"/>
    </row>
    <row r="40" spans="2:17" ht="20.100000000000001" customHeight="1">
      <c r="B40" s="103"/>
      <c r="C40" s="10" t="s">
        <v>77</v>
      </c>
      <c r="D40" s="7" t="s">
        <v>42</v>
      </c>
      <c r="E40" s="7">
        <v>30.8</v>
      </c>
      <c r="F40" s="8"/>
      <c r="G40" s="8">
        <v>27.7</v>
      </c>
      <c r="H40" s="9"/>
      <c r="I40" s="9">
        <v>27.5</v>
      </c>
      <c r="J40" s="8">
        <v>28.7</v>
      </c>
      <c r="K40" s="8">
        <v>27.6</v>
      </c>
      <c r="L40" s="9"/>
      <c r="M40" s="9">
        <v>27.4</v>
      </c>
      <c r="N40" s="8"/>
      <c r="O40" s="8">
        <v>27.5</v>
      </c>
      <c r="P40" s="9">
        <v>28.7</v>
      </c>
      <c r="Q40" s="9">
        <v>27.9</v>
      </c>
    </row>
    <row r="41" spans="2:17" ht="20.100000000000001" customHeight="1">
      <c r="B41" s="103"/>
      <c r="C41" s="10" t="s">
        <v>78</v>
      </c>
      <c r="D41" s="7" t="s">
        <v>42</v>
      </c>
      <c r="E41" s="7">
        <v>36.4</v>
      </c>
      <c r="F41" s="8"/>
      <c r="G41" s="8">
        <v>33.9</v>
      </c>
      <c r="H41" s="9"/>
      <c r="I41" s="9">
        <v>33</v>
      </c>
      <c r="J41" s="8">
        <v>34</v>
      </c>
      <c r="K41" s="8">
        <v>33.4</v>
      </c>
      <c r="L41" s="9"/>
      <c r="M41" s="9">
        <v>33.200000000000003</v>
      </c>
      <c r="N41" s="8"/>
      <c r="O41" s="8">
        <v>33.200000000000003</v>
      </c>
      <c r="P41" s="9">
        <v>34</v>
      </c>
      <c r="Q41" s="9">
        <v>33.4</v>
      </c>
    </row>
    <row r="42" spans="2:17" ht="20.100000000000001" customHeight="1">
      <c r="B42" s="103"/>
      <c r="C42" s="10" t="s">
        <v>79</v>
      </c>
      <c r="D42" s="7" t="s">
        <v>42</v>
      </c>
      <c r="E42" s="7">
        <v>5.6</v>
      </c>
      <c r="F42" s="15"/>
      <c r="G42" s="15">
        <f t="shared" ref="G42:Q42" si="4">G41-G40</f>
        <v>6.1999999999999993</v>
      </c>
      <c r="H42" s="15">
        <f t="shared" si="4"/>
        <v>0</v>
      </c>
      <c r="I42" s="15">
        <f t="shared" si="4"/>
        <v>5.5</v>
      </c>
      <c r="J42" s="15">
        <f t="shared" si="4"/>
        <v>5.3000000000000007</v>
      </c>
      <c r="K42" s="15">
        <f t="shared" si="4"/>
        <v>5.7999999999999972</v>
      </c>
      <c r="L42" s="15">
        <f t="shared" si="4"/>
        <v>0</v>
      </c>
      <c r="M42" s="15">
        <f t="shared" si="4"/>
        <v>5.8000000000000043</v>
      </c>
      <c r="N42" s="15">
        <f>N41-N40</f>
        <v>0</v>
      </c>
      <c r="O42" s="15">
        <f>O41-O40</f>
        <v>5.7000000000000028</v>
      </c>
      <c r="P42" s="15">
        <f t="shared" si="4"/>
        <v>5.3000000000000007</v>
      </c>
      <c r="Q42" s="15">
        <f t="shared" si="4"/>
        <v>5.5</v>
      </c>
    </row>
    <row r="43" spans="2:17" ht="20.100000000000001" customHeight="1">
      <c r="B43" s="103"/>
      <c r="C43" s="10" t="s">
        <v>80</v>
      </c>
      <c r="D43" s="7" t="s">
        <v>61</v>
      </c>
      <c r="E43" s="7">
        <v>1273.0999999999999</v>
      </c>
      <c r="F43" s="8"/>
      <c r="G43" s="8">
        <v>1160</v>
      </c>
      <c r="H43" s="9"/>
      <c r="I43" s="9">
        <v>1156.9000000000001</v>
      </c>
      <c r="J43" s="8">
        <v>1295.98</v>
      </c>
      <c r="K43" s="8">
        <v>1184.0999999999999</v>
      </c>
      <c r="L43" s="9"/>
      <c r="M43" s="8">
        <v>1153.7</v>
      </c>
      <c r="N43" s="8"/>
      <c r="O43" s="8">
        <v>1135.9000000000001</v>
      </c>
      <c r="P43" s="9">
        <v>1291.3599999999999</v>
      </c>
      <c r="Q43" s="9">
        <v>1179.3</v>
      </c>
    </row>
    <row r="44" spans="2:17" ht="20.100000000000001" customHeight="1">
      <c r="B44" s="103"/>
      <c r="C44" s="10" t="s">
        <v>81</v>
      </c>
      <c r="D44" s="7" t="s">
        <v>67</v>
      </c>
      <c r="E44" s="7">
        <v>8226.9</v>
      </c>
      <c r="F44" s="16"/>
      <c r="G44" s="16">
        <f t="shared" ref="G44:Q44" si="5">G42*G43/0.866</f>
        <v>8304.8498845265585</v>
      </c>
      <c r="H44" s="16">
        <f t="shared" si="5"/>
        <v>0</v>
      </c>
      <c r="I44" s="16">
        <f t="shared" si="5"/>
        <v>7347.5173210161674</v>
      </c>
      <c r="J44" s="16">
        <f t="shared" si="5"/>
        <v>7931.5173210161674</v>
      </c>
      <c r="K44" s="16">
        <f t="shared" si="5"/>
        <v>7930.46189376443</v>
      </c>
      <c r="L44" s="16">
        <f t="shared" si="5"/>
        <v>0</v>
      </c>
      <c r="M44" s="16">
        <f t="shared" si="5"/>
        <v>7726.8591224018537</v>
      </c>
      <c r="N44" s="16">
        <f>N42*N43/0.866</f>
        <v>0</v>
      </c>
      <c r="O44" s="16">
        <f>O42*O43/0.866</f>
        <v>7476.4780600461936</v>
      </c>
      <c r="P44" s="16">
        <f t="shared" si="5"/>
        <v>7903.2424942263287</v>
      </c>
      <c r="Q44" s="16">
        <f t="shared" si="5"/>
        <v>7489.7806004618933</v>
      </c>
    </row>
    <row r="45" spans="2:17" ht="20.100000000000001" customHeight="1">
      <c r="B45" s="103" t="s">
        <v>82</v>
      </c>
      <c r="C45" s="10" t="s">
        <v>83</v>
      </c>
      <c r="D45" s="7" t="s">
        <v>49</v>
      </c>
      <c r="E45" s="7" t="s">
        <v>84</v>
      </c>
      <c r="F45" s="8"/>
      <c r="G45" s="8">
        <v>0.47</v>
      </c>
      <c r="H45" s="9"/>
      <c r="I45" s="9">
        <v>0.46</v>
      </c>
      <c r="J45" s="8">
        <v>0.46</v>
      </c>
      <c r="K45" s="8">
        <v>0.46</v>
      </c>
      <c r="L45" s="9"/>
      <c r="M45" s="9">
        <v>0.46</v>
      </c>
      <c r="N45" s="8"/>
      <c r="O45" s="8">
        <v>0.45</v>
      </c>
      <c r="P45" s="9">
        <v>0.47</v>
      </c>
      <c r="Q45" s="9">
        <v>0.46</v>
      </c>
    </row>
    <row r="46" spans="2:17" ht="20.100000000000001" customHeight="1">
      <c r="B46" s="103"/>
      <c r="C46" s="10" t="s">
        <v>85</v>
      </c>
      <c r="D46" s="7" t="s">
        <v>42</v>
      </c>
      <c r="E46" s="7" t="s">
        <v>43</v>
      </c>
      <c r="F46" s="8"/>
      <c r="G46" s="8">
        <v>20</v>
      </c>
      <c r="H46" s="9"/>
      <c r="I46" s="9">
        <v>18.7</v>
      </c>
      <c r="J46" s="8">
        <v>19.5</v>
      </c>
      <c r="K46" s="8">
        <v>19.2</v>
      </c>
      <c r="L46" s="9"/>
      <c r="M46" s="9">
        <v>19.399999999999999</v>
      </c>
      <c r="N46" s="8"/>
      <c r="O46" s="8">
        <v>19.3</v>
      </c>
      <c r="P46" s="9">
        <v>20.2</v>
      </c>
      <c r="Q46" s="9">
        <v>19.5</v>
      </c>
    </row>
    <row r="47" spans="2:17" ht="20.100000000000001" customHeight="1">
      <c r="B47" s="103"/>
      <c r="C47" s="10" t="s">
        <v>86</v>
      </c>
      <c r="D47" s="7" t="s">
        <v>76</v>
      </c>
      <c r="E47" s="7" t="s">
        <v>76</v>
      </c>
      <c r="F47" s="8"/>
      <c r="G47" s="8">
        <v>200</v>
      </c>
      <c r="H47" s="9"/>
      <c r="I47" s="9">
        <v>129.80000000000001</v>
      </c>
      <c r="J47" s="8">
        <v>205.1</v>
      </c>
      <c r="K47" s="8">
        <v>208.2</v>
      </c>
      <c r="L47" s="9"/>
      <c r="M47" s="9">
        <v>200.1</v>
      </c>
      <c r="N47" s="8"/>
      <c r="O47" s="8">
        <v>157.1</v>
      </c>
      <c r="P47" s="9">
        <v>201.2</v>
      </c>
      <c r="Q47" s="9">
        <v>203.5</v>
      </c>
    </row>
    <row r="48" spans="2:17" ht="20.100000000000001" customHeight="1">
      <c r="B48" s="97" t="s">
        <v>87</v>
      </c>
      <c r="C48" s="97"/>
      <c r="D48" s="97"/>
      <c r="E48" s="17" t="s">
        <v>88</v>
      </c>
      <c r="F48" s="8"/>
      <c r="G48" s="8"/>
      <c r="H48" s="9"/>
      <c r="I48" s="9"/>
      <c r="J48" s="8"/>
      <c r="K48" s="8"/>
      <c r="L48" s="9"/>
      <c r="M48" s="9"/>
      <c r="N48" s="8"/>
      <c r="O48" s="8"/>
      <c r="P48" s="9"/>
      <c r="Q48" s="9"/>
    </row>
    <row r="49" spans="2:17" ht="20.100000000000001" customHeight="1">
      <c r="B49" s="97" t="s">
        <v>89</v>
      </c>
      <c r="C49" s="97"/>
      <c r="D49" s="97"/>
      <c r="E49" s="43">
        <v>5.89</v>
      </c>
      <c r="F49" s="8"/>
      <c r="G49" s="8">
        <v>5.66</v>
      </c>
      <c r="H49" s="9"/>
      <c r="I49" s="9">
        <v>5.37</v>
      </c>
      <c r="J49" s="8">
        <v>5.63</v>
      </c>
      <c r="K49" s="8">
        <v>5.65</v>
      </c>
      <c r="L49" s="9"/>
      <c r="M49" s="9">
        <v>5.8</v>
      </c>
      <c r="N49" s="8"/>
      <c r="O49" s="8">
        <v>5.74</v>
      </c>
      <c r="P49" s="9">
        <v>5.27</v>
      </c>
      <c r="Q49" s="9">
        <v>5.42</v>
      </c>
    </row>
    <row r="50" spans="2:17" ht="20.100000000000001" customHeight="1">
      <c r="B50" s="97" t="s">
        <v>90</v>
      </c>
      <c r="C50" s="97"/>
      <c r="D50" s="97"/>
      <c r="E50" s="43"/>
      <c r="F50" s="8"/>
      <c r="G50" s="8"/>
      <c r="H50" s="9"/>
      <c r="I50" s="9"/>
      <c r="J50" s="8"/>
      <c r="K50" s="8"/>
      <c r="L50" s="9"/>
      <c r="M50" s="9"/>
      <c r="N50" s="8"/>
      <c r="O50" s="8"/>
      <c r="P50" s="9"/>
      <c r="Q50" s="9"/>
    </row>
    <row r="51" spans="2:17" ht="20.100000000000001" customHeight="1" thickBot="1">
      <c r="B51" s="97" t="s">
        <v>91</v>
      </c>
      <c r="C51" s="97"/>
      <c r="D51" s="97"/>
      <c r="E51" s="42"/>
      <c r="F51" s="8"/>
      <c r="G51" s="8"/>
      <c r="H51" s="9"/>
      <c r="I51" s="9"/>
      <c r="J51" s="8"/>
      <c r="K51" s="8"/>
      <c r="L51" s="9"/>
      <c r="M51" s="9"/>
      <c r="N51" s="8"/>
      <c r="O51" s="8"/>
      <c r="P51" s="9"/>
      <c r="Q51" s="9"/>
    </row>
    <row r="52" spans="2:17">
      <c r="B52" t="s">
        <v>92</v>
      </c>
      <c r="C52" s="18" t="s">
        <v>93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28"/>
    </row>
    <row r="53" spans="2:17">
      <c r="C53" s="20" t="s">
        <v>94</v>
      </c>
      <c r="Q53" s="31"/>
    </row>
    <row r="54" spans="2:17">
      <c r="C54" s="20" t="s">
        <v>95</v>
      </c>
      <c r="Q54" s="31"/>
    </row>
    <row r="55" spans="2:17">
      <c r="C55" s="20"/>
      <c r="Q55" s="31"/>
    </row>
    <row r="56" spans="2:17">
      <c r="C56" s="20"/>
      <c r="Q56" s="31"/>
    </row>
    <row r="57" spans="2:17">
      <c r="C57" s="20" t="s">
        <v>96</v>
      </c>
      <c r="F57" s="21" t="b">
        <v>0</v>
      </c>
      <c r="G57" s="22" t="s">
        <v>97</v>
      </c>
      <c r="Q57" s="31"/>
    </row>
    <row r="58" spans="2:17">
      <c r="C58" s="20" t="s">
        <v>96</v>
      </c>
      <c r="F58" s="8" t="s">
        <v>98</v>
      </c>
      <c r="G58" s="23" t="s">
        <v>99</v>
      </c>
      <c r="Q58" s="31"/>
    </row>
    <row r="59" spans="2:17" ht="15.75" thickBot="1"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30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B0BE1-3687-41D6-AD83-0C7576246C92}">
  <dimension ref="B1:Q59"/>
  <sheetViews>
    <sheetView view="pageBreakPreview" zoomScale="85" zoomScaleNormal="60" workbookViewId="0">
      <selection activeCell="H10" sqref="H10:H49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107"/>
      <c r="C2" s="110" t="s">
        <v>0</v>
      </c>
      <c r="D2" s="111"/>
      <c r="E2" s="111"/>
      <c r="F2" s="111"/>
      <c r="G2" s="111"/>
      <c r="H2" s="111"/>
      <c r="I2" s="111"/>
      <c r="J2" s="111"/>
      <c r="K2" s="111"/>
      <c r="L2" s="111"/>
      <c r="M2" s="112"/>
      <c r="N2" s="18" t="s">
        <v>1</v>
      </c>
      <c r="O2" s="19"/>
      <c r="P2" s="19"/>
      <c r="Q2" s="28"/>
    </row>
    <row r="3" spans="2:17" ht="15.75" thickBot="1">
      <c r="B3" s="108"/>
      <c r="C3" s="113"/>
      <c r="D3" s="114"/>
      <c r="E3" s="114"/>
      <c r="F3" s="114"/>
      <c r="G3" s="114"/>
      <c r="H3" s="114"/>
      <c r="I3" s="114"/>
      <c r="J3" s="114"/>
      <c r="K3" s="114"/>
      <c r="L3" s="114"/>
      <c r="M3" s="115"/>
      <c r="N3" s="26" t="s">
        <v>2</v>
      </c>
      <c r="O3" s="27" t="s">
        <v>3</v>
      </c>
      <c r="P3" s="27"/>
      <c r="Q3" s="29"/>
    </row>
    <row r="4" spans="2:17" ht="15.75" thickBot="1">
      <c r="B4" s="108"/>
      <c r="C4" s="113"/>
      <c r="D4" s="114"/>
      <c r="E4" s="114"/>
      <c r="F4" s="114"/>
      <c r="G4" s="114"/>
      <c r="H4" s="114"/>
      <c r="I4" s="114"/>
      <c r="J4" s="114"/>
      <c r="K4" s="114"/>
      <c r="L4" s="114"/>
      <c r="M4" s="115"/>
      <c r="N4" s="26" t="s">
        <v>4</v>
      </c>
      <c r="O4" s="27"/>
      <c r="P4" s="27"/>
      <c r="Q4" s="29"/>
    </row>
    <row r="5" spans="2:17" ht="15.75" thickBot="1">
      <c r="B5" s="109"/>
      <c r="C5" s="116"/>
      <c r="D5" s="117"/>
      <c r="E5" s="117"/>
      <c r="F5" s="117"/>
      <c r="G5" s="117"/>
      <c r="H5" s="117"/>
      <c r="I5" s="117"/>
      <c r="J5" s="117"/>
      <c r="K5" s="117"/>
      <c r="L5" s="117"/>
      <c r="M5" s="118"/>
      <c r="N5" s="24" t="s">
        <v>5</v>
      </c>
      <c r="O5" s="25"/>
      <c r="P5" s="25"/>
      <c r="Q5" s="30"/>
    </row>
    <row r="7" spans="2:17">
      <c r="B7" s="98" t="s">
        <v>6</v>
      </c>
      <c r="C7" s="99"/>
      <c r="D7" s="100">
        <v>45722</v>
      </c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2"/>
    </row>
    <row r="8" spans="2:17">
      <c r="B8" s="97" t="s">
        <v>7</v>
      </c>
      <c r="C8" s="97"/>
      <c r="D8" s="97"/>
      <c r="E8" s="105" t="s">
        <v>8</v>
      </c>
      <c r="F8" s="103" t="s">
        <v>9</v>
      </c>
      <c r="G8" s="103"/>
      <c r="H8" s="104" t="s">
        <v>10</v>
      </c>
      <c r="I8" s="104"/>
      <c r="J8" s="103" t="s">
        <v>11</v>
      </c>
      <c r="K8" s="103"/>
      <c r="L8" s="104" t="s">
        <v>12</v>
      </c>
      <c r="M8" s="104"/>
      <c r="N8" s="103" t="s">
        <v>13</v>
      </c>
      <c r="O8" s="103"/>
      <c r="P8" s="104" t="s">
        <v>14</v>
      </c>
      <c r="Q8" s="104"/>
    </row>
    <row r="9" spans="2:17">
      <c r="B9" s="98" t="s">
        <v>15</v>
      </c>
      <c r="C9" s="119"/>
      <c r="D9" s="99"/>
      <c r="E9" s="106"/>
      <c r="F9" s="3">
        <v>0.375</v>
      </c>
      <c r="G9" s="32" t="s">
        <v>16</v>
      </c>
      <c r="H9" s="4">
        <v>0.375</v>
      </c>
      <c r="I9" s="33" t="s">
        <v>16</v>
      </c>
      <c r="J9" s="3">
        <v>0.375</v>
      </c>
      <c r="K9" s="32" t="s">
        <v>16</v>
      </c>
      <c r="L9" s="4">
        <v>0.375</v>
      </c>
      <c r="M9" s="33" t="s">
        <v>16</v>
      </c>
      <c r="N9" s="3">
        <v>0.375</v>
      </c>
      <c r="O9" s="32" t="s">
        <v>16</v>
      </c>
      <c r="P9" s="4">
        <v>0.375</v>
      </c>
      <c r="Q9" s="33" t="s">
        <v>16</v>
      </c>
    </row>
    <row r="10" spans="2:17" ht="26.25" customHeight="1">
      <c r="B10" s="120" t="s">
        <v>17</v>
      </c>
      <c r="C10" s="121"/>
      <c r="D10" s="45" t="s">
        <v>18</v>
      </c>
      <c r="E10" s="5"/>
      <c r="F10" s="6"/>
      <c r="G10" s="34" t="s">
        <v>19</v>
      </c>
      <c r="H10" s="35" t="s">
        <v>19</v>
      </c>
      <c r="I10" s="35" t="s">
        <v>19</v>
      </c>
      <c r="J10" s="34" t="s">
        <v>19</v>
      </c>
      <c r="K10" s="34" t="s">
        <v>19</v>
      </c>
      <c r="L10" s="35" t="s">
        <v>19</v>
      </c>
      <c r="M10" s="35" t="s">
        <v>19</v>
      </c>
      <c r="N10" s="6"/>
      <c r="O10" s="34" t="s">
        <v>19</v>
      </c>
      <c r="P10" s="35" t="s">
        <v>19</v>
      </c>
      <c r="Q10" s="35" t="s">
        <v>19</v>
      </c>
    </row>
    <row r="11" spans="2:17" ht="20.100000000000001" customHeight="1">
      <c r="B11" s="97" t="s">
        <v>20</v>
      </c>
      <c r="C11" s="97"/>
      <c r="D11" s="7" t="s">
        <v>21</v>
      </c>
      <c r="E11" s="7" t="s">
        <v>22</v>
      </c>
      <c r="F11" s="8"/>
      <c r="G11" s="8">
        <v>65.5</v>
      </c>
      <c r="H11" s="9">
        <v>77</v>
      </c>
      <c r="I11" s="9">
        <v>79</v>
      </c>
      <c r="J11" s="8"/>
      <c r="K11" s="8">
        <v>73.8</v>
      </c>
      <c r="L11" s="9">
        <v>71.8</v>
      </c>
      <c r="M11" s="9">
        <v>71.400000000000006</v>
      </c>
      <c r="N11" s="8"/>
      <c r="O11" s="8">
        <v>76.099999999999994</v>
      </c>
      <c r="P11" s="9"/>
      <c r="Q11" s="9">
        <v>72.8</v>
      </c>
    </row>
    <row r="12" spans="2:17" ht="20.100000000000001" customHeight="1">
      <c r="B12" s="97" t="s">
        <v>23</v>
      </c>
      <c r="C12" s="97"/>
      <c r="D12" s="7" t="s">
        <v>21</v>
      </c>
      <c r="E12" s="7" t="s">
        <v>22</v>
      </c>
      <c r="F12" s="8"/>
      <c r="G12" s="8">
        <v>0.1</v>
      </c>
      <c r="H12" s="9">
        <v>0</v>
      </c>
      <c r="I12" s="9">
        <v>0</v>
      </c>
      <c r="J12" s="8"/>
      <c r="K12" s="8">
        <v>0</v>
      </c>
      <c r="L12" s="9">
        <v>0.1</v>
      </c>
      <c r="M12" s="9">
        <v>0.1</v>
      </c>
      <c r="N12" s="8"/>
      <c r="O12" s="8">
        <v>0</v>
      </c>
      <c r="P12" s="9"/>
      <c r="Q12" s="9">
        <v>0</v>
      </c>
    </row>
    <row r="13" spans="2:17" ht="20.100000000000001" customHeight="1">
      <c r="B13" s="97" t="s">
        <v>24</v>
      </c>
      <c r="C13" s="97"/>
      <c r="D13" s="7" t="s">
        <v>21</v>
      </c>
      <c r="E13" s="7" t="s">
        <v>22</v>
      </c>
      <c r="F13" s="8"/>
      <c r="G13" s="8">
        <v>60.9</v>
      </c>
      <c r="H13" s="9">
        <v>74.400000000000006</v>
      </c>
      <c r="I13" s="9">
        <v>74.599999999999994</v>
      </c>
      <c r="J13" s="8"/>
      <c r="K13" s="8">
        <v>70.7</v>
      </c>
      <c r="L13" s="9">
        <v>68.8</v>
      </c>
      <c r="M13" s="9">
        <v>68.7</v>
      </c>
      <c r="N13" s="8"/>
      <c r="O13" s="8">
        <v>70.5</v>
      </c>
      <c r="P13" s="9"/>
      <c r="Q13" s="9">
        <v>66.599999999999994</v>
      </c>
    </row>
    <row r="14" spans="2:17" ht="20.100000000000001" customHeight="1">
      <c r="B14" s="97" t="s">
        <v>25</v>
      </c>
      <c r="C14" s="97"/>
      <c r="D14" s="7" t="s">
        <v>21</v>
      </c>
      <c r="E14" s="7" t="s">
        <v>22</v>
      </c>
      <c r="F14" s="8"/>
      <c r="G14" s="8">
        <v>68.599999999999994</v>
      </c>
      <c r="H14" s="9">
        <v>71.2</v>
      </c>
      <c r="I14" s="9">
        <v>70.099999999999994</v>
      </c>
      <c r="J14" s="8"/>
      <c r="K14" s="8">
        <v>63.7</v>
      </c>
      <c r="L14" s="9">
        <v>66.400000000000006</v>
      </c>
      <c r="M14" s="9">
        <v>65.400000000000006</v>
      </c>
      <c r="N14" s="8"/>
      <c r="O14" s="8">
        <v>74.099999999999994</v>
      </c>
      <c r="P14" s="9"/>
      <c r="Q14" s="9">
        <v>73.3</v>
      </c>
    </row>
    <row r="15" spans="2:17" ht="20.100000000000001" customHeight="1">
      <c r="B15" s="97" t="s">
        <v>26</v>
      </c>
      <c r="C15" s="97"/>
      <c r="D15" s="7" t="s">
        <v>21</v>
      </c>
      <c r="E15" s="7" t="s">
        <v>22</v>
      </c>
      <c r="F15" s="8"/>
      <c r="G15" s="8">
        <v>35.9</v>
      </c>
      <c r="H15" s="9">
        <v>56.8</v>
      </c>
      <c r="I15" s="9">
        <v>53.8</v>
      </c>
      <c r="J15" s="8"/>
      <c r="K15" s="8">
        <v>38.200000000000003</v>
      </c>
      <c r="L15" s="9">
        <v>32.1</v>
      </c>
      <c r="M15" s="9">
        <v>33.700000000000003</v>
      </c>
      <c r="N15" s="8"/>
      <c r="O15" s="8">
        <v>51.4</v>
      </c>
      <c r="P15" s="9"/>
      <c r="Q15" s="9">
        <v>43.9</v>
      </c>
    </row>
    <row r="16" spans="2:17" ht="20.100000000000001" customHeight="1">
      <c r="B16" s="103" t="s">
        <v>27</v>
      </c>
      <c r="C16" s="10" t="s">
        <v>28</v>
      </c>
      <c r="D16" s="7" t="s">
        <v>29</v>
      </c>
      <c r="E16" s="7" t="s">
        <v>30</v>
      </c>
      <c r="F16" s="8"/>
      <c r="G16" s="8">
        <v>6.6</v>
      </c>
      <c r="H16" s="9">
        <v>6.6</v>
      </c>
      <c r="I16" s="9">
        <v>6.6</v>
      </c>
      <c r="J16" s="8"/>
      <c r="K16" s="8">
        <v>6.6</v>
      </c>
      <c r="L16" s="9">
        <v>6.6</v>
      </c>
      <c r="M16" s="9">
        <v>6.6</v>
      </c>
      <c r="N16" s="8"/>
      <c r="O16" s="8">
        <v>6.6</v>
      </c>
      <c r="P16" s="9"/>
      <c r="Q16" s="9">
        <v>6.6</v>
      </c>
    </row>
    <row r="17" spans="2:17" ht="20.100000000000001" customHeight="1">
      <c r="B17" s="103"/>
      <c r="C17" s="10" t="s">
        <v>31</v>
      </c>
      <c r="D17" s="7" t="s">
        <v>32</v>
      </c>
      <c r="E17" s="7" t="s">
        <v>33</v>
      </c>
      <c r="F17" s="8"/>
      <c r="G17" s="8">
        <v>116.1</v>
      </c>
      <c r="H17" s="9">
        <v>115.8</v>
      </c>
      <c r="I17" s="9">
        <v>118.8</v>
      </c>
      <c r="J17" s="8"/>
      <c r="K17" s="8">
        <v>118.1</v>
      </c>
      <c r="L17" s="9">
        <v>113.4</v>
      </c>
      <c r="M17" s="9">
        <v>115.5</v>
      </c>
      <c r="N17" s="8"/>
      <c r="O17" s="8">
        <v>120.3</v>
      </c>
      <c r="P17" s="9"/>
      <c r="Q17" s="9">
        <v>118.3</v>
      </c>
    </row>
    <row r="18" spans="2:17" ht="20.100000000000001" customHeight="1">
      <c r="B18" s="103"/>
      <c r="C18" s="10" t="s">
        <v>34</v>
      </c>
      <c r="D18" s="7" t="s">
        <v>35</v>
      </c>
      <c r="E18" s="7" t="s">
        <v>36</v>
      </c>
      <c r="F18" s="8"/>
      <c r="G18" s="8">
        <v>1131</v>
      </c>
      <c r="H18" s="9">
        <v>1169</v>
      </c>
      <c r="I18" s="9">
        <v>1198</v>
      </c>
      <c r="J18" s="8"/>
      <c r="K18" s="8">
        <v>1193</v>
      </c>
      <c r="L18" s="9">
        <v>1150</v>
      </c>
      <c r="M18" s="9">
        <v>1170</v>
      </c>
      <c r="N18" s="8"/>
      <c r="O18" s="8">
        <v>1214</v>
      </c>
      <c r="P18" s="9"/>
      <c r="Q18" s="9">
        <v>1193</v>
      </c>
    </row>
    <row r="19" spans="2:17" ht="20.100000000000001" customHeight="1">
      <c r="B19" s="103" t="s">
        <v>37</v>
      </c>
      <c r="C19" s="10" t="s">
        <v>38</v>
      </c>
      <c r="D19" s="7" t="s">
        <v>39</v>
      </c>
      <c r="E19" s="11" t="s">
        <v>40</v>
      </c>
      <c r="F19" s="8"/>
      <c r="G19" s="8">
        <v>49426</v>
      </c>
      <c r="H19" s="9">
        <v>50651.8</v>
      </c>
      <c r="I19" s="9">
        <v>50643.5</v>
      </c>
      <c r="J19" s="8"/>
      <c r="K19" s="8">
        <v>48289.8</v>
      </c>
      <c r="L19" s="9">
        <v>50676.6</v>
      </c>
      <c r="M19" s="9">
        <v>50668.3</v>
      </c>
      <c r="N19" s="8"/>
      <c r="O19" s="8">
        <v>49857.1</v>
      </c>
      <c r="P19" s="9"/>
      <c r="Q19" s="9">
        <v>50019.199999999997</v>
      </c>
    </row>
    <row r="20" spans="2:17" ht="20.100000000000001" customHeight="1">
      <c r="B20" s="103"/>
      <c r="C20" s="10" t="s">
        <v>41</v>
      </c>
      <c r="D20" s="7" t="s">
        <v>42</v>
      </c>
      <c r="E20" s="7" t="s">
        <v>43</v>
      </c>
      <c r="F20" s="8"/>
      <c r="G20" s="8"/>
      <c r="H20" s="9"/>
      <c r="I20" s="9"/>
      <c r="J20" s="8"/>
      <c r="K20" s="8"/>
      <c r="L20" s="9"/>
      <c r="M20" s="9"/>
      <c r="N20" s="8"/>
      <c r="O20" s="8"/>
      <c r="P20" s="9"/>
      <c r="Q20" s="9"/>
    </row>
    <row r="21" spans="2:17" ht="20.100000000000001" customHeight="1">
      <c r="B21" s="103"/>
      <c r="C21" s="10" t="s">
        <v>44</v>
      </c>
      <c r="D21" s="7" t="s">
        <v>42</v>
      </c>
      <c r="E21" s="7" t="s">
        <v>45</v>
      </c>
      <c r="F21" s="8"/>
      <c r="G21" s="8"/>
      <c r="H21" s="9"/>
      <c r="I21" s="9"/>
      <c r="J21" s="8"/>
      <c r="K21" s="8"/>
      <c r="L21" s="9"/>
      <c r="M21" s="9"/>
      <c r="N21" s="8"/>
      <c r="O21" s="8"/>
      <c r="P21" s="9"/>
      <c r="Q21" s="9"/>
    </row>
    <row r="22" spans="2:17" ht="20.100000000000001" customHeight="1">
      <c r="B22" s="103"/>
      <c r="C22" s="10" t="s">
        <v>46</v>
      </c>
      <c r="D22" s="7" t="s">
        <v>42</v>
      </c>
      <c r="E22" s="7" t="s">
        <v>47</v>
      </c>
      <c r="F22" s="8"/>
      <c r="G22" s="8">
        <v>58.1</v>
      </c>
      <c r="H22" s="9">
        <v>59.1</v>
      </c>
      <c r="I22" s="9">
        <v>59.3</v>
      </c>
      <c r="J22" s="8"/>
      <c r="K22" s="8">
        <v>58</v>
      </c>
      <c r="L22" s="9">
        <v>57.3</v>
      </c>
      <c r="M22" s="9">
        <v>57.2</v>
      </c>
      <c r="N22" s="8"/>
      <c r="O22" s="8">
        <v>58.9</v>
      </c>
      <c r="P22" s="9"/>
      <c r="Q22" s="9">
        <v>59.1</v>
      </c>
    </row>
    <row r="23" spans="2:17" ht="60">
      <c r="B23" s="103"/>
      <c r="C23" s="12" t="s">
        <v>48</v>
      </c>
      <c r="D23" s="8" t="s">
        <v>49</v>
      </c>
      <c r="E23" s="13" t="s">
        <v>50</v>
      </c>
      <c r="F23" s="8"/>
      <c r="G23" s="8">
        <v>0.53</v>
      </c>
      <c r="H23" s="9">
        <v>0.49</v>
      </c>
      <c r="I23" s="9">
        <v>0.49</v>
      </c>
      <c r="J23" s="8"/>
      <c r="K23" s="8">
        <v>0.59</v>
      </c>
      <c r="L23" s="9">
        <v>0.52</v>
      </c>
      <c r="M23" s="9">
        <v>0.52</v>
      </c>
      <c r="N23" s="8"/>
      <c r="O23" s="8">
        <v>0.48</v>
      </c>
      <c r="P23" s="9"/>
      <c r="Q23" s="9">
        <v>0.5</v>
      </c>
    </row>
    <row r="24" spans="2:17" ht="39.75" customHeight="1">
      <c r="B24" s="103"/>
      <c r="C24" s="12" t="s">
        <v>51</v>
      </c>
      <c r="D24" s="7"/>
      <c r="E24" s="7"/>
      <c r="F24" s="8"/>
      <c r="G24" s="8"/>
      <c r="H24" s="9"/>
      <c r="I24" s="9" t="s">
        <v>100</v>
      </c>
      <c r="J24" s="8"/>
      <c r="K24" s="8"/>
      <c r="L24" s="8"/>
      <c r="M24" s="9"/>
      <c r="N24" s="8"/>
      <c r="O24" s="8"/>
      <c r="P24" s="9"/>
      <c r="Q24" s="9"/>
    </row>
    <row r="25" spans="2:17" ht="20.100000000000001" customHeight="1">
      <c r="B25" s="103"/>
      <c r="C25" s="10" t="s">
        <v>52</v>
      </c>
      <c r="D25" s="7" t="s">
        <v>42</v>
      </c>
      <c r="E25" s="7" t="s">
        <v>53</v>
      </c>
      <c r="F25" s="8"/>
      <c r="G25" s="8">
        <v>45.1</v>
      </c>
      <c r="H25" s="9">
        <v>44.8</v>
      </c>
      <c r="I25" s="9">
        <v>44.8</v>
      </c>
      <c r="J25" s="8"/>
      <c r="K25" s="8">
        <v>45.1</v>
      </c>
      <c r="L25" s="9">
        <v>45</v>
      </c>
      <c r="M25" s="9">
        <v>45.1</v>
      </c>
      <c r="N25" s="8"/>
      <c r="O25" s="8">
        <v>44.9</v>
      </c>
      <c r="P25" s="9"/>
      <c r="Q25" s="9">
        <v>45.1</v>
      </c>
    </row>
    <row r="26" spans="2:17" ht="20.100000000000001" customHeight="1">
      <c r="B26" s="103" t="s">
        <v>54</v>
      </c>
      <c r="C26" s="10" t="s">
        <v>55</v>
      </c>
      <c r="D26" s="7" t="s">
        <v>49</v>
      </c>
      <c r="E26" s="14" t="s">
        <v>56</v>
      </c>
      <c r="F26" s="8"/>
      <c r="G26" s="8">
        <v>0.23</v>
      </c>
      <c r="H26" s="9">
        <v>0.22</v>
      </c>
      <c r="I26" s="9">
        <v>0.22</v>
      </c>
      <c r="J26" s="8"/>
      <c r="K26" s="8">
        <v>0.22</v>
      </c>
      <c r="L26" s="9">
        <v>0.22</v>
      </c>
      <c r="M26" s="9">
        <v>0.22</v>
      </c>
      <c r="N26" s="8"/>
      <c r="O26" s="8">
        <v>0.23</v>
      </c>
      <c r="P26" s="9"/>
      <c r="Q26" s="9">
        <v>0.23</v>
      </c>
    </row>
    <row r="27" spans="2:17" ht="20.100000000000001" customHeight="1">
      <c r="B27" s="103"/>
      <c r="C27" s="10" t="s">
        <v>57</v>
      </c>
      <c r="D27" s="7" t="s">
        <v>42</v>
      </c>
      <c r="E27" s="7" t="s">
        <v>43</v>
      </c>
      <c r="F27" s="8"/>
      <c r="G27" s="8">
        <v>4.5</v>
      </c>
      <c r="H27" s="9">
        <v>3.3</v>
      </c>
      <c r="I27" s="9">
        <v>3.5</v>
      </c>
      <c r="J27" s="8"/>
      <c r="K27" s="8">
        <v>4.0999999999999996</v>
      </c>
      <c r="L27" s="9">
        <v>3.6</v>
      </c>
      <c r="M27" s="9">
        <v>3.7</v>
      </c>
      <c r="N27" s="8"/>
      <c r="O27" s="8">
        <v>4.5999999999999996</v>
      </c>
      <c r="P27" s="9"/>
      <c r="Q27" s="9">
        <v>4.7</v>
      </c>
    </row>
    <row r="28" spans="2:17" ht="20.100000000000001" customHeight="1">
      <c r="B28" s="103"/>
      <c r="C28" s="10" t="s">
        <v>58</v>
      </c>
      <c r="D28" s="7" t="s">
        <v>42</v>
      </c>
      <c r="E28" s="7" t="s">
        <v>43</v>
      </c>
      <c r="F28" s="8"/>
      <c r="G28" s="8">
        <v>4.0999999999999996</v>
      </c>
      <c r="H28" s="9">
        <v>2.5</v>
      </c>
      <c r="I28" s="9">
        <v>2.7</v>
      </c>
      <c r="J28" s="8"/>
      <c r="K28" s="8">
        <v>3.3</v>
      </c>
      <c r="L28" s="9">
        <v>2.8</v>
      </c>
      <c r="M28" s="9">
        <v>2.7</v>
      </c>
      <c r="N28" s="8"/>
      <c r="O28" s="8">
        <v>3.7</v>
      </c>
      <c r="P28" s="9"/>
      <c r="Q28" s="9">
        <v>3.8</v>
      </c>
    </row>
    <row r="29" spans="2:17" ht="20.100000000000001" customHeight="1">
      <c r="B29" s="103"/>
      <c r="C29" s="10" t="s">
        <v>59</v>
      </c>
      <c r="D29" s="7" t="s">
        <v>42</v>
      </c>
      <c r="E29" s="7" t="s">
        <v>43</v>
      </c>
      <c r="F29" s="15"/>
      <c r="G29" s="15">
        <f t="shared" ref="G29:Q29" si="0">G32-G28</f>
        <v>0.90000000000000036</v>
      </c>
      <c r="H29" s="15">
        <f t="shared" si="0"/>
        <v>2.0999999999999996</v>
      </c>
      <c r="I29" s="15">
        <f t="shared" si="0"/>
        <v>2.3999999999999995</v>
      </c>
      <c r="J29" s="15">
        <f t="shared" si="0"/>
        <v>0</v>
      </c>
      <c r="K29" s="15">
        <f t="shared" si="0"/>
        <v>0.70000000000000018</v>
      </c>
      <c r="L29" s="15">
        <f t="shared" si="0"/>
        <v>1.5</v>
      </c>
      <c r="M29" s="15">
        <f t="shared" si="0"/>
        <v>1.0999999999999996</v>
      </c>
      <c r="N29" s="15">
        <f>N32-N28</f>
        <v>0</v>
      </c>
      <c r="O29" s="15">
        <f>O32-O28</f>
        <v>1.0999999999999996</v>
      </c>
      <c r="P29" s="15">
        <f t="shared" si="0"/>
        <v>0</v>
      </c>
      <c r="Q29" s="15">
        <f t="shared" si="0"/>
        <v>1</v>
      </c>
    </row>
    <row r="30" spans="2:17" ht="20.100000000000001" customHeight="1">
      <c r="B30" s="103"/>
      <c r="C30" s="10" t="s">
        <v>60</v>
      </c>
      <c r="D30" s="7" t="s">
        <v>61</v>
      </c>
      <c r="E30" s="7" t="s">
        <v>62</v>
      </c>
      <c r="F30" s="8"/>
      <c r="G30" s="8">
        <v>670.8</v>
      </c>
      <c r="H30" s="9">
        <v>677.2</v>
      </c>
      <c r="I30" s="9">
        <v>651.4</v>
      </c>
      <c r="J30" s="8"/>
      <c r="K30" s="8">
        <v>648.9</v>
      </c>
      <c r="L30" s="9">
        <v>709.6</v>
      </c>
      <c r="M30" s="9">
        <v>634.6</v>
      </c>
      <c r="N30" s="8"/>
      <c r="O30" s="8">
        <v>656.2</v>
      </c>
      <c r="P30" s="9"/>
      <c r="Q30" s="9">
        <v>633.20000000000005</v>
      </c>
    </row>
    <row r="31" spans="2:17" ht="20.100000000000001" customHeight="1">
      <c r="B31" s="103"/>
      <c r="C31" s="10" t="s">
        <v>63</v>
      </c>
      <c r="D31" s="7" t="s">
        <v>42</v>
      </c>
      <c r="E31" s="7">
        <v>13.5</v>
      </c>
      <c r="F31" s="8"/>
      <c r="G31" s="8">
        <v>13.9</v>
      </c>
      <c r="H31" s="9">
        <v>12.6</v>
      </c>
      <c r="I31" s="9">
        <v>13.7</v>
      </c>
      <c r="J31" s="8"/>
      <c r="K31" s="8">
        <v>13</v>
      </c>
      <c r="L31" s="9">
        <v>12.8</v>
      </c>
      <c r="M31" s="9">
        <v>12.9</v>
      </c>
      <c r="N31" s="8"/>
      <c r="O31" s="8">
        <v>13.8</v>
      </c>
      <c r="P31" s="9"/>
      <c r="Q31" s="9">
        <v>13.6</v>
      </c>
    </row>
    <row r="32" spans="2:17" ht="20.100000000000001" customHeight="1">
      <c r="B32" s="103"/>
      <c r="C32" s="10" t="s">
        <v>64</v>
      </c>
      <c r="D32" s="7" t="s">
        <v>42</v>
      </c>
      <c r="E32" s="7">
        <v>4</v>
      </c>
      <c r="F32" s="8"/>
      <c r="G32" s="8">
        <v>5</v>
      </c>
      <c r="H32" s="9">
        <v>4.5999999999999996</v>
      </c>
      <c r="I32" s="9">
        <v>5.0999999999999996</v>
      </c>
      <c r="J32" s="8"/>
      <c r="K32" s="8">
        <v>4</v>
      </c>
      <c r="L32" s="9">
        <v>4.3</v>
      </c>
      <c r="M32" s="9">
        <v>3.8</v>
      </c>
      <c r="N32" s="8"/>
      <c r="O32" s="8">
        <v>4.8</v>
      </c>
      <c r="P32" s="9"/>
      <c r="Q32" s="9">
        <v>4.8</v>
      </c>
    </row>
    <row r="33" spans="2:17" ht="20.100000000000001" customHeight="1">
      <c r="B33" s="103"/>
      <c r="C33" s="10" t="s">
        <v>65</v>
      </c>
      <c r="D33" s="7" t="s">
        <v>42</v>
      </c>
      <c r="E33" s="7">
        <v>9.5</v>
      </c>
      <c r="F33" s="15"/>
      <c r="G33" s="15">
        <f t="shared" ref="G33:Q33" si="1">G31-G32</f>
        <v>8.9</v>
      </c>
      <c r="H33" s="15">
        <f t="shared" si="1"/>
        <v>8</v>
      </c>
      <c r="I33" s="15">
        <f t="shared" si="1"/>
        <v>8.6</v>
      </c>
      <c r="J33" s="15">
        <f t="shared" si="1"/>
        <v>0</v>
      </c>
      <c r="K33" s="15">
        <f t="shared" si="1"/>
        <v>9</v>
      </c>
      <c r="L33" s="15">
        <f t="shared" si="1"/>
        <v>8.5</v>
      </c>
      <c r="M33" s="15">
        <f t="shared" si="1"/>
        <v>9.1000000000000014</v>
      </c>
      <c r="N33" s="15">
        <f>N31-N32</f>
        <v>0</v>
      </c>
      <c r="O33" s="15">
        <f>O31-O32</f>
        <v>9</v>
      </c>
      <c r="P33" s="15">
        <f t="shared" si="1"/>
        <v>0</v>
      </c>
      <c r="Q33" s="15">
        <f t="shared" si="1"/>
        <v>8.8000000000000007</v>
      </c>
    </row>
    <row r="34" spans="2:17" ht="20.100000000000001" customHeight="1">
      <c r="B34" s="103"/>
      <c r="C34" s="10" t="s">
        <v>66</v>
      </c>
      <c r="D34" s="7" t="s">
        <v>67</v>
      </c>
      <c r="E34" s="7" t="s">
        <v>68</v>
      </c>
      <c r="F34" s="16"/>
      <c r="G34" s="16">
        <f t="shared" ref="G34:Q34" si="2">(G33*G30)/0.866</f>
        <v>6893.9030023094683</v>
      </c>
      <c r="H34" s="16">
        <f t="shared" si="2"/>
        <v>6255.889145496536</v>
      </c>
      <c r="I34" s="16">
        <f t="shared" si="2"/>
        <v>6468.8683602771362</v>
      </c>
      <c r="J34" s="16">
        <f t="shared" si="2"/>
        <v>0</v>
      </c>
      <c r="K34" s="16">
        <f t="shared" si="2"/>
        <v>6743.7644341801379</v>
      </c>
      <c r="L34" s="16">
        <f t="shared" si="2"/>
        <v>6964.8960739030026</v>
      </c>
      <c r="M34" s="16">
        <f t="shared" si="2"/>
        <v>6668.4295612009255</v>
      </c>
      <c r="N34" s="16">
        <f>(N33*N30)/0.866</f>
        <v>0</v>
      </c>
      <c r="O34" s="16">
        <f>(O33*O30)/0.866</f>
        <v>6819.6304849884527</v>
      </c>
      <c r="P34" s="16">
        <f t="shared" si="2"/>
        <v>0</v>
      </c>
      <c r="Q34" s="16">
        <f t="shared" si="2"/>
        <v>6434.3648960739038</v>
      </c>
    </row>
    <row r="35" spans="2:17" ht="20.100000000000001" customHeight="1">
      <c r="B35" s="103" t="s">
        <v>69</v>
      </c>
      <c r="C35" s="10" t="s">
        <v>70</v>
      </c>
      <c r="D35" s="7" t="s">
        <v>49</v>
      </c>
      <c r="E35" s="7" t="s">
        <v>71</v>
      </c>
      <c r="F35" s="8"/>
      <c r="G35" s="8">
        <v>0.81</v>
      </c>
      <c r="H35" s="9">
        <v>0.82</v>
      </c>
      <c r="I35" s="9">
        <v>0.84</v>
      </c>
      <c r="J35" s="8"/>
      <c r="K35" s="8">
        <v>0.83</v>
      </c>
      <c r="L35" s="9">
        <v>0.8</v>
      </c>
      <c r="M35" s="9">
        <v>0.82</v>
      </c>
      <c r="N35" s="8"/>
      <c r="O35" s="8">
        <v>0.81</v>
      </c>
      <c r="P35" s="9"/>
      <c r="Q35" s="9">
        <v>0.83</v>
      </c>
    </row>
    <row r="36" spans="2:17" ht="20.100000000000001" customHeight="1">
      <c r="B36" s="103"/>
      <c r="C36" s="10" t="s">
        <v>72</v>
      </c>
      <c r="D36" s="7" t="s">
        <v>42</v>
      </c>
      <c r="E36" s="7" t="s">
        <v>43</v>
      </c>
      <c r="F36" s="8"/>
      <c r="G36" s="8">
        <v>35.799999999999997</v>
      </c>
      <c r="H36" s="9">
        <v>35.799999999999997</v>
      </c>
      <c r="I36" s="9">
        <v>36.5</v>
      </c>
      <c r="J36" s="8"/>
      <c r="K36" s="8">
        <v>36.200000000000003</v>
      </c>
      <c r="L36" s="9">
        <v>35.299999999999997</v>
      </c>
      <c r="M36" s="9">
        <v>36.1</v>
      </c>
      <c r="N36" s="8"/>
      <c r="O36" s="8">
        <v>35.6</v>
      </c>
      <c r="P36" s="9"/>
      <c r="Q36" s="9">
        <v>36.200000000000003</v>
      </c>
    </row>
    <row r="37" spans="2:17" ht="20.100000000000001" customHeight="1">
      <c r="B37" s="103"/>
      <c r="C37" s="10" t="s">
        <v>73</v>
      </c>
      <c r="D37" s="7" t="s">
        <v>42</v>
      </c>
      <c r="E37" s="7" t="s">
        <v>43</v>
      </c>
      <c r="F37" s="8"/>
      <c r="G37" s="8">
        <v>36.4</v>
      </c>
      <c r="H37" s="9">
        <v>36.700000000000003</v>
      </c>
      <c r="I37" s="9">
        <v>37.4</v>
      </c>
      <c r="J37" s="8"/>
      <c r="K37" s="8">
        <v>36.9</v>
      </c>
      <c r="L37" s="9">
        <v>35.799999999999997</v>
      </c>
      <c r="M37" s="9">
        <v>36.5</v>
      </c>
      <c r="N37" s="8"/>
      <c r="O37" s="8">
        <v>36</v>
      </c>
      <c r="P37" s="9"/>
      <c r="Q37" s="9">
        <v>37</v>
      </c>
    </row>
    <row r="38" spans="2:17" ht="20.100000000000001" customHeight="1">
      <c r="B38" s="103"/>
      <c r="C38" s="12" t="s">
        <v>74</v>
      </c>
      <c r="D38" s="7" t="s">
        <v>42</v>
      </c>
      <c r="E38" s="7" t="s">
        <v>101</v>
      </c>
      <c r="F38" s="15"/>
      <c r="G38" s="15">
        <f t="shared" ref="G38:Q38" si="3">G37-G41</f>
        <v>2</v>
      </c>
      <c r="H38" s="15">
        <f t="shared" si="3"/>
        <v>3.6000000000000014</v>
      </c>
      <c r="I38" s="15">
        <f t="shared" si="3"/>
        <v>3.2999999999999972</v>
      </c>
      <c r="J38" s="15">
        <f t="shared" si="3"/>
        <v>0</v>
      </c>
      <c r="K38" s="15">
        <f t="shared" si="3"/>
        <v>2.2999999999999972</v>
      </c>
      <c r="L38" s="15">
        <f t="shared" si="3"/>
        <v>2.3999999999999986</v>
      </c>
      <c r="M38" s="15">
        <f t="shared" si="3"/>
        <v>2.3999999999999986</v>
      </c>
      <c r="N38" s="15">
        <f>N37-N41</f>
        <v>0</v>
      </c>
      <c r="O38" s="15">
        <f>O37-O41</f>
        <v>1.5</v>
      </c>
      <c r="P38" s="15">
        <f t="shared" si="3"/>
        <v>0</v>
      </c>
      <c r="Q38" s="15">
        <f t="shared" si="3"/>
        <v>2.7999999999999972</v>
      </c>
    </row>
    <row r="39" spans="2:17" ht="20.100000000000001" customHeight="1">
      <c r="B39" s="103"/>
      <c r="C39" s="10" t="s">
        <v>75</v>
      </c>
      <c r="D39" s="7" t="s">
        <v>76</v>
      </c>
      <c r="E39" s="7"/>
      <c r="F39" s="8"/>
      <c r="G39" s="8"/>
      <c r="H39" s="9"/>
      <c r="I39" s="9"/>
      <c r="J39" s="8"/>
      <c r="K39" s="8"/>
      <c r="L39" s="9"/>
      <c r="M39" s="9"/>
      <c r="N39" s="8"/>
      <c r="O39" s="8"/>
      <c r="P39" s="9"/>
      <c r="Q39" s="9"/>
    </row>
    <row r="40" spans="2:17" ht="20.100000000000001" customHeight="1">
      <c r="B40" s="103"/>
      <c r="C40" s="10" t="s">
        <v>77</v>
      </c>
      <c r="D40" s="7" t="s">
        <v>42</v>
      </c>
      <c r="E40" s="7">
        <v>30.8</v>
      </c>
      <c r="F40" s="8"/>
      <c r="G40" s="8">
        <v>28.6</v>
      </c>
      <c r="H40" s="9">
        <v>28.2</v>
      </c>
      <c r="I40" s="9">
        <v>28.4</v>
      </c>
      <c r="J40" s="8"/>
      <c r="K40" s="8">
        <v>28.6</v>
      </c>
      <c r="L40" s="9">
        <v>28.2</v>
      </c>
      <c r="M40" s="9">
        <v>28.5</v>
      </c>
      <c r="N40" s="8"/>
      <c r="O40" s="8">
        <v>28.3</v>
      </c>
      <c r="P40" s="9"/>
      <c r="Q40" s="9">
        <v>28.4</v>
      </c>
    </row>
    <row r="41" spans="2:17" ht="20.100000000000001" customHeight="1">
      <c r="B41" s="103"/>
      <c r="C41" s="10" t="s">
        <v>78</v>
      </c>
      <c r="D41" s="7" t="s">
        <v>42</v>
      </c>
      <c r="E41" s="7">
        <v>36.4</v>
      </c>
      <c r="F41" s="8"/>
      <c r="G41" s="8">
        <v>34.4</v>
      </c>
      <c r="H41" s="9">
        <v>33.1</v>
      </c>
      <c r="I41" s="9">
        <v>34.1</v>
      </c>
      <c r="J41" s="8"/>
      <c r="K41" s="8">
        <v>34.6</v>
      </c>
      <c r="L41" s="9">
        <v>33.4</v>
      </c>
      <c r="M41" s="9">
        <v>34.1</v>
      </c>
      <c r="N41" s="8"/>
      <c r="O41" s="8">
        <v>34.5</v>
      </c>
      <c r="P41" s="9"/>
      <c r="Q41" s="9">
        <v>34.200000000000003</v>
      </c>
    </row>
    <row r="42" spans="2:17" ht="20.100000000000001" customHeight="1">
      <c r="B42" s="103"/>
      <c r="C42" s="10" t="s">
        <v>79</v>
      </c>
      <c r="D42" s="7" t="s">
        <v>42</v>
      </c>
      <c r="E42" s="7">
        <v>5.6</v>
      </c>
      <c r="F42" s="15"/>
      <c r="G42" s="15">
        <f t="shared" ref="G42:Q42" si="4">G41-G40</f>
        <v>5.7999999999999972</v>
      </c>
      <c r="H42" s="15">
        <f t="shared" si="4"/>
        <v>4.9000000000000021</v>
      </c>
      <c r="I42" s="15">
        <f t="shared" si="4"/>
        <v>5.7000000000000028</v>
      </c>
      <c r="J42" s="15">
        <f t="shared" si="4"/>
        <v>0</v>
      </c>
      <c r="K42" s="15">
        <f t="shared" si="4"/>
        <v>6</v>
      </c>
      <c r="L42" s="15">
        <f t="shared" si="4"/>
        <v>5.1999999999999993</v>
      </c>
      <c r="M42" s="15">
        <f t="shared" si="4"/>
        <v>5.6000000000000014</v>
      </c>
      <c r="N42" s="15">
        <f>N41-N40</f>
        <v>0</v>
      </c>
      <c r="O42" s="15">
        <f>O41-O40</f>
        <v>6.1999999999999993</v>
      </c>
      <c r="P42" s="15">
        <f t="shared" si="4"/>
        <v>0</v>
      </c>
      <c r="Q42" s="15">
        <f t="shared" si="4"/>
        <v>5.8000000000000043</v>
      </c>
    </row>
    <row r="43" spans="2:17" ht="20.100000000000001" customHeight="1">
      <c r="B43" s="103"/>
      <c r="C43" s="10" t="s">
        <v>80</v>
      </c>
      <c r="D43" s="7" t="s">
        <v>61</v>
      </c>
      <c r="E43" s="7">
        <v>1273.0999999999999</v>
      </c>
      <c r="F43" s="8"/>
      <c r="G43" s="8">
        <v>1160.2</v>
      </c>
      <c r="H43" s="9">
        <v>1305.9000000000001</v>
      </c>
      <c r="I43" s="9">
        <v>1160.4000000000001</v>
      </c>
      <c r="J43" s="8"/>
      <c r="K43" s="8">
        <v>1184.9000000000001</v>
      </c>
      <c r="L43" s="9">
        <v>1295.7</v>
      </c>
      <c r="M43" s="8">
        <v>1156.8</v>
      </c>
      <c r="N43" s="8"/>
      <c r="O43" s="8">
        <v>1134.8</v>
      </c>
      <c r="P43" s="9"/>
      <c r="Q43" s="9">
        <v>1175.5999999999999</v>
      </c>
    </row>
    <row r="44" spans="2:17" ht="20.100000000000001" customHeight="1">
      <c r="B44" s="103"/>
      <c r="C44" s="10" t="s">
        <v>81</v>
      </c>
      <c r="D44" s="7" t="s">
        <v>67</v>
      </c>
      <c r="E44" s="7">
        <v>8226.9</v>
      </c>
      <c r="F44" s="16"/>
      <c r="G44" s="16">
        <f t="shared" ref="G44:Q44" si="5">G42*G43/0.866</f>
        <v>7770.3926096997657</v>
      </c>
      <c r="H44" s="16">
        <f t="shared" si="5"/>
        <v>7389.0415704388033</v>
      </c>
      <c r="I44" s="16">
        <f t="shared" si="5"/>
        <v>7637.7367205542769</v>
      </c>
      <c r="J44" s="16">
        <f t="shared" si="5"/>
        <v>0</v>
      </c>
      <c r="K44" s="16">
        <f t="shared" si="5"/>
        <v>8209.4688221709021</v>
      </c>
      <c r="L44" s="16">
        <f t="shared" si="5"/>
        <v>7780.1847575057727</v>
      </c>
      <c r="M44" s="16">
        <f t="shared" si="5"/>
        <v>7480.4618937644364</v>
      </c>
      <c r="N44" s="16">
        <f>N42*N43/0.866</f>
        <v>0</v>
      </c>
      <c r="O44" s="16">
        <f>O42*O43/0.866</f>
        <v>8124.4341801385672</v>
      </c>
      <c r="P44" s="16">
        <f t="shared" si="5"/>
        <v>0</v>
      </c>
      <c r="Q44" s="16">
        <f t="shared" si="5"/>
        <v>7873.5334872979265</v>
      </c>
    </row>
    <row r="45" spans="2:17" ht="20.100000000000001" customHeight="1">
      <c r="B45" s="103" t="s">
        <v>82</v>
      </c>
      <c r="C45" s="10" t="s">
        <v>83</v>
      </c>
      <c r="D45" s="7" t="s">
        <v>49</v>
      </c>
      <c r="E45" s="7" t="s">
        <v>84</v>
      </c>
      <c r="F45" s="8"/>
      <c r="G45" s="8">
        <v>0.47</v>
      </c>
      <c r="H45" s="9">
        <v>0.45</v>
      </c>
      <c r="I45" s="9">
        <v>0.46</v>
      </c>
      <c r="J45" s="8"/>
      <c r="K45" s="8">
        <v>0.45</v>
      </c>
      <c r="L45" s="9">
        <v>0.45</v>
      </c>
      <c r="M45" s="9">
        <v>0.46</v>
      </c>
      <c r="N45" s="8"/>
      <c r="O45" s="8">
        <v>0.46</v>
      </c>
      <c r="P45" s="9"/>
      <c r="Q45" s="9">
        <v>0.47</v>
      </c>
    </row>
    <row r="46" spans="2:17" ht="20.100000000000001" customHeight="1">
      <c r="B46" s="103"/>
      <c r="C46" s="10" t="s">
        <v>85</v>
      </c>
      <c r="D46" s="7" t="s">
        <v>42</v>
      </c>
      <c r="E46" s="7" t="s">
        <v>43</v>
      </c>
      <c r="F46" s="8"/>
      <c r="G46" s="8">
        <v>20.2</v>
      </c>
      <c r="H46" s="9">
        <v>18.8</v>
      </c>
      <c r="I46" s="9">
        <v>19.5</v>
      </c>
      <c r="J46" s="8"/>
      <c r="K46" s="8">
        <v>19.3</v>
      </c>
      <c r="L46" s="9">
        <v>19</v>
      </c>
      <c r="M46" s="9">
        <v>19.399999999999999</v>
      </c>
      <c r="N46" s="8"/>
      <c r="O46" s="8">
        <v>19.3</v>
      </c>
      <c r="P46" s="9"/>
      <c r="Q46" s="9">
        <v>20.2</v>
      </c>
    </row>
    <row r="47" spans="2:17" ht="20.100000000000001" customHeight="1">
      <c r="B47" s="103"/>
      <c r="C47" s="10" t="s">
        <v>86</v>
      </c>
      <c r="D47" s="7" t="s">
        <v>76</v>
      </c>
      <c r="E47" s="7" t="s">
        <v>76</v>
      </c>
      <c r="F47" s="8"/>
      <c r="G47" s="8">
        <v>210.2</v>
      </c>
      <c r="H47" s="9">
        <v>118.1</v>
      </c>
      <c r="I47" s="9">
        <v>119.2</v>
      </c>
      <c r="J47" s="8"/>
      <c r="K47" s="8">
        <v>201.1</v>
      </c>
      <c r="L47" s="9">
        <v>213</v>
      </c>
      <c r="M47" s="9">
        <v>208.2</v>
      </c>
      <c r="N47" s="8"/>
      <c r="O47" s="8">
        <v>163.9</v>
      </c>
      <c r="P47" s="9"/>
      <c r="Q47" s="9">
        <v>200.7</v>
      </c>
    </row>
    <row r="48" spans="2:17" ht="20.100000000000001" customHeight="1">
      <c r="B48" s="97" t="s">
        <v>87</v>
      </c>
      <c r="C48" s="97"/>
      <c r="D48" s="97"/>
      <c r="E48" s="17" t="s">
        <v>88</v>
      </c>
      <c r="F48" s="8"/>
      <c r="G48" s="8"/>
      <c r="H48" s="9"/>
      <c r="I48" s="9"/>
      <c r="J48" s="8"/>
      <c r="K48" s="8"/>
      <c r="L48" s="9"/>
      <c r="M48" s="9"/>
      <c r="N48" s="8"/>
      <c r="O48" s="8"/>
      <c r="P48" s="9"/>
      <c r="Q48" s="9"/>
    </row>
    <row r="49" spans="2:17" ht="20.100000000000001" customHeight="1">
      <c r="B49" s="97" t="s">
        <v>89</v>
      </c>
      <c r="C49" s="97"/>
      <c r="D49" s="97"/>
      <c r="E49" s="45">
        <v>5.89</v>
      </c>
      <c r="F49" s="8"/>
      <c r="G49" s="8">
        <v>5.79</v>
      </c>
      <c r="H49" s="9">
        <v>5.51</v>
      </c>
      <c r="I49" s="9">
        <v>5.55</v>
      </c>
      <c r="J49" s="8"/>
      <c r="K49" s="8">
        <v>5.51</v>
      </c>
      <c r="L49" s="9">
        <v>5.68</v>
      </c>
      <c r="M49" s="9">
        <v>5.58</v>
      </c>
      <c r="N49" s="8"/>
      <c r="O49" s="8">
        <v>5.49</v>
      </c>
      <c r="P49" s="9"/>
      <c r="Q49" s="9">
        <v>5.39</v>
      </c>
    </row>
    <row r="50" spans="2:17" ht="20.100000000000001" customHeight="1">
      <c r="B50" s="97" t="s">
        <v>90</v>
      </c>
      <c r="C50" s="97"/>
      <c r="D50" s="97"/>
      <c r="E50" s="45"/>
      <c r="F50" s="8"/>
      <c r="G50" s="8"/>
      <c r="H50" s="9"/>
      <c r="I50" s="9"/>
      <c r="J50" s="8"/>
      <c r="K50" s="8"/>
      <c r="L50" s="9"/>
      <c r="M50" s="9"/>
      <c r="N50" s="8"/>
      <c r="O50" s="8"/>
      <c r="P50" s="9"/>
      <c r="Q50" s="9"/>
    </row>
    <row r="51" spans="2:17" ht="20.100000000000001" customHeight="1" thickBot="1">
      <c r="B51" s="97" t="s">
        <v>91</v>
      </c>
      <c r="C51" s="97"/>
      <c r="D51" s="97"/>
      <c r="E51" s="44"/>
      <c r="F51" s="8"/>
      <c r="G51" s="8"/>
      <c r="H51" s="9"/>
      <c r="I51" s="9"/>
      <c r="J51" s="8"/>
      <c r="K51" s="8"/>
      <c r="L51" s="9"/>
      <c r="M51" s="9"/>
      <c r="N51" s="8"/>
      <c r="O51" s="8"/>
      <c r="P51" s="9"/>
      <c r="Q51" s="9"/>
    </row>
    <row r="52" spans="2:17">
      <c r="B52" t="s">
        <v>92</v>
      </c>
      <c r="C52" s="18" t="s">
        <v>93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28"/>
    </row>
    <row r="53" spans="2:17">
      <c r="C53" s="20" t="s">
        <v>94</v>
      </c>
      <c r="Q53" s="31"/>
    </row>
    <row r="54" spans="2:17">
      <c r="C54" s="20" t="s">
        <v>95</v>
      </c>
      <c r="Q54" s="31"/>
    </row>
    <row r="55" spans="2:17">
      <c r="C55" s="20"/>
      <c r="Q55" s="31"/>
    </row>
    <row r="56" spans="2:17">
      <c r="C56" s="20"/>
      <c r="Q56" s="31"/>
    </row>
    <row r="57" spans="2:17">
      <c r="C57" s="20" t="s">
        <v>96</v>
      </c>
      <c r="F57" s="21" t="b">
        <v>0</v>
      </c>
      <c r="G57" s="22" t="s">
        <v>97</v>
      </c>
      <c r="Q57" s="31"/>
    </row>
    <row r="58" spans="2:17">
      <c r="C58" s="20" t="s">
        <v>96</v>
      </c>
      <c r="F58" s="8" t="s">
        <v>98</v>
      </c>
      <c r="G58" s="23" t="s">
        <v>99</v>
      </c>
      <c r="Q58" s="31"/>
    </row>
    <row r="59" spans="2:17" ht="15.75" thickBot="1"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30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40E59-2315-46EB-9011-6390473C279C}">
  <dimension ref="B1:Q59"/>
  <sheetViews>
    <sheetView view="pageBreakPreview" zoomScale="85" zoomScaleNormal="60" workbookViewId="0">
      <selection activeCell="F10" sqref="F10:F50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107"/>
      <c r="C2" s="110" t="s">
        <v>0</v>
      </c>
      <c r="D2" s="111"/>
      <c r="E2" s="111"/>
      <c r="F2" s="111"/>
      <c r="G2" s="111"/>
      <c r="H2" s="111"/>
      <c r="I2" s="111"/>
      <c r="J2" s="111"/>
      <c r="K2" s="111"/>
      <c r="L2" s="111"/>
      <c r="M2" s="112"/>
      <c r="N2" s="18" t="s">
        <v>1</v>
      </c>
      <c r="O2" s="19"/>
      <c r="P2" s="19"/>
      <c r="Q2" s="28"/>
    </row>
    <row r="3" spans="2:17" ht="15.75" thickBot="1">
      <c r="B3" s="108"/>
      <c r="C3" s="113"/>
      <c r="D3" s="114"/>
      <c r="E3" s="114"/>
      <c r="F3" s="114"/>
      <c r="G3" s="114"/>
      <c r="H3" s="114"/>
      <c r="I3" s="114"/>
      <c r="J3" s="114"/>
      <c r="K3" s="114"/>
      <c r="L3" s="114"/>
      <c r="M3" s="115"/>
      <c r="N3" s="26" t="s">
        <v>2</v>
      </c>
      <c r="O3" s="27" t="s">
        <v>3</v>
      </c>
      <c r="P3" s="27"/>
      <c r="Q3" s="29"/>
    </row>
    <row r="4" spans="2:17" ht="15.75" thickBot="1">
      <c r="B4" s="108"/>
      <c r="C4" s="113"/>
      <c r="D4" s="114"/>
      <c r="E4" s="114"/>
      <c r="F4" s="114"/>
      <c r="G4" s="114"/>
      <c r="H4" s="114"/>
      <c r="I4" s="114"/>
      <c r="J4" s="114"/>
      <c r="K4" s="114"/>
      <c r="L4" s="114"/>
      <c r="M4" s="115"/>
      <c r="N4" s="26" t="s">
        <v>4</v>
      </c>
      <c r="O4" s="27"/>
      <c r="P4" s="27"/>
      <c r="Q4" s="29"/>
    </row>
    <row r="5" spans="2:17" ht="15.75" thickBot="1">
      <c r="B5" s="109"/>
      <c r="C5" s="116"/>
      <c r="D5" s="117"/>
      <c r="E5" s="117"/>
      <c r="F5" s="117"/>
      <c r="G5" s="117"/>
      <c r="H5" s="117"/>
      <c r="I5" s="117"/>
      <c r="J5" s="117"/>
      <c r="K5" s="117"/>
      <c r="L5" s="117"/>
      <c r="M5" s="118"/>
      <c r="N5" s="24" t="s">
        <v>5</v>
      </c>
      <c r="O5" s="25"/>
      <c r="P5" s="25"/>
      <c r="Q5" s="30"/>
    </row>
    <row r="7" spans="2:17">
      <c r="B7" s="98" t="s">
        <v>6</v>
      </c>
      <c r="C7" s="99"/>
      <c r="D7" s="100">
        <v>45723</v>
      </c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2"/>
    </row>
    <row r="8" spans="2:17">
      <c r="B8" s="97" t="s">
        <v>7</v>
      </c>
      <c r="C8" s="97"/>
      <c r="D8" s="97"/>
      <c r="E8" s="105" t="s">
        <v>8</v>
      </c>
      <c r="F8" s="103" t="s">
        <v>9</v>
      </c>
      <c r="G8" s="103"/>
      <c r="H8" s="104" t="s">
        <v>10</v>
      </c>
      <c r="I8" s="104"/>
      <c r="J8" s="103" t="s">
        <v>11</v>
      </c>
      <c r="K8" s="103"/>
      <c r="L8" s="104" t="s">
        <v>12</v>
      </c>
      <c r="M8" s="104"/>
      <c r="N8" s="103" t="s">
        <v>13</v>
      </c>
      <c r="O8" s="103"/>
      <c r="P8" s="104" t="s">
        <v>14</v>
      </c>
      <c r="Q8" s="104"/>
    </row>
    <row r="9" spans="2:17">
      <c r="B9" s="98" t="s">
        <v>15</v>
      </c>
      <c r="C9" s="119"/>
      <c r="D9" s="99"/>
      <c r="E9" s="106"/>
      <c r="F9" s="3">
        <v>0.375</v>
      </c>
      <c r="G9" s="32" t="s">
        <v>16</v>
      </c>
      <c r="H9" s="4">
        <v>0.375</v>
      </c>
      <c r="I9" s="33" t="s">
        <v>16</v>
      </c>
      <c r="J9" s="3">
        <v>0.375</v>
      </c>
      <c r="K9" s="32" t="s">
        <v>16</v>
      </c>
      <c r="L9" s="4">
        <v>0.375</v>
      </c>
      <c r="M9" s="33" t="s">
        <v>16</v>
      </c>
      <c r="N9" s="3">
        <v>0.375</v>
      </c>
      <c r="O9" s="32" t="s">
        <v>16</v>
      </c>
      <c r="P9" s="4">
        <v>0.375</v>
      </c>
      <c r="Q9" s="33" t="s">
        <v>16</v>
      </c>
    </row>
    <row r="10" spans="2:17" ht="26.25" customHeight="1">
      <c r="B10" s="120" t="s">
        <v>17</v>
      </c>
      <c r="C10" s="121"/>
      <c r="D10" s="47" t="s">
        <v>18</v>
      </c>
      <c r="E10" s="5"/>
      <c r="F10" s="6" t="s">
        <v>19</v>
      </c>
      <c r="G10" s="34" t="s">
        <v>19</v>
      </c>
      <c r="H10" s="35" t="s">
        <v>19</v>
      </c>
      <c r="I10" s="35" t="s">
        <v>19</v>
      </c>
      <c r="J10" s="34"/>
      <c r="K10" s="34" t="s">
        <v>19</v>
      </c>
      <c r="L10" s="35" t="s">
        <v>19</v>
      </c>
      <c r="M10" s="35" t="s">
        <v>19</v>
      </c>
      <c r="N10" s="6" t="s">
        <v>19</v>
      </c>
      <c r="O10" s="34" t="s">
        <v>19</v>
      </c>
      <c r="P10" s="35" t="s">
        <v>19</v>
      </c>
      <c r="Q10" s="35" t="s">
        <v>19</v>
      </c>
    </row>
    <row r="11" spans="2:17" ht="20.100000000000001" customHeight="1">
      <c r="B11" s="97" t="s">
        <v>20</v>
      </c>
      <c r="C11" s="97"/>
      <c r="D11" s="7" t="s">
        <v>21</v>
      </c>
      <c r="E11" s="7" t="s">
        <v>22</v>
      </c>
      <c r="F11" s="8">
        <v>74.5</v>
      </c>
      <c r="G11" s="8">
        <v>70</v>
      </c>
      <c r="H11" s="9"/>
      <c r="I11" s="9">
        <v>78.599999999999994</v>
      </c>
      <c r="J11" s="8"/>
      <c r="K11" s="8">
        <v>75.099999999999994</v>
      </c>
      <c r="L11" s="9"/>
      <c r="M11" s="9">
        <v>77.3</v>
      </c>
      <c r="N11" s="8">
        <v>79.400000000000006</v>
      </c>
      <c r="O11" s="8">
        <v>77.099999999999994</v>
      </c>
      <c r="P11" s="9"/>
      <c r="Q11" s="9">
        <v>72.900000000000006</v>
      </c>
    </row>
    <row r="12" spans="2:17" ht="20.100000000000001" customHeight="1">
      <c r="B12" s="97" t="s">
        <v>23</v>
      </c>
      <c r="C12" s="97"/>
      <c r="D12" s="7" t="s">
        <v>21</v>
      </c>
      <c r="E12" s="7" t="s">
        <v>22</v>
      </c>
      <c r="F12" s="8">
        <v>0.6</v>
      </c>
      <c r="G12" s="8">
        <v>0.2</v>
      </c>
      <c r="H12" s="9"/>
      <c r="I12" s="9">
        <v>0</v>
      </c>
      <c r="J12" s="8"/>
      <c r="K12" s="8">
        <v>0</v>
      </c>
      <c r="L12" s="9"/>
      <c r="M12" s="9">
        <v>0.1</v>
      </c>
      <c r="N12" s="8">
        <v>0</v>
      </c>
      <c r="O12" s="8">
        <v>0</v>
      </c>
      <c r="P12" s="9"/>
      <c r="Q12" s="9">
        <v>0</v>
      </c>
    </row>
    <row r="13" spans="2:17" ht="20.100000000000001" customHeight="1">
      <c r="B13" s="97" t="s">
        <v>24</v>
      </c>
      <c r="C13" s="97"/>
      <c r="D13" s="7" t="s">
        <v>21</v>
      </c>
      <c r="E13" s="7" t="s">
        <v>22</v>
      </c>
      <c r="F13" s="8">
        <v>69.7</v>
      </c>
      <c r="G13" s="8">
        <v>64.3</v>
      </c>
      <c r="H13" s="9"/>
      <c r="I13" s="9">
        <v>74.3</v>
      </c>
      <c r="J13" s="8"/>
      <c r="K13" s="8">
        <v>70.2</v>
      </c>
      <c r="L13" s="9"/>
      <c r="M13" s="9">
        <v>73.2</v>
      </c>
      <c r="N13" s="8">
        <v>75.5</v>
      </c>
      <c r="O13" s="8">
        <v>72.2</v>
      </c>
      <c r="P13" s="9"/>
      <c r="Q13" s="9">
        <v>67</v>
      </c>
    </row>
    <row r="14" spans="2:17" ht="20.100000000000001" customHeight="1">
      <c r="B14" s="97" t="s">
        <v>25</v>
      </c>
      <c r="C14" s="97"/>
      <c r="D14" s="7" t="s">
        <v>21</v>
      </c>
      <c r="E14" s="7" t="s">
        <v>22</v>
      </c>
      <c r="F14" s="8">
        <v>68.900000000000006</v>
      </c>
      <c r="G14" s="8">
        <v>66.7</v>
      </c>
      <c r="H14" s="9"/>
      <c r="I14" s="9">
        <v>67.8</v>
      </c>
      <c r="J14" s="8"/>
      <c r="K14" s="8">
        <v>64.2</v>
      </c>
      <c r="L14" s="9"/>
      <c r="M14" s="9">
        <v>66.2</v>
      </c>
      <c r="N14" s="8">
        <v>75</v>
      </c>
      <c r="O14" s="8">
        <v>72.2</v>
      </c>
      <c r="P14" s="9"/>
      <c r="Q14" s="9">
        <v>72.5</v>
      </c>
    </row>
    <row r="15" spans="2:17" ht="20.100000000000001" customHeight="1">
      <c r="B15" s="97" t="s">
        <v>26</v>
      </c>
      <c r="C15" s="97"/>
      <c r="D15" s="7" t="s">
        <v>21</v>
      </c>
      <c r="E15" s="7" t="s">
        <v>22</v>
      </c>
      <c r="F15" s="8">
        <v>43</v>
      </c>
      <c r="G15" s="8">
        <v>41.9</v>
      </c>
      <c r="H15" s="9"/>
      <c r="I15" s="9">
        <v>58.6</v>
      </c>
      <c r="J15" s="8"/>
      <c r="K15" s="8">
        <v>41.6</v>
      </c>
      <c r="L15" s="9"/>
      <c r="M15" s="9">
        <v>36.5</v>
      </c>
      <c r="N15" s="8">
        <v>48</v>
      </c>
      <c r="O15" s="8">
        <v>49.3</v>
      </c>
      <c r="P15" s="9"/>
      <c r="Q15" s="9">
        <v>42.6</v>
      </c>
    </row>
    <row r="16" spans="2:17" ht="20.100000000000001" customHeight="1">
      <c r="B16" s="103" t="s">
        <v>27</v>
      </c>
      <c r="C16" s="10" t="s">
        <v>28</v>
      </c>
      <c r="D16" s="7" t="s">
        <v>29</v>
      </c>
      <c r="E16" s="7" t="s">
        <v>30</v>
      </c>
      <c r="F16" s="8">
        <v>6.6</v>
      </c>
      <c r="G16" s="8">
        <v>6.6</v>
      </c>
      <c r="H16" s="8"/>
      <c r="I16" s="8">
        <v>6.6</v>
      </c>
      <c r="J16" s="8"/>
      <c r="K16" s="8">
        <v>6.6</v>
      </c>
      <c r="L16" s="8"/>
      <c r="M16" s="8">
        <v>6.6</v>
      </c>
      <c r="N16" s="8">
        <v>6.6</v>
      </c>
      <c r="O16" s="8">
        <v>6.6</v>
      </c>
      <c r="P16" s="8"/>
      <c r="Q16" s="8">
        <v>6.6</v>
      </c>
    </row>
    <row r="17" spans="2:17" ht="20.100000000000001" customHeight="1">
      <c r="B17" s="103"/>
      <c r="C17" s="10" t="s">
        <v>31</v>
      </c>
      <c r="D17" s="7" t="s">
        <v>32</v>
      </c>
      <c r="E17" s="7" t="s">
        <v>33</v>
      </c>
      <c r="F17" s="8">
        <v>118</v>
      </c>
      <c r="G17" s="8">
        <v>117.2</v>
      </c>
      <c r="H17" s="9"/>
      <c r="I17" s="9">
        <v>117.6</v>
      </c>
      <c r="J17" s="8"/>
      <c r="K17" s="8">
        <v>117.3</v>
      </c>
      <c r="L17" s="9"/>
      <c r="M17" s="9">
        <v>119.9</v>
      </c>
      <c r="N17" s="8">
        <v>119.3</v>
      </c>
      <c r="O17" s="8">
        <v>118.8</v>
      </c>
      <c r="P17" s="9"/>
      <c r="Q17" s="9">
        <v>116.9</v>
      </c>
    </row>
    <row r="18" spans="2:17" ht="20.100000000000001" customHeight="1">
      <c r="B18" s="103"/>
      <c r="C18" s="10" t="s">
        <v>34</v>
      </c>
      <c r="D18" s="7" t="s">
        <v>35</v>
      </c>
      <c r="E18" s="7" t="s">
        <v>36</v>
      </c>
      <c r="F18" s="8">
        <v>1159</v>
      </c>
      <c r="G18" s="8">
        <v>1158</v>
      </c>
      <c r="H18" s="9"/>
      <c r="I18" s="9">
        <v>1189</v>
      </c>
      <c r="J18" s="8"/>
      <c r="K18" s="8">
        <v>1199</v>
      </c>
      <c r="L18" s="9"/>
      <c r="M18" s="9">
        <v>1201</v>
      </c>
      <c r="N18" s="8">
        <v>1215</v>
      </c>
      <c r="O18" s="8">
        <v>1191</v>
      </c>
      <c r="P18" s="9"/>
      <c r="Q18" s="9">
        <v>1166</v>
      </c>
    </row>
    <row r="19" spans="2:17" ht="20.100000000000001" customHeight="1">
      <c r="B19" s="103" t="s">
        <v>37</v>
      </c>
      <c r="C19" s="10" t="s">
        <v>38</v>
      </c>
      <c r="D19" s="7" t="s">
        <v>39</v>
      </c>
      <c r="E19" s="11" t="s">
        <v>40</v>
      </c>
      <c r="F19" s="8">
        <v>49443.9</v>
      </c>
      <c r="G19" s="8">
        <v>49435.199999999997</v>
      </c>
      <c r="H19" s="9"/>
      <c r="I19" s="9">
        <v>50660.2</v>
      </c>
      <c r="J19" s="8"/>
      <c r="K19" s="8">
        <v>48298.9</v>
      </c>
      <c r="L19" s="9"/>
      <c r="M19" s="9">
        <v>50688.1</v>
      </c>
      <c r="N19" s="8">
        <v>49875.3</v>
      </c>
      <c r="O19" s="8">
        <v>49866.3</v>
      </c>
      <c r="P19" s="9"/>
      <c r="Q19" s="9">
        <v>50028.4</v>
      </c>
    </row>
    <row r="20" spans="2:17" ht="20.100000000000001" customHeight="1">
      <c r="B20" s="103"/>
      <c r="C20" s="10" t="s">
        <v>41</v>
      </c>
      <c r="D20" s="7" t="s">
        <v>42</v>
      </c>
      <c r="E20" s="7" t="s">
        <v>43</v>
      </c>
      <c r="F20" s="8"/>
      <c r="G20" s="8"/>
      <c r="H20" s="9"/>
      <c r="I20" s="9"/>
      <c r="J20" s="8"/>
      <c r="K20" s="8"/>
      <c r="L20" s="9"/>
      <c r="M20" s="9"/>
      <c r="N20" s="8"/>
      <c r="O20" s="8"/>
      <c r="P20" s="9"/>
      <c r="Q20" s="9"/>
    </row>
    <row r="21" spans="2:17" ht="20.100000000000001" customHeight="1">
      <c r="B21" s="103"/>
      <c r="C21" s="10" t="s">
        <v>44</v>
      </c>
      <c r="D21" s="7" t="s">
        <v>42</v>
      </c>
      <c r="E21" s="7" t="s">
        <v>45</v>
      </c>
      <c r="F21" s="8"/>
      <c r="G21" s="8"/>
      <c r="H21" s="9"/>
      <c r="I21" s="9"/>
      <c r="J21" s="8"/>
      <c r="K21" s="8"/>
      <c r="L21" s="9"/>
      <c r="M21" s="9"/>
      <c r="N21" s="8"/>
      <c r="O21" s="8"/>
      <c r="P21" s="9"/>
      <c r="Q21" s="9"/>
    </row>
    <row r="22" spans="2:17" ht="20.100000000000001" customHeight="1">
      <c r="B22" s="103"/>
      <c r="C22" s="10" t="s">
        <v>46</v>
      </c>
      <c r="D22" s="7" t="s">
        <v>42</v>
      </c>
      <c r="E22" s="7" t="s">
        <v>47</v>
      </c>
      <c r="F22" s="8">
        <v>58</v>
      </c>
      <c r="G22" s="8">
        <v>62.4</v>
      </c>
      <c r="H22" s="9"/>
      <c r="I22" s="9">
        <v>59.3</v>
      </c>
      <c r="J22" s="8"/>
      <c r="K22" s="8">
        <v>58.2</v>
      </c>
      <c r="L22" s="9"/>
      <c r="M22" s="9">
        <v>57.6</v>
      </c>
      <c r="N22" s="8">
        <v>58.4</v>
      </c>
      <c r="O22" s="8">
        <v>58.8</v>
      </c>
      <c r="P22" s="9"/>
      <c r="Q22" s="9">
        <v>60.5</v>
      </c>
    </row>
    <row r="23" spans="2:17" ht="60">
      <c r="B23" s="103"/>
      <c r="C23" s="12" t="s">
        <v>48</v>
      </c>
      <c r="D23" s="8" t="s">
        <v>49</v>
      </c>
      <c r="E23" s="13" t="s">
        <v>50</v>
      </c>
      <c r="F23" s="8">
        <v>0.52</v>
      </c>
      <c r="G23" s="8">
        <v>0.52</v>
      </c>
      <c r="H23" s="9"/>
      <c r="I23" s="9">
        <v>0.49</v>
      </c>
      <c r="J23" s="8"/>
      <c r="K23" s="8">
        <v>0.57999999999999996</v>
      </c>
      <c r="L23" s="9"/>
      <c r="M23" s="9">
        <v>0.52</v>
      </c>
      <c r="N23" s="8">
        <v>0.48</v>
      </c>
      <c r="O23" s="8">
        <v>0.48</v>
      </c>
      <c r="P23" s="9"/>
      <c r="Q23" s="9">
        <v>0.49</v>
      </c>
    </row>
    <row r="24" spans="2:17" ht="39.75" customHeight="1">
      <c r="B24" s="103"/>
      <c r="C24" s="12" t="s">
        <v>51</v>
      </c>
      <c r="D24" s="7"/>
      <c r="E24" s="7"/>
      <c r="F24" s="8"/>
      <c r="G24" s="8"/>
      <c r="H24" s="9"/>
      <c r="I24" s="9"/>
      <c r="J24" s="8"/>
      <c r="K24" s="8"/>
      <c r="L24" s="8"/>
      <c r="M24" s="9"/>
      <c r="N24" s="8"/>
      <c r="O24" s="8"/>
      <c r="P24" s="9"/>
      <c r="Q24" s="9"/>
    </row>
    <row r="25" spans="2:17" ht="20.100000000000001" customHeight="1">
      <c r="B25" s="103"/>
      <c r="C25" s="10" t="s">
        <v>52</v>
      </c>
      <c r="D25" s="7" t="s">
        <v>42</v>
      </c>
      <c r="E25" s="7" t="s">
        <v>53</v>
      </c>
      <c r="F25" s="8">
        <v>44.9</v>
      </c>
      <c r="G25" s="8">
        <v>45.1</v>
      </c>
      <c r="H25" s="9"/>
      <c r="I25" s="9">
        <v>45</v>
      </c>
      <c r="J25" s="8"/>
      <c r="K25" s="8">
        <v>45</v>
      </c>
      <c r="L25" s="9"/>
      <c r="M25" s="9">
        <v>45.2</v>
      </c>
      <c r="N25" s="8">
        <v>44.9</v>
      </c>
      <c r="O25" s="8">
        <v>45</v>
      </c>
      <c r="P25" s="9"/>
      <c r="Q25" s="9">
        <v>45</v>
      </c>
    </row>
    <row r="26" spans="2:17" ht="20.100000000000001" customHeight="1">
      <c r="B26" s="103" t="s">
        <v>54</v>
      </c>
      <c r="C26" s="10" t="s">
        <v>55</v>
      </c>
      <c r="D26" s="7" t="s">
        <v>49</v>
      </c>
      <c r="E26" s="14" t="s">
        <v>56</v>
      </c>
      <c r="F26" s="8">
        <v>0.22</v>
      </c>
      <c r="G26" s="8">
        <v>0.23</v>
      </c>
      <c r="H26" s="9"/>
      <c r="I26" s="9">
        <v>0.22</v>
      </c>
      <c r="J26" s="8"/>
      <c r="K26" s="8">
        <v>0.23</v>
      </c>
      <c r="L26" s="9"/>
      <c r="M26" s="9">
        <v>0.22</v>
      </c>
      <c r="N26" s="8">
        <v>0.22</v>
      </c>
      <c r="O26" s="8">
        <v>0.22</v>
      </c>
      <c r="P26" s="9"/>
      <c r="Q26" s="9">
        <v>0.23</v>
      </c>
    </row>
    <row r="27" spans="2:17" ht="20.100000000000001" customHeight="1">
      <c r="B27" s="103"/>
      <c r="C27" s="10" t="s">
        <v>57</v>
      </c>
      <c r="D27" s="7" t="s">
        <v>42</v>
      </c>
      <c r="E27" s="7" t="s">
        <v>43</v>
      </c>
      <c r="F27" s="8">
        <v>3.7</v>
      </c>
      <c r="G27" s="8">
        <v>4.4000000000000004</v>
      </c>
      <c r="H27" s="9"/>
      <c r="I27" s="9">
        <v>3.7</v>
      </c>
      <c r="J27" s="8"/>
      <c r="K27" s="8">
        <v>4.5999999999999996</v>
      </c>
      <c r="L27" s="9"/>
      <c r="M27" s="9">
        <v>3.8</v>
      </c>
      <c r="N27" s="8">
        <v>4.0999999999999996</v>
      </c>
      <c r="O27" s="8">
        <v>4.5</v>
      </c>
      <c r="P27" s="9"/>
      <c r="Q27" s="9">
        <v>4.5999999999999996</v>
      </c>
    </row>
    <row r="28" spans="2:17" ht="20.100000000000001" customHeight="1">
      <c r="B28" s="103"/>
      <c r="C28" s="10" t="s">
        <v>58</v>
      </c>
      <c r="D28" s="7" t="s">
        <v>42</v>
      </c>
      <c r="E28" s="7" t="s">
        <v>43</v>
      </c>
      <c r="F28" s="8">
        <v>3.4</v>
      </c>
      <c r="G28" s="8">
        <v>3.9</v>
      </c>
      <c r="H28" s="9"/>
      <c r="I28" s="9">
        <v>2.9</v>
      </c>
      <c r="J28" s="8"/>
      <c r="K28" s="8">
        <v>3.6</v>
      </c>
      <c r="L28" s="9"/>
      <c r="M28" s="9">
        <v>2.9</v>
      </c>
      <c r="N28" s="8">
        <v>3.5</v>
      </c>
      <c r="O28" s="8">
        <v>3.7</v>
      </c>
      <c r="P28" s="9"/>
      <c r="Q28" s="9">
        <v>3.5</v>
      </c>
    </row>
    <row r="29" spans="2:17" ht="20.100000000000001" customHeight="1">
      <c r="B29" s="103"/>
      <c r="C29" s="10" t="s">
        <v>59</v>
      </c>
      <c r="D29" s="7" t="s">
        <v>42</v>
      </c>
      <c r="E29" s="7" t="s">
        <v>43</v>
      </c>
      <c r="F29" s="15">
        <v>1</v>
      </c>
      <c r="G29" s="15">
        <f t="shared" ref="G29:Q29" si="0">G32-G28</f>
        <v>0.89999999999999991</v>
      </c>
      <c r="H29" s="15">
        <f t="shared" si="0"/>
        <v>0</v>
      </c>
      <c r="I29" s="15">
        <f t="shared" si="0"/>
        <v>1.8000000000000003</v>
      </c>
      <c r="J29" s="15">
        <f t="shared" si="0"/>
        <v>0</v>
      </c>
      <c r="K29" s="15">
        <f t="shared" si="0"/>
        <v>0.69999999999999973</v>
      </c>
      <c r="L29" s="15">
        <f t="shared" si="0"/>
        <v>0</v>
      </c>
      <c r="M29" s="15">
        <f t="shared" si="0"/>
        <v>1.1999999999999997</v>
      </c>
      <c r="N29" s="15">
        <v>1</v>
      </c>
      <c r="O29" s="15">
        <f>O32-O28</f>
        <v>0.89999999999999947</v>
      </c>
      <c r="P29" s="15">
        <f t="shared" si="0"/>
        <v>0</v>
      </c>
      <c r="Q29" s="15">
        <f t="shared" si="0"/>
        <v>1</v>
      </c>
    </row>
    <row r="30" spans="2:17" ht="20.100000000000001" customHeight="1">
      <c r="B30" s="103"/>
      <c r="C30" s="10" t="s">
        <v>60</v>
      </c>
      <c r="D30" s="7" t="s">
        <v>61</v>
      </c>
      <c r="E30" s="7" t="s">
        <v>62</v>
      </c>
      <c r="F30" s="8">
        <v>651.9</v>
      </c>
      <c r="G30" s="8">
        <v>659.5</v>
      </c>
      <c r="H30" s="9"/>
      <c r="I30" s="9">
        <v>642</v>
      </c>
      <c r="J30" s="8"/>
      <c r="K30" s="8">
        <v>642.29999999999995</v>
      </c>
      <c r="L30" s="9"/>
      <c r="M30" s="9">
        <v>638.20000000000005</v>
      </c>
      <c r="N30" s="8">
        <v>640.4</v>
      </c>
      <c r="O30" s="8">
        <v>646.4</v>
      </c>
      <c r="P30" s="9"/>
      <c r="Q30" s="9">
        <v>638</v>
      </c>
    </row>
    <row r="31" spans="2:17" ht="20.100000000000001" customHeight="1">
      <c r="B31" s="103"/>
      <c r="C31" s="10" t="s">
        <v>63</v>
      </c>
      <c r="D31" s="7" t="s">
        <v>42</v>
      </c>
      <c r="E31" s="7">
        <v>13.5</v>
      </c>
      <c r="F31" s="8">
        <v>13.5</v>
      </c>
      <c r="G31" s="8">
        <v>13.3</v>
      </c>
      <c r="H31" s="9"/>
      <c r="I31" s="9">
        <v>13.6</v>
      </c>
      <c r="J31" s="8"/>
      <c r="K31" s="8">
        <v>13.2</v>
      </c>
      <c r="L31" s="9"/>
      <c r="M31" s="9">
        <v>12.9</v>
      </c>
      <c r="N31" s="8">
        <v>13.8</v>
      </c>
      <c r="O31" s="8">
        <v>13.4</v>
      </c>
      <c r="P31" s="9"/>
      <c r="Q31" s="9">
        <v>13.5</v>
      </c>
    </row>
    <row r="32" spans="2:17" ht="20.100000000000001" customHeight="1">
      <c r="B32" s="103"/>
      <c r="C32" s="10" t="s">
        <v>64</v>
      </c>
      <c r="D32" s="7" t="s">
        <v>42</v>
      </c>
      <c r="E32" s="7">
        <v>4</v>
      </c>
      <c r="F32" s="8">
        <v>4.4000000000000004</v>
      </c>
      <c r="G32" s="8">
        <v>4.8</v>
      </c>
      <c r="H32" s="9"/>
      <c r="I32" s="9">
        <v>4.7</v>
      </c>
      <c r="J32" s="8"/>
      <c r="K32" s="8">
        <v>4.3</v>
      </c>
      <c r="L32" s="9"/>
      <c r="M32" s="9">
        <v>4.0999999999999996</v>
      </c>
      <c r="N32" s="8">
        <v>4.2</v>
      </c>
      <c r="O32" s="8">
        <v>4.5999999999999996</v>
      </c>
      <c r="P32" s="9"/>
      <c r="Q32" s="9">
        <v>4.5</v>
      </c>
    </row>
    <row r="33" spans="2:17" ht="20.100000000000001" customHeight="1">
      <c r="B33" s="103"/>
      <c r="C33" s="10" t="s">
        <v>65</v>
      </c>
      <c r="D33" s="7" t="s">
        <v>42</v>
      </c>
      <c r="E33" s="7">
        <v>9.5</v>
      </c>
      <c r="F33" s="15">
        <v>8.8999999999999986</v>
      </c>
      <c r="G33" s="15">
        <f t="shared" ref="G33:Q33" si="1">G31-G32</f>
        <v>8.5</v>
      </c>
      <c r="H33" s="15">
        <f t="shared" si="1"/>
        <v>0</v>
      </c>
      <c r="I33" s="15">
        <f t="shared" si="1"/>
        <v>8.8999999999999986</v>
      </c>
      <c r="J33" s="15">
        <f t="shared" si="1"/>
        <v>0</v>
      </c>
      <c r="K33" s="15">
        <f t="shared" si="1"/>
        <v>8.8999999999999986</v>
      </c>
      <c r="L33" s="15">
        <f t="shared" si="1"/>
        <v>0</v>
      </c>
      <c r="M33" s="15">
        <f t="shared" si="1"/>
        <v>8.8000000000000007</v>
      </c>
      <c r="N33" s="15">
        <v>9.4</v>
      </c>
      <c r="O33" s="15">
        <f>O31-O32</f>
        <v>8.8000000000000007</v>
      </c>
      <c r="P33" s="15">
        <f t="shared" si="1"/>
        <v>0</v>
      </c>
      <c r="Q33" s="15">
        <f t="shared" si="1"/>
        <v>9</v>
      </c>
    </row>
    <row r="34" spans="2:17" ht="20.100000000000001" customHeight="1">
      <c r="B34" s="103"/>
      <c r="C34" s="10" t="s">
        <v>66</v>
      </c>
      <c r="D34" s="7" t="s">
        <v>67</v>
      </c>
      <c r="E34" s="7" t="s">
        <v>68</v>
      </c>
      <c r="F34" s="16">
        <v>6643.1408775981517</v>
      </c>
      <c r="G34" s="16">
        <f t="shared" ref="G34:Q34" si="2">(G33*G30)/0.866</f>
        <v>6473.1524249422637</v>
      </c>
      <c r="H34" s="16">
        <f t="shared" si="2"/>
        <v>0</v>
      </c>
      <c r="I34" s="16">
        <f t="shared" si="2"/>
        <v>6597.921478060045</v>
      </c>
      <c r="J34" s="16">
        <f t="shared" si="2"/>
        <v>0</v>
      </c>
      <c r="K34" s="16">
        <f t="shared" si="2"/>
        <v>6601.0046189376426</v>
      </c>
      <c r="L34" s="16">
        <f t="shared" si="2"/>
        <v>0</v>
      </c>
      <c r="M34" s="16">
        <f t="shared" si="2"/>
        <v>6485.1732101616635</v>
      </c>
      <c r="N34" s="16">
        <v>6913.0161662817554</v>
      </c>
      <c r="O34" s="16">
        <f>(O33*O30)/0.866</f>
        <v>6568.4988452655898</v>
      </c>
      <c r="P34" s="16">
        <f t="shared" si="2"/>
        <v>0</v>
      </c>
      <c r="Q34" s="16">
        <f t="shared" si="2"/>
        <v>6630.4849884526557</v>
      </c>
    </row>
    <row r="35" spans="2:17" ht="20.100000000000001" customHeight="1">
      <c r="B35" s="103" t="s">
        <v>69</v>
      </c>
      <c r="C35" s="10" t="s">
        <v>70</v>
      </c>
      <c r="D35" s="7" t="s">
        <v>49</v>
      </c>
      <c r="E35" s="7" t="s">
        <v>71</v>
      </c>
      <c r="F35" s="8">
        <v>0.79</v>
      </c>
      <c r="G35" s="8">
        <v>0.82</v>
      </c>
      <c r="H35" s="9"/>
      <c r="I35" s="9">
        <v>0.85</v>
      </c>
      <c r="J35" s="8"/>
      <c r="K35" s="8">
        <v>0.85</v>
      </c>
      <c r="L35" s="9"/>
      <c r="M35" s="9">
        <v>0.83</v>
      </c>
      <c r="N35" s="8">
        <v>0.79</v>
      </c>
      <c r="O35" s="8">
        <v>0.82</v>
      </c>
      <c r="P35" s="9"/>
      <c r="Q35" s="9">
        <v>0.81</v>
      </c>
    </row>
    <row r="36" spans="2:17" ht="20.100000000000001" customHeight="1">
      <c r="B36" s="103"/>
      <c r="C36" s="10" t="s">
        <v>72</v>
      </c>
      <c r="D36" s="7" t="s">
        <v>42</v>
      </c>
      <c r="E36" s="7" t="s">
        <v>43</v>
      </c>
      <c r="F36" s="8">
        <v>34.6</v>
      </c>
      <c r="G36" s="8">
        <v>35.9</v>
      </c>
      <c r="H36" s="9"/>
      <c r="I36" s="9">
        <v>36.6</v>
      </c>
      <c r="J36" s="8"/>
      <c r="K36" s="8">
        <v>36.5</v>
      </c>
      <c r="L36" s="9"/>
      <c r="M36" s="9">
        <v>36.700000000000003</v>
      </c>
      <c r="N36" s="8">
        <v>34.5</v>
      </c>
      <c r="O36" s="8">
        <v>36.700000000000003</v>
      </c>
      <c r="P36" s="9"/>
      <c r="Q36" s="9">
        <v>35.299999999999997</v>
      </c>
    </row>
    <row r="37" spans="2:17" ht="20.100000000000001" customHeight="1">
      <c r="B37" s="103"/>
      <c r="C37" s="10" t="s">
        <v>73</v>
      </c>
      <c r="D37" s="7" t="s">
        <v>42</v>
      </c>
      <c r="E37" s="7" t="s">
        <v>43</v>
      </c>
      <c r="F37" s="8">
        <v>35.200000000000003</v>
      </c>
      <c r="G37" s="8">
        <v>36.5</v>
      </c>
      <c r="H37" s="9"/>
      <c r="I37" s="9">
        <v>37.5</v>
      </c>
      <c r="J37" s="8"/>
      <c r="K37" s="8">
        <v>37.200000000000003</v>
      </c>
      <c r="L37" s="9"/>
      <c r="M37" s="9">
        <v>37.200000000000003</v>
      </c>
      <c r="N37" s="8">
        <v>35.299999999999997</v>
      </c>
      <c r="O37" s="8">
        <v>37</v>
      </c>
      <c r="P37" s="9"/>
      <c r="Q37" s="9">
        <v>36</v>
      </c>
    </row>
    <row r="38" spans="2:17" ht="20.100000000000001" customHeight="1">
      <c r="B38" s="103"/>
      <c r="C38" s="12" t="s">
        <v>74</v>
      </c>
      <c r="D38" s="7" t="s">
        <v>42</v>
      </c>
      <c r="E38" s="7" t="s">
        <v>101</v>
      </c>
      <c r="F38" s="15">
        <v>2.6999999999999957</v>
      </c>
      <c r="G38" s="15">
        <f t="shared" ref="G38:Q38" si="3">G37-G41</f>
        <v>2.3999999999999986</v>
      </c>
      <c r="H38" s="15">
        <f t="shared" si="3"/>
        <v>0</v>
      </c>
      <c r="I38" s="15">
        <f t="shared" si="3"/>
        <v>4.2000000000000028</v>
      </c>
      <c r="J38" s="15">
        <f t="shared" si="3"/>
        <v>0</v>
      </c>
      <c r="K38" s="15">
        <f t="shared" si="3"/>
        <v>4</v>
      </c>
      <c r="L38" s="15">
        <f t="shared" si="3"/>
        <v>0</v>
      </c>
      <c r="M38" s="15">
        <f t="shared" si="3"/>
        <v>3.3000000000000043</v>
      </c>
      <c r="N38" s="15">
        <v>2.5</v>
      </c>
      <c r="O38" s="15">
        <f>O37-O41</f>
        <v>2.1000000000000014</v>
      </c>
      <c r="P38" s="15">
        <f t="shared" si="3"/>
        <v>0</v>
      </c>
      <c r="Q38" s="15">
        <f t="shared" si="3"/>
        <v>2.7000000000000028</v>
      </c>
    </row>
    <row r="39" spans="2:17" ht="20.100000000000001" customHeight="1">
      <c r="B39" s="103"/>
      <c r="C39" s="10" t="s">
        <v>75</v>
      </c>
      <c r="D39" s="7" t="s">
        <v>76</v>
      </c>
      <c r="E39" s="7"/>
      <c r="F39" s="8"/>
      <c r="G39" s="8"/>
      <c r="H39" s="9"/>
      <c r="I39" s="9"/>
      <c r="J39" s="8"/>
      <c r="K39" s="8"/>
      <c r="L39" s="9"/>
      <c r="M39" s="9"/>
      <c r="N39" s="8"/>
      <c r="O39" s="8"/>
      <c r="P39" s="9"/>
      <c r="Q39" s="9"/>
    </row>
    <row r="40" spans="2:17" ht="20.100000000000001" customHeight="1">
      <c r="B40" s="103"/>
      <c r="C40" s="10" t="s">
        <v>77</v>
      </c>
      <c r="D40" s="7" t="s">
        <v>42</v>
      </c>
      <c r="E40" s="7">
        <v>30.8</v>
      </c>
      <c r="F40" s="8">
        <v>27.5</v>
      </c>
      <c r="G40" s="8">
        <v>27.7</v>
      </c>
      <c r="H40" s="9"/>
      <c r="I40" s="9">
        <v>27.9</v>
      </c>
      <c r="J40" s="8"/>
      <c r="K40" s="8">
        <v>28</v>
      </c>
      <c r="L40" s="9"/>
      <c r="M40" s="9">
        <v>27.8</v>
      </c>
      <c r="N40" s="8">
        <v>27.5</v>
      </c>
      <c r="O40" s="8">
        <v>27.7</v>
      </c>
      <c r="P40" s="9"/>
      <c r="Q40" s="9">
        <v>27.8</v>
      </c>
    </row>
    <row r="41" spans="2:17" ht="20.100000000000001" customHeight="1">
      <c r="B41" s="103"/>
      <c r="C41" s="10" t="s">
        <v>78</v>
      </c>
      <c r="D41" s="7" t="s">
        <v>42</v>
      </c>
      <c r="E41" s="7">
        <v>36.4</v>
      </c>
      <c r="F41" s="8">
        <v>33.200000000000003</v>
      </c>
      <c r="G41" s="8">
        <v>34.1</v>
      </c>
      <c r="H41" s="9"/>
      <c r="I41" s="9">
        <v>33.299999999999997</v>
      </c>
      <c r="J41" s="8"/>
      <c r="K41" s="8">
        <v>33.200000000000003</v>
      </c>
      <c r="L41" s="9"/>
      <c r="M41" s="9">
        <v>33.9</v>
      </c>
      <c r="N41" s="8">
        <v>32.799999999999997</v>
      </c>
      <c r="O41" s="8">
        <v>34.9</v>
      </c>
      <c r="P41" s="9"/>
      <c r="Q41" s="9">
        <v>33.299999999999997</v>
      </c>
    </row>
    <row r="42" spans="2:17" ht="20.100000000000001" customHeight="1">
      <c r="B42" s="103"/>
      <c r="C42" s="10" t="s">
        <v>79</v>
      </c>
      <c r="D42" s="7" t="s">
        <v>42</v>
      </c>
      <c r="E42" s="7">
        <v>5.6</v>
      </c>
      <c r="F42" s="15">
        <v>5.3000000000000007</v>
      </c>
      <c r="G42" s="15">
        <f t="shared" ref="G42:Q42" si="4">G41-G40</f>
        <v>6.4000000000000021</v>
      </c>
      <c r="H42" s="15">
        <f t="shared" si="4"/>
        <v>0</v>
      </c>
      <c r="I42" s="15">
        <f t="shared" si="4"/>
        <v>5.3999999999999986</v>
      </c>
      <c r="J42" s="15">
        <f t="shared" si="4"/>
        <v>0</v>
      </c>
      <c r="K42" s="15">
        <f t="shared" si="4"/>
        <v>5.2000000000000028</v>
      </c>
      <c r="L42" s="15">
        <f t="shared" si="4"/>
        <v>0</v>
      </c>
      <c r="M42" s="15">
        <f t="shared" si="4"/>
        <v>6.0999999999999979</v>
      </c>
      <c r="N42" s="15">
        <v>5.2999999999999972</v>
      </c>
      <c r="O42" s="15">
        <f>O41-O40</f>
        <v>7.1999999999999993</v>
      </c>
      <c r="P42" s="15">
        <f t="shared" si="4"/>
        <v>0</v>
      </c>
      <c r="Q42" s="15">
        <f t="shared" si="4"/>
        <v>5.4999999999999964</v>
      </c>
    </row>
    <row r="43" spans="2:17" ht="20.100000000000001" customHeight="1">
      <c r="B43" s="103"/>
      <c r="C43" s="10" t="s">
        <v>80</v>
      </c>
      <c r="D43" s="7" t="s">
        <v>61</v>
      </c>
      <c r="E43" s="7">
        <v>1273.0999999999999</v>
      </c>
      <c r="F43" s="8">
        <v>1287.8</v>
      </c>
      <c r="G43" s="8">
        <v>1163.0999999999999</v>
      </c>
      <c r="H43" s="9"/>
      <c r="I43" s="9">
        <v>1156.8</v>
      </c>
      <c r="J43" s="8"/>
      <c r="K43" s="8">
        <v>1180.8</v>
      </c>
      <c r="L43" s="9"/>
      <c r="M43" s="8">
        <v>1153.4000000000001</v>
      </c>
      <c r="N43" s="8">
        <v>1269.2</v>
      </c>
      <c r="O43" s="8">
        <v>1129.9000000000001</v>
      </c>
      <c r="P43" s="9"/>
      <c r="Q43" s="9">
        <v>1178.5999999999999</v>
      </c>
    </row>
    <row r="44" spans="2:17" ht="20.100000000000001" customHeight="1">
      <c r="B44" s="103"/>
      <c r="C44" s="10" t="s">
        <v>81</v>
      </c>
      <c r="D44" s="7" t="s">
        <v>67</v>
      </c>
      <c r="E44" s="7">
        <v>8226.9</v>
      </c>
      <c r="F44" s="16">
        <v>7922.0923787528882</v>
      </c>
      <c r="G44" s="16">
        <f t="shared" ref="G44:Q44" si="5">G42*G43/0.866</f>
        <v>8595.658198614321</v>
      </c>
      <c r="H44" s="16">
        <f t="shared" si="5"/>
        <v>0</v>
      </c>
      <c r="I44" s="16">
        <f t="shared" si="5"/>
        <v>7213.3025404157024</v>
      </c>
      <c r="J44" s="16">
        <f t="shared" si="5"/>
        <v>0</v>
      </c>
      <c r="K44" s="16">
        <f t="shared" si="5"/>
        <v>7090.2540415704425</v>
      </c>
      <c r="L44" s="16">
        <f t="shared" si="5"/>
        <v>0</v>
      </c>
      <c r="M44" s="16">
        <f t="shared" si="5"/>
        <v>8124.4110854503442</v>
      </c>
      <c r="N44" s="16">
        <v>7851.8337182447995</v>
      </c>
      <c r="O44" s="16">
        <f>O42*O43/0.866</f>
        <v>9394.087759815242</v>
      </c>
      <c r="P44" s="16">
        <f t="shared" si="5"/>
        <v>0</v>
      </c>
      <c r="Q44" s="16">
        <f t="shared" si="5"/>
        <v>7485.3348729792096</v>
      </c>
    </row>
    <row r="45" spans="2:17" ht="20.100000000000001" customHeight="1">
      <c r="B45" s="103" t="s">
        <v>82</v>
      </c>
      <c r="C45" s="10" t="s">
        <v>83</v>
      </c>
      <c r="D45" s="7" t="s">
        <v>49</v>
      </c>
      <c r="E45" s="7" t="s">
        <v>84</v>
      </c>
      <c r="F45" s="8">
        <v>0.45</v>
      </c>
      <c r="G45" s="8">
        <v>0.47</v>
      </c>
      <c r="H45" s="9"/>
      <c r="I45" s="9">
        <v>0.46</v>
      </c>
      <c r="J45" s="8"/>
      <c r="K45" s="8">
        <v>0.47</v>
      </c>
      <c r="L45" s="9"/>
      <c r="M45" s="9">
        <v>0.47</v>
      </c>
      <c r="N45" s="8">
        <v>0.44</v>
      </c>
      <c r="O45" s="8">
        <v>0.48</v>
      </c>
      <c r="P45" s="9"/>
      <c r="Q45" s="9">
        <v>0.45</v>
      </c>
    </row>
    <row r="46" spans="2:17" ht="20.100000000000001" customHeight="1">
      <c r="B46" s="103"/>
      <c r="C46" s="10" t="s">
        <v>85</v>
      </c>
      <c r="D46" s="7" t="s">
        <v>42</v>
      </c>
      <c r="E46" s="7" t="s">
        <v>43</v>
      </c>
      <c r="F46" s="8">
        <v>18.899999999999999</v>
      </c>
      <c r="G46" s="8">
        <v>20</v>
      </c>
      <c r="H46" s="9"/>
      <c r="I46" s="9">
        <v>19.8</v>
      </c>
      <c r="J46" s="8"/>
      <c r="K46" s="8">
        <v>19.899999999999999</v>
      </c>
      <c r="L46" s="9"/>
      <c r="M46" s="9">
        <v>19.899999999999999</v>
      </c>
      <c r="N46" s="8">
        <v>18.399999999999999</v>
      </c>
      <c r="O46" s="8">
        <v>19.8</v>
      </c>
      <c r="P46" s="9"/>
      <c r="Q46" s="9">
        <v>19.2</v>
      </c>
    </row>
    <row r="47" spans="2:17" ht="20.100000000000001" customHeight="1">
      <c r="B47" s="103"/>
      <c r="C47" s="10" t="s">
        <v>86</v>
      </c>
      <c r="D47" s="7" t="s">
        <v>76</v>
      </c>
      <c r="E47" s="7" t="s">
        <v>76</v>
      </c>
      <c r="F47" s="8">
        <v>196.4</v>
      </c>
      <c r="G47" s="8">
        <v>171.9</v>
      </c>
      <c r="H47" s="9"/>
      <c r="I47" s="9">
        <v>122.3</v>
      </c>
      <c r="J47" s="8"/>
      <c r="K47" s="8">
        <v>206.9</v>
      </c>
      <c r="L47" s="9"/>
      <c r="M47" s="9">
        <v>204.9</v>
      </c>
      <c r="N47" s="8">
        <v>159.4</v>
      </c>
      <c r="O47" s="8">
        <v>152.9</v>
      </c>
      <c r="P47" s="9"/>
      <c r="Q47" s="9">
        <v>195.5</v>
      </c>
    </row>
    <row r="48" spans="2:17" ht="20.100000000000001" customHeight="1">
      <c r="B48" s="97" t="s">
        <v>87</v>
      </c>
      <c r="C48" s="97"/>
      <c r="D48" s="97"/>
      <c r="E48" s="17" t="s">
        <v>88</v>
      </c>
      <c r="F48" s="8"/>
      <c r="G48" s="8"/>
      <c r="H48" s="9"/>
      <c r="I48" s="9"/>
      <c r="J48" s="8"/>
      <c r="K48" s="8"/>
      <c r="L48" s="9"/>
      <c r="M48" s="9"/>
      <c r="N48" s="8"/>
      <c r="O48" s="8"/>
      <c r="P48" s="9"/>
      <c r="Q48" s="9"/>
    </row>
    <row r="49" spans="2:17" ht="20.100000000000001" customHeight="1">
      <c r="B49" s="97" t="s">
        <v>89</v>
      </c>
      <c r="C49" s="97"/>
      <c r="D49" s="97"/>
      <c r="E49" s="47">
        <v>5.89</v>
      </c>
      <c r="F49" s="8">
        <v>5.87</v>
      </c>
      <c r="G49" s="8">
        <v>5.59</v>
      </c>
      <c r="H49" s="9"/>
      <c r="I49" s="9">
        <v>5.55</v>
      </c>
      <c r="J49" s="8"/>
      <c r="K49" s="8">
        <v>5.5</v>
      </c>
      <c r="L49" s="9"/>
      <c r="M49" s="9">
        <v>5.62</v>
      </c>
      <c r="N49" s="8">
        <v>5.8</v>
      </c>
      <c r="O49" s="8">
        <v>5.35</v>
      </c>
      <c r="P49" s="9"/>
      <c r="Q49" s="9">
        <v>5.57</v>
      </c>
    </row>
    <row r="50" spans="2:17" ht="20.100000000000001" customHeight="1">
      <c r="B50" s="97" t="s">
        <v>90</v>
      </c>
      <c r="C50" s="97"/>
      <c r="D50" s="97"/>
      <c r="E50" s="47"/>
      <c r="F50" s="8"/>
      <c r="G50" s="8"/>
      <c r="H50" s="9"/>
      <c r="I50" s="9"/>
      <c r="J50" s="8"/>
      <c r="K50" s="8"/>
      <c r="L50" s="9"/>
      <c r="M50" s="9"/>
      <c r="N50" s="8"/>
      <c r="O50" s="8"/>
      <c r="P50" s="9"/>
      <c r="Q50" s="9"/>
    </row>
    <row r="51" spans="2:17" ht="20.100000000000001" customHeight="1" thickBot="1">
      <c r="B51" s="97" t="s">
        <v>91</v>
      </c>
      <c r="C51" s="97"/>
      <c r="D51" s="97"/>
      <c r="E51" s="46"/>
      <c r="F51" s="8"/>
      <c r="G51" s="8"/>
      <c r="H51" s="9"/>
      <c r="I51" s="9"/>
      <c r="J51" s="8"/>
      <c r="K51" s="8"/>
      <c r="L51" s="9"/>
      <c r="M51" s="9"/>
      <c r="N51" s="8"/>
      <c r="O51" s="8"/>
      <c r="P51" s="9"/>
      <c r="Q51" s="9"/>
    </row>
    <row r="52" spans="2:17">
      <c r="B52" t="s">
        <v>92</v>
      </c>
      <c r="C52" s="18" t="s">
        <v>93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28"/>
    </row>
    <row r="53" spans="2:17">
      <c r="C53" s="20" t="s">
        <v>94</v>
      </c>
      <c r="Q53" s="31"/>
    </row>
    <row r="54" spans="2:17">
      <c r="C54" s="20" t="s">
        <v>95</v>
      </c>
      <c r="Q54" s="31"/>
    </row>
    <row r="55" spans="2:17">
      <c r="C55" s="20"/>
      <c r="Q55" s="31"/>
    </row>
    <row r="56" spans="2:17">
      <c r="C56" s="20"/>
      <c r="Q56" s="31"/>
    </row>
    <row r="57" spans="2:17">
      <c r="C57" s="20" t="s">
        <v>96</v>
      </c>
      <c r="F57" s="21" t="b">
        <v>0</v>
      </c>
      <c r="G57" s="22" t="s">
        <v>97</v>
      </c>
      <c r="Q57" s="31"/>
    </row>
    <row r="58" spans="2:17">
      <c r="C58" s="20" t="s">
        <v>96</v>
      </c>
      <c r="F58" s="8" t="s">
        <v>98</v>
      </c>
      <c r="G58" s="23" t="s">
        <v>99</v>
      </c>
      <c r="Q58" s="31"/>
    </row>
    <row r="59" spans="2:17" ht="15.75" thickBot="1"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30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3DA19-AA39-4176-97EB-0BEB9C4BFDED}">
  <dimension ref="B1:Q59"/>
  <sheetViews>
    <sheetView view="pageBreakPreview" topLeftCell="A7" zoomScale="85" zoomScaleNormal="60" workbookViewId="0">
      <selection activeCell="D7" sqref="D7:Q7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107"/>
      <c r="C2" s="110" t="s">
        <v>0</v>
      </c>
      <c r="D2" s="111"/>
      <c r="E2" s="111"/>
      <c r="F2" s="111"/>
      <c r="G2" s="111"/>
      <c r="H2" s="111"/>
      <c r="I2" s="111"/>
      <c r="J2" s="111"/>
      <c r="K2" s="111"/>
      <c r="L2" s="111"/>
      <c r="M2" s="112"/>
      <c r="N2" s="18" t="s">
        <v>1</v>
      </c>
      <c r="O2" s="19"/>
      <c r="P2" s="19"/>
      <c r="Q2" s="28"/>
    </row>
    <row r="3" spans="2:17" ht="15.75" thickBot="1">
      <c r="B3" s="108"/>
      <c r="C3" s="113"/>
      <c r="D3" s="114"/>
      <c r="E3" s="114"/>
      <c r="F3" s="114"/>
      <c r="G3" s="114"/>
      <c r="H3" s="114"/>
      <c r="I3" s="114"/>
      <c r="J3" s="114"/>
      <c r="K3" s="114"/>
      <c r="L3" s="114"/>
      <c r="M3" s="115"/>
      <c r="N3" s="26" t="s">
        <v>2</v>
      </c>
      <c r="O3" s="27" t="s">
        <v>3</v>
      </c>
      <c r="P3" s="27"/>
      <c r="Q3" s="29"/>
    </row>
    <row r="4" spans="2:17" ht="15.75" thickBot="1">
      <c r="B4" s="108"/>
      <c r="C4" s="113"/>
      <c r="D4" s="114"/>
      <c r="E4" s="114"/>
      <c r="F4" s="114"/>
      <c r="G4" s="114"/>
      <c r="H4" s="114"/>
      <c r="I4" s="114"/>
      <c r="J4" s="114"/>
      <c r="K4" s="114"/>
      <c r="L4" s="114"/>
      <c r="M4" s="115"/>
      <c r="N4" s="26" t="s">
        <v>4</v>
      </c>
      <c r="O4" s="27"/>
      <c r="P4" s="27"/>
      <c r="Q4" s="29"/>
    </row>
    <row r="5" spans="2:17" ht="15.75" thickBot="1">
      <c r="B5" s="109"/>
      <c r="C5" s="116"/>
      <c r="D5" s="117"/>
      <c r="E5" s="117"/>
      <c r="F5" s="117"/>
      <c r="G5" s="117"/>
      <c r="H5" s="117"/>
      <c r="I5" s="117"/>
      <c r="J5" s="117"/>
      <c r="K5" s="117"/>
      <c r="L5" s="117"/>
      <c r="M5" s="118"/>
      <c r="N5" s="24" t="s">
        <v>5</v>
      </c>
      <c r="O5" s="25"/>
      <c r="P5" s="25"/>
      <c r="Q5" s="30"/>
    </row>
    <row r="7" spans="2:17">
      <c r="B7" s="98" t="s">
        <v>6</v>
      </c>
      <c r="C7" s="99"/>
      <c r="D7" s="100">
        <v>45724</v>
      </c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2"/>
    </row>
    <row r="8" spans="2:17">
      <c r="B8" s="97" t="s">
        <v>7</v>
      </c>
      <c r="C8" s="97"/>
      <c r="D8" s="97"/>
      <c r="E8" s="105" t="s">
        <v>8</v>
      </c>
      <c r="F8" s="103" t="s">
        <v>9</v>
      </c>
      <c r="G8" s="103"/>
      <c r="H8" s="104" t="s">
        <v>10</v>
      </c>
      <c r="I8" s="104"/>
      <c r="J8" s="103" t="s">
        <v>11</v>
      </c>
      <c r="K8" s="103"/>
      <c r="L8" s="104" t="s">
        <v>12</v>
      </c>
      <c r="M8" s="104"/>
      <c r="N8" s="103" t="s">
        <v>13</v>
      </c>
      <c r="O8" s="103"/>
      <c r="P8" s="104" t="s">
        <v>14</v>
      </c>
      <c r="Q8" s="104"/>
    </row>
    <row r="9" spans="2:17">
      <c r="B9" s="98" t="s">
        <v>15</v>
      </c>
      <c r="C9" s="119"/>
      <c r="D9" s="99"/>
      <c r="E9" s="106"/>
      <c r="F9" s="3">
        <v>0.375</v>
      </c>
      <c r="G9" s="32" t="s">
        <v>16</v>
      </c>
      <c r="H9" s="4">
        <v>0.375</v>
      </c>
      <c r="I9" s="33" t="s">
        <v>16</v>
      </c>
      <c r="J9" s="3">
        <v>0.375</v>
      </c>
      <c r="K9" s="32" t="s">
        <v>16</v>
      </c>
      <c r="L9" s="4">
        <v>0.375</v>
      </c>
      <c r="M9" s="33" t="s">
        <v>16</v>
      </c>
      <c r="N9" s="3">
        <v>0.375</v>
      </c>
      <c r="O9" s="32" t="s">
        <v>16</v>
      </c>
      <c r="P9" s="4">
        <v>0.375</v>
      </c>
      <c r="Q9" s="33" t="s">
        <v>16</v>
      </c>
    </row>
    <row r="10" spans="2:17" ht="26.25" customHeight="1">
      <c r="B10" s="120" t="s">
        <v>17</v>
      </c>
      <c r="C10" s="121"/>
      <c r="D10" s="49" t="s">
        <v>18</v>
      </c>
      <c r="E10" s="5"/>
      <c r="F10" s="6" t="s">
        <v>19</v>
      </c>
      <c r="G10" s="34" t="s">
        <v>19</v>
      </c>
      <c r="H10" s="35" t="s">
        <v>19</v>
      </c>
      <c r="I10" s="35" t="s">
        <v>19</v>
      </c>
      <c r="J10" s="34" t="s">
        <v>19</v>
      </c>
      <c r="K10" s="34" t="s">
        <v>19</v>
      </c>
      <c r="L10" s="35" t="s">
        <v>19</v>
      </c>
      <c r="M10" s="35" t="s">
        <v>19</v>
      </c>
      <c r="N10" s="6" t="s">
        <v>19</v>
      </c>
      <c r="O10" s="34" t="s">
        <v>19</v>
      </c>
      <c r="P10" s="35" t="s">
        <v>19</v>
      </c>
      <c r="Q10" s="35" t="s">
        <v>19</v>
      </c>
    </row>
    <row r="11" spans="2:17" ht="20.100000000000001" customHeight="1">
      <c r="B11" s="97" t="s">
        <v>20</v>
      </c>
      <c r="C11" s="97"/>
      <c r="D11" s="7" t="s">
        <v>21</v>
      </c>
      <c r="E11" s="7" t="s">
        <v>22</v>
      </c>
      <c r="F11" s="8"/>
      <c r="G11" s="8"/>
      <c r="H11" s="9"/>
      <c r="I11" s="9"/>
      <c r="J11" s="8">
        <v>76.099999999999994</v>
      </c>
      <c r="K11" s="8"/>
      <c r="L11" s="9"/>
      <c r="M11" s="9"/>
      <c r="N11" s="8"/>
      <c r="O11" s="8"/>
      <c r="P11" s="9">
        <v>77</v>
      </c>
      <c r="Q11" s="9"/>
    </row>
    <row r="12" spans="2:17" ht="20.100000000000001" customHeight="1">
      <c r="B12" s="97" t="s">
        <v>23</v>
      </c>
      <c r="C12" s="97"/>
      <c r="D12" s="7" t="s">
        <v>21</v>
      </c>
      <c r="E12" s="7" t="s">
        <v>22</v>
      </c>
      <c r="F12" s="8"/>
      <c r="G12" s="8"/>
      <c r="H12" s="9"/>
      <c r="I12" s="9"/>
      <c r="J12" s="8">
        <v>0</v>
      </c>
      <c r="K12" s="8"/>
      <c r="L12" s="9"/>
      <c r="M12" s="9"/>
      <c r="N12" s="8"/>
      <c r="O12" s="8"/>
      <c r="P12" s="9">
        <v>0</v>
      </c>
      <c r="Q12" s="9"/>
    </row>
    <row r="13" spans="2:17" ht="20.100000000000001" customHeight="1">
      <c r="B13" s="97" t="s">
        <v>24</v>
      </c>
      <c r="C13" s="97"/>
      <c r="D13" s="7" t="s">
        <v>21</v>
      </c>
      <c r="E13" s="7" t="s">
        <v>22</v>
      </c>
      <c r="F13" s="8"/>
      <c r="G13" s="8"/>
      <c r="H13" s="9"/>
      <c r="I13" s="9"/>
      <c r="J13" s="8">
        <v>70.400000000000006</v>
      </c>
      <c r="K13" s="8"/>
      <c r="L13" s="9"/>
      <c r="M13" s="9"/>
      <c r="N13" s="8"/>
      <c r="O13" s="8"/>
      <c r="P13" s="9">
        <v>72.400000000000006</v>
      </c>
      <c r="Q13" s="9"/>
    </row>
    <row r="14" spans="2:17" ht="20.100000000000001" customHeight="1">
      <c r="B14" s="97" t="s">
        <v>25</v>
      </c>
      <c r="C14" s="97"/>
      <c r="D14" s="7" t="s">
        <v>21</v>
      </c>
      <c r="E14" s="7" t="s">
        <v>22</v>
      </c>
      <c r="F14" s="8"/>
      <c r="G14" s="8"/>
      <c r="H14" s="9"/>
      <c r="I14" s="9"/>
      <c r="J14" s="8">
        <v>63.7</v>
      </c>
      <c r="K14" s="8"/>
      <c r="L14" s="9"/>
      <c r="M14" s="9"/>
      <c r="N14" s="8"/>
      <c r="O14" s="8"/>
      <c r="P14" s="9">
        <v>72.5</v>
      </c>
      <c r="Q14" s="9"/>
    </row>
    <row r="15" spans="2:17" ht="20.100000000000001" customHeight="1">
      <c r="B15" s="97" t="s">
        <v>26</v>
      </c>
      <c r="C15" s="97"/>
      <c r="D15" s="7" t="s">
        <v>21</v>
      </c>
      <c r="E15" s="7" t="s">
        <v>22</v>
      </c>
      <c r="F15" s="8"/>
      <c r="G15" s="8"/>
      <c r="H15" s="9"/>
      <c r="I15" s="9"/>
      <c r="J15" s="8">
        <v>36.799999999999997</v>
      </c>
      <c r="K15" s="8"/>
      <c r="L15" s="9"/>
      <c r="M15" s="9"/>
      <c r="N15" s="8"/>
      <c r="O15" s="8"/>
      <c r="P15" s="9">
        <v>43.2</v>
      </c>
      <c r="Q15" s="9"/>
    </row>
    <row r="16" spans="2:17" ht="20.100000000000001" customHeight="1">
      <c r="B16" s="103" t="s">
        <v>27</v>
      </c>
      <c r="C16" s="10" t="s">
        <v>28</v>
      </c>
      <c r="D16" s="7" t="s">
        <v>29</v>
      </c>
      <c r="E16" s="7" t="s">
        <v>30</v>
      </c>
      <c r="F16" s="8"/>
      <c r="G16" s="8"/>
      <c r="H16" s="8"/>
      <c r="I16" s="8"/>
      <c r="J16" s="8">
        <v>6.6</v>
      </c>
      <c r="K16" s="8"/>
      <c r="L16" s="8"/>
      <c r="M16" s="8"/>
      <c r="N16" s="8"/>
      <c r="O16" s="8"/>
      <c r="P16" s="8">
        <v>6.6</v>
      </c>
      <c r="Q16" s="8"/>
    </row>
    <row r="17" spans="2:17" ht="20.100000000000001" customHeight="1">
      <c r="B17" s="103"/>
      <c r="C17" s="10" t="s">
        <v>31</v>
      </c>
      <c r="D17" s="7" t="s">
        <v>32</v>
      </c>
      <c r="E17" s="7" t="s">
        <v>33</v>
      </c>
      <c r="F17" s="8"/>
      <c r="G17" s="8"/>
      <c r="H17" s="9"/>
      <c r="I17" s="9"/>
      <c r="J17" s="8">
        <v>117.4</v>
      </c>
      <c r="K17" s="8"/>
      <c r="L17" s="9"/>
      <c r="M17" s="9"/>
      <c r="N17" s="8"/>
      <c r="O17" s="8"/>
      <c r="P17" s="9">
        <v>122.1</v>
      </c>
      <c r="Q17" s="9"/>
    </row>
    <row r="18" spans="2:17" ht="20.100000000000001" customHeight="1">
      <c r="B18" s="103"/>
      <c r="C18" s="10" t="s">
        <v>34</v>
      </c>
      <c r="D18" s="7" t="s">
        <v>35</v>
      </c>
      <c r="E18" s="7" t="s">
        <v>36</v>
      </c>
      <c r="F18" s="8"/>
      <c r="G18" s="8"/>
      <c r="H18" s="9"/>
      <c r="I18" s="9"/>
      <c r="J18" s="8">
        <v>1199</v>
      </c>
      <c r="K18" s="8"/>
      <c r="L18" s="9"/>
      <c r="M18" s="9"/>
      <c r="N18" s="8"/>
      <c r="O18" s="8"/>
      <c r="P18" s="9">
        <v>1240</v>
      </c>
      <c r="Q18" s="9"/>
    </row>
    <row r="19" spans="2:17" ht="20.100000000000001" customHeight="1">
      <c r="B19" s="103" t="s">
        <v>37</v>
      </c>
      <c r="C19" s="10" t="s">
        <v>38</v>
      </c>
      <c r="D19" s="7" t="s">
        <v>39</v>
      </c>
      <c r="E19" s="11" t="s">
        <v>40</v>
      </c>
      <c r="F19" s="8"/>
      <c r="G19" s="8"/>
      <c r="H19" s="9"/>
      <c r="I19" s="9"/>
      <c r="J19" s="8">
        <v>48318</v>
      </c>
      <c r="K19" s="8"/>
      <c r="L19" s="9"/>
      <c r="M19" s="9"/>
      <c r="N19" s="8"/>
      <c r="O19" s="8"/>
      <c r="P19" s="9">
        <v>50048.4</v>
      </c>
      <c r="Q19" s="9"/>
    </row>
    <row r="20" spans="2:17" ht="20.100000000000001" customHeight="1">
      <c r="B20" s="103"/>
      <c r="C20" s="10" t="s">
        <v>41</v>
      </c>
      <c r="D20" s="7" t="s">
        <v>42</v>
      </c>
      <c r="E20" s="7" t="s">
        <v>43</v>
      </c>
      <c r="F20" s="8"/>
      <c r="G20" s="8"/>
      <c r="H20" s="9"/>
      <c r="I20" s="9"/>
      <c r="J20" s="8"/>
      <c r="K20" s="8"/>
      <c r="L20" s="9"/>
      <c r="M20" s="9"/>
      <c r="N20" s="8"/>
      <c r="O20" s="8"/>
      <c r="P20" s="9"/>
      <c r="Q20" s="9"/>
    </row>
    <row r="21" spans="2:17" ht="20.100000000000001" customHeight="1">
      <c r="B21" s="103"/>
      <c r="C21" s="10" t="s">
        <v>44</v>
      </c>
      <c r="D21" s="7" t="s">
        <v>42</v>
      </c>
      <c r="E21" s="7" t="s">
        <v>45</v>
      </c>
      <c r="F21" s="8"/>
      <c r="G21" s="8"/>
      <c r="H21" s="9"/>
      <c r="I21" s="9"/>
      <c r="J21" s="8"/>
      <c r="K21" s="8"/>
      <c r="L21" s="9"/>
      <c r="M21" s="9"/>
      <c r="N21" s="8"/>
      <c r="O21" s="8"/>
      <c r="P21" s="9"/>
      <c r="Q21" s="9"/>
    </row>
    <row r="22" spans="2:17" ht="20.100000000000001" customHeight="1">
      <c r="B22" s="103"/>
      <c r="C22" s="10" t="s">
        <v>46</v>
      </c>
      <c r="D22" s="7" t="s">
        <v>42</v>
      </c>
      <c r="E22" s="7" t="s">
        <v>47</v>
      </c>
      <c r="F22" s="8"/>
      <c r="G22" s="8"/>
      <c r="H22" s="9"/>
      <c r="I22" s="9"/>
      <c r="J22" s="8">
        <v>57.5</v>
      </c>
      <c r="K22" s="8"/>
      <c r="L22" s="9"/>
      <c r="M22" s="9"/>
      <c r="N22" s="8"/>
      <c r="O22" s="8"/>
      <c r="P22" s="9">
        <v>59</v>
      </c>
      <c r="Q22" s="9"/>
    </row>
    <row r="23" spans="2:17" ht="60">
      <c r="B23" s="103"/>
      <c r="C23" s="12" t="s">
        <v>48</v>
      </c>
      <c r="D23" s="8" t="s">
        <v>49</v>
      </c>
      <c r="E23" s="13" t="s">
        <v>50</v>
      </c>
      <c r="F23" s="8"/>
      <c r="G23" s="8"/>
      <c r="H23" s="9"/>
      <c r="I23" s="9"/>
      <c r="J23" s="8">
        <v>0.59</v>
      </c>
      <c r="K23" s="8"/>
      <c r="L23" s="9"/>
      <c r="M23" s="9"/>
      <c r="N23" s="8"/>
      <c r="O23" s="8"/>
      <c r="P23" s="9">
        <v>0.5</v>
      </c>
      <c r="Q23" s="9"/>
    </row>
    <row r="24" spans="2:17" ht="39.75" customHeight="1">
      <c r="B24" s="103"/>
      <c r="C24" s="12" t="s">
        <v>51</v>
      </c>
      <c r="D24" s="7"/>
      <c r="E24" s="7"/>
      <c r="F24" s="8"/>
      <c r="G24" s="8"/>
      <c r="H24" s="9"/>
      <c r="I24" s="9"/>
      <c r="J24" s="8"/>
      <c r="K24" s="8"/>
      <c r="L24" s="8"/>
      <c r="M24" s="9"/>
      <c r="N24" s="8"/>
      <c r="O24" s="8"/>
      <c r="P24" s="9"/>
      <c r="Q24" s="9"/>
    </row>
    <row r="25" spans="2:17" ht="20.100000000000001" customHeight="1">
      <c r="B25" s="103"/>
      <c r="C25" s="10" t="s">
        <v>52</v>
      </c>
      <c r="D25" s="7" t="s">
        <v>42</v>
      </c>
      <c r="E25" s="7" t="s">
        <v>53</v>
      </c>
      <c r="F25" s="8"/>
      <c r="G25" s="8"/>
      <c r="H25" s="9"/>
      <c r="I25" s="9"/>
      <c r="J25" s="8">
        <v>45.1</v>
      </c>
      <c r="K25" s="8"/>
      <c r="L25" s="9"/>
      <c r="M25" s="9"/>
      <c r="N25" s="8"/>
      <c r="O25" s="8"/>
      <c r="P25" s="9">
        <v>45.1</v>
      </c>
      <c r="Q25" s="9"/>
    </row>
    <row r="26" spans="2:17" ht="20.100000000000001" customHeight="1">
      <c r="B26" s="103" t="s">
        <v>54</v>
      </c>
      <c r="C26" s="10" t="s">
        <v>55</v>
      </c>
      <c r="D26" s="7" t="s">
        <v>49</v>
      </c>
      <c r="E26" s="14" t="s">
        <v>56</v>
      </c>
      <c r="F26" s="8"/>
      <c r="G26" s="8"/>
      <c r="H26" s="9"/>
      <c r="I26" s="9"/>
      <c r="J26" s="8">
        <v>0.23</v>
      </c>
      <c r="K26" s="8"/>
      <c r="L26" s="9"/>
      <c r="M26" s="9"/>
      <c r="N26" s="8"/>
      <c r="O26" s="8"/>
      <c r="P26" s="9">
        <v>0.23</v>
      </c>
      <c r="Q26" s="9"/>
    </row>
    <row r="27" spans="2:17" ht="20.100000000000001" customHeight="1">
      <c r="B27" s="103"/>
      <c r="C27" s="10" t="s">
        <v>57</v>
      </c>
      <c r="D27" s="7" t="s">
        <v>42</v>
      </c>
      <c r="E27" s="7" t="s">
        <v>43</v>
      </c>
      <c r="F27" s="8"/>
      <c r="G27" s="8"/>
      <c r="H27" s="9"/>
      <c r="I27" s="9"/>
      <c r="J27" s="8">
        <v>4.2</v>
      </c>
      <c r="K27" s="8"/>
      <c r="L27" s="9"/>
      <c r="M27" s="9"/>
      <c r="N27" s="8"/>
      <c r="O27" s="8"/>
      <c r="P27" s="9">
        <v>5</v>
      </c>
      <c r="Q27" s="9"/>
    </row>
    <row r="28" spans="2:17" ht="20.100000000000001" customHeight="1">
      <c r="B28" s="103"/>
      <c r="C28" s="10" t="s">
        <v>58</v>
      </c>
      <c r="D28" s="7" t="s">
        <v>42</v>
      </c>
      <c r="E28" s="7" t="s">
        <v>43</v>
      </c>
      <c r="F28" s="8"/>
      <c r="G28" s="8"/>
      <c r="H28" s="9"/>
      <c r="I28" s="9"/>
      <c r="J28" s="8">
        <v>3.3</v>
      </c>
      <c r="K28" s="8"/>
      <c r="L28" s="9"/>
      <c r="M28" s="9"/>
      <c r="N28" s="8"/>
      <c r="O28" s="8"/>
      <c r="P28" s="9">
        <v>4</v>
      </c>
      <c r="Q28" s="9"/>
    </row>
    <row r="29" spans="2:17" ht="20.100000000000001" customHeight="1">
      <c r="B29" s="103"/>
      <c r="C29" s="10" t="s">
        <v>59</v>
      </c>
      <c r="D29" s="7" t="s">
        <v>42</v>
      </c>
      <c r="E29" s="7" t="s">
        <v>43</v>
      </c>
      <c r="F29" s="15">
        <f>F32-F28</f>
        <v>0</v>
      </c>
      <c r="G29" s="15">
        <f>G32-G28</f>
        <v>0</v>
      </c>
      <c r="H29" s="15">
        <f t="shared" ref="H29:Q29" si="0">H32-H28</f>
        <v>0</v>
      </c>
      <c r="I29" s="15">
        <f t="shared" si="0"/>
        <v>0</v>
      </c>
      <c r="J29" s="15">
        <f t="shared" si="0"/>
        <v>0.79999999999999982</v>
      </c>
      <c r="K29" s="15">
        <f t="shared" si="0"/>
        <v>0</v>
      </c>
      <c r="L29" s="15">
        <f t="shared" si="0"/>
        <v>0</v>
      </c>
      <c r="M29" s="15">
        <f t="shared" si="0"/>
        <v>0</v>
      </c>
      <c r="N29" s="15">
        <f>N32-N28</f>
        <v>0</v>
      </c>
      <c r="O29" s="15">
        <f>O32-O28</f>
        <v>0</v>
      </c>
      <c r="P29" s="15">
        <f t="shared" si="0"/>
        <v>1.0999999999999996</v>
      </c>
      <c r="Q29" s="15">
        <f t="shared" si="0"/>
        <v>0</v>
      </c>
    </row>
    <row r="30" spans="2:17" ht="20.100000000000001" customHeight="1">
      <c r="B30" s="103"/>
      <c r="C30" s="10" t="s">
        <v>60</v>
      </c>
      <c r="D30" s="7" t="s">
        <v>61</v>
      </c>
      <c r="E30" s="7" t="s">
        <v>62</v>
      </c>
      <c r="F30" s="8"/>
      <c r="G30" s="8"/>
      <c r="H30" s="9"/>
      <c r="I30" s="9"/>
      <c r="J30" s="8">
        <v>637.29999999999995</v>
      </c>
      <c r="K30" s="8"/>
      <c r="L30" s="9"/>
      <c r="M30" s="9"/>
      <c r="N30" s="8"/>
      <c r="O30" s="8"/>
      <c r="P30" s="9">
        <v>674.9</v>
      </c>
      <c r="Q30" s="9"/>
    </row>
    <row r="31" spans="2:17" ht="20.100000000000001" customHeight="1">
      <c r="B31" s="103"/>
      <c r="C31" s="10" t="s">
        <v>63</v>
      </c>
      <c r="D31" s="7" t="s">
        <v>42</v>
      </c>
      <c r="E31" s="7">
        <v>13.5</v>
      </c>
      <c r="F31" s="8"/>
      <c r="G31" s="8"/>
      <c r="H31" s="9"/>
      <c r="I31" s="9"/>
      <c r="J31" s="8">
        <v>13.1</v>
      </c>
      <c r="K31" s="8"/>
      <c r="L31" s="9"/>
      <c r="M31" s="9"/>
      <c r="N31" s="8"/>
      <c r="O31" s="8"/>
      <c r="P31" s="9">
        <v>13.5</v>
      </c>
      <c r="Q31" s="9"/>
    </row>
    <row r="32" spans="2:17" ht="20.100000000000001" customHeight="1">
      <c r="B32" s="103"/>
      <c r="C32" s="10" t="s">
        <v>64</v>
      </c>
      <c r="D32" s="7" t="s">
        <v>42</v>
      </c>
      <c r="E32" s="7">
        <v>4</v>
      </c>
      <c r="F32" s="8"/>
      <c r="G32" s="8"/>
      <c r="H32" s="9"/>
      <c r="I32" s="9"/>
      <c r="J32" s="8">
        <v>4.0999999999999996</v>
      </c>
      <c r="K32" s="8"/>
      <c r="L32" s="9"/>
      <c r="M32" s="9"/>
      <c r="N32" s="8"/>
      <c r="O32" s="8"/>
      <c r="P32" s="9">
        <v>5.0999999999999996</v>
      </c>
      <c r="Q32" s="9"/>
    </row>
    <row r="33" spans="2:17" ht="20.100000000000001" customHeight="1">
      <c r="B33" s="103"/>
      <c r="C33" s="10" t="s">
        <v>65</v>
      </c>
      <c r="D33" s="7" t="s">
        <v>42</v>
      </c>
      <c r="E33" s="7">
        <v>9.5</v>
      </c>
      <c r="F33" s="15">
        <f>F31-F32</f>
        <v>0</v>
      </c>
      <c r="G33" s="15">
        <f>G31-G32</f>
        <v>0</v>
      </c>
      <c r="H33" s="15">
        <f t="shared" ref="H33:Q33" si="1">H31-H32</f>
        <v>0</v>
      </c>
      <c r="I33" s="15">
        <f t="shared" si="1"/>
        <v>0</v>
      </c>
      <c r="J33" s="15">
        <f t="shared" si="1"/>
        <v>9</v>
      </c>
      <c r="K33" s="15">
        <f t="shared" si="1"/>
        <v>0</v>
      </c>
      <c r="L33" s="15">
        <f t="shared" si="1"/>
        <v>0</v>
      </c>
      <c r="M33" s="15">
        <f t="shared" si="1"/>
        <v>0</v>
      </c>
      <c r="N33" s="15">
        <f>N31-N32</f>
        <v>0</v>
      </c>
      <c r="O33" s="15">
        <f>O31-O32</f>
        <v>0</v>
      </c>
      <c r="P33" s="15">
        <f t="shared" si="1"/>
        <v>8.4</v>
      </c>
      <c r="Q33" s="15">
        <f t="shared" si="1"/>
        <v>0</v>
      </c>
    </row>
    <row r="34" spans="2:17" ht="20.100000000000001" customHeight="1">
      <c r="B34" s="103"/>
      <c r="C34" s="10" t="s">
        <v>66</v>
      </c>
      <c r="D34" s="7" t="s">
        <v>67</v>
      </c>
      <c r="E34" s="7" t="s">
        <v>68</v>
      </c>
      <c r="F34" s="16">
        <f>(F33*F30)/0.866</f>
        <v>0</v>
      </c>
      <c r="G34" s="16">
        <f>(G33*G30)/0.866</f>
        <v>0</v>
      </c>
      <c r="H34" s="16">
        <f t="shared" ref="H34:Q34" si="2">(H33*H30)/0.866</f>
        <v>0</v>
      </c>
      <c r="I34" s="16">
        <f t="shared" si="2"/>
        <v>0</v>
      </c>
      <c r="J34" s="16">
        <f t="shared" si="2"/>
        <v>6623.210161662817</v>
      </c>
      <c r="K34" s="16">
        <f t="shared" si="2"/>
        <v>0</v>
      </c>
      <c r="L34" s="16">
        <f t="shared" si="2"/>
        <v>0</v>
      </c>
      <c r="M34" s="16">
        <f t="shared" si="2"/>
        <v>0</v>
      </c>
      <c r="N34" s="16">
        <f>(N33*N30)/0.866</f>
        <v>0</v>
      </c>
      <c r="O34" s="16">
        <f>(O33*O30)/0.866</f>
        <v>0</v>
      </c>
      <c r="P34" s="16">
        <f t="shared" si="2"/>
        <v>6546.3741339491917</v>
      </c>
      <c r="Q34" s="16">
        <f t="shared" si="2"/>
        <v>0</v>
      </c>
    </row>
    <row r="35" spans="2:17" ht="20.100000000000001" customHeight="1">
      <c r="B35" s="103" t="s">
        <v>69</v>
      </c>
      <c r="C35" s="10" t="s">
        <v>70</v>
      </c>
      <c r="D35" s="7" t="s">
        <v>49</v>
      </c>
      <c r="E35" s="7" t="s">
        <v>71</v>
      </c>
      <c r="F35" s="8"/>
      <c r="G35" s="8"/>
      <c r="H35" s="9"/>
      <c r="I35" s="9"/>
      <c r="J35" s="8">
        <v>0.85</v>
      </c>
      <c r="K35" s="8"/>
      <c r="L35" s="9"/>
      <c r="M35" s="9"/>
      <c r="N35" s="8"/>
      <c r="O35" s="8"/>
      <c r="P35" s="9">
        <v>0.85</v>
      </c>
      <c r="Q35" s="9"/>
    </row>
    <row r="36" spans="2:17" ht="20.100000000000001" customHeight="1">
      <c r="B36" s="103"/>
      <c r="C36" s="10" t="s">
        <v>72</v>
      </c>
      <c r="D36" s="7" t="s">
        <v>42</v>
      </c>
      <c r="E36" s="7" t="s">
        <v>43</v>
      </c>
      <c r="F36" s="8"/>
      <c r="G36" s="8"/>
      <c r="H36" s="9"/>
      <c r="I36" s="9"/>
      <c r="J36" s="8">
        <v>36.799999999999997</v>
      </c>
      <c r="K36" s="8"/>
      <c r="L36" s="9"/>
      <c r="M36" s="9"/>
      <c r="N36" s="8"/>
      <c r="O36" s="8"/>
      <c r="P36" s="9">
        <v>37.1</v>
      </c>
      <c r="Q36" s="9"/>
    </row>
    <row r="37" spans="2:17" ht="20.100000000000001" customHeight="1">
      <c r="B37" s="103"/>
      <c r="C37" s="10" t="s">
        <v>73</v>
      </c>
      <c r="D37" s="7" t="s">
        <v>42</v>
      </c>
      <c r="E37" s="7" t="s">
        <v>43</v>
      </c>
      <c r="F37" s="8"/>
      <c r="G37" s="8"/>
      <c r="H37" s="9"/>
      <c r="I37" s="9"/>
      <c r="J37" s="8">
        <v>37.5</v>
      </c>
      <c r="K37" s="8"/>
      <c r="L37" s="9"/>
      <c r="M37" s="9"/>
      <c r="N37" s="8"/>
      <c r="O37" s="8"/>
      <c r="P37" s="9">
        <v>37.799999999999997</v>
      </c>
      <c r="Q37" s="9"/>
    </row>
    <row r="38" spans="2:17" ht="20.100000000000001" customHeight="1">
      <c r="B38" s="103"/>
      <c r="C38" s="12" t="s">
        <v>74</v>
      </c>
      <c r="D38" s="7" t="s">
        <v>42</v>
      </c>
      <c r="E38" s="7" t="s">
        <v>101</v>
      </c>
      <c r="F38" s="15">
        <f>F37-F41</f>
        <v>0</v>
      </c>
      <c r="G38" s="15">
        <f>G37-G41</f>
        <v>0</v>
      </c>
      <c r="H38" s="15">
        <f t="shared" ref="H38:Q38" si="3">H37-H41</f>
        <v>0</v>
      </c>
      <c r="I38" s="15">
        <f t="shared" si="3"/>
        <v>0</v>
      </c>
      <c r="J38" s="15">
        <f t="shared" si="3"/>
        <v>2.2999999999999972</v>
      </c>
      <c r="K38" s="15">
        <f t="shared" si="3"/>
        <v>0</v>
      </c>
      <c r="L38" s="15">
        <f t="shared" si="3"/>
        <v>0</v>
      </c>
      <c r="M38" s="15">
        <f t="shared" si="3"/>
        <v>0</v>
      </c>
      <c r="N38" s="15">
        <f>N37-N41</f>
        <v>0</v>
      </c>
      <c r="O38" s="15">
        <f>O37-O41</f>
        <v>0</v>
      </c>
      <c r="P38" s="15">
        <f t="shared" si="3"/>
        <v>2.8999999999999986</v>
      </c>
      <c r="Q38" s="15">
        <f t="shared" si="3"/>
        <v>0</v>
      </c>
    </row>
    <row r="39" spans="2:17" ht="20.100000000000001" customHeight="1">
      <c r="B39" s="103"/>
      <c r="C39" s="10" t="s">
        <v>75</v>
      </c>
      <c r="D39" s="7" t="s">
        <v>76</v>
      </c>
      <c r="E39" s="7"/>
      <c r="F39" s="8"/>
      <c r="G39" s="8"/>
      <c r="H39" s="9"/>
      <c r="I39" s="9"/>
      <c r="J39" s="8"/>
      <c r="K39" s="8"/>
      <c r="L39" s="9"/>
      <c r="M39" s="9"/>
      <c r="N39" s="8"/>
      <c r="O39" s="8"/>
      <c r="P39" s="9"/>
      <c r="Q39" s="9"/>
    </row>
    <row r="40" spans="2:17" ht="20.100000000000001" customHeight="1">
      <c r="B40" s="103"/>
      <c r="C40" s="10" t="s">
        <v>77</v>
      </c>
      <c r="D40" s="7" t="s">
        <v>42</v>
      </c>
      <c r="E40" s="7">
        <v>30.8</v>
      </c>
      <c r="F40" s="8"/>
      <c r="G40" s="8"/>
      <c r="H40" s="9"/>
      <c r="I40" s="9"/>
      <c r="J40" s="8">
        <v>29.8</v>
      </c>
      <c r="K40" s="8"/>
      <c r="L40" s="9"/>
      <c r="M40" s="9"/>
      <c r="N40" s="8"/>
      <c r="O40" s="8"/>
      <c r="P40" s="9">
        <v>29.5</v>
      </c>
      <c r="Q40" s="9"/>
    </row>
    <row r="41" spans="2:17" ht="20.100000000000001" customHeight="1">
      <c r="B41" s="103"/>
      <c r="C41" s="10" t="s">
        <v>78</v>
      </c>
      <c r="D41" s="7" t="s">
        <v>42</v>
      </c>
      <c r="E41" s="7">
        <v>36.4</v>
      </c>
      <c r="F41" s="8"/>
      <c r="G41" s="8"/>
      <c r="H41" s="9"/>
      <c r="I41" s="9"/>
      <c r="J41" s="8">
        <v>35.200000000000003</v>
      </c>
      <c r="K41" s="8"/>
      <c r="L41" s="9"/>
      <c r="M41" s="9"/>
      <c r="N41" s="8"/>
      <c r="O41" s="8"/>
      <c r="P41" s="9">
        <v>34.9</v>
      </c>
      <c r="Q41" s="9"/>
    </row>
    <row r="42" spans="2:17" ht="20.100000000000001" customHeight="1">
      <c r="B42" s="103"/>
      <c r="C42" s="10" t="s">
        <v>79</v>
      </c>
      <c r="D42" s="7" t="s">
        <v>42</v>
      </c>
      <c r="E42" s="7">
        <v>5.6</v>
      </c>
      <c r="F42" s="15">
        <f>F41-F40</f>
        <v>0</v>
      </c>
      <c r="G42" s="15">
        <f>G41-G40</f>
        <v>0</v>
      </c>
      <c r="H42" s="15">
        <f t="shared" ref="H42:Q42" si="4">H41-H40</f>
        <v>0</v>
      </c>
      <c r="I42" s="15">
        <f t="shared" si="4"/>
        <v>0</v>
      </c>
      <c r="J42" s="15">
        <f t="shared" si="4"/>
        <v>5.4000000000000021</v>
      </c>
      <c r="K42" s="15">
        <f t="shared" si="4"/>
        <v>0</v>
      </c>
      <c r="L42" s="15">
        <f t="shared" si="4"/>
        <v>0</v>
      </c>
      <c r="M42" s="15">
        <f t="shared" si="4"/>
        <v>0</v>
      </c>
      <c r="N42" s="15">
        <f>N41-N40</f>
        <v>0</v>
      </c>
      <c r="O42" s="15">
        <f>O41-O40</f>
        <v>0</v>
      </c>
      <c r="P42" s="15">
        <f t="shared" si="4"/>
        <v>5.3999999999999986</v>
      </c>
      <c r="Q42" s="15">
        <f t="shared" si="4"/>
        <v>0</v>
      </c>
    </row>
    <row r="43" spans="2:17" ht="20.100000000000001" customHeight="1">
      <c r="B43" s="103"/>
      <c r="C43" s="10" t="s">
        <v>80</v>
      </c>
      <c r="D43" s="7" t="s">
        <v>61</v>
      </c>
      <c r="E43" s="7">
        <v>1273.0999999999999</v>
      </c>
      <c r="F43" s="8"/>
      <c r="G43" s="8"/>
      <c r="H43" s="9"/>
      <c r="I43" s="9"/>
      <c r="J43" s="8">
        <v>1292.5</v>
      </c>
      <c r="K43" s="8"/>
      <c r="L43" s="9"/>
      <c r="M43" s="8"/>
      <c r="N43" s="8"/>
      <c r="O43" s="8"/>
      <c r="P43" s="9">
        <v>1289</v>
      </c>
      <c r="Q43" s="9"/>
    </row>
    <row r="44" spans="2:17" ht="20.100000000000001" customHeight="1">
      <c r="B44" s="103"/>
      <c r="C44" s="10" t="s">
        <v>81</v>
      </c>
      <c r="D44" s="7" t="s">
        <v>67</v>
      </c>
      <c r="E44" s="7">
        <v>8226.9</v>
      </c>
      <c r="F44" s="16">
        <f>F42*F43/0.866</f>
        <v>0</v>
      </c>
      <c r="G44" s="16">
        <f>G42*G43/0.866</f>
        <v>0</v>
      </c>
      <c r="H44" s="16">
        <f t="shared" ref="H44:Q44" si="5">H42*H43/0.866</f>
        <v>0</v>
      </c>
      <c r="I44" s="16">
        <f t="shared" si="5"/>
        <v>0</v>
      </c>
      <c r="J44" s="16">
        <f t="shared" si="5"/>
        <v>8059.4688221709039</v>
      </c>
      <c r="K44" s="16">
        <f t="shared" si="5"/>
        <v>0</v>
      </c>
      <c r="L44" s="16">
        <f t="shared" si="5"/>
        <v>0</v>
      </c>
      <c r="M44" s="16">
        <f t="shared" si="5"/>
        <v>0</v>
      </c>
      <c r="N44" s="16">
        <f>N42*N43/0.866</f>
        <v>0</v>
      </c>
      <c r="O44" s="16">
        <f>O42*O43/0.866</f>
        <v>0</v>
      </c>
      <c r="P44" s="16">
        <f t="shared" si="5"/>
        <v>8037.6443418013841</v>
      </c>
      <c r="Q44" s="16">
        <f t="shared" si="5"/>
        <v>0</v>
      </c>
    </row>
    <row r="45" spans="2:17" ht="20.100000000000001" customHeight="1">
      <c r="B45" s="103" t="s">
        <v>82</v>
      </c>
      <c r="C45" s="10" t="s">
        <v>83</v>
      </c>
      <c r="D45" s="7" t="s">
        <v>49</v>
      </c>
      <c r="E45" s="7" t="s">
        <v>84</v>
      </c>
      <c r="F45" s="8"/>
      <c r="G45" s="8"/>
      <c r="H45" s="9"/>
      <c r="I45" s="9"/>
      <c r="J45" s="8">
        <v>0.46</v>
      </c>
      <c r="K45" s="8"/>
      <c r="L45" s="9"/>
      <c r="M45" s="9"/>
      <c r="N45" s="8"/>
      <c r="O45" s="8"/>
      <c r="P45" s="9">
        <v>0.48</v>
      </c>
      <c r="Q45" s="9"/>
    </row>
    <row r="46" spans="2:17" ht="20.100000000000001" customHeight="1">
      <c r="B46" s="103"/>
      <c r="C46" s="10" t="s">
        <v>85</v>
      </c>
      <c r="D46" s="7" t="s">
        <v>42</v>
      </c>
      <c r="E46" s="7" t="s">
        <v>43</v>
      </c>
      <c r="F46" s="8"/>
      <c r="G46" s="8"/>
      <c r="H46" s="9"/>
      <c r="I46" s="9"/>
      <c r="J46" s="8">
        <v>19.899999999999999</v>
      </c>
      <c r="K46" s="8"/>
      <c r="L46" s="9"/>
      <c r="M46" s="9"/>
      <c r="N46" s="8"/>
      <c r="O46" s="8"/>
      <c r="P46" s="9">
        <v>20.5</v>
      </c>
      <c r="Q46" s="9"/>
    </row>
    <row r="47" spans="2:17" ht="20.100000000000001" customHeight="1">
      <c r="B47" s="103"/>
      <c r="C47" s="10" t="s">
        <v>86</v>
      </c>
      <c r="D47" s="7" t="s">
        <v>76</v>
      </c>
      <c r="E47" s="7" t="s">
        <v>76</v>
      </c>
      <c r="F47" s="8"/>
      <c r="G47" s="8"/>
      <c r="H47" s="9"/>
      <c r="I47" s="9"/>
      <c r="J47" s="8">
        <v>203.2</v>
      </c>
      <c r="K47" s="8"/>
      <c r="L47" s="9"/>
      <c r="M47" s="9"/>
      <c r="N47" s="8"/>
      <c r="O47" s="8"/>
      <c r="P47" s="9">
        <v>2000.8</v>
      </c>
      <c r="Q47" s="9"/>
    </row>
    <row r="48" spans="2:17" ht="20.100000000000001" customHeight="1">
      <c r="B48" s="97" t="s">
        <v>87</v>
      </c>
      <c r="C48" s="97"/>
      <c r="D48" s="97"/>
      <c r="E48" s="17" t="s">
        <v>88</v>
      </c>
      <c r="F48" s="8"/>
      <c r="G48" s="8"/>
      <c r="H48" s="9"/>
      <c r="I48" s="9"/>
      <c r="J48" s="8"/>
      <c r="K48" s="8"/>
      <c r="L48" s="9"/>
      <c r="M48" s="9"/>
      <c r="N48" s="8"/>
      <c r="O48" s="8"/>
      <c r="P48" s="9"/>
      <c r="Q48" s="9"/>
    </row>
    <row r="49" spans="2:17" ht="20.100000000000001" customHeight="1">
      <c r="B49" s="97" t="s">
        <v>89</v>
      </c>
      <c r="C49" s="97"/>
      <c r="D49" s="97"/>
      <c r="E49" s="49">
        <v>5.89</v>
      </c>
      <c r="F49" s="8"/>
      <c r="G49" s="8"/>
      <c r="H49" s="9"/>
      <c r="I49" s="9"/>
      <c r="J49" s="8">
        <v>5.57</v>
      </c>
      <c r="K49" s="8"/>
      <c r="L49" s="9"/>
      <c r="M49" s="9"/>
      <c r="N49" s="8"/>
      <c r="O49" s="8"/>
      <c r="P49" s="9">
        <v>5.05</v>
      </c>
      <c r="Q49" s="9"/>
    </row>
    <row r="50" spans="2:17" ht="20.100000000000001" customHeight="1">
      <c r="B50" s="97" t="s">
        <v>90</v>
      </c>
      <c r="C50" s="97"/>
      <c r="D50" s="97"/>
      <c r="E50" s="49"/>
      <c r="F50" s="8"/>
      <c r="G50" s="8"/>
      <c r="H50" s="9"/>
      <c r="I50" s="9"/>
      <c r="J50" s="8"/>
      <c r="K50" s="8"/>
      <c r="L50" s="9"/>
      <c r="M50" s="9"/>
      <c r="N50" s="8"/>
      <c r="O50" s="8"/>
      <c r="P50" s="9"/>
      <c r="Q50" s="9"/>
    </row>
    <row r="51" spans="2:17" ht="20.100000000000001" customHeight="1" thickBot="1">
      <c r="B51" s="97" t="s">
        <v>91</v>
      </c>
      <c r="C51" s="97"/>
      <c r="D51" s="97"/>
      <c r="E51" s="48"/>
      <c r="F51" s="8"/>
      <c r="G51" s="8"/>
      <c r="H51" s="9"/>
      <c r="I51" s="9"/>
      <c r="J51" s="8"/>
      <c r="K51" s="8"/>
      <c r="L51" s="9"/>
      <c r="M51" s="9"/>
      <c r="N51" s="8"/>
      <c r="O51" s="8"/>
      <c r="P51" s="9"/>
      <c r="Q51" s="9"/>
    </row>
    <row r="52" spans="2:17">
      <c r="B52" t="s">
        <v>92</v>
      </c>
      <c r="C52" s="18" t="s">
        <v>93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28"/>
    </row>
    <row r="53" spans="2:17">
      <c r="C53" s="20" t="s">
        <v>94</v>
      </c>
      <c r="Q53" s="31"/>
    </row>
    <row r="54" spans="2:17">
      <c r="C54" s="20" t="s">
        <v>95</v>
      </c>
      <c r="Q54" s="31"/>
    </row>
    <row r="55" spans="2:17">
      <c r="C55" s="20"/>
      <c r="Q55" s="31"/>
    </row>
    <row r="56" spans="2:17">
      <c r="C56" s="20"/>
      <c r="Q56" s="31"/>
    </row>
    <row r="57" spans="2:17">
      <c r="C57" s="20" t="s">
        <v>96</v>
      </c>
      <c r="F57" s="21" t="b">
        <v>0</v>
      </c>
      <c r="G57" s="22" t="s">
        <v>97</v>
      </c>
      <c r="Q57" s="31"/>
    </row>
    <row r="58" spans="2:17">
      <c r="C58" s="20" t="s">
        <v>96</v>
      </c>
      <c r="F58" s="8" t="s">
        <v>98</v>
      </c>
      <c r="G58" s="23" t="s">
        <v>99</v>
      </c>
      <c r="Q58" s="31"/>
    </row>
    <row r="59" spans="2:17" ht="15.75" thickBot="1"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30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EA33C-958A-4709-A990-7CCDDCDC6177}">
  <dimension ref="B1:Q59"/>
  <sheetViews>
    <sheetView view="pageBreakPreview" zoomScale="85" zoomScaleNormal="60" workbookViewId="0">
      <selection activeCell="L10" sqref="L10:L49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107"/>
      <c r="C2" s="110" t="s">
        <v>0</v>
      </c>
      <c r="D2" s="111"/>
      <c r="E2" s="111"/>
      <c r="F2" s="111"/>
      <c r="G2" s="111"/>
      <c r="H2" s="111"/>
      <c r="I2" s="111"/>
      <c r="J2" s="111"/>
      <c r="K2" s="111"/>
      <c r="L2" s="111"/>
      <c r="M2" s="112"/>
      <c r="N2" s="18" t="s">
        <v>1</v>
      </c>
      <c r="O2" s="19"/>
      <c r="P2" s="19"/>
      <c r="Q2" s="28"/>
    </row>
    <row r="3" spans="2:17" ht="15.75" thickBot="1">
      <c r="B3" s="108"/>
      <c r="C3" s="113"/>
      <c r="D3" s="114"/>
      <c r="E3" s="114"/>
      <c r="F3" s="114"/>
      <c r="G3" s="114"/>
      <c r="H3" s="114"/>
      <c r="I3" s="114"/>
      <c r="J3" s="114"/>
      <c r="K3" s="114"/>
      <c r="L3" s="114"/>
      <c r="M3" s="115"/>
      <c r="N3" s="26" t="s">
        <v>2</v>
      </c>
      <c r="O3" s="27" t="s">
        <v>3</v>
      </c>
      <c r="P3" s="27"/>
      <c r="Q3" s="29"/>
    </row>
    <row r="4" spans="2:17" ht="15.75" thickBot="1">
      <c r="B4" s="108"/>
      <c r="C4" s="113"/>
      <c r="D4" s="114"/>
      <c r="E4" s="114"/>
      <c r="F4" s="114"/>
      <c r="G4" s="114"/>
      <c r="H4" s="114"/>
      <c r="I4" s="114"/>
      <c r="J4" s="114"/>
      <c r="K4" s="114"/>
      <c r="L4" s="114"/>
      <c r="M4" s="115"/>
      <c r="N4" s="26" t="s">
        <v>4</v>
      </c>
      <c r="O4" s="27"/>
      <c r="P4" s="27"/>
      <c r="Q4" s="29"/>
    </row>
    <row r="5" spans="2:17" ht="15.75" thickBot="1">
      <c r="B5" s="109"/>
      <c r="C5" s="116"/>
      <c r="D5" s="117"/>
      <c r="E5" s="117"/>
      <c r="F5" s="117"/>
      <c r="G5" s="117"/>
      <c r="H5" s="117"/>
      <c r="I5" s="117"/>
      <c r="J5" s="117"/>
      <c r="K5" s="117"/>
      <c r="L5" s="117"/>
      <c r="M5" s="118"/>
      <c r="N5" s="24" t="s">
        <v>5</v>
      </c>
      <c r="O5" s="25"/>
      <c r="P5" s="25"/>
      <c r="Q5" s="30"/>
    </row>
    <row r="7" spans="2:17">
      <c r="B7" s="98" t="s">
        <v>6</v>
      </c>
      <c r="C7" s="99"/>
      <c r="D7" s="100">
        <v>45725</v>
      </c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2"/>
    </row>
    <row r="8" spans="2:17">
      <c r="B8" s="97" t="s">
        <v>7</v>
      </c>
      <c r="C8" s="97"/>
      <c r="D8" s="97"/>
      <c r="E8" s="105" t="s">
        <v>8</v>
      </c>
      <c r="F8" s="103" t="s">
        <v>9</v>
      </c>
      <c r="G8" s="103"/>
      <c r="H8" s="104" t="s">
        <v>10</v>
      </c>
      <c r="I8" s="104"/>
      <c r="J8" s="103" t="s">
        <v>11</v>
      </c>
      <c r="K8" s="103"/>
      <c r="L8" s="104" t="s">
        <v>12</v>
      </c>
      <c r="M8" s="104"/>
      <c r="N8" s="103" t="s">
        <v>13</v>
      </c>
      <c r="O8" s="103"/>
      <c r="P8" s="104" t="s">
        <v>14</v>
      </c>
      <c r="Q8" s="104"/>
    </row>
    <row r="9" spans="2:17">
      <c r="B9" s="98" t="s">
        <v>15</v>
      </c>
      <c r="C9" s="119"/>
      <c r="D9" s="99"/>
      <c r="E9" s="106"/>
      <c r="F9" s="3">
        <v>0.375</v>
      </c>
      <c r="G9" s="32" t="s">
        <v>16</v>
      </c>
      <c r="H9" s="4">
        <v>0.375</v>
      </c>
      <c r="I9" s="33" t="s">
        <v>16</v>
      </c>
      <c r="J9" s="3">
        <v>0.375</v>
      </c>
      <c r="K9" s="32" t="s">
        <v>16</v>
      </c>
      <c r="L9" s="4">
        <v>0.375</v>
      </c>
      <c r="M9" s="33" t="s">
        <v>16</v>
      </c>
      <c r="N9" s="3">
        <v>0.375</v>
      </c>
      <c r="O9" s="32" t="s">
        <v>16</v>
      </c>
      <c r="P9" s="4">
        <v>0.375</v>
      </c>
      <c r="Q9" s="33" t="s">
        <v>16</v>
      </c>
    </row>
    <row r="10" spans="2:17" ht="26.25" customHeight="1">
      <c r="B10" s="120" t="s">
        <v>17</v>
      </c>
      <c r="C10" s="121"/>
      <c r="D10" s="51" t="s">
        <v>18</v>
      </c>
      <c r="E10" s="5"/>
      <c r="F10" s="6"/>
      <c r="G10" s="34" t="s">
        <v>19</v>
      </c>
      <c r="H10" s="35" t="s">
        <v>19</v>
      </c>
      <c r="I10" s="35" t="s">
        <v>19</v>
      </c>
      <c r="J10" s="34"/>
      <c r="K10" s="34" t="s">
        <v>19</v>
      </c>
      <c r="L10" s="35" t="s">
        <v>19</v>
      </c>
      <c r="M10" s="35" t="s">
        <v>19</v>
      </c>
      <c r="N10" s="6"/>
      <c r="O10" s="34" t="s">
        <v>19</v>
      </c>
      <c r="P10" s="35" t="s">
        <v>19</v>
      </c>
      <c r="Q10" s="35" t="s">
        <v>19</v>
      </c>
    </row>
    <row r="11" spans="2:17" ht="20.100000000000001" customHeight="1">
      <c r="B11" s="97" t="s">
        <v>20</v>
      </c>
      <c r="C11" s="97"/>
      <c r="D11" s="7" t="s">
        <v>21</v>
      </c>
      <c r="E11" s="7" t="s">
        <v>22</v>
      </c>
      <c r="F11" s="8"/>
      <c r="G11" s="8">
        <v>70.599999999999994</v>
      </c>
      <c r="H11" s="9">
        <v>72.2</v>
      </c>
      <c r="I11" s="9">
        <v>78.8</v>
      </c>
      <c r="J11" s="8"/>
      <c r="K11" s="8">
        <v>75.7</v>
      </c>
      <c r="L11" s="9">
        <v>76.7</v>
      </c>
      <c r="M11" s="9">
        <v>77.400000000000006</v>
      </c>
      <c r="N11" s="8"/>
      <c r="O11" s="8">
        <v>77.2</v>
      </c>
      <c r="P11" s="9"/>
      <c r="Q11" s="9">
        <v>73.2</v>
      </c>
    </row>
    <row r="12" spans="2:17" ht="20.100000000000001" customHeight="1">
      <c r="B12" s="97" t="s">
        <v>23</v>
      </c>
      <c r="C12" s="97"/>
      <c r="D12" s="7" t="s">
        <v>21</v>
      </c>
      <c r="E12" s="7" t="s">
        <v>22</v>
      </c>
      <c r="F12" s="8"/>
      <c r="G12" s="8">
        <v>0.2</v>
      </c>
      <c r="H12" s="9">
        <v>0</v>
      </c>
      <c r="I12" s="9">
        <v>0</v>
      </c>
      <c r="J12" s="8"/>
      <c r="K12" s="8">
        <v>0</v>
      </c>
      <c r="L12" s="9">
        <v>0</v>
      </c>
      <c r="M12" s="9">
        <v>0.1</v>
      </c>
      <c r="N12" s="8"/>
      <c r="O12" s="8">
        <v>0</v>
      </c>
      <c r="P12" s="9"/>
      <c r="Q12" s="9">
        <v>0</v>
      </c>
    </row>
    <row r="13" spans="2:17" ht="20.100000000000001" customHeight="1">
      <c r="B13" s="97" t="s">
        <v>24</v>
      </c>
      <c r="C13" s="97"/>
      <c r="D13" s="7" t="s">
        <v>21</v>
      </c>
      <c r="E13" s="7" t="s">
        <v>22</v>
      </c>
      <c r="F13" s="8"/>
      <c r="G13" s="8">
        <v>64.3</v>
      </c>
      <c r="H13" s="9">
        <v>68.599999999999994</v>
      </c>
      <c r="I13" s="9">
        <v>74.3</v>
      </c>
      <c r="J13" s="8"/>
      <c r="K13" s="8">
        <v>70.2</v>
      </c>
      <c r="L13" s="9">
        <v>72.7</v>
      </c>
      <c r="M13" s="9">
        <v>73.2</v>
      </c>
      <c r="N13" s="8"/>
      <c r="O13" s="8">
        <v>72.2</v>
      </c>
      <c r="P13" s="9"/>
      <c r="Q13" s="9">
        <v>67</v>
      </c>
    </row>
    <row r="14" spans="2:17" ht="20.100000000000001" customHeight="1">
      <c r="B14" s="97" t="s">
        <v>25</v>
      </c>
      <c r="C14" s="97"/>
      <c r="D14" s="7" t="s">
        <v>21</v>
      </c>
      <c r="E14" s="7" t="s">
        <v>22</v>
      </c>
      <c r="F14" s="8"/>
      <c r="G14" s="8">
        <v>66.7</v>
      </c>
      <c r="H14" s="9">
        <v>66.5</v>
      </c>
      <c r="I14" s="9">
        <v>67.8</v>
      </c>
      <c r="J14" s="8"/>
      <c r="K14" s="8">
        <v>64.2</v>
      </c>
      <c r="L14" s="9">
        <v>67.099999999999994</v>
      </c>
      <c r="M14" s="9">
        <v>66.2</v>
      </c>
      <c r="N14" s="8"/>
      <c r="O14" s="8">
        <v>72.2</v>
      </c>
      <c r="P14" s="9"/>
      <c r="Q14" s="9">
        <v>72.5</v>
      </c>
    </row>
    <row r="15" spans="2:17" ht="20.100000000000001" customHeight="1">
      <c r="B15" s="97" t="s">
        <v>26</v>
      </c>
      <c r="C15" s="97"/>
      <c r="D15" s="7" t="s">
        <v>21</v>
      </c>
      <c r="E15" s="7" t="s">
        <v>22</v>
      </c>
      <c r="F15" s="8"/>
      <c r="G15" s="8">
        <v>41.9</v>
      </c>
      <c r="H15" s="9">
        <v>55.1</v>
      </c>
      <c r="I15" s="9">
        <v>58.6</v>
      </c>
      <c r="J15" s="8"/>
      <c r="K15" s="8">
        <v>41.6</v>
      </c>
      <c r="L15" s="9">
        <v>38.200000000000003</v>
      </c>
      <c r="M15" s="9">
        <v>36.5</v>
      </c>
      <c r="N15" s="8"/>
      <c r="O15" s="8">
        <v>49.3</v>
      </c>
      <c r="P15" s="9"/>
      <c r="Q15" s="9">
        <v>42.6</v>
      </c>
    </row>
    <row r="16" spans="2:17" ht="20.100000000000001" customHeight="1">
      <c r="B16" s="103" t="s">
        <v>27</v>
      </c>
      <c r="C16" s="10" t="s">
        <v>28</v>
      </c>
      <c r="D16" s="7" t="s">
        <v>29</v>
      </c>
      <c r="E16" s="7" t="s">
        <v>30</v>
      </c>
      <c r="F16" s="8"/>
      <c r="G16" s="8">
        <v>6.6</v>
      </c>
      <c r="H16" s="8">
        <v>6.6</v>
      </c>
      <c r="I16" s="8">
        <v>6.6</v>
      </c>
      <c r="J16" s="8"/>
      <c r="K16" s="8">
        <v>6.6</v>
      </c>
      <c r="L16" s="8">
        <v>6.6</v>
      </c>
      <c r="M16" s="8">
        <v>6.6</v>
      </c>
      <c r="N16" s="8"/>
      <c r="O16" s="8">
        <v>6.6</v>
      </c>
      <c r="P16" s="8"/>
      <c r="Q16" s="8">
        <v>6.6</v>
      </c>
    </row>
    <row r="17" spans="2:17" ht="20.100000000000001" customHeight="1">
      <c r="B17" s="103"/>
      <c r="C17" s="10" t="s">
        <v>31</v>
      </c>
      <c r="D17" s="7" t="s">
        <v>32</v>
      </c>
      <c r="E17" s="7" t="s">
        <v>33</v>
      </c>
      <c r="F17" s="8"/>
      <c r="G17" s="8">
        <v>117.2</v>
      </c>
      <c r="H17" s="9">
        <v>112.1</v>
      </c>
      <c r="I17" s="9">
        <v>117.6</v>
      </c>
      <c r="J17" s="8"/>
      <c r="K17" s="8">
        <v>117.3</v>
      </c>
      <c r="L17" s="9">
        <v>117.2</v>
      </c>
      <c r="M17" s="9">
        <v>119.9</v>
      </c>
      <c r="N17" s="8"/>
      <c r="O17" s="8">
        <v>118.8</v>
      </c>
      <c r="P17" s="9"/>
      <c r="Q17" s="9">
        <v>116.9</v>
      </c>
    </row>
    <row r="18" spans="2:17" ht="20.100000000000001" customHeight="1">
      <c r="B18" s="103"/>
      <c r="C18" s="10" t="s">
        <v>34</v>
      </c>
      <c r="D18" s="7" t="s">
        <v>35</v>
      </c>
      <c r="E18" s="7" t="s">
        <v>36</v>
      </c>
      <c r="F18" s="8"/>
      <c r="G18" s="8">
        <v>1159</v>
      </c>
      <c r="H18" s="9">
        <v>1129</v>
      </c>
      <c r="I18" s="9">
        <v>1191</v>
      </c>
      <c r="J18" s="8"/>
      <c r="K18" s="8">
        <v>1200</v>
      </c>
      <c r="L18" s="9">
        <v>1194</v>
      </c>
      <c r="M18" s="9">
        <v>1199</v>
      </c>
      <c r="N18" s="8"/>
      <c r="O18" s="8">
        <v>1193</v>
      </c>
      <c r="P18" s="9"/>
      <c r="Q18" s="9">
        <v>1168</v>
      </c>
    </row>
    <row r="19" spans="2:17" ht="20.100000000000001" customHeight="1">
      <c r="B19" s="103" t="s">
        <v>37</v>
      </c>
      <c r="C19" s="10" t="s">
        <v>38</v>
      </c>
      <c r="D19" s="7" t="s">
        <v>39</v>
      </c>
      <c r="E19" s="11" t="s">
        <v>40</v>
      </c>
      <c r="F19" s="8"/>
      <c r="G19" s="8">
        <v>49462.3</v>
      </c>
      <c r="H19" s="9">
        <v>50689.5</v>
      </c>
      <c r="I19" s="9">
        <v>50680.3</v>
      </c>
      <c r="J19" s="8"/>
      <c r="K19" s="8">
        <v>48332.800000000003</v>
      </c>
      <c r="L19" s="9">
        <v>50717</v>
      </c>
      <c r="M19" s="9">
        <v>50707.9</v>
      </c>
      <c r="N19" s="8"/>
      <c r="O19" s="8">
        <v>49896.9</v>
      </c>
      <c r="P19" s="9"/>
      <c r="Q19" s="9">
        <v>50058</v>
      </c>
    </row>
    <row r="20" spans="2:17" ht="20.100000000000001" customHeight="1">
      <c r="B20" s="103"/>
      <c r="C20" s="10" t="s">
        <v>41</v>
      </c>
      <c r="D20" s="7" t="s">
        <v>42</v>
      </c>
      <c r="E20" s="7" t="s">
        <v>43</v>
      </c>
      <c r="F20" s="8"/>
      <c r="G20" s="8"/>
      <c r="H20" s="9"/>
      <c r="I20" s="9"/>
      <c r="J20" s="8"/>
      <c r="K20" s="8"/>
      <c r="L20" s="9"/>
      <c r="M20" s="9"/>
      <c r="N20" s="8"/>
      <c r="O20" s="8"/>
      <c r="P20" s="9"/>
      <c r="Q20" s="9"/>
    </row>
    <row r="21" spans="2:17" ht="20.100000000000001" customHeight="1">
      <c r="B21" s="103"/>
      <c r="C21" s="10" t="s">
        <v>44</v>
      </c>
      <c r="D21" s="7" t="s">
        <v>42</v>
      </c>
      <c r="E21" s="7" t="s">
        <v>45</v>
      </c>
      <c r="F21" s="8"/>
      <c r="G21" s="8"/>
      <c r="H21" s="9"/>
      <c r="I21" s="9"/>
      <c r="J21" s="8"/>
      <c r="K21" s="8"/>
      <c r="L21" s="9"/>
      <c r="M21" s="9"/>
      <c r="N21" s="8"/>
      <c r="O21" s="8"/>
      <c r="P21" s="9"/>
      <c r="Q21" s="9"/>
    </row>
    <row r="22" spans="2:17" ht="20.100000000000001" customHeight="1">
      <c r="B22" s="103"/>
      <c r="C22" s="10" t="s">
        <v>46</v>
      </c>
      <c r="D22" s="7" t="s">
        <v>42</v>
      </c>
      <c r="E22" s="7" t="s">
        <v>47</v>
      </c>
      <c r="F22" s="8"/>
      <c r="G22" s="8">
        <v>62.4</v>
      </c>
      <c r="H22" s="9">
        <v>58.8</v>
      </c>
      <c r="I22" s="9">
        <v>59.3</v>
      </c>
      <c r="J22" s="8"/>
      <c r="K22" s="8">
        <v>58.2</v>
      </c>
      <c r="L22" s="9">
        <v>57.1</v>
      </c>
      <c r="M22" s="9">
        <v>57.6</v>
      </c>
      <c r="N22" s="8"/>
      <c r="O22" s="8">
        <v>58.8</v>
      </c>
      <c r="P22" s="9"/>
      <c r="Q22" s="9">
        <v>60.5</v>
      </c>
    </row>
    <row r="23" spans="2:17" ht="60">
      <c r="B23" s="103"/>
      <c r="C23" s="12" t="s">
        <v>48</v>
      </c>
      <c r="D23" s="8" t="s">
        <v>49</v>
      </c>
      <c r="E23" s="13" t="s">
        <v>50</v>
      </c>
      <c r="F23" s="8"/>
      <c r="G23" s="8">
        <v>0.52</v>
      </c>
      <c r="H23" s="9">
        <v>0.49</v>
      </c>
      <c r="I23" s="9">
        <v>0.49</v>
      </c>
      <c r="J23" s="8"/>
      <c r="K23" s="8">
        <v>0.57999999999999996</v>
      </c>
      <c r="L23" s="9">
        <v>0.52</v>
      </c>
      <c r="M23" s="9">
        <v>0.52</v>
      </c>
      <c r="N23" s="8"/>
      <c r="O23" s="8">
        <v>0.48</v>
      </c>
      <c r="P23" s="9"/>
      <c r="Q23" s="9">
        <v>0.49</v>
      </c>
    </row>
    <row r="24" spans="2:17" ht="39.75" customHeight="1">
      <c r="B24" s="103"/>
      <c r="C24" s="12" t="s">
        <v>51</v>
      </c>
      <c r="D24" s="7"/>
      <c r="E24" s="7"/>
      <c r="F24" s="8"/>
      <c r="G24" s="8"/>
      <c r="H24" s="9"/>
      <c r="I24" s="9"/>
      <c r="J24" s="8"/>
      <c r="K24" s="8"/>
      <c r="L24" s="8"/>
      <c r="M24" s="9"/>
      <c r="N24" s="8"/>
      <c r="O24" s="8"/>
      <c r="P24" s="9"/>
      <c r="Q24" s="9"/>
    </row>
    <row r="25" spans="2:17" ht="20.100000000000001" customHeight="1">
      <c r="B25" s="103"/>
      <c r="C25" s="10" t="s">
        <v>52</v>
      </c>
      <c r="D25" s="7" t="s">
        <v>42</v>
      </c>
      <c r="E25" s="7" t="s">
        <v>53</v>
      </c>
      <c r="F25" s="8"/>
      <c r="G25" s="8">
        <v>45.1</v>
      </c>
      <c r="H25" s="9">
        <v>45</v>
      </c>
      <c r="I25" s="9">
        <v>45</v>
      </c>
      <c r="J25" s="8"/>
      <c r="K25" s="8">
        <v>45</v>
      </c>
      <c r="L25" s="9">
        <v>44.9</v>
      </c>
      <c r="M25" s="9">
        <v>45.2</v>
      </c>
      <c r="N25" s="8"/>
      <c r="O25" s="8">
        <v>45</v>
      </c>
      <c r="P25" s="9"/>
      <c r="Q25" s="9">
        <v>45</v>
      </c>
    </row>
    <row r="26" spans="2:17" ht="20.100000000000001" customHeight="1">
      <c r="B26" s="103" t="s">
        <v>54</v>
      </c>
      <c r="C26" s="10" t="s">
        <v>55</v>
      </c>
      <c r="D26" s="7" t="s">
        <v>49</v>
      </c>
      <c r="E26" s="14" t="s">
        <v>56</v>
      </c>
      <c r="F26" s="8"/>
      <c r="G26" s="8">
        <v>0.23</v>
      </c>
      <c r="H26" s="9">
        <v>0.21</v>
      </c>
      <c r="I26" s="9">
        <v>0.22</v>
      </c>
      <c r="J26" s="8"/>
      <c r="K26" s="8">
        <v>0.23</v>
      </c>
      <c r="L26" s="9">
        <v>0.22</v>
      </c>
      <c r="M26" s="9">
        <v>0.22</v>
      </c>
      <c r="N26" s="8"/>
      <c r="O26" s="8">
        <v>0.22</v>
      </c>
      <c r="P26" s="9"/>
      <c r="Q26" s="9">
        <v>0.23</v>
      </c>
    </row>
    <row r="27" spans="2:17" ht="20.100000000000001" customHeight="1">
      <c r="B27" s="103"/>
      <c r="C27" s="10" t="s">
        <v>57</v>
      </c>
      <c r="D27" s="7" t="s">
        <v>42</v>
      </c>
      <c r="E27" s="7" t="s">
        <v>43</v>
      </c>
      <c r="F27" s="8"/>
      <c r="G27" s="8">
        <v>4.3</v>
      </c>
      <c r="H27" s="9">
        <v>2.7</v>
      </c>
      <c r="I27" s="9">
        <v>3.6</v>
      </c>
      <c r="J27" s="8"/>
      <c r="K27" s="8">
        <v>4.7</v>
      </c>
      <c r="L27" s="9">
        <v>3.8</v>
      </c>
      <c r="M27" s="9">
        <v>3.9</v>
      </c>
      <c r="N27" s="8"/>
      <c r="O27" s="8">
        <v>4.5</v>
      </c>
      <c r="P27" s="9"/>
      <c r="Q27" s="9">
        <v>4.7</v>
      </c>
    </row>
    <row r="28" spans="2:17" ht="20.100000000000001" customHeight="1">
      <c r="B28" s="103"/>
      <c r="C28" s="10" t="s">
        <v>58</v>
      </c>
      <c r="D28" s="7" t="s">
        <v>42</v>
      </c>
      <c r="E28" s="7" t="s">
        <v>43</v>
      </c>
      <c r="F28" s="8"/>
      <c r="G28" s="8">
        <v>3.8</v>
      </c>
      <c r="H28" s="9">
        <v>1.9</v>
      </c>
      <c r="I28" s="9">
        <v>2.8</v>
      </c>
      <c r="J28" s="8"/>
      <c r="K28" s="8">
        <v>3.7</v>
      </c>
      <c r="L28" s="9">
        <v>2.8</v>
      </c>
      <c r="M28" s="9">
        <v>3</v>
      </c>
      <c r="N28" s="8"/>
      <c r="O28" s="8">
        <v>3.7</v>
      </c>
      <c r="P28" s="9"/>
      <c r="Q28" s="9">
        <v>3.6</v>
      </c>
    </row>
    <row r="29" spans="2:17" ht="20.100000000000001" customHeight="1">
      <c r="B29" s="103"/>
      <c r="C29" s="10" t="s">
        <v>59</v>
      </c>
      <c r="D29" s="7" t="s">
        <v>42</v>
      </c>
      <c r="E29" s="7" t="s">
        <v>43</v>
      </c>
      <c r="F29" s="15"/>
      <c r="G29" s="15">
        <f t="shared" ref="G29:Q29" si="0">G32-G28</f>
        <v>0.90000000000000036</v>
      </c>
      <c r="H29" s="15">
        <v>2.6999999999999997</v>
      </c>
      <c r="I29" s="15">
        <f t="shared" si="0"/>
        <v>1.7999999999999998</v>
      </c>
      <c r="J29" s="15">
        <f t="shared" si="0"/>
        <v>0</v>
      </c>
      <c r="K29" s="15">
        <f t="shared" si="0"/>
        <v>0.70000000000000018</v>
      </c>
      <c r="L29" s="15">
        <v>1.5</v>
      </c>
      <c r="M29" s="15">
        <f t="shared" si="0"/>
        <v>1.2000000000000002</v>
      </c>
      <c r="N29" s="15"/>
      <c r="O29" s="15">
        <f>O32-O28</f>
        <v>0.89999999999999947</v>
      </c>
      <c r="P29" s="15">
        <f t="shared" si="0"/>
        <v>0</v>
      </c>
      <c r="Q29" s="15">
        <f t="shared" si="0"/>
        <v>0.99999999999999956</v>
      </c>
    </row>
    <row r="30" spans="2:17" ht="20.100000000000001" customHeight="1">
      <c r="B30" s="103"/>
      <c r="C30" s="10" t="s">
        <v>60</v>
      </c>
      <c r="D30" s="7" t="s">
        <v>61</v>
      </c>
      <c r="E30" s="7" t="s">
        <v>62</v>
      </c>
      <c r="F30" s="8"/>
      <c r="G30" s="8">
        <v>660.1</v>
      </c>
      <c r="H30" s="9">
        <v>675.12</v>
      </c>
      <c r="I30" s="9">
        <v>645.20000000000005</v>
      </c>
      <c r="J30" s="8"/>
      <c r="K30" s="8">
        <v>644.20000000000005</v>
      </c>
      <c r="L30" s="9">
        <v>657.2</v>
      </c>
      <c r="M30" s="9">
        <v>639</v>
      </c>
      <c r="N30" s="8"/>
      <c r="O30" s="8">
        <v>647.9</v>
      </c>
      <c r="P30" s="9"/>
      <c r="Q30" s="9">
        <v>640.4</v>
      </c>
    </row>
    <row r="31" spans="2:17" ht="20.100000000000001" customHeight="1">
      <c r="B31" s="103"/>
      <c r="C31" s="10" t="s">
        <v>63</v>
      </c>
      <c r="D31" s="7" t="s">
        <v>42</v>
      </c>
      <c r="E31" s="7">
        <v>13.5</v>
      </c>
      <c r="F31" s="8"/>
      <c r="G31" s="8">
        <v>13.3</v>
      </c>
      <c r="H31" s="9">
        <v>12.9</v>
      </c>
      <c r="I31" s="9">
        <v>13.6</v>
      </c>
      <c r="J31" s="8"/>
      <c r="K31" s="8">
        <v>13.2</v>
      </c>
      <c r="L31" s="9">
        <v>13.5</v>
      </c>
      <c r="M31" s="9">
        <v>12.9</v>
      </c>
      <c r="N31" s="8"/>
      <c r="O31" s="8">
        <v>13.4</v>
      </c>
      <c r="P31" s="9"/>
      <c r="Q31" s="9">
        <v>13.5</v>
      </c>
    </row>
    <row r="32" spans="2:17" ht="20.100000000000001" customHeight="1">
      <c r="B32" s="103"/>
      <c r="C32" s="10" t="s">
        <v>64</v>
      </c>
      <c r="D32" s="7" t="s">
        <v>42</v>
      </c>
      <c r="E32" s="7">
        <v>4</v>
      </c>
      <c r="F32" s="8"/>
      <c r="G32" s="8">
        <v>4.7</v>
      </c>
      <c r="H32" s="9">
        <v>4.5999999999999996</v>
      </c>
      <c r="I32" s="9">
        <v>4.5999999999999996</v>
      </c>
      <c r="J32" s="8"/>
      <c r="K32" s="8">
        <v>4.4000000000000004</v>
      </c>
      <c r="L32" s="9">
        <v>4.3</v>
      </c>
      <c r="M32" s="9">
        <v>4.2</v>
      </c>
      <c r="N32" s="8"/>
      <c r="O32" s="8">
        <v>4.5999999999999996</v>
      </c>
      <c r="P32" s="9"/>
      <c r="Q32" s="9">
        <v>4.5999999999999996</v>
      </c>
    </row>
    <row r="33" spans="2:17" ht="20.100000000000001" customHeight="1">
      <c r="B33" s="103"/>
      <c r="C33" s="10" t="s">
        <v>65</v>
      </c>
      <c r="D33" s="7" t="s">
        <v>42</v>
      </c>
      <c r="E33" s="7">
        <v>9.5</v>
      </c>
      <c r="F33" s="15"/>
      <c r="G33" s="15">
        <f t="shared" ref="G33:Q33" si="1">G31-G32</f>
        <v>8.6000000000000014</v>
      </c>
      <c r="H33" s="15">
        <v>8.3000000000000007</v>
      </c>
      <c r="I33" s="15">
        <f t="shared" si="1"/>
        <v>9</v>
      </c>
      <c r="J33" s="15">
        <f t="shared" si="1"/>
        <v>0</v>
      </c>
      <c r="K33" s="15">
        <f t="shared" si="1"/>
        <v>8.7999999999999989</v>
      </c>
      <c r="L33" s="15">
        <v>9.1999999999999993</v>
      </c>
      <c r="M33" s="15">
        <f t="shared" si="1"/>
        <v>8.6999999999999993</v>
      </c>
      <c r="N33" s="15"/>
      <c r="O33" s="15">
        <f>O31-O32</f>
        <v>8.8000000000000007</v>
      </c>
      <c r="P33" s="15">
        <f t="shared" si="1"/>
        <v>0</v>
      </c>
      <c r="Q33" s="15">
        <f t="shared" si="1"/>
        <v>8.9</v>
      </c>
    </row>
    <row r="34" spans="2:17" ht="20.100000000000001" customHeight="1">
      <c r="B34" s="103"/>
      <c r="C34" s="10" t="s">
        <v>66</v>
      </c>
      <c r="D34" s="7" t="s">
        <v>67</v>
      </c>
      <c r="E34" s="7" t="s">
        <v>68</v>
      </c>
      <c r="F34" s="16"/>
      <c r="G34" s="16">
        <f t="shared" ref="G34:Q34" si="2">(G33*G30)/0.866</f>
        <v>6555.2655889145517</v>
      </c>
      <c r="H34" s="16">
        <v>6470.5496535796765</v>
      </c>
      <c r="I34" s="16">
        <f t="shared" si="2"/>
        <v>6705.3117782909931</v>
      </c>
      <c r="J34" s="16">
        <f t="shared" si="2"/>
        <v>0</v>
      </c>
      <c r="K34" s="16">
        <f t="shared" si="2"/>
        <v>6546.1431870669749</v>
      </c>
      <c r="L34" s="16">
        <v>6981.8013856812931</v>
      </c>
      <c r="M34" s="16">
        <f t="shared" si="2"/>
        <v>6419.5150115473434</v>
      </c>
      <c r="N34" s="16"/>
      <c r="O34" s="16">
        <f>(O33*O30)/0.866</f>
        <v>6583.7413394919176</v>
      </c>
      <c r="P34" s="16">
        <f t="shared" si="2"/>
        <v>0</v>
      </c>
      <c r="Q34" s="16">
        <f t="shared" si="2"/>
        <v>6581.47806004619</v>
      </c>
    </row>
    <row r="35" spans="2:17" ht="20.100000000000001" customHeight="1">
      <c r="B35" s="103" t="s">
        <v>69</v>
      </c>
      <c r="C35" s="10" t="s">
        <v>70</v>
      </c>
      <c r="D35" s="7" t="s">
        <v>49</v>
      </c>
      <c r="E35" s="7" t="s">
        <v>71</v>
      </c>
      <c r="F35" s="8"/>
      <c r="G35" s="8">
        <v>0.82</v>
      </c>
      <c r="H35" s="9">
        <v>0.83</v>
      </c>
      <c r="I35" s="9">
        <v>0.85</v>
      </c>
      <c r="J35" s="8"/>
      <c r="K35" s="8">
        <v>0.85</v>
      </c>
      <c r="L35" s="9">
        <v>0.79</v>
      </c>
      <c r="M35" s="9">
        <v>0.83</v>
      </c>
      <c r="N35" s="8"/>
      <c r="O35" s="8">
        <v>0.82</v>
      </c>
      <c r="P35" s="9"/>
      <c r="Q35" s="9">
        <v>0.81</v>
      </c>
    </row>
    <row r="36" spans="2:17" ht="20.100000000000001" customHeight="1">
      <c r="B36" s="103"/>
      <c r="C36" s="10" t="s">
        <v>72</v>
      </c>
      <c r="D36" s="7" t="s">
        <v>42</v>
      </c>
      <c r="E36" s="7" t="s">
        <v>43</v>
      </c>
      <c r="F36" s="8"/>
      <c r="G36" s="8">
        <v>36</v>
      </c>
      <c r="H36" s="9">
        <v>35.6</v>
      </c>
      <c r="I36" s="9">
        <v>36.6</v>
      </c>
      <c r="J36" s="8"/>
      <c r="K36" s="8">
        <v>36.4</v>
      </c>
      <c r="L36" s="9">
        <v>34.5</v>
      </c>
      <c r="M36" s="9">
        <v>36.6</v>
      </c>
      <c r="N36" s="8"/>
      <c r="O36" s="8">
        <v>36.200000000000003</v>
      </c>
      <c r="P36" s="9"/>
      <c r="Q36" s="9">
        <v>35.299999999999997</v>
      </c>
    </row>
    <row r="37" spans="2:17" ht="20.100000000000001" customHeight="1">
      <c r="B37" s="103"/>
      <c r="C37" s="10" t="s">
        <v>73</v>
      </c>
      <c r="D37" s="7" t="s">
        <v>42</v>
      </c>
      <c r="E37" s="7" t="s">
        <v>43</v>
      </c>
      <c r="F37" s="8"/>
      <c r="G37" s="8">
        <v>36.6</v>
      </c>
      <c r="H37" s="9">
        <v>36.6</v>
      </c>
      <c r="I37" s="9">
        <v>37.5</v>
      </c>
      <c r="J37" s="8"/>
      <c r="K37" s="8">
        <v>37.1</v>
      </c>
      <c r="L37" s="9">
        <v>35.299999999999997</v>
      </c>
      <c r="M37" s="9">
        <v>37.1</v>
      </c>
      <c r="N37" s="8"/>
      <c r="O37" s="8">
        <v>36.5</v>
      </c>
      <c r="P37" s="9"/>
      <c r="Q37" s="9">
        <v>36</v>
      </c>
    </row>
    <row r="38" spans="2:17" ht="20.100000000000001" customHeight="1">
      <c r="B38" s="103"/>
      <c r="C38" s="12" t="s">
        <v>74</v>
      </c>
      <c r="D38" s="7" t="s">
        <v>42</v>
      </c>
      <c r="E38" s="7" t="s">
        <v>101</v>
      </c>
      <c r="F38" s="15"/>
      <c r="G38" s="15">
        <f t="shared" ref="G38:Q38" si="3">G37-G41</f>
        <v>2.3999999999999986</v>
      </c>
      <c r="H38" s="15">
        <v>3.7000000000000028</v>
      </c>
      <c r="I38" s="15">
        <f t="shared" si="3"/>
        <v>4.2000000000000028</v>
      </c>
      <c r="J38" s="15">
        <f t="shared" si="3"/>
        <v>0</v>
      </c>
      <c r="K38" s="15">
        <f t="shared" si="3"/>
        <v>4</v>
      </c>
      <c r="L38" s="15">
        <v>2.5</v>
      </c>
      <c r="M38" s="15">
        <f t="shared" si="3"/>
        <v>3.3000000000000043</v>
      </c>
      <c r="N38" s="15"/>
      <c r="O38" s="15">
        <f>O37-O41</f>
        <v>2</v>
      </c>
      <c r="P38" s="15">
        <f t="shared" si="3"/>
        <v>0</v>
      </c>
      <c r="Q38" s="15">
        <f t="shared" si="3"/>
        <v>2.7000000000000028</v>
      </c>
    </row>
    <row r="39" spans="2:17" ht="20.100000000000001" customHeight="1">
      <c r="B39" s="103"/>
      <c r="C39" s="10" t="s">
        <v>75</v>
      </c>
      <c r="D39" s="7" t="s">
        <v>76</v>
      </c>
      <c r="E39" s="7"/>
      <c r="F39" s="8"/>
      <c r="G39" s="8"/>
      <c r="H39" s="9"/>
      <c r="I39" s="9"/>
      <c r="J39" s="8"/>
      <c r="K39" s="8"/>
      <c r="L39" s="9"/>
      <c r="M39" s="9"/>
      <c r="N39" s="8"/>
      <c r="O39" s="8"/>
      <c r="P39" s="9"/>
      <c r="Q39" s="9"/>
    </row>
    <row r="40" spans="2:17" ht="20.100000000000001" customHeight="1">
      <c r="B40" s="103"/>
      <c r="C40" s="10" t="s">
        <v>77</v>
      </c>
      <c r="D40" s="7" t="s">
        <v>42</v>
      </c>
      <c r="E40" s="7">
        <v>30.8</v>
      </c>
      <c r="F40" s="8"/>
      <c r="G40" s="8">
        <v>27.7</v>
      </c>
      <c r="H40" s="9">
        <v>27.9</v>
      </c>
      <c r="I40" s="9">
        <v>27.9</v>
      </c>
      <c r="J40" s="8"/>
      <c r="K40" s="8">
        <v>28</v>
      </c>
      <c r="L40" s="9">
        <v>27.5</v>
      </c>
      <c r="M40" s="9">
        <v>27.8</v>
      </c>
      <c r="N40" s="8"/>
      <c r="O40" s="8">
        <v>27.7</v>
      </c>
      <c r="P40" s="9"/>
      <c r="Q40" s="9">
        <v>27.8</v>
      </c>
    </row>
    <row r="41" spans="2:17" ht="20.100000000000001" customHeight="1">
      <c r="B41" s="103"/>
      <c r="C41" s="10" t="s">
        <v>78</v>
      </c>
      <c r="D41" s="7" t="s">
        <v>42</v>
      </c>
      <c r="E41" s="7">
        <v>36.4</v>
      </c>
      <c r="F41" s="8"/>
      <c r="G41" s="8">
        <v>34.200000000000003</v>
      </c>
      <c r="H41" s="9">
        <v>32.9</v>
      </c>
      <c r="I41" s="9">
        <v>33.299999999999997</v>
      </c>
      <c r="J41" s="8"/>
      <c r="K41" s="8">
        <v>33.1</v>
      </c>
      <c r="L41" s="9">
        <v>32.799999999999997</v>
      </c>
      <c r="M41" s="9">
        <v>33.799999999999997</v>
      </c>
      <c r="N41" s="8"/>
      <c r="O41" s="8">
        <v>34.5</v>
      </c>
      <c r="P41" s="9"/>
      <c r="Q41" s="9">
        <v>33.299999999999997</v>
      </c>
    </row>
    <row r="42" spans="2:17" ht="20.100000000000001" customHeight="1">
      <c r="B42" s="103"/>
      <c r="C42" s="10" t="s">
        <v>79</v>
      </c>
      <c r="D42" s="7" t="s">
        <v>42</v>
      </c>
      <c r="E42" s="7">
        <v>5.6</v>
      </c>
      <c r="F42" s="15"/>
      <c r="G42" s="15">
        <f t="shared" ref="G42:Q42" si="4">G41-G40</f>
        <v>6.5000000000000036</v>
      </c>
      <c r="H42" s="15">
        <v>5</v>
      </c>
      <c r="I42" s="15">
        <f t="shared" si="4"/>
        <v>5.3999999999999986</v>
      </c>
      <c r="J42" s="15">
        <f t="shared" si="4"/>
        <v>0</v>
      </c>
      <c r="K42" s="15">
        <f t="shared" si="4"/>
        <v>5.1000000000000014</v>
      </c>
      <c r="L42" s="15">
        <v>5.2999999999999972</v>
      </c>
      <c r="M42" s="15">
        <f t="shared" si="4"/>
        <v>5.9999999999999964</v>
      </c>
      <c r="N42" s="15"/>
      <c r="O42" s="15">
        <f>O41-O40</f>
        <v>6.8000000000000007</v>
      </c>
      <c r="P42" s="15">
        <f t="shared" si="4"/>
        <v>0</v>
      </c>
      <c r="Q42" s="15">
        <f t="shared" si="4"/>
        <v>5.4999999999999964</v>
      </c>
    </row>
    <row r="43" spans="2:17" ht="20.100000000000001" customHeight="1">
      <c r="B43" s="103"/>
      <c r="C43" s="10" t="s">
        <v>80</v>
      </c>
      <c r="D43" s="7" t="s">
        <v>61</v>
      </c>
      <c r="E43" s="7">
        <v>1273.0999999999999</v>
      </c>
      <c r="F43" s="8"/>
      <c r="G43" s="8">
        <v>1164.5</v>
      </c>
      <c r="H43" s="9">
        <v>1308.8599999999999</v>
      </c>
      <c r="I43" s="9">
        <v>1157.3</v>
      </c>
      <c r="J43" s="8"/>
      <c r="K43" s="8">
        <v>1179.5999999999999</v>
      </c>
      <c r="L43" s="9">
        <v>1290.0999999999999</v>
      </c>
      <c r="M43" s="8">
        <v>1154.5</v>
      </c>
      <c r="N43" s="8"/>
      <c r="O43" s="8">
        <v>1131.9000000000001</v>
      </c>
      <c r="P43" s="9"/>
      <c r="Q43" s="9">
        <v>1179.2</v>
      </c>
    </row>
    <row r="44" spans="2:17" ht="20.100000000000001" customHeight="1">
      <c r="B44" s="103"/>
      <c r="C44" s="10" t="s">
        <v>81</v>
      </c>
      <c r="D44" s="7" t="s">
        <v>67</v>
      </c>
      <c r="E44" s="7">
        <v>8226.9</v>
      </c>
      <c r="F44" s="16"/>
      <c r="G44" s="16">
        <f t="shared" ref="G44:Q44" si="5">G42*G43/0.866</f>
        <v>8740.4734411085501</v>
      </c>
      <c r="H44" s="16">
        <v>7556.9284064665117</v>
      </c>
      <c r="I44" s="16">
        <f t="shared" si="5"/>
        <v>7216.420323325633</v>
      </c>
      <c r="J44" s="16">
        <f t="shared" si="5"/>
        <v>0</v>
      </c>
      <c r="K44" s="16">
        <f t="shared" si="5"/>
        <v>6946.8360277136271</v>
      </c>
      <c r="L44" s="16">
        <v>7895.5311778290952</v>
      </c>
      <c r="M44" s="16">
        <f t="shared" si="5"/>
        <v>7998.8452655889096</v>
      </c>
      <c r="N44" s="16"/>
      <c r="O44" s="16">
        <f>O42*O43/0.866</f>
        <v>8887.8983833718248</v>
      </c>
      <c r="P44" s="16">
        <f t="shared" si="5"/>
        <v>0</v>
      </c>
      <c r="Q44" s="16">
        <f t="shared" si="5"/>
        <v>7489.1454965357916</v>
      </c>
    </row>
    <row r="45" spans="2:17" ht="20.100000000000001" customHeight="1">
      <c r="B45" s="103" t="s">
        <v>82</v>
      </c>
      <c r="C45" s="10" t="s">
        <v>83</v>
      </c>
      <c r="D45" s="7" t="s">
        <v>49</v>
      </c>
      <c r="E45" s="7" t="s">
        <v>84</v>
      </c>
      <c r="F45" s="8"/>
      <c r="G45" s="8">
        <v>0.47</v>
      </c>
      <c r="H45" s="9">
        <v>0.44</v>
      </c>
      <c r="I45" s="9">
        <v>0.46</v>
      </c>
      <c r="J45" s="8"/>
      <c r="K45" s="8">
        <v>0.47</v>
      </c>
      <c r="L45" s="9">
        <v>0.45</v>
      </c>
      <c r="M45" s="9">
        <v>0.47</v>
      </c>
      <c r="N45" s="8"/>
      <c r="O45" s="8">
        <v>0.48</v>
      </c>
      <c r="P45" s="9"/>
      <c r="Q45" s="9">
        <v>0.45</v>
      </c>
    </row>
    <row r="46" spans="2:17" ht="20.100000000000001" customHeight="1">
      <c r="B46" s="103"/>
      <c r="C46" s="10" t="s">
        <v>85</v>
      </c>
      <c r="D46" s="7" t="s">
        <v>42</v>
      </c>
      <c r="E46" s="7" t="s">
        <v>43</v>
      </c>
      <c r="F46" s="8"/>
      <c r="G46" s="8">
        <v>20</v>
      </c>
      <c r="H46" s="9">
        <v>18.399999999999999</v>
      </c>
      <c r="I46" s="9">
        <v>19.8</v>
      </c>
      <c r="J46" s="8"/>
      <c r="K46" s="8">
        <v>19.899999999999999</v>
      </c>
      <c r="L46" s="9">
        <v>18.8</v>
      </c>
      <c r="M46" s="9">
        <v>19.899999999999999</v>
      </c>
      <c r="N46" s="8"/>
      <c r="O46" s="8">
        <v>19.8</v>
      </c>
      <c r="P46" s="9"/>
      <c r="Q46" s="9">
        <v>19.2</v>
      </c>
    </row>
    <row r="47" spans="2:17" ht="20.100000000000001" customHeight="1">
      <c r="B47" s="103"/>
      <c r="C47" s="10" t="s">
        <v>86</v>
      </c>
      <c r="D47" s="7" t="s">
        <v>76</v>
      </c>
      <c r="E47" s="7" t="s">
        <v>76</v>
      </c>
      <c r="F47" s="8"/>
      <c r="G47" s="8">
        <v>174.3</v>
      </c>
      <c r="H47" s="9">
        <v>128.69999999999999</v>
      </c>
      <c r="I47" s="9">
        <v>123.3</v>
      </c>
      <c r="J47" s="8"/>
      <c r="K47" s="8">
        <v>206.8</v>
      </c>
      <c r="L47" s="9">
        <v>213.5</v>
      </c>
      <c r="M47" s="9">
        <v>205.3</v>
      </c>
      <c r="N47" s="8"/>
      <c r="O47" s="8">
        <v>155.6</v>
      </c>
      <c r="P47" s="9"/>
      <c r="Q47" s="9">
        <v>197.6</v>
      </c>
    </row>
    <row r="48" spans="2:17" ht="20.100000000000001" customHeight="1">
      <c r="B48" s="97" t="s">
        <v>87</v>
      </c>
      <c r="C48" s="97"/>
      <c r="D48" s="97"/>
      <c r="E48" s="17" t="s">
        <v>88</v>
      </c>
      <c r="F48" s="8"/>
      <c r="G48" s="8"/>
      <c r="H48" s="9"/>
      <c r="I48" s="9"/>
      <c r="J48" s="8"/>
      <c r="K48" s="8"/>
      <c r="L48" s="9"/>
      <c r="M48" s="9"/>
      <c r="N48" s="8"/>
      <c r="O48" s="8"/>
      <c r="P48" s="9"/>
      <c r="Q48" s="9"/>
    </row>
    <row r="49" spans="2:17" ht="20.100000000000001" customHeight="1">
      <c r="B49" s="97" t="s">
        <v>89</v>
      </c>
      <c r="C49" s="97"/>
      <c r="D49" s="97"/>
      <c r="E49" s="51">
        <v>5.89</v>
      </c>
      <c r="F49" s="8"/>
      <c r="G49" s="8">
        <v>5.59</v>
      </c>
      <c r="H49" s="9">
        <v>5.45</v>
      </c>
      <c r="I49" s="9">
        <v>5.55</v>
      </c>
      <c r="J49" s="8"/>
      <c r="K49" s="8">
        <v>5.5</v>
      </c>
      <c r="L49" s="9">
        <v>5.57</v>
      </c>
      <c r="M49" s="9">
        <v>5.62</v>
      </c>
      <c r="N49" s="8"/>
      <c r="O49" s="8">
        <v>5.35</v>
      </c>
      <c r="P49" s="9"/>
      <c r="Q49" s="9">
        <v>5.57</v>
      </c>
    </row>
    <row r="50" spans="2:17" ht="20.100000000000001" customHeight="1">
      <c r="B50" s="97" t="s">
        <v>90</v>
      </c>
      <c r="C50" s="97"/>
      <c r="D50" s="97"/>
      <c r="E50" s="51"/>
      <c r="F50" s="8"/>
      <c r="G50" s="8"/>
      <c r="H50" s="9"/>
      <c r="I50" s="9"/>
      <c r="J50" s="8"/>
      <c r="K50" s="8"/>
      <c r="L50" s="9"/>
      <c r="M50" s="9"/>
      <c r="N50" s="8"/>
      <c r="O50" s="8"/>
      <c r="P50" s="9"/>
      <c r="Q50" s="9"/>
    </row>
    <row r="51" spans="2:17" ht="20.100000000000001" customHeight="1" thickBot="1">
      <c r="B51" s="97" t="s">
        <v>91</v>
      </c>
      <c r="C51" s="97"/>
      <c r="D51" s="97"/>
      <c r="E51" s="50"/>
      <c r="F51" s="8"/>
      <c r="G51" s="8"/>
      <c r="H51" s="9"/>
      <c r="I51" s="9"/>
      <c r="J51" s="8"/>
      <c r="K51" s="8"/>
      <c r="L51" s="9"/>
      <c r="M51" s="9"/>
      <c r="N51" s="8"/>
      <c r="O51" s="8"/>
      <c r="P51" s="9"/>
      <c r="Q51" s="9"/>
    </row>
    <row r="52" spans="2:17">
      <c r="B52" t="s">
        <v>92</v>
      </c>
      <c r="C52" s="18" t="s">
        <v>93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28"/>
    </row>
    <row r="53" spans="2:17">
      <c r="C53" s="20" t="s">
        <v>94</v>
      </c>
      <c r="Q53" s="31"/>
    </row>
    <row r="54" spans="2:17">
      <c r="C54" s="20" t="s">
        <v>95</v>
      </c>
      <c r="Q54" s="31"/>
    </row>
    <row r="55" spans="2:17">
      <c r="C55" s="20"/>
      <c r="Q55" s="31"/>
    </row>
    <row r="56" spans="2:17">
      <c r="C56" s="20"/>
      <c r="Q56" s="31"/>
    </row>
    <row r="57" spans="2:17">
      <c r="C57" s="20" t="s">
        <v>96</v>
      </c>
      <c r="F57" s="21" t="b">
        <v>0</v>
      </c>
      <c r="G57" s="22" t="s">
        <v>97</v>
      </c>
      <c r="Q57" s="31"/>
    </row>
    <row r="58" spans="2:17">
      <c r="C58" s="20" t="s">
        <v>96</v>
      </c>
      <c r="F58" s="8" t="s">
        <v>98</v>
      </c>
      <c r="G58" s="23" t="s">
        <v>99</v>
      </c>
      <c r="Q58" s="31"/>
    </row>
    <row r="59" spans="2:17" ht="15.75" thickBot="1"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30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DB012-AAB2-40BF-AB9C-FFE342B17719}">
  <dimension ref="B1:Q59"/>
  <sheetViews>
    <sheetView view="pageBreakPreview" zoomScale="85" zoomScaleNormal="60" workbookViewId="0">
      <selection activeCell="P26" sqref="P26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107"/>
      <c r="C2" s="110" t="s">
        <v>0</v>
      </c>
      <c r="D2" s="111"/>
      <c r="E2" s="111"/>
      <c r="F2" s="111"/>
      <c r="G2" s="111"/>
      <c r="H2" s="111"/>
      <c r="I2" s="111"/>
      <c r="J2" s="111"/>
      <c r="K2" s="111"/>
      <c r="L2" s="111"/>
      <c r="M2" s="112"/>
      <c r="N2" s="18" t="s">
        <v>1</v>
      </c>
      <c r="O2" s="19"/>
      <c r="P2" s="19"/>
      <c r="Q2" s="28"/>
    </row>
    <row r="3" spans="2:17" ht="15.75" thickBot="1">
      <c r="B3" s="108"/>
      <c r="C3" s="113"/>
      <c r="D3" s="114"/>
      <c r="E3" s="114"/>
      <c r="F3" s="114"/>
      <c r="G3" s="114"/>
      <c r="H3" s="114"/>
      <c r="I3" s="114"/>
      <c r="J3" s="114"/>
      <c r="K3" s="114"/>
      <c r="L3" s="114"/>
      <c r="M3" s="115"/>
      <c r="N3" s="26" t="s">
        <v>2</v>
      </c>
      <c r="O3" s="27" t="s">
        <v>3</v>
      </c>
      <c r="P3" s="27"/>
      <c r="Q3" s="29"/>
    </row>
    <row r="4" spans="2:17" ht="15.75" thickBot="1">
      <c r="B4" s="108"/>
      <c r="C4" s="113"/>
      <c r="D4" s="114"/>
      <c r="E4" s="114"/>
      <c r="F4" s="114"/>
      <c r="G4" s="114"/>
      <c r="H4" s="114"/>
      <c r="I4" s="114"/>
      <c r="J4" s="114"/>
      <c r="K4" s="114"/>
      <c r="L4" s="114"/>
      <c r="M4" s="115"/>
      <c r="N4" s="26" t="s">
        <v>4</v>
      </c>
      <c r="O4" s="27"/>
      <c r="P4" s="27"/>
      <c r="Q4" s="29"/>
    </row>
    <row r="5" spans="2:17" ht="15.75" thickBot="1">
      <c r="B5" s="109"/>
      <c r="C5" s="116"/>
      <c r="D5" s="117"/>
      <c r="E5" s="117"/>
      <c r="F5" s="117"/>
      <c r="G5" s="117"/>
      <c r="H5" s="117"/>
      <c r="I5" s="117"/>
      <c r="J5" s="117"/>
      <c r="K5" s="117"/>
      <c r="L5" s="117"/>
      <c r="M5" s="118"/>
      <c r="N5" s="24" t="s">
        <v>5</v>
      </c>
      <c r="O5" s="25"/>
      <c r="P5" s="25"/>
      <c r="Q5" s="30"/>
    </row>
    <row r="7" spans="2:17">
      <c r="B7" s="98" t="s">
        <v>6</v>
      </c>
      <c r="C7" s="99"/>
      <c r="D7" s="100">
        <v>45726</v>
      </c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2"/>
    </row>
    <row r="8" spans="2:17">
      <c r="B8" s="97" t="s">
        <v>7</v>
      </c>
      <c r="C8" s="97"/>
      <c r="D8" s="97"/>
      <c r="E8" s="105" t="s">
        <v>8</v>
      </c>
      <c r="F8" s="103" t="s">
        <v>9</v>
      </c>
      <c r="G8" s="103"/>
      <c r="H8" s="104" t="s">
        <v>10</v>
      </c>
      <c r="I8" s="104"/>
      <c r="J8" s="103" t="s">
        <v>11</v>
      </c>
      <c r="K8" s="103"/>
      <c r="L8" s="104" t="s">
        <v>12</v>
      </c>
      <c r="M8" s="104"/>
      <c r="N8" s="103" t="s">
        <v>13</v>
      </c>
      <c r="O8" s="103"/>
      <c r="P8" s="104" t="s">
        <v>14</v>
      </c>
      <c r="Q8" s="104"/>
    </row>
    <row r="9" spans="2:17">
      <c r="B9" s="98" t="s">
        <v>15</v>
      </c>
      <c r="C9" s="119"/>
      <c r="D9" s="99"/>
      <c r="E9" s="106"/>
      <c r="F9" s="3">
        <v>0.375</v>
      </c>
      <c r="G9" s="32" t="s">
        <v>16</v>
      </c>
      <c r="H9" s="4">
        <v>0.375</v>
      </c>
      <c r="I9" s="33" t="s">
        <v>16</v>
      </c>
      <c r="J9" s="3">
        <v>0.375</v>
      </c>
      <c r="K9" s="32" t="s">
        <v>16</v>
      </c>
      <c r="L9" s="4">
        <v>0.375</v>
      </c>
      <c r="M9" s="33" t="s">
        <v>16</v>
      </c>
      <c r="N9" s="3">
        <v>0.375</v>
      </c>
      <c r="O9" s="32" t="s">
        <v>16</v>
      </c>
      <c r="P9" s="4">
        <v>0.375</v>
      </c>
      <c r="Q9" s="33" t="s">
        <v>16</v>
      </c>
    </row>
    <row r="10" spans="2:17" ht="26.25" customHeight="1">
      <c r="B10" s="120" t="s">
        <v>17</v>
      </c>
      <c r="C10" s="121"/>
      <c r="D10" s="53" t="s">
        <v>18</v>
      </c>
      <c r="E10" s="5"/>
      <c r="F10" s="6"/>
      <c r="G10" s="34" t="s">
        <v>19</v>
      </c>
      <c r="H10" s="35"/>
      <c r="I10" s="35" t="s">
        <v>19</v>
      </c>
      <c r="J10" s="34"/>
      <c r="K10" s="34" t="s">
        <v>19</v>
      </c>
      <c r="L10" s="35"/>
      <c r="M10" s="35" t="s">
        <v>19</v>
      </c>
      <c r="N10" s="6"/>
      <c r="O10" s="34" t="s">
        <v>19</v>
      </c>
      <c r="P10" s="35"/>
      <c r="Q10" s="35" t="s">
        <v>19</v>
      </c>
    </row>
    <row r="11" spans="2:17" ht="20.100000000000001" customHeight="1">
      <c r="B11" s="97" t="s">
        <v>20</v>
      </c>
      <c r="C11" s="97"/>
      <c r="D11" s="7" t="s">
        <v>21</v>
      </c>
      <c r="E11" s="7" t="s">
        <v>22</v>
      </c>
      <c r="F11" s="8"/>
      <c r="G11" s="8">
        <v>71.3</v>
      </c>
      <c r="H11" s="9"/>
      <c r="I11" s="9">
        <v>80.5</v>
      </c>
      <c r="J11" s="8"/>
      <c r="K11" s="8">
        <v>75.5</v>
      </c>
      <c r="L11" s="9"/>
      <c r="M11" s="9">
        <v>73.5</v>
      </c>
      <c r="N11" s="8"/>
      <c r="O11" s="8">
        <v>76.7</v>
      </c>
      <c r="P11" s="9"/>
      <c r="Q11" s="9">
        <v>74.3</v>
      </c>
    </row>
    <row r="12" spans="2:17" ht="20.100000000000001" customHeight="1">
      <c r="B12" s="97" t="s">
        <v>23</v>
      </c>
      <c r="C12" s="97"/>
      <c r="D12" s="7" t="s">
        <v>21</v>
      </c>
      <c r="E12" s="7" t="s">
        <v>22</v>
      </c>
      <c r="F12" s="8"/>
      <c r="G12" s="8">
        <v>0.6</v>
      </c>
      <c r="H12" s="9"/>
      <c r="I12" s="9">
        <v>0</v>
      </c>
      <c r="J12" s="8"/>
      <c r="K12" s="8">
        <v>0</v>
      </c>
      <c r="L12" s="9"/>
      <c r="M12" s="9">
        <v>0</v>
      </c>
      <c r="N12" s="8"/>
      <c r="O12" s="8">
        <v>0</v>
      </c>
      <c r="P12" s="9"/>
      <c r="Q12" s="9">
        <v>0</v>
      </c>
    </row>
    <row r="13" spans="2:17" ht="20.100000000000001" customHeight="1">
      <c r="B13" s="97" t="s">
        <v>24</v>
      </c>
      <c r="C13" s="97"/>
      <c r="D13" s="7" t="s">
        <v>21</v>
      </c>
      <c r="E13" s="7" t="s">
        <v>22</v>
      </c>
      <c r="F13" s="8"/>
      <c r="G13" s="8">
        <v>65.8</v>
      </c>
      <c r="H13" s="9"/>
      <c r="I13" s="9">
        <v>76.900000000000006</v>
      </c>
      <c r="J13" s="8"/>
      <c r="K13" s="8">
        <v>69.8</v>
      </c>
      <c r="L13" s="9"/>
      <c r="M13" s="9">
        <v>68.5</v>
      </c>
      <c r="N13" s="8"/>
      <c r="O13" s="8">
        <v>71.900000000000006</v>
      </c>
      <c r="P13" s="9"/>
      <c r="Q13" s="9">
        <v>69.099999999999994</v>
      </c>
    </row>
    <row r="14" spans="2:17" ht="20.100000000000001" customHeight="1">
      <c r="B14" s="97" t="s">
        <v>25</v>
      </c>
      <c r="C14" s="97"/>
      <c r="D14" s="7" t="s">
        <v>21</v>
      </c>
      <c r="E14" s="7" t="s">
        <v>22</v>
      </c>
      <c r="F14" s="8"/>
      <c r="G14" s="8">
        <v>66.900000000000006</v>
      </c>
      <c r="H14" s="9"/>
      <c r="I14" s="9">
        <v>69.900000000000006</v>
      </c>
      <c r="J14" s="8"/>
      <c r="K14" s="8">
        <v>64.8</v>
      </c>
      <c r="L14" s="9"/>
      <c r="M14" s="9">
        <v>66.2</v>
      </c>
      <c r="N14" s="8"/>
      <c r="O14" s="8">
        <v>74.400000000000006</v>
      </c>
      <c r="P14" s="9"/>
      <c r="Q14" s="9">
        <v>73.3</v>
      </c>
    </row>
    <row r="15" spans="2:17" ht="20.100000000000001" customHeight="1">
      <c r="B15" s="97" t="s">
        <v>26</v>
      </c>
      <c r="C15" s="97"/>
      <c r="D15" s="7" t="s">
        <v>21</v>
      </c>
      <c r="E15" s="7" t="s">
        <v>22</v>
      </c>
      <c r="F15" s="8"/>
      <c r="G15" s="8">
        <v>37.4</v>
      </c>
      <c r="H15" s="9"/>
      <c r="I15" s="9">
        <v>52.6</v>
      </c>
      <c r="J15" s="8"/>
      <c r="K15" s="8">
        <v>41.1</v>
      </c>
      <c r="L15" s="9"/>
      <c r="M15" s="9">
        <v>34.9</v>
      </c>
      <c r="N15" s="8"/>
      <c r="O15" s="8">
        <v>65.3</v>
      </c>
      <c r="P15" s="9"/>
      <c r="Q15" s="9">
        <v>45.4</v>
      </c>
    </row>
    <row r="16" spans="2:17" ht="20.100000000000001" customHeight="1">
      <c r="B16" s="103" t="s">
        <v>27</v>
      </c>
      <c r="C16" s="10" t="s">
        <v>28</v>
      </c>
      <c r="D16" s="7" t="s">
        <v>29</v>
      </c>
      <c r="E16" s="7" t="s">
        <v>30</v>
      </c>
      <c r="F16" s="8"/>
      <c r="G16" s="8">
        <v>6.6</v>
      </c>
      <c r="H16" s="9"/>
      <c r="I16" s="9">
        <v>6.6</v>
      </c>
      <c r="J16" s="8"/>
      <c r="K16" s="8">
        <v>6.6</v>
      </c>
      <c r="L16" s="9"/>
      <c r="M16" s="9">
        <v>6.6</v>
      </c>
      <c r="N16" s="8"/>
      <c r="O16" s="8">
        <v>6.6</v>
      </c>
      <c r="P16" s="9"/>
      <c r="Q16" s="9">
        <v>6.6</v>
      </c>
    </row>
    <row r="17" spans="2:17" ht="20.100000000000001" customHeight="1">
      <c r="B17" s="103"/>
      <c r="C17" s="10" t="s">
        <v>31</v>
      </c>
      <c r="D17" s="7" t="s">
        <v>32</v>
      </c>
      <c r="E17" s="7" t="s">
        <v>33</v>
      </c>
      <c r="F17" s="8"/>
      <c r="G17" s="8">
        <v>116.2</v>
      </c>
      <c r="H17" s="9"/>
      <c r="I17" s="9">
        <v>117.2</v>
      </c>
      <c r="J17" s="8"/>
      <c r="K17" s="8">
        <v>115.8</v>
      </c>
      <c r="L17" s="9"/>
      <c r="M17" s="9">
        <v>114.2</v>
      </c>
      <c r="N17" s="8"/>
      <c r="O17" s="8">
        <v>112.5</v>
      </c>
      <c r="P17" s="9"/>
      <c r="Q17" s="9">
        <v>117.3</v>
      </c>
    </row>
    <row r="18" spans="2:17" ht="20.100000000000001" customHeight="1">
      <c r="B18" s="103"/>
      <c r="C18" s="10" t="s">
        <v>34</v>
      </c>
      <c r="D18" s="7" t="s">
        <v>35</v>
      </c>
      <c r="E18" s="7" t="s">
        <v>36</v>
      </c>
      <c r="F18" s="8"/>
      <c r="G18" s="8">
        <v>1137</v>
      </c>
      <c r="H18" s="9"/>
      <c r="I18" s="9">
        <v>1192</v>
      </c>
      <c r="J18" s="8"/>
      <c r="K18" s="8">
        <v>1180</v>
      </c>
      <c r="L18" s="9"/>
      <c r="M18" s="9">
        <v>1161</v>
      </c>
      <c r="N18" s="8"/>
      <c r="O18" s="8">
        <v>1200</v>
      </c>
      <c r="P18" s="9"/>
      <c r="Q18" s="9">
        <v>1193</v>
      </c>
    </row>
    <row r="19" spans="2:17" ht="20.100000000000001" customHeight="1">
      <c r="B19" s="103" t="s">
        <v>37</v>
      </c>
      <c r="C19" s="10" t="s">
        <v>38</v>
      </c>
      <c r="D19" s="7" t="s">
        <v>39</v>
      </c>
      <c r="E19" s="11" t="s">
        <v>40</v>
      </c>
      <c r="F19" s="8"/>
      <c r="G19" s="8">
        <v>49471.199999999997</v>
      </c>
      <c r="H19" s="9"/>
      <c r="I19" s="9">
        <v>50698.6</v>
      </c>
      <c r="J19" s="8"/>
      <c r="K19" s="8">
        <v>48342.3</v>
      </c>
      <c r="L19" s="9"/>
      <c r="M19" s="9">
        <v>50731.6</v>
      </c>
      <c r="N19" s="8"/>
      <c r="O19" s="8">
        <v>49906.6</v>
      </c>
      <c r="P19" s="9"/>
      <c r="Q19" s="9">
        <v>50067.3</v>
      </c>
    </row>
    <row r="20" spans="2:17" ht="20.100000000000001" customHeight="1">
      <c r="B20" s="103"/>
      <c r="C20" s="10" t="s">
        <v>41</v>
      </c>
      <c r="D20" s="7" t="s">
        <v>42</v>
      </c>
      <c r="E20" s="7" t="s">
        <v>43</v>
      </c>
      <c r="F20" s="8"/>
      <c r="G20" s="8"/>
      <c r="H20" s="9"/>
      <c r="I20" s="9"/>
      <c r="J20" s="8"/>
      <c r="K20" s="8"/>
      <c r="L20" s="9"/>
      <c r="M20" s="9"/>
      <c r="N20" s="8"/>
      <c r="O20" s="8"/>
      <c r="P20" s="9"/>
      <c r="Q20" s="9"/>
    </row>
    <row r="21" spans="2:17" ht="20.100000000000001" customHeight="1">
      <c r="B21" s="103"/>
      <c r="C21" s="10" t="s">
        <v>44</v>
      </c>
      <c r="D21" s="7" t="s">
        <v>42</v>
      </c>
      <c r="E21" s="7" t="s">
        <v>45</v>
      </c>
      <c r="F21" s="8"/>
      <c r="G21" s="8"/>
      <c r="H21" s="9"/>
      <c r="I21" s="9"/>
      <c r="J21" s="8"/>
      <c r="K21" s="8"/>
      <c r="L21" s="9"/>
      <c r="M21" s="9"/>
      <c r="N21" s="8"/>
      <c r="O21" s="8"/>
      <c r="P21" s="9"/>
      <c r="Q21" s="9"/>
    </row>
    <row r="22" spans="2:17" ht="20.100000000000001" customHeight="1">
      <c r="B22" s="103"/>
      <c r="C22" s="10" t="s">
        <v>46</v>
      </c>
      <c r="D22" s="7" t="s">
        <v>42</v>
      </c>
      <c r="E22" s="7" t="s">
        <v>47</v>
      </c>
      <c r="F22" s="8"/>
      <c r="G22" s="8">
        <v>58.2</v>
      </c>
      <c r="H22" s="9"/>
      <c r="I22" s="9">
        <v>59.3</v>
      </c>
      <c r="J22" s="8"/>
      <c r="K22" s="8">
        <v>57.7</v>
      </c>
      <c r="L22" s="9"/>
      <c r="M22" s="9">
        <v>57.2</v>
      </c>
      <c r="N22" s="8"/>
      <c r="O22" s="8">
        <v>58.6</v>
      </c>
      <c r="P22" s="9"/>
      <c r="Q22" s="9">
        <v>58.9</v>
      </c>
    </row>
    <row r="23" spans="2:17" ht="60">
      <c r="B23" s="103"/>
      <c r="C23" s="12" t="s">
        <v>48</v>
      </c>
      <c r="D23" s="8" t="s">
        <v>49</v>
      </c>
      <c r="E23" s="13" t="s">
        <v>50</v>
      </c>
      <c r="F23" s="8"/>
      <c r="G23" s="8">
        <v>0.53</v>
      </c>
      <c r="H23" s="9"/>
      <c r="I23" s="9">
        <v>0.48</v>
      </c>
      <c r="J23" s="8"/>
      <c r="K23" s="8">
        <v>0.59</v>
      </c>
      <c r="L23" s="9"/>
      <c r="M23" s="9">
        <v>0.44</v>
      </c>
      <c r="N23" s="8"/>
      <c r="O23" s="8">
        <v>0.48</v>
      </c>
      <c r="P23" s="9"/>
      <c r="Q23" s="9">
        <v>0.5</v>
      </c>
    </row>
    <row r="24" spans="2:17" ht="39.75" customHeight="1">
      <c r="B24" s="103"/>
      <c r="C24" s="12" t="s">
        <v>51</v>
      </c>
      <c r="D24" s="7"/>
      <c r="E24" s="7"/>
      <c r="F24" s="8"/>
      <c r="G24" s="8"/>
      <c r="H24" s="9"/>
      <c r="I24" s="9"/>
      <c r="J24" s="8"/>
      <c r="K24" s="8"/>
      <c r="L24" s="8"/>
      <c r="M24" s="9"/>
      <c r="N24" s="8"/>
      <c r="O24" s="8"/>
      <c r="P24" s="9"/>
      <c r="Q24" s="9"/>
    </row>
    <row r="25" spans="2:17" ht="20.100000000000001" customHeight="1">
      <c r="B25" s="103"/>
      <c r="C25" s="10" t="s">
        <v>52</v>
      </c>
      <c r="D25" s="7" t="s">
        <v>42</v>
      </c>
      <c r="E25" s="7" t="s">
        <v>53</v>
      </c>
      <c r="F25" s="8"/>
      <c r="G25" s="8">
        <v>45.7</v>
      </c>
      <c r="H25" s="9"/>
      <c r="I25" s="9">
        <v>44.7</v>
      </c>
      <c r="J25" s="8"/>
      <c r="K25" s="8">
        <v>44.9</v>
      </c>
      <c r="L25" s="9"/>
      <c r="M25" s="9">
        <v>44.8</v>
      </c>
      <c r="N25" s="8"/>
      <c r="O25" s="8">
        <v>44.9</v>
      </c>
      <c r="P25" s="9"/>
      <c r="Q25" s="9">
        <v>44.9</v>
      </c>
    </row>
    <row r="26" spans="2:17" ht="20.100000000000001" customHeight="1">
      <c r="B26" s="103" t="s">
        <v>54</v>
      </c>
      <c r="C26" s="10" t="s">
        <v>55</v>
      </c>
      <c r="D26" s="7" t="s">
        <v>49</v>
      </c>
      <c r="E26" s="14" t="s">
        <v>56</v>
      </c>
      <c r="F26" s="8"/>
      <c r="G26" s="8">
        <v>0.23</v>
      </c>
      <c r="H26" s="9"/>
      <c r="I26" s="9">
        <v>0.22</v>
      </c>
      <c r="J26" s="8"/>
      <c r="K26" s="8">
        <v>0.23</v>
      </c>
      <c r="L26" s="9"/>
      <c r="M26" s="9">
        <v>0.22</v>
      </c>
      <c r="N26" s="8"/>
      <c r="O26" s="8">
        <v>0.23</v>
      </c>
      <c r="P26" s="9"/>
      <c r="Q26" s="9">
        <v>0.23</v>
      </c>
    </row>
    <row r="27" spans="2:17" ht="20.100000000000001" customHeight="1">
      <c r="B27" s="103"/>
      <c r="C27" s="10" t="s">
        <v>57</v>
      </c>
      <c r="D27" s="7" t="s">
        <v>42</v>
      </c>
      <c r="E27" s="7" t="s">
        <v>43</v>
      </c>
      <c r="F27" s="8"/>
      <c r="G27" s="8">
        <v>4.0999999999999996</v>
      </c>
      <c r="H27" s="9"/>
      <c r="I27" s="9">
        <v>3.3</v>
      </c>
      <c r="J27" s="8"/>
      <c r="K27" s="8">
        <v>4.0999999999999996</v>
      </c>
      <c r="L27" s="9"/>
      <c r="M27" s="9">
        <v>3.6</v>
      </c>
      <c r="N27" s="8"/>
      <c r="O27" s="8">
        <v>4.4000000000000004</v>
      </c>
      <c r="P27" s="9"/>
      <c r="Q27" s="9">
        <v>4.8</v>
      </c>
    </row>
    <row r="28" spans="2:17" ht="20.100000000000001" customHeight="1">
      <c r="B28" s="103"/>
      <c r="C28" s="10" t="s">
        <v>58</v>
      </c>
      <c r="D28" s="7" t="s">
        <v>42</v>
      </c>
      <c r="E28" s="7" t="s">
        <v>43</v>
      </c>
      <c r="F28" s="8"/>
      <c r="G28" s="8">
        <v>3.8</v>
      </c>
      <c r="H28" s="9"/>
      <c r="I28" s="9">
        <v>2.2999999999999998</v>
      </c>
      <c r="J28" s="8"/>
      <c r="K28" s="8">
        <v>3.2</v>
      </c>
      <c r="L28" s="9"/>
      <c r="M28" s="9">
        <v>2.7</v>
      </c>
      <c r="N28" s="8"/>
      <c r="O28" s="8">
        <v>3.3</v>
      </c>
      <c r="P28" s="9"/>
      <c r="Q28" s="9">
        <v>3.6</v>
      </c>
    </row>
    <row r="29" spans="2:17" ht="20.100000000000001" customHeight="1">
      <c r="B29" s="103"/>
      <c r="C29" s="10" t="s">
        <v>59</v>
      </c>
      <c r="D29" s="7" t="s">
        <v>42</v>
      </c>
      <c r="E29" s="7" t="s">
        <v>43</v>
      </c>
      <c r="F29" s="15"/>
      <c r="G29" s="15">
        <f t="shared" ref="G29:Q29" si="0">G32-G28</f>
        <v>0.79999999999999982</v>
      </c>
      <c r="H29" s="15">
        <f t="shared" si="0"/>
        <v>0</v>
      </c>
      <c r="I29" s="15">
        <f t="shared" si="0"/>
        <v>2.2999999999999998</v>
      </c>
      <c r="J29" s="15">
        <f t="shared" si="0"/>
        <v>0</v>
      </c>
      <c r="K29" s="15">
        <f t="shared" si="0"/>
        <v>1.2000000000000002</v>
      </c>
      <c r="L29" s="15">
        <f t="shared" si="0"/>
        <v>0</v>
      </c>
      <c r="M29" s="15">
        <f t="shared" si="0"/>
        <v>1</v>
      </c>
      <c r="N29" s="15"/>
      <c r="O29" s="15">
        <f>O32-O28</f>
        <v>1.1000000000000005</v>
      </c>
      <c r="P29" s="15">
        <f t="shared" si="0"/>
        <v>0</v>
      </c>
      <c r="Q29" s="15">
        <f t="shared" si="0"/>
        <v>0.99999999999999956</v>
      </c>
    </row>
    <row r="30" spans="2:17" ht="20.100000000000001" customHeight="1">
      <c r="B30" s="103"/>
      <c r="C30" s="10" t="s">
        <v>60</v>
      </c>
      <c r="D30" s="7" t="s">
        <v>61</v>
      </c>
      <c r="E30" s="7" t="s">
        <v>62</v>
      </c>
      <c r="F30" s="8"/>
      <c r="G30" s="8">
        <v>663.84</v>
      </c>
      <c r="H30" s="9"/>
      <c r="I30" s="9">
        <v>643.44000000000005</v>
      </c>
      <c r="J30" s="8"/>
      <c r="K30" s="8">
        <v>638.4</v>
      </c>
      <c r="L30" s="9"/>
      <c r="M30" s="9">
        <v>636</v>
      </c>
      <c r="N30" s="8"/>
      <c r="O30" s="8">
        <v>649.04</v>
      </c>
      <c r="P30" s="9"/>
      <c r="Q30" s="9">
        <v>635.6</v>
      </c>
    </row>
    <row r="31" spans="2:17" ht="20.100000000000001" customHeight="1">
      <c r="B31" s="103"/>
      <c r="C31" s="10" t="s">
        <v>63</v>
      </c>
      <c r="D31" s="7" t="s">
        <v>42</v>
      </c>
      <c r="E31" s="7">
        <v>13.5</v>
      </c>
      <c r="F31" s="8"/>
      <c r="G31" s="8">
        <v>13.2</v>
      </c>
      <c r="H31" s="9"/>
      <c r="I31" s="9">
        <v>13.4</v>
      </c>
      <c r="J31" s="8"/>
      <c r="K31" s="8">
        <v>13.5</v>
      </c>
      <c r="L31" s="9"/>
      <c r="M31" s="9">
        <v>12.9</v>
      </c>
      <c r="N31" s="8"/>
      <c r="O31" s="8">
        <v>13.4</v>
      </c>
      <c r="P31" s="9"/>
      <c r="Q31" s="9">
        <v>13.4</v>
      </c>
    </row>
    <row r="32" spans="2:17" ht="20.100000000000001" customHeight="1">
      <c r="B32" s="103"/>
      <c r="C32" s="10" t="s">
        <v>64</v>
      </c>
      <c r="D32" s="7" t="s">
        <v>42</v>
      </c>
      <c r="E32" s="7">
        <v>4</v>
      </c>
      <c r="F32" s="8"/>
      <c r="G32" s="8">
        <v>4.5999999999999996</v>
      </c>
      <c r="H32" s="9"/>
      <c r="I32" s="9">
        <v>4.5999999999999996</v>
      </c>
      <c r="J32" s="8"/>
      <c r="K32" s="8">
        <v>4.4000000000000004</v>
      </c>
      <c r="L32" s="9"/>
      <c r="M32" s="9">
        <v>3.7</v>
      </c>
      <c r="N32" s="8"/>
      <c r="O32" s="8">
        <v>4.4000000000000004</v>
      </c>
      <c r="P32" s="9"/>
      <c r="Q32" s="9">
        <v>4.5999999999999996</v>
      </c>
    </row>
    <row r="33" spans="2:17" ht="20.100000000000001" customHeight="1">
      <c r="B33" s="103"/>
      <c r="C33" s="10" t="s">
        <v>65</v>
      </c>
      <c r="D33" s="7" t="s">
        <v>42</v>
      </c>
      <c r="E33" s="7">
        <v>9.5</v>
      </c>
      <c r="F33" s="15"/>
      <c r="G33" s="15">
        <f t="shared" ref="G33:Q33" si="1">G31-G32</f>
        <v>8.6</v>
      </c>
      <c r="H33" s="15">
        <f t="shared" si="1"/>
        <v>0</v>
      </c>
      <c r="I33" s="15">
        <f t="shared" si="1"/>
        <v>8.8000000000000007</v>
      </c>
      <c r="J33" s="15">
        <f t="shared" si="1"/>
        <v>0</v>
      </c>
      <c r="K33" s="15">
        <f t="shared" si="1"/>
        <v>9.1</v>
      </c>
      <c r="L33" s="15">
        <f t="shared" si="1"/>
        <v>0</v>
      </c>
      <c r="M33" s="15">
        <f t="shared" si="1"/>
        <v>9.1999999999999993</v>
      </c>
      <c r="N33" s="15"/>
      <c r="O33" s="15">
        <f>O31-O32</f>
        <v>9</v>
      </c>
      <c r="P33" s="15">
        <f t="shared" si="1"/>
        <v>0</v>
      </c>
      <c r="Q33" s="15">
        <f t="shared" si="1"/>
        <v>8.8000000000000007</v>
      </c>
    </row>
    <row r="34" spans="2:17" ht="20.100000000000001" customHeight="1">
      <c r="B34" s="103"/>
      <c r="C34" s="10" t="s">
        <v>66</v>
      </c>
      <c r="D34" s="7" t="s">
        <v>67</v>
      </c>
      <c r="E34" s="7" t="s">
        <v>68</v>
      </c>
      <c r="F34" s="16"/>
      <c r="G34" s="16">
        <f t="shared" ref="G34:Q34" si="2">(G33*G30)/0.866</f>
        <v>6592.4064665127025</v>
      </c>
      <c r="H34" s="16">
        <f t="shared" si="2"/>
        <v>0</v>
      </c>
      <c r="I34" s="16">
        <f t="shared" si="2"/>
        <v>6538.4203233256358</v>
      </c>
      <c r="J34" s="16">
        <f t="shared" si="2"/>
        <v>0</v>
      </c>
      <c r="K34" s="16">
        <f t="shared" si="2"/>
        <v>6708.3602771362584</v>
      </c>
      <c r="L34" s="16">
        <f t="shared" si="2"/>
        <v>0</v>
      </c>
      <c r="M34" s="16">
        <f t="shared" si="2"/>
        <v>6756.5819861431874</v>
      </c>
      <c r="N34" s="16"/>
      <c r="O34" s="16">
        <f>(O33*O30)/0.866</f>
        <v>6745.2193995381058</v>
      </c>
      <c r="P34" s="16">
        <f t="shared" si="2"/>
        <v>0</v>
      </c>
      <c r="Q34" s="16">
        <f t="shared" si="2"/>
        <v>6458.7528868360287</v>
      </c>
    </row>
    <row r="35" spans="2:17" ht="20.100000000000001" customHeight="1">
      <c r="B35" s="103" t="s">
        <v>69</v>
      </c>
      <c r="C35" s="10" t="s">
        <v>70</v>
      </c>
      <c r="D35" s="7" t="s">
        <v>49</v>
      </c>
      <c r="E35" s="7" t="s">
        <v>71</v>
      </c>
      <c r="F35" s="8"/>
      <c r="G35" s="8">
        <v>0.81</v>
      </c>
      <c r="H35" s="9"/>
      <c r="I35" s="9">
        <v>0.83</v>
      </c>
      <c r="J35" s="8"/>
      <c r="K35" s="8">
        <v>0.82</v>
      </c>
      <c r="L35" s="9"/>
      <c r="M35" s="9">
        <v>0.81</v>
      </c>
      <c r="N35" s="8"/>
      <c r="O35" s="8">
        <v>0.79</v>
      </c>
      <c r="P35" s="9"/>
      <c r="Q35" s="9">
        <v>0.82</v>
      </c>
    </row>
    <row r="36" spans="2:17" ht="20.100000000000001" customHeight="1">
      <c r="B36" s="103"/>
      <c r="C36" s="10" t="s">
        <v>72</v>
      </c>
      <c r="D36" s="7" t="s">
        <v>42</v>
      </c>
      <c r="E36" s="7" t="s">
        <v>43</v>
      </c>
      <c r="F36" s="8"/>
      <c r="G36" s="8">
        <v>35.299999999999997</v>
      </c>
      <c r="H36" s="9"/>
      <c r="I36" s="9">
        <v>36</v>
      </c>
      <c r="J36" s="8"/>
      <c r="K36" s="8">
        <v>35.6</v>
      </c>
      <c r="L36" s="9"/>
      <c r="M36" s="9">
        <v>35.5</v>
      </c>
      <c r="N36" s="8"/>
      <c r="O36" s="8">
        <v>34.9</v>
      </c>
      <c r="P36" s="9"/>
      <c r="Q36" s="9">
        <v>35.799999999999997</v>
      </c>
    </row>
    <row r="37" spans="2:17" ht="20.100000000000001" customHeight="1">
      <c r="B37" s="103"/>
      <c r="C37" s="10" t="s">
        <v>73</v>
      </c>
      <c r="D37" s="7" t="s">
        <v>42</v>
      </c>
      <c r="E37" s="7" t="s">
        <v>43</v>
      </c>
      <c r="F37" s="8"/>
      <c r="G37" s="8">
        <v>36</v>
      </c>
      <c r="H37" s="9"/>
      <c r="I37" s="9">
        <v>36.9</v>
      </c>
      <c r="J37" s="8"/>
      <c r="K37" s="8">
        <v>36.4</v>
      </c>
      <c r="L37" s="9"/>
      <c r="M37" s="9">
        <v>35.9</v>
      </c>
      <c r="N37" s="8"/>
      <c r="O37" s="8">
        <v>35.4</v>
      </c>
      <c r="P37" s="9"/>
      <c r="Q37" s="9">
        <v>36.5</v>
      </c>
    </row>
    <row r="38" spans="2:17" ht="20.100000000000001" customHeight="1">
      <c r="B38" s="103"/>
      <c r="C38" s="12" t="s">
        <v>74</v>
      </c>
      <c r="D38" s="7" t="s">
        <v>42</v>
      </c>
      <c r="E38" s="7" t="s">
        <v>101</v>
      </c>
      <c r="F38" s="15"/>
      <c r="G38" s="15">
        <f t="shared" ref="G38:Q38" si="3">G37-G41</f>
        <v>2.7000000000000028</v>
      </c>
      <c r="H38" s="15">
        <f t="shared" si="3"/>
        <v>0</v>
      </c>
      <c r="I38" s="15">
        <f t="shared" si="3"/>
        <v>4</v>
      </c>
      <c r="J38" s="15">
        <f t="shared" si="3"/>
        <v>0</v>
      </c>
      <c r="K38" s="15">
        <f t="shared" si="3"/>
        <v>3.1000000000000014</v>
      </c>
      <c r="L38" s="15">
        <f t="shared" si="3"/>
        <v>0</v>
      </c>
      <c r="M38" s="15">
        <f t="shared" si="3"/>
        <v>3.1000000000000014</v>
      </c>
      <c r="N38" s="15"/>
      <c r="O38" s="15">
        <f>O37-O41</f>
        <v>2.2999999999999972</v>
      </c>
      <c r="P38" s="15">
        <f t="shared" si="3"/>
        <v>0</v>
      </c>
      <c r="Q38" s="15">
        <f t="shared" si="3"/>
        <v>3.2000000000000028</v>
      </c>
    </row>
    <row r="39" spans="2:17" ht="20.100000000000001" customHeight="1">
      <c r="B39" s="103"/>
      <c r="C39" s="10" t="s">
        <v>75</v>
      </c>
      <c r="D39" s="7" t="s">
        <v>76</v>
      </c>
      <c r="E39" s="7"/>
      <c r="F39" s="8"/>
      <c r="G39" s="8"/>
      <c r="H39" s="9"/>
      <c r="I39" s="9"/>
      <c r="J39" s="8"/>
      <c r="K39" s="8"/>
      <c r="L39" s="9"/>
      <c r="M39" s="9"/>
      <c r="N39" s="8"/>
      <c r="O39" s="8"/>
      <c r="P39" s="9"/>
      <c r="Q39" s="9"/>
    </row>
    <row r="40" spans="2:17" ht="20.100000000000001" customHeight="1">
      <c r="B40" s="103"/>
      <c r="C40" s="10" t="s">
        <v>77</v>
      </c>
      <c r="D40" s="7" t="s">
        <v>42</v>
      </c>
      <c r="E40" s="7">
        <v>30.8</v>
      </c>
      <c r="F40" s="8"/>
      <c r="G40" s="8">
        <v>27.5</v>
      </c>
      <c r="H40" s="9"/>
      <c r="I40" s="9">
        <v>27.2</v>
      </c>
      <c r="J40" s="8"/>
      <c r="K40" s="8">
        <v>27.4</v>
      </c>
      <c r="L40" s="9"/>
      <c r="M40" s="9">
        <v>27.1</v>
      </c>
      <c r="N40" s="8"/>
      <c r="O40" s="8">
        <v>27.2</v>
      </c>
      <c r="P40" s="9"/>
      <c r="Q40" s="9">
        <v>27.5</v>
      </c>
    </row>
    <row r="41" spans="2:17" ht="20.100000000000001" customHeight="1">
      <c r="B41" s="103"/>
      <c r="C41" s="10" t="s">
        <v>78</v>
      </c>
      <c r="D41" s="7" t="s">
        <v>42</v>
      </c>
      <c r="E41" s="7">
        <v>36.4</v>
      </c>
      <c r="F41" s="8"/>
      <c r="G41" s="8">
        <v>33.299999999999997</v>
      </c>
      <c r="H41" s="9"/>
      <c r="I41" s="9">
        <v>32.9</v>
      </c>
      <c r="J41" s="8"/>
      <c r="K41" s="8">
        <v>33.299999999999997</v>
      </c>
      <c r="L41" s="9"/>
      <c r="M41" s="9">
        <v>32.799999999999997</v>
      </c>
      <c r="N41" s="8"/>
      <c r="O41" s="8">
        <v>33.1</v>
      </c>
      <c r="P41" s="9"/>
      <c r="Q41" s="9">
        <v>33.299999999999997</v>
      </c>
    </row>
    <row r="42" spans="2:17" ht="20.100000000000001" customHeight="1">
      <c r="B42" s="103"/>
      <c r="C42" s="10" t="s">
        <v>79</v>
      </c>
      <c r="D42" s="7" t="s">
        <v>42</v>
      </c>
      <c r="E42" s="7">
        <v>5.6</v>
      </c>
      <c r="F42" s="15"/>
      <c r="G42" s="15">
        <f t="shared" ref="G42:Q42" si="4">G41-G40</f>
        <v>5.7999999999999972</v>
      </c>
      <c r="H42" s="15">
        <f t="shared" si="4"/>
        <v>0</v>
      </c>
      <c r="I42" s="15">
        <f t="shared" si="4"/>
        <v>5.6999999999999993</v>
      </c>
      <c r="J42" s="15">
        <f t="shared" si="4"/>
        <v>0</v>
      </c>
      <c r="K42" s="15">
        <f t="shared" si="4"/>
        <v>5.8999999999999986</v>
      </c>
      <c r="L42" s="15">
        <f t="shared" si="4"/>
        <v>0</v>
      </c>
      <c r="M42" s="15">
        <f t="shared" si="4"/>
        <v>5.6999999999999957</v>
      </c>
      <c r="N42" s="15"/>
      <c r="O42" s="15">
        <f>O41-O40</f>
        <v>5.9000000000000021</v>
      </c>
      <c r="P42" s="15">
        <f t="shared" si="4"/>
        <v>0</v>
      </c>
      <c r="Q42" s="15">
        <f t="shared" si="4"/>
        <v>5.7999999999999972</v>
      </c>
    </row>
    <row r="43" spans="2:17" ht="20.100000000000001" customHeight="1">
      <c r="B43" s="103"/>
      <c r="C43" s="10" t="s">
        <v>80</v>
      </c>
      <c r="D43" s="7" t="s">
        <v>61</v>
      </c>
      <c r="E43" s="7">
        <v>1273.0999999999999</v>
      </c>
      <c r="F43" s="8"/>
      <c r="G43" s="8">
        <v>1155.98</v>
      </c>
      <c r="H43" s="9"/>
      <c r="I43" s="9">
        <v>1149.68</v>
      </c>
      <c r="J43" s="8"/>
      <c r="K43" s="8">
        <v>1176.56</v>
      </c>
      <c r="L43" s="9"/>
      <c r="M43" s="8">
        <v>1150.6600000000001</v>
      </c>
      <c r="N43" s="8"/>
      <c r="O43" s="8">
        <v>1129.8</v>
      </c>
      <c r="P43" s="9"/>
      <c r="Q43" s="9">
        <v>1170.4000000000001</v>
      </c>
    </row>
    <row r="44" spans="2:17" ht="20.100000000000001" customHeight="1">
      <c r="B44" s="103"/>
      <c r="C44" s="10" t="s">
        <v>81</v>
      </c>
      <c r="D44" s="7" t="s">
        <v>67</v>
      </c>
      <c r="E44" s="7">
        <v>8226.9</v>
      </c>
      <c r="F44" s="16"/>
      <c r="G44" s="16">
        <f t="shared" ref="G44:Q44" si="5">G42*G43/0.866</f>
        <v>7742.129330254038</v>
      </c>
      <c r="H44" s="16">
        <f t="shared" si="5"/>
        <v>0</v>
      </c>
      <c r="I44" s="16">
        <f t="shared" si="5"/>
        <v>7567.177829099307</v>
      </c>
      <c r="J44" s="16">
        <f t="shared" si="5"/>
        <v>0</v>
      </c>
      <c r="K44" s="16">
        <f t="shared" si="5"/>
        <v>8015.8244803695125</v>
      </c>
      <c r="L44" s="16">
        <f t="shared" si="5"/>
        <v>0</v>
      </c>
      <c r="M44" s="16">
        <f t="shared" si="5"/>
        <v>7573.6281755196251</v>
      </c>
      <c r="N44" s="16"/>
      <c r="O44" s="16">
        <f>O42*O43/0.866</f>
        <v>7697.2517321016194</v>
      </c>
      <c r="P44" s="16">
        <f t="shared" si="5"/>
        <v>0</v>
      </c>
      <c r="Q44" s="16">
        <f t="shared" si="5"/>
        <v>7838.7066974595809</v>
      </c>
    </row>
    <row r="45" spans="2:17" ht="20.100000000000001" customHeight="1">
      <c r="B45" s="103" t="s">
        <v>82</v>
      </c>
      <c r="C45" s="10" t="s">
        <v>83</v>
      </c>
      <c r="D45" s="7" t="s">
        <v>49</v>
      </c>
      <c r="E45" s="7" t="s">
        <v>84</v>
      </c>
      <c r="F45" s="8"/>
      <c r="G45" s="8">
        <v>0.45</v>
      </c>
      <c r="H45" s="9"/>
      <c r="I45" s="9">
        <v>0.45</v>
      </c>
      <c r="J45" s="8"/>
      <c r="K45" s="8">
        <v>0.46</v>
      </c>
      <c r="L45" s="9"/>
      <c r="M45" s="9">
        <v>0.46</v>
      </c>
      <c r="N45" s="8"/>
      <c r="O45" s="8">
        <v>0.45</v>
      </c>
      <c r="P45" s="9"/>
      <c r="Q45" s="9">
        <v>0.47</v>
      </c>
    </row>
    <row r="46" spans="2:17" ht="20.100000000000001" customHeight="1">
      <c r="B46" s="103"/>
      <c r="C46" s="10" t="s">
        <v>85</v>
      </c>
      <c r="D46" s="7" t="s">
        <v>42</v>
      </c>
      <c r="E46" s="7" t="s">
        <v>43</v>
      </c>
      <c r="F46" s="8"/>
      <c r="G46" s="8">
        <v>19.100000000000001</v>
      </c>
      <c r="H46" s="9"/>
      <c r="I46" s="9">
        <v>18.899999999999999</v>
      </c>
      <c r="J46" s="8"/>
      <c r="K46" s="8">
        <v>19.2</v>
      </c>
      <c r="L46" s="9"/>
      <c r="M46" s="9">
        <v>19.5</v>
      </c>
      <c r="N46" s="8"/>
      <c r="O46" s="8">
        <v>19.899999999999999</v>
      </c>
      <c r="P46" s="9"/>
      <c r="Q46" s="9">
        <v>19.8</v>
      </c>
    </row>
    <row r="47" spans="2:17" ht="20.100000000000001" customHeight="1">
      <c r="B47" s="103"/>
      <c r="C47" s="10" t="s">
        <v>86</v>
      </c>
      <c r="D47" s="7" t="s">
        <v>76</v>
      </c>
      <c r="E47" s="7" t="s">
        <v>76</v>
      </c>
      <c r="F47" s="8"/>
      <c r="G47" s="8">
        <v>199.6</v>
      </c>
      <c r="H47" s="9"/>
      <c r="I47" s="9">
        <v>126.4</v>
      </c>
      <c r="J47" s="8"/>
      <c r="K47" s="8">
        <v>206.6</v>
      </c>
      <c r="L47" s="9"/>
      <c r="M47" s="9">
        <v>209.6</v>
      </c>
      <c r="N47" s="8"/>
      <c r="O47" s="8">
        <v>163</v>
      </c>
      <c r="P47" s="9"/>
      <c r="Q47" s="9">
        <v>195.8</v>
      </c>
    </row>
    <row r="48" spans="2:17" ht="20.100000000000001" customHeight="1">
      <c r="B48" s="97" t="s">
        <v>87</v>
      </c>
      <c r="C48" s="97"/>
      <c r="D48" s="97"/>
      <c r="E48" s="17" t="s">
        <v>88</v>
      </c>
      <c r="F48" s="8"/>
      <c r="G48" s="8"/>
      <c r="H48" s="9"/>
      <c r="I48" s="9"/>
      <c r="J48" s="8"/>
      <c r="K48" s="8"/>
      <c r="L48" s="9"/>
      <c r="M48" s="9"/>
      <c r="N48" s="8"/>
      <c r="O48" s="8"/>
      <c r="P48" s="9"/>
      <c r="Q48" s="9"/>
    </row>
    <row r="49" spans="2:17" ht="20.100000000000001" customHeight="1">
      <c r="B49" s="97" t="s">
        <v>89</v>
      </c>
      <c r="C49" s="97"/>
      <c r="D49" s="97"/>
      <c r="E49" s="53">
        <v>5.89</v>
      </c>
      <c r="F49" s="8"/>
      <c r="G49" s="8">
        <v>5.87</v>
      </c>
      <c r="H49" s="9"/>
      <c r="I49" s="9">
        <v>5.4</v>
      </c>
      <c r="J49" s="8"/>
      <c r="K49" s="8">
        <v>5.73</v>
      </c>
      <c r="L49" s="9"/>
      <c r="M49" s="9">
        <v>5.89</v>
      </c>
      <c r="N49" s="8"/>
      <c r="O49" s="8">
        <v>5.65</v>
      </c>
      <c r="P49" s="9"/>
      <c r="Q49" s="9">
        <v>5.57</v>
      </c>
    </row>
    <row r="50" spans="2:17" ht="20.100000000000001" customHeight="1">
      <c r="B50" s="97" t="s">
        <v>90</v>
      </c>
      <c r="C50" s="97"/>
      <c r="D50" s="97"/>
      <c r="E50" s="53"/>
      <c r="F50" s="8"/>
      <c r="G50" s="8"/>
      <c r="H50" s="9"/>
      <c r="I50" s="9"/>
      <c r="J50" s="8"/>
      <c r="K50" s="8"/>
      <c r="L50" s="9"/>
      <c r="M50" s="9"/>
      <c r="N50" s="8"/>
      <c r="O50" s="8"/>
      <c r="P50" s="9"/>
      <c r="Q50" s="9"/>
    </row>
    <row r="51" spans="2:17" ht="20.100000000000001" customHeight="1" thickBot="1">
      <c r="B51" s="97" t="s">
        <v>91</v>
      </c>
      <c r="C51" s="97"/>
      <c r="D51" s="97"/>
      <c r="E51" s="52"/>
      <c r="F51" s="8"/>
      <c r="G51" s="8"/>
      <c r="H51" s="9"/>
      <c r="I51" s="9"/>
      <c r="J51" s="8"/>
      <c r="K51" s="8"/>
      <c r="L51" s="9"/>
      <c r="M51" s="9"/>
      <c r="N51" s="8"/>
      <c r="O51" s="8"/>
      <c r="P51" s="9"/>
      <c r="Q51" s="9"/>
    </row>
    <row r="52" spans="2:17">
      <c r="B52" t="s">
        <v>92</v>
      </c>
      <c r="C52" s="18" t="s">
        <v>93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28"/>
    </row>
    <row r="53" spans="2:17">
      <c r="C53" s="20" t="s">
        <v>94</v>
      </c>
      <c r="Q53" s="31"/>
    </row>
    <row r="54" spans="2:17">
      <c r="C54" s="20" t="s">
        <v>95</v>
      </c>
      <c r="Q54" s="31"/>
    </row>
    <row r="55" spans="2:17">
      <c r="C55" s="20"/>
      <c r="Q55" s="31"/>
    </row>
    <row r="56" spans="2:17">
      <c r="C56" s="20"/>
      <c r="Q56" s="31"/>
    </row>
    <row r="57" spans="2:17">
      <c r="C57" s="20" t="s">
        <v>96</v>
      </c>
      <c r="F57" s="21" t="b">
        <v>0</v>
      </c>
      <c r="G57" s="22" t="s">
        <v>97</v>
      </c>
      <c r="Q57" s="31"/>
    </row>
    <row r="58" spans="2:17">
      <c r="C58" s="20" t="s">
        <v>96</v>
      </c>
      <c r="F58" s="8" t="s">
        <v>98</v>
      </c>
      <c r="G58" s="23" t="s">
        <v>99</v>
      </c>
      <c r="Q58" s="31"/>
    </row>
    <row r="59" spans="2:17" ht="15.75" thickBot="1"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30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ECE80-CA7D-4016-BC4F-CF676F6A5B35}">
  <dimension ref="B1:Q59"/>
  <sheetViews>
    <sheetView view="pageBreakPreview" topLeftCell="B1" zoomScale="85" zoomScaleNormal="60" workbookViewId="0">
      <selection activeCell="Q10" sqref="Q10:Q50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107"/>
      <c r="C2" s="110" t="s">
        <v>0</v>
      </c>
      <c r="D2" s="111"/>
      <c r="E2" s="111"/>
      <c r="F2" s="111"/>
      <c r="G2" s="111"/>
      <c r="H2" s="111"/>
      <c r="I2" s="111"/>
      <c r="J2" s="111"/>
      <c r="K2" s="111"/>
      <c r="L2" s="111"/>
      <c r="M2" s="112"/>
      <c r="N2" s="18" t="s">
        <v>1</v>
      </c>
      <c r="O2" s="19"/>
      <c r="P2" s="19"/>
      <c r="Q2" s="28"/>
    </row>
    <row r="3" spans="2:17" ht="15.75" thickBot="1">
      <c r="B3" s="108"/>
      <c r="C3" s="113"/>
      <c r="D3" s="114"/>
      <c r="E3" s="114"/>
      <c r="F3" s="114"/>
      <c r="G3" s="114"/>
      <c r="H3" s="114"/>
      <c r="I3" s="114"/>
      <c r="J3" s="114"/>
      <c r="K3" s="114"/>
      <c r="L3" s="114"/>
      <c r="M3" s="115"/>
      <c r="N3" s="26" t="s">
        <v>2</v>
      </c>
      <c r="O3" s="27" t="s">
        <v>3</v>
      </c>
      <c r="P3" s="27"/>
      <c r="Q3" s="29"/>
    </row>
    <row r="4" spans="2:17" ht="15.75" thickBot="1">
      <c r="B4" s="108"/>
      <c r="C4" s="113"/>
      <c r="D4" s="114"/>
      <c r="E4" s="114"/>
      <c r="F4" s="114"/>
      <c r="G4" s="114"/>
      <c r="H4" s="114"/>
      <c r="I4" s="114"/>
      <c r="J4" s="114"/>
      <c r="K4" s="114"/>
      <c r="L4" s="114"/>
      <c r="M4" s="115"/>
      <c r="N4" s="26" t="s">
        <v>4</v>
      </c>
      <c r="O4" s="27"/>
      <c r="P4" s="27"/>
      <c r="Q4" s="29"/>
    </row>
    <row r="5" spans="2:17" ht="15.75" thickBot="1">
      <c r="B5" s="109"/>
      <c r="C5" s="116"/>
      <c r="D5" s="117"/>
      <c r="E5" s="117"/>
      <c r="F5" s="117"/>
      <c r="G5" s="117"/>
      <c r="H5" s="117"/>
      <c r="I5" s="117"/>
      <c r="J5" s="117"/>
      <c r="K5" s="117"/>
      <c r="L5" s="117"/>
      <c r="M5" s="118"/>
      <c r="N5" s="24" t="s">
        <v>5</v>
      </c>
      <c r="O5" s="25"/>
      <c r="P5" s="25"/>
      <c r="Q5" s="30"/>
    </row>
    <row r="7" spans="2:17">
      <c r="B7" s="98" t="s">
        <v>6</v>
      </c>
      <c r="C7" s="99"/>
      <c r="D7" s="100">
        <v>45727</v>
      </c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2"/>
    </row>
    <row r="8" spans="2:17">
      <c r="B8" s="97" t="s">
        <v>7</v>
      </c>
      <c r="C8" s="97"/>
      <c r="D8" s="97"/>
      <c r="E8" s="105" t="s">
        <v>8</v>
      </c>
      <c r="F8" s="103" t="s">
        <v>9</v>
      </c>
      <c r="G8" s="103"/>
      <c r="H8" s="104" t="s">
        <v>10</v>
      </c>
      <c r="I8" s="104"/>
      <c r="J8" s="103" t="s">
        <v>11</v>
      </c>
      <c r="K8" s="103"/>
      <c r="L8" s="104" t="s">
        <v>12</v>
      </c>
      <c r="M8" s="104"/>
      <c r="N8" s="103" t="s">
        <v>13</v>
      </c>
      <c r="O8" s="103"/>
      <c r="P8" s="104" t="s">
        <v>14</v>
      </c>
      <c r="Q8" s="104"/>
    </row>
    <row r="9" spans="2:17">
      <c r="B9" s="98" t="s">
        <v>15</v>
      </c>
      <c r="C9" s="119"/>
      <c r="D9" s="99"/>
      <c r="E9" s="106"/>
      <c r="F9" s="3">
        <v>0.375</v>
      </c>
      <c r="G9" s="32" t="s">
        <v>16</v>
      </c>
      <c r="H9" s="4">
        <v>0.375</v>
      </c>
      <c r="I9" s="33" t="s">
        <v>16</v>
      </c>
      <c r="J9" s="3">
        <v>0.375</v>
      </c>
      <c r="K9" s="32" t="s">
        <v>16</v>
      </c>
      <c r="L9" s="4">
        <v>0.375</v>
      </c>
      <c r="M9" s="33" t="s">
        <v>16</v>
      </c>
      <c r="N9" s="3">
        <v>0.375</v>
      </c>
      <c r="O9" s="32" t="s">
        <v>16</v>
      </c>
      <c r="P9" s="4">
        <v>0.375</v>
      </c>
      <c r="Q9" s="33" t="s">
        <v>16</v>
      </c>
    </row>
    <row r="10" spans="2:17" ht="26.25" customHeight="1">
      <c r="B10" s="120" t="s">
        <v>17</v>
      </c>
      <c r="C10" s="121"/>
      <c r="D10" s="55" t="s">
        <v>18</v>
      </c>
      <c r="E10" s="5"/>
      <c r="F10" s="34" t="s">
        <v>19</v>
      </c>
      <c r="G10" s="34" t="s">
        <v>19</v>
      </c>
      <c r="H10" s="35"/>
      <c r="I10" s="35" t="s">
        <v>19</v>
      </c>
      <c r="J10" s="34" t="s">
        <v>19</v>
      </c>
      <c r="K10" s="34" t="s">
        <v>19</v>
      </c>
      <c r="L10" s="35"/>
      <c r="M10" s="35" t="s">
        <v>19</v>
      </c>
      <c r="N10" s="34" t="s">
        <v>19</v>
      </c>
      <c r="O10" s="34" t="s">
        <v>19</v>
      </c>
      <c r="P10" s="35" t="s">
        <v>19</v>
      </c>
      <c r="Q10" s="35" t="s">
        <v>19</v>
      </c>
    </row>
    <row r="11" spans="2:17" ht="20.100000000000001" customHeight="1">
      <c r="B11" s="97" t="s">
        <v>20</v>
      </c>
      <c r="C11" s="97"/>
      <c r="D11" s="7" t="s">
        <v>21</v>
      </c>
      <c r="E11" s="7" t="s">
        <v>22</v>
      </c>
      <c r="F11" s="8"/>
      <c r="G11" s="8">
        <v>70.599999999999994</v>
      </c>
      <c r="H11" s="9"/>
      <c r="I11" s="9">
        <v>80</v>
      </c>
      <c r="J11" s="8">
        <v>75.2</v>
      </c>
      <c r="K11" s="8">
        <v>74</v>
      </c>
      <c r="L11" s="9"/>
      <c r="M11" s="9">
        <v>71.400000000000006</v>
      </c>
      <c r="N11" s="8"/>
      <c r="O11" s="8">
        <v>75.599999999999994</v>
      </c>
      <c r="P11" s="9">
        <v>74.5</v>
      </c>
      <c r="Q11" s="9">
        <v>73.400000000000006</v>
      </c>
    </row>
    <row r="12" spans="2:17" ht="20.100000000000001" customHeight="1">
      <c r="B12" s="97" t="s">
        <v>23</v>
      </c>
      <c r="C12" s="97"/>
      <c r="D12" s="7" t="s">
        <v>21</v>
      </c>
      <c r="E12" s="7" t="s">
        <v>22</v>
      </c>
      <c r="F12" s="8"/>
      <c r="G12" s="8">
        <v>0.1</v>
      </c>
      <c r="H12" s="9"/>
      <c r="I12" s="9">
        <v>0</v>
      </c>
      <c r="J12" s="8">
        <v>0</v>
      </c>
      <c r="K12" s="8">
        <v>0</v>
      </c>
      <c r="L12" s="9"/>
      <c r="M12" s="9">
        <v>0.1</v>
      </c>
      <c r="N12" s="8"/>
      <c r="O12" s="8">
        <v>0</v>
      </c>
      <c r="P12" s="9">
        <v>0</v>
      </c>
      <c r="Q12" s="9">
        <v>0</v>
      </c>
    </row>
    <row r="13" spans="2:17" ht="20.100000000000001" customHeight="1">
      <c r="B13" s="97" t="s">
        <v>24</v>
      </c>
      <c r="C13" s="97"/>
      <c r="D13" s="7" t="s">
        <v>21</v>
      </c>
      <c r="E13" s="7" t="s">
        <v>22</v>
      </c>
      <c r="F13" s="8"/>
      <c r="G13" s="8">
        <v>64.7</v>
      </c>
      <c r="H13" s="9"/>
      <c r="I13" s="9">
        <v>76.2</v>
      </c>
      <c r="J13" s="8">
        <v>71.5</v>
      </c>
      <c r="K13" s="8">
        <v>69</v>
      </c>
      <c r="L13" s="9"/>
      <c r="M13" s="9">
        <v>67.8</v>
      </c>
      <c r="N13" s="8"/>
      <c r="O13" s="8">
        <v>71</v>
      </c>
      <c r="P13" s="9">
        <v>69.900000000000006</v>
      </c>
      <c r="Q13" s="9">
        <v>67.8</v>
      </c>
    </row>
    <row r="14" spans="2:17" ht="20.100000000000001" customHeight="1">
      <c r="B14" s="97" t="s">
        <v>25</v>
      </c>
      <c r="C14" s="97"/>
      <c r="D14" s="7" t="s">
        <v>21</v>
      </c>
      <c r="E14" s="7" t="s">
        <v>22</v>
      </c>
      <c r="F14" s="8"/>
      <c r="G14" s="8">
        <v>67.400000000000006</v>
      </c>
      <c r="H14" s="9"/>
      <c r="I14" s="9">
        <v>68.8</v>
      </c>
      <c r="J14" s="8">
        <v>63.7</v>
      </c>
      <c r="K14" s="8">
        <v>63.6</v>
      </c>
      <c r="L14" s="9"/>
      <c r="M14" s="9">
        <v>66.3</v>
      </c>
      <c r="N14" s="8"/>
      <c r="O14" s="8">
        <v>73.400000000000006</v>
      </c>
      <c r="P14" s="9">
        <v>73.5</v>
      </c>
      <c r="Q14" s="9">
        <v>72</v>
      </c>
    </row>
    <row r="15" spans="2:17" ht="20.100000000000001" customHeight="1">
      <c r="B15" s="97" t="s">
        <v>26</v>
      </c>
      <c r="C15" s="97"/>
      <c r="D15" s="7" t="s">
        <v>21</v>
      </c>
      <c r="E15" s="7" t="s">
        <v>22</v>
      </c>
      <c r="F15" s="8"/>
      <c r="G15" s="8">
        <v>36.200000000000003</v>
      </c>
      <c r="H15" s="9"/>
      <c r="I15" s="9">
        <v>50.9</v>
      </c>
      <c r="J15" s="8">
        <v>39.5</v>
      </c>
      <c r="K15" s="8">
        <v>39.9</v>
      </c>
      <c r="L15" s="9"/>
      <c r="M15" s="9">
        <v>33.9</v>
      </c>
      <c r="N15" s="8"/>
      <c r="O15" s="8">
        <v>52.3</v>
      </c>
      <c r="P15" s="9">
        <v>42</v>
      </c>
      <c r="Q15" s="9">
        <v>42.4</v>
      </c>
    </row>
    <row r="16" spans="2:17" ht="20.100000000000001" customHeight="1">
      <c r="B16" s="103" t="s">
        <v>27</v>
      </c>
      <c r="C16" s="10" t="s">
        <v>28</v>
      </c>
      <c r="D16" s="7" t="s">
        <v>29</v>
      </c>
      <c r="E16" s="7" t="s">
        <v>30</v>
      </c>
      <c r="F16" s="8"/>
      <c r="G16" s="8">
        <v>6.6</v>
      </c>
      <c r="H16" s="9"/>
      <c r="I16" s="9">
        <v>6.6</v>
      </c>
      <c r="J16" s="8">
        <v>6.6</v>
      </c>
      <c r="K16" s="8">
        <v>6.6</v>
      </c>
      <c r="L16" s="9"/>
      <c r="M16" s="9">
        <v>6.6</v>
      </c>
      <c r="N16" s="8"/>
      <c r="O16" s="8">
        <v>6.6</v>
      </c>
      <c r="P16" s="9">
        <v>6.6</v>
      </c>
      <c r="Q16" s="9">
        <v>6.6</v>
      </c>
    </row>
    <row r="17" spans="2:17" ht="20.100000000000001" customHeight="1">
      <c r="B17" s="103"/>
      <c r="C17" s="10" t="s">
        <v>31</v>
      </c>
      <c r="D17" s="7" t="s">
        <v>32</v>
      </c>
      <c r="E17" s="7" t="s">
        <v>33</v>
      </c>
      <c r="F17" s="8"/>
      <c r="G17" s="8">
        <v>117.2</v>
      </c>
      <c r="H17" s="9"/>
      <c r="I17" s="9">
        <v>118.1</v>
      </c>
      <c r="J17" s="8">
        <v>116.2</v>
      </c>
      <c r="K17" s="8">
        <v>116.7</v>
      </c>
      <c r="L17" s="9"/>
      <c r="M17" s="9">
        <v>113.9</v>
      </c>
      <c r="N17" s="8"/>
      <c r="O17" s="8">
        <v>118.6</v>
      </c>
      <c r="P17" s="9">
        <v>118.5</v>
      </c>
      <c r="Q17" s="9">
        <v>186.2</v>
      </c>
    </row>
    <row r="18" spans="2:17" ht="20.100000000000001" customHeight="1">
      <c r="B18" s="103"/>
      <c r="C18" s="10" t="s">
        <v>34</v>
      </c>
      <c r="D18" s="7" t="s">
        <v>35</v>
      </c>
      <c r="E18" s="7" t="s">
        <v>36</v>
      </c>
      <c r="F18" s="8"/>
      <c r="G18" s="8">
        <v>1147</v>
      </c>
      <c r="H18" s="9"/>
      <c r="I18" s="9">
        <v>1194</v>
      </c>
      <c r="J18" s="8">
        <v>1186</v>
      </c>
      <c r="K18" s="8">
        <v>1181</v>
      </c>
      <c r="L18" s="9"/>
      <c r="M18" s="9">
        <v>1161</v>
      </c>
      <c r="N18" s="8"/>
      <c r="O18" s="8">
        <v>1208</v>
      </c>
      <c r="P18" s="9">
        <v>1205</v>
      </c>
      <c r="Q18" s="9">
        <v>1182</v>
      </c>
    </row>
    <row r="19" spans="2:17" ht="20.100000000000001" customHeight="1">
      <c r="B19" s="103" t="s">
        <v>37</v>
      </c>
      <c r="C19" s="10" t="s">
        <v>38</v>
      </c>
      <c r="D19" s="7" t="s">
        <v>39</v>
      </c>
      <c r="E19" s="11" t="s">
        <v>40</v>
      </c>
      <c r="F19" s="8"/>
      <c r="G19" s="8">
        <v>49489.5</v>
      </c>
      <c r="H19" s="9"/>
      <c r="I19" s="9">
        <v>50709</v>
      </c>
      <c r="J19" s="8">
        <v>48361.3</v>
      </c>
      <c r="K19" s="8">
        <v>48352.800000000003</v>
      </c>
      <c r="L19" s="9"/>
      <c r="M19" s="9">
        <v>50742</v>
      </c>
      <c r="N19" s="8"/>
      <c r="O19" s="8">
        <v>49931.3</v>
      </c>
      <c r="P19" s="9">
        <v>50085.9</v>
      </c>
      <c r="Q19" s="9">
        <v>50077.4</v>
      </c>
    </row>
    <row r="20" spans="2:17" ht="20.100000000000001" customHeight="1">
      <c r="B20" s="103"/>
      <c r="C20" s="10" t="s">
        <v>41</v>
      </c>
      <c r="D20" s="7" t="s">
        <v>42</v>
      </c>
      <c r="E20" s="7" t="s">
        <v>43</v>
      </c>
      <c r="F20" s="8"/>
      <c r="G20" s="8"/>
      <c r="H20" s="9"/>
      <c r="I20" s="9"/>
      <c r="J20" s="8"/>
      <c r="K20" s="8"/>
      <c r="L20" s="9"/>
      <c r="M20" s="9"/>
      <c r="N20" s="8"/>
      <c r="O20" s="8"/>
      <c r="P20" s="9"/>
      <c r="Q20" s="9"/>
    </row>
    <row r="21" spans="2:17" ht="20.100000000000001" customHeight="1">
      <c r="B21" s="103"/>
      <c r="C21" s="10" t="s">
        <v>44</v>
      </c>
      <c r="D21" s="7" t="s">
        <v>42</v>
      </c>
      <c r="E21" s="7" t="s">
        <v>45</v>
      </c>
      <c r="F21" s="8"/>
      <c r="G21" s="8"/>
      <c r="H21" s="9"/>
      <c r="I21" s="9"/>
      <c r="J21" s="8"/>
      <c r="K21" s="8"/>
      <c r="L21" s="9"/>
      <c r="M21" s="9"/>
      <c r="N21" s="8"/>
      <c r="O21" s="8"/>
      <c r="P21" s="9"/>
      <c r="Q21" s="9"/>
    </row>
    <row r="22" spans="2:17" ht="20.100000000000001" customHeight="1">
      <c r="B22" s="103"/>
      <c r="C22" s="10" t="s">
        <v>46</v>
      </c>
      <c r="D22" s="7" t="s">
        <v>42</v>
      </c>
      <c r="E22" s="7" t="s">
        <v>47</v>
      </c>
      <c r="F22" s="8"/>
      <c r="G22" s="8">
        <v>58.5</v>
      </c>
      <c r="H22" s="9"/>
      <c r="I22" s="9">
        <v>59.4</v>
      </c>
      <c r="J22" s="8">
        <v>57.5</v>
      </c>
      <c r="K22" s="8">
        <v>57.5</v>
      </c>
      <c r="L22" s="9"/>
      <c r="M22" s="9">
        <v>57.4</v>
      </c>
      <c r="N22" s="8"/>
      <c r="O22" s="8">
        <v>58.7</v>
      </c>
      <c r="P22" s="9">
        <v>59.1</v>
      </c>
      <c r="Q22" s="9">
        <v>59.2</v>
      </c>
    </row>
    <row r="23" spans="2:17" ht="60">
      <c r="B23" s="103"/>
      <c r="C23" s="12" t="s">
        <v>48</v>
      </c>
      <c r="D23" s="8" t="s">
        <v>49</v>
      </c>
      <c r="E23" s="13" t="s">
        <v>50</v>
      </c>
      <c r="F23" s="8"/>
      <c r="G23" s="8">
        <v>0.53</v>
      </c>
      <c r="H23" s="9"/>
      <c r="I23" s="9">
        <v>0.49</v>
      </c>
      <c r="J23" s="8">
        <v>0.59</v>
      </c>
      <c r="K23" s="8">
        <v>0.59</v>
      </c>
      <c r="L23" s="9"/>
      <c r="M23" s="9">
        <v>0.52</v>
      </c>
      <c r="N23" s="8"/>
      <c r="O23" s="8">
        <v>0.48</v>
      </c>
      <c r="P23" s="9">
        <v>0.5</v>
      </c>
      <c r="Q23" s="9">
        <v>0.49</v>
      </c>
    </row>
    <row r="24" spans="2:17" ht="39.75" customHeight="1">
      <c r="B24" s="103"/>
      <c r="C24" s="12" t="s">
        <v>51</v>
      </c>
      <c r="D24" s="7"/>
      <c r="E24" s="7"/>
      <c r="F24" s="8"/>
      <c r="G24" s="8"/>
      <c r="H24" s="9"/>
      <c r="I24" s="9"/>
      <c r="J24" s="8"/>
      <c r="K24" s="8"/>
      <c r="L24" s="8"/>
      <c r="M24" s="9"/>
      <c r="N24" s="8"/>
      <c r="O24" s="8"/>
      <c r="P24" s="9"/>
      <c r="Q24" s="9"/>
    </row>
    <row r="25" spans="2:17" ht="20.100000000000001" customHeight="1">
      <c r="B25" s="103"/>
      <c r="C25" s="10" t="s">
        <v>52</v>
      </c>
      <c r="D25" s="7" t="s">
        <v>42</v>
      </c>
      <c r="E25" s="7" t="s">
        <v>53</v>
      </c>
      <c r="F25" s="8"/>
      <c r="G25" s="8">
        <v>44.8</v>
      </c>
      <c r="H25" s="9"/>
      <c r="I25" s="9">
        <v>44.8</v>
      </c>
      <c r="J25" s="8">
        <v>45.1</v>
      </c>
      <c r="K25" s="8">
        <v>45</v>
      </c>
      <c r="L25" s="9"/>
      <c r="M25" s="9">
        <v>44.9</v>
      </c>
      <c r="N25" s="8"/>
      <c r="O25" s="8">
        <v>44.8</v>
      </c>
      <c r="P25" s="9">
        <v>45.1</v>
      </c>
      <c r="Q25" s="9">
        <v>44.9</v>
      </c>
    </row>
    <row r="26" spans="2:17" ht="20.100000000000001" customHeight="1">
      <c r="B26" s="103" t="s">
        <v>54</v>
      </c>
      <c r="C26" s="10" t="s">
        <v>55</v>
      </c>
      <c r="D26" s="7" t="s">
        <v>49</v>
      </c>
      <c r="E26" s="14" t="s">
        <v>56</v>
      </c>
      <c r="F26" s="8"/>
      <c r="G26" s="8">
        <v>0.23</v>
      </c>
      <c r="H26" s="9"/>
      <c r="I26" s="9">
        <v>0.22</v>
      </c>
      <c r="J26" s="8">
        <v>0.23</v>
      </c>
      <c r="K26" s="8">
        <v>0.23</v>
      </c>
      <c r="L26" s="9"/>
      <c r="M26" s="9">
        <v>0.22</v>
      </c>
      <c r="N26" s="8"/>
      <c r="O26" s="8">
        <v>0.23</v>
      </c>
      <c r="P26" s="9">
        <v>0.23</v>
      </c>
      <c r="Q26" s="9">
        <v>0.23</v>
      </c>
    </row>
    <row r="27" spans="2:17" ht="20.100000000000001" customHeight="1">
      <c r="B27" s="103"/>
      <c r="C27" s="10" t="s">
        <v>57</v>
      </c>
      <c r="D27" s="7" t="s">
        <v>42</v>
      </c>
      <c r="E27" s="7" t="s">
        <v>43</v>
      </c>
      <c r="F27" s="8"/>
      <c r="G27" s="8">
        <v>4.3</v>
      </c>
      <c r="H27" s="9"/>
      <c r="I27" s="9">
        <v>3.3</v>
      </c>
      <c r="J27" s="8">
        <v>4</v>
      </c>
      <c r="K27" s="8">
        <v>4.2</v>
      </c>
      <c r="L27" s="9"/>
      <c r="M27" s="9">
        <v>3.9</v>
      </c>
      <c r="N27" s="8"/>
      <c r="O27" s="8">
        <v>4.5999999999999996</v>
      </c>
      <c r="P27" s="9">
        <v>4.7</v>
      </c>
      <c r="Q27" s="9">
        <v>4.5</v>
      </c>
    </row>
    <row r="28" spans="2:17" ht="20.100000000000001" customHeight="1">
      <c r="B28" s="103"/>
      <c r="C28" s="10" t="s">
        <v>58</v>
      </c>
      <c r="D28" s="7" t="s">
        <v>42</v>
      </c>
      <c r="E28" s="7" t="s">
        <v>43</v>
      </c>
      <c r="F28" s="8"/>
      <c r="G28" s="8">
        <v>4</v>
      </c>
      <c r="H28" s="9"/>
      <c r="I28" s="9">
        <v>2.5</v>
      </c>
      <c r="J28" s="8">
        <v>3.2</v>
      </c>
      <c r="K28" s="8">
        <v>3.5</v>
      </c>
      <c r="L28" s="9"/>
      <c r="M28" s="9">
        <v>2.8</v>
      </c>
      <c r="N28" s="8"/>
      <c r="O28" s="8">
        <v>3.6</v>
      </c>
      <c r="P28" s="9">
        <v>3.8</v>
      </c>
      <c r="Q28" s="9">
        <v>3.5</v>
      </c>
    </row>
    <row r="29" spans="2:17" ht="20.100000000000001" customHeight="1">
      <c r="B29" s="103"/>
      <c r="C29" s="10" t="s">
        <v>59</v>
      </c>
      <c r="D29" s="7" t="s">
        <v>42</v>
      </c>
      <c r="E29" s="7" t="s">
        <v>43</v>
      </c>
      <c r="F29" s="15">
        <f t="shared" ref="F29:Q29" si="0">F32-F28</f>
        <v>0</v>
      </c>
      <c r="G29" s="15">
        <f t="shared" si="0"/>
        <v>0.29999999999999982</v>
      </c>
      <c r="H29" s="15">
        <f t="shared" si="0"/>
        <v>0</v>
      </c>
      <c r="I29" s="15">
        <f t="shared" si="0"/>
        <v>1.4</v>
      </c>
      <c r="J29" s="15">
        <f t="shared" si="0"/>
        <v>0.69999999999999973</v>
      </c>
      <c r="K29" s="15">
        <f t="shared" si="0"/>
        <v>1</v>
      </c>
      <c r="L29" s="15">
        <f t="shared" si="0"/>
        <v>0</v>
      </c>
      <c r="M29" s="15">
        <f t="shared" si="0"/>
        <v>1</v>
      </c>
      <c r="N29" s="15">
        <f>N32-N28</f>
        <v>0</v>
      </c>
      <c r="O29" s="15">
        <f>O32-O28</f>
        <v>0.19999999999999973</v>
      </c>
      <c r="P29" s="15">
        <f t="shared" si="0"/>
        <v>1.1000000000000005</v>
      </c>
      <c r="Q29" s="15">
        <f t="shared" si="0"/>
        <v>0.39999999999999991</v>
      </c>
    </row>
    <row r="30" spans="2:17" ht="20.100000000000001" customHeight="1">
      <c r="B30" s="103"/>
      <c r="C30" s="10" t="s">
        <v>60</v>
      </c>
      <c r="D30" s="7" t="s">
        <v>61</v>
      </c>
      <c r="E30" s="7" t="s">
        <v>62</v>
      </c>
      <c r="F30" s="8"/>
      <c r="G30" s="8">
        <v>648.08000000000004</v>
      </c>
      <c r="H30" s="9"/>
      <c r="I30" s="9">
        <v>640.32000000000005</v>
      </c>
      <c r="J30" s="8">
        <v>639.29999999999995</v>
      </c>
      <c r="K30" s="8">
        <v>639.91999999999996</v>
      </c>
      <c r="L30" s="9"/>
      <c r="M30" s="9">
        <v>645.04</v>
      </c>
      <c r="N30" s="8"/>
      <c r="O30" s="8">
        <v>636.64</v>
      </c>
      <c r="P30" s="9">
        <v>648.20000000000005</v>
      </c>
      <c r="Q30" s="9">
        <v>640.32000000000005</v>
      </c>
    </row>
    <row r="31" spans="2:17" ht="20.100000000000001" customHeight="1">
      <c r="B31" s="103"/>
      <c r="C31" s="10" t="s">
        <v>63</v>
      </c>
      <c r="D31" s="7" t="s">
        <v>42</v>
      </c>
      <c r="E31" s="7">
        <v>13.5</v>
      </c>
      <c r="F31" s="8"/>
      <c r="G31" s="8">
        <v>12.7</v>
      </c>
      <c r="H31" s="9"/>
      <c r="I31" s="9">
        <v>12.3</v>
      </c>
      <c r="J31" s="8">
        <v>13.1</v>
      </c>
      <c r="K31" s="8">
        <v>13.1</v>
      </c>
      <c r="L31" s="9"/>
      <c r="M31" s="9">
        <v>13.1</v>
      </c>
      <c r="N31" s="8"/>
      <c r="O31" s="8">
        <v>12.6</v>
      </c>
      <c r="P31" s="9">
        <v>13.5</v>
      </c>
      <c r="Q31" s="9">
        <v>12.3</v>
      </c>
    </row>
    <row r="32" spans="2:17" ht="20.100000000000001" customHeight="1">
      <c r="B32" s="103"/>
      <c r="C32" s="10" t="s">
        <v>64</v>
      </c>
      <c r="D32" s="7" t="s">
        <v>42</v>
      </c>
      <c r="E32" s="7">
        <v>4</v>
      </c>
      <c r="F32" s="8"/>
      <c r="G32" s="8">
        <v>4.3</v>
      </c>
      <c r="H32" s="9"/>
      <c r="I32" s="9">
        <v>3.9</v>
      </c>
      <c r="J32" s="8">
        <v>3.9</v>
      </c>
      <c r="K32" s="8">
        <v>4.5</v>
      </c>
      <c r="L32" s="9"/>
      <c r="M32" s="9">
        <v>3.8</v>
      </c>
      <c r="N32" s="8"/>
      <c r="O32" s="8">
        <v>3.8</v>
      </c>
      <c r="P32" s="9">
        <v>4.9000000000000004</v>
      </c>
      <c r="Q32" s="9">
        <v>3.9</v>
      </c>
    </row>
    <row r="33" spans="2:17" ht="20.100000000000001" customHeight="1">
      <c r="B33" s="103"/>
      <c r="C33" s="10" t="s">
        <v>65</v>
      </c>
      <c r="D33" s="7" t="s">
        <v>42</v>
      </c>
      <c r="E33" s="7">
        <v>9.5</v>
      </c>
      <c r="F33" s="15">
        <f t="shared" ref="F33:Q33" si="1">F31-F32</f>
        <v>0</v>
      </c>
      <c r="G33" s="15">
        <f t="shared" si="1"/>
        <v>8.3999999999999986</v>
      </c>
      <c r="H33" s="15">
        <f t="shared" si="1"/>
        <v>0</v>
      </c>
      <c r="I33" s="15">
        <f t="shared" si="1"/>
        <v>8.4</v>
      </c>
      <c r="J33" s="15">
        <f t="shared" si="1"/>
        <v>9.1999999999999993</v>
      </c>
      <c r="K33" s="15">
        <f t="shared" si="1"/>
        <v>8.6</v>
      </c>
      <c r="L33" s="15">
        <f t="shared" si="1"/>
        <v>0</v>
      </c>
      <c r="M33" s="15">
        <f t="shared" si="1"/>
        <v>9.3000000000000007</v>
      </c>
      <c r="N33" s="15">
        <f>N31-N32</f>
        <v>0</v>
      </c>
      <c r="O33" s="15">
        <f>O31-O32</f>
        <v>8.8000000000000007</v>
      </c>
      <c r="P33" s="15">
        <f t="shared" si="1"/>
        <v>8.6</v>
      </c>
      <c r="Q33" s="15">
        <f t="shared" si="1"/>
        <v>8.4</v>
      </c>
    </row>
    <row r="34" spans="2:17" ht="20.100000000000001" customHeight="1">
      <c r="B34" s="103"/>
      <c r="C34" s="10" t="s">
        <v>66</v>
      </c>
      <c r="D34" s="7" t="s">
        <v>67</v>
      </c>
      <c r="E34" s="7" t="s">
        <v>68</v>
      </c>
      <c r="F34" s="16">
        <f t="shared" ref="F34:Q34" si="2">(F33*F30)/0.866</f>
        <v>0</v>
      </c>
      <c r="G34" s="16">
        <f t="shared" si="2"/>
        <v>6286.2263279445724</v>
      </c>
      <c r="H34" s="16">
        <f t="shared" si="2"/>
        <v>0</v>
      </c>
      <c r="I34" s="16">
        <f t="shared" si="2"/>
        <v>6210.9561200923799</v>
      </c>
      <c r="J34" s="16">
        <f t="shared" si="2"/>
        <v>6791.6397228637406</v>
      </c>
      <c r="K34" s="16">
        <f t="shared" si="2"/>
        <v>6354.8637413394908</v>
      </c>
      <c r="L34" s="16">
        <f t="shared" si="2"/>
        <v>0</v>
      </c>
      <c r="M34" s="16">
        <f t="shared" si="2"/>
        <v>6927.1039260969983</v>
      </c>
      <c r="N34" s="16">
        <f>(N33*N30)/0.866</f>
        <v>0</v>
      </c>
      <c r="O34" s="16">
        <f>(O33*O30)/0.866</f>
        <v>6469.3210161662828</v>
      </c>
      <c r="P34" s="16">
        <f t="shared" si="2"/>
        <v>6437.0900692840651</v>
      </c>
      <c r="Q34" s="16">
        <f t="shared" si="2"/>
        <v>6210.9561200923799</v>
      </c>
    </row>
    <row r="35" spans="2:17" ht="20.100000000000001" customHeight="1">
      <c r="B35" s="103" t="s">
        <v>69</v>
      </c>
      <c r="C35" s="10" t="s">
        <v>70</v>
      </c>
      <c r="D35" s="7" t="s">
        <v>49</v>
      </c>
      <c r="E35" s="7" t="s">
        <v>71</v>
      </c>
      <c r="F35" s="8"/>
      <c r="G35" s="8">
        <v>0.82</v>
      </c>
      <c r="H35" s="9"/>
      <c r="I35" s="9">
        <v>0.84</v>
      </c>
      <c r="J35" s="8">
        <v>0.82</v>
      </c>
      <c r="K35" s="8">
        <v>0.82</v>
      </c>
      <c r="L35" s="9"/>
      <c r="M35" s="9">
        <v>0.82</v>
      </c>
      <c r="N35" s="8"/>
      <c r="O35" s="8">
        <v>0.8</v>
      </c>
      <c r="P35" s="9">
        <v>0.83</v>
      </c>
      <c r="Q35" s="9">
        <v>0.83</v>
      </c>
    </row>
    <row r="36" spans="2:17" ht="20.100000000000001" customHeight="1">
      <c r="B36" s="103"/>
      <c r="C36" s="10" t="s">
        <v>72</v>
      </c>
      <c r="D36" s="7" t="s">
        <v>42</v>
      </c>
      <c r="E36" s="7" t="s">
        <v>43</v>
      </c>
      <c r="F36" s="8"/>
      <c r="G36" s="8">
        <v>36.1</v>
      </c>
      <c r="H36" s="9"/>
      <c r="I36" s="9">
        <v>36.6</v>
      </c>
      <c r="J36" s="8">
        <v>35.9</v>
      </c>
      <c r="K36" s="8">
        <v>36.4</v>
      </c>
      <c r="L36" s="9"/>
      <c r="M36" s="9">
        <v>36.4</v>
      </c>
      <c r="N36" s="8"/>
      <c r="O36" s="8">
        <v>35.9</v>
      </c>
      <c r="P36" s="9">
        <v>35.9</v>
      </c>
      <c r="Q36" s="9">
        <v>36.299999999999997</v>
      </c>
    </row>
    <row r="37" spans="2:17" ht="20.100000000000001" customHeight="1">
      <c r="B37" s="103"/>
      <c r="C37" s="10" t="s">
        <v>73</v>
      </c>
      <c r="D37" s="7" t="s">
        <v>42</v>
      </c>
      <c r="E37" s="7" t="s">
        <v>43</v>
      </c>
      <c r="F37" s="8"/>
      <c r="G37" s="8">
        <v>36.4</v>
      </c>
      <c r="H37" s="9"/>
      <c r="I37" s="9">
        <v>37.1</v>
      </c>
      <c r="J37" s="8">
        <v>36.6</v>
      </c>
      <c r="K37" s="8">
        <v>36.4</v>
      </c>
      <c r="L37" s="9"/>
      <c r="M37" s="9">
        <v>36.6</v>
      </c>
      <c r="N37" s="8"/>
      <c r="O37" s="8">
        <v>35.5</v>
      </c>
      <c r="P37" s="9">
        <v>36.799999999999997</v>
      </c>
      <c r="Q37" s="9">
        <v>36.700000000000003</v>
      </c>
    </row>
    <row r="38" spans="2:17" ht="20.100000000000001" customHeight="1">
      <c r="B38" s="103"/>
      <c r="C38" s="12" t="s">
        <v>74</v>
      </c>
      <c r="D38" s="7" t="s">
        <v>42</v>
      </c>
      <c r="E38" s="7"/>
      <c r="F38" s="15">
        <f t="shared" ref="F38:Q38" si="3">F37-F41</f>
        <v>0</v>
      </c>
      <c r="G38" s="15">
        <f t="shared" si="3"/>
        <v>2.6000000000000014</v>
      </c>
      <c r="H38" s="15">
        <f t="shared" si="3"/>
        <v>0</v>
      </c>
      <c r="I38" s="15">
        <f t="shared" si="3"/>
        <v>4</v>
      </c>
      <c r="J38" s="15">
        <f t="shared" si="3"/>
        <v>2.3999999999999986</v>
      </c>
      <c r="K38" s="15">
        <f t="shared" si="3"/>
        <v>3</v>
      </c>
      <c r="L38" s="15">
        <f t="shared" si="3"/>
        <v>0</v>
      </c>
      <c r="M38" s="15">
        <f t="shared" si="3"/>
        <v>3.3000000000000043</v>
      </c>
      <c r="N38" s="15">
        <f>N37-N41</f>
        <v>0</v>
      </c>
      <c r="O38" s="15">
        <f>O37-O41</f>
        <v>2.2999999999999972</v>
      </c>
      <c r="P38" s="15">
        <f t="shared" si="3"/>
        <v>3.0999999999999943</v>
      </c>
      <c r="Q38" s="15">
        <f t="shared" si="3"/>
        <v>3.2000000000000028</v>
      </c>
    </row>
    <row r="39" spans="2:17" ht="20.100000000000001" customHeight="1">
      <c r="B39" s="103"/>
      <c r="C39" s="10" t="s">
        <v>75</v>
      </c>
      <c r="D39" s="7" t="s">
        <v>76</v>
      </c>
      <c r="E39" s="7"/>
      <c r="F39" s="8"/>
      <c r="G39" s="8"/>
      <c r="H39" s="9"/>
      <c r="I39" s="9"/>
      <c r="J39" s="8"/>
      <c r="K39" s="8"/>
      <c r="L39" s="9"/>
      <c r="M39" s="9"/>
      <c r="N39" s="8"/>
      <c r="O39" s="8"/>
      <c r="P39" s="9"/>
      <c r="Q39" s="9"/>
    </row>
    <row r="40" spans="2:17" ht="20.100000000000001" customHeight="1">
      <c r="B40" s="103"/>
      <c r="C40" s="10" t="s">
        <v>77</v>
      </c>
      <c r="D40" s="7" t="s">
        <v>42</v>
      </c>
      <c r="E40" s="7">
        <v>30.8</v>
      </c>
      <c r="F40" s="8"/>
      <c r="G40" s="8">
        <v>27.9</v>
      </c>
      <c r="H40" s="9"/>
      <c r="I40" s="9">
        <v>27.8</v>
      </c>
      <c r="J40" s="8">
        <v>28.7</v>
      </c>
      <c r="K40" s="8">
        <v>27.9</v>
      </c>
      <c r="L40" s="9"/>
      <c r="M40" s="9">
        <v>27.5</v>
      </c>
      <c r="N40" s="8"/>
      <c r="O40" s="8">
        <v>27.6</v>
      </c>
      <c r="P40" s="9">
        <v>28.3</v>
      </c>
      <c r="Q40" s="9">
        <v>28</v>
      </c>
    </row>
    <row r="41" spans="2:17" ht="20.100000000000001" customHeight="1">
      <c r="B41" s="103"/>
      <c r="C41" s="10" t="s">
        <v>78</v>
      </c>
      <c r="D41" s="7" t="s">
        <v>42</v>
      </c>
      <c r="E41" s="7">
        <v>36.4</v>
      </c>
      <c r="F41" s="8"/>
      <c r="G41" s="8">
        <v>33.799999999999997</v>
      </c>
      <c r="H41" s="9"/>
      <c r="I41" s="9">
        <v>33.1</v>
      </c>
      <c r="J41" s="8">
        <v>34.200000000000003</v>
      </c>
      <c r="K41" s="8">
        <v>33.4</v>
      </c>
      <c r="L41" s="9"/>
      <c r="M41" s="9">
        <v>33.299999999999997</v>
      </c>
      <c r="N41" s="8"/>
      <c r="O41" s="8">
        <v>33.200000000000003</v>
      </c>
      <c r="P41" s="9">
        <v>33.700000000000003</v>
      </c>
      <c r="Q41" s="9">
        <v>33.5</v>
      </c>
    </row>
    <row r="42" spans="2:17" ht="20.100000000000001" customHeight="1">
      <c r="B42" s="103"/>
      <c r="C42" s="10" t="s">
        <v>79</v>
      </c>
      <c r="D42" s="7" t="s">
        <v>42</v>
      </c>
      <c r="E42" s="7">
        <v>5.6</v>
      </c>
      <c r="F42" s="15">
        <f t="shared" ref="F42:Q42" si="4">F41-F40</f>
        <v>0</v>
      </c>
      <c r="G42" s="15">
        <f t="shared" si="4"/>
        <v>5.8999999999999986</v>
      </c>
      <c r="H42" s="15">
        <f t="shared" si="4"/>
        <v>0</v>
      </c>
      <c r="I42" s="15">
        <f t="shared" si="4"/>
        <v>5.3000000000000007</v>
      </c>
      <c r="J42" s="15">
        <f t="shared" si="4"/>
        <v>5.5000000000000036</v>
      </c>
      <c r="K42" s="15">
        <f t="shared" si="4"/>
        <v>5.5</v>
      </c>
      <c r="L42" s="15">
        <f t="shared" si="4"/>
        <v>0</v>
      </c>
      <c r="M42" s="15">
        <f t="shared" si="4"/>
        <v>5.7999999999999972</v>
      </c>
      <c r="N42" s="15">
        <f>N41-N40</f>
        <v>0</v>
      </c>
      <c r="O42" s="15">
        <f>O41-O40</f>
        <v>5.6000000000000014</v>
      </c>
      <c r="P42" s="15">
        <f t="shared" si="4"/>
        <v>5.4000000000000021</v>
      </c>
      <c r="Q42" s="15">
        <f t="shared" si="4"/>
        <v>5.5</v>
      </c>
    </row>
    <row r="43" spans="2:17" ht="20.100000000000001" customHeight="1">
      <c r="B43" s="103"/>
      <c r="C43" s="10" t="s">
        <v>80</v>
      </c>
      <c r="D43" s="7" t="s">
        <v>61</v>
      </c>
      <c r="E43" s="7">
        <v>1273.0999999999999</v>
      </c>
      <c r="F43" s="8"/>
      <c r="G43" s="8">
        <v>1098.58</v>
      </c>
      <c r="H43" s="9"/>
      <c r="I43" s="9">
        <v>1163.82</v>
      </c>
      <c r="J43" s="8">
        <v>1298.2</v>
      </c>
      <c r="K43" s="8">
        <v>1186.5</v>
      </c>
      <c r="L43" s="9"/>
      <c r="M43" s="8">
        <v>1164.52</v>
      </c>
      <c r="N43" s="8"/>
      <c r="O43" s="8">
        <v>1139.32</v>
      </c>
      <c r="P43" s="9">
        <v>1289.3</v>
      </c>
      <c r="Q43" s="9">
        <v>1179.5</v>
      </c>
    </row>
    <row r="44" spans="2:17" ht="20.100000000000001" customHeight="1">
      <c r="B44" s="103"/>
      <c r="C44" s="10" t="s">
        <v>81</v>
      </c>
      <c r="D44" s="7" t="s">
        <v>67</v>
      </c>
      <c r="E44" s="7">
        <v>8226.9</v>
      </c>
      <c r="F44" s="16">
        <f t="shared" ref="F44:Q44" si="5">F42*F43/0.866</f>
        <v>0</v>
      </c>
      <c r="G44" s="16">
        <f t="shared" si="5"/>
        <v>7484.551963048496</v>
      </c>
      <c r="H44" s="16">
        <f t="shared" si="5"/>
        <v>0</v>
      </c>
      <c r="I44" s="16">
        <f t="shared" si="5"/>
        <v>7122.6859122401847</v>
      </c>
      <c r="J44" s="16">
        <f t="shared" si="5"/>
        <v>8244.9191685912301</v>
      </c>
      <c r="K44" s="16">
        <f t="shared" si="5"/>
        <v>7535.5080831408777</v>
      </c>
      <c r="L44" s="16">
        <f t="shared" si="5"/>
        <v>0</v>
      </c>
      <c r="M44" s="16">
        <f t="shared" si="5"/>
        <v>7799.3256351039227</v>
      </c>
      <c r="N44" s="16">
        <f>N42*N43/0.866</f>
        <v>0</v>
      </c>
      <c r="O44" s="16">
        <f>O42*O43/0.866</f>
        <v>7367.4272517321024</v>
      </c>
      <c r="P44" s="16">
        <f t="shared" si="5"/>
        <v>8039.5150115473461</v>
      </c>
      <c r="Q44" s="16">
        <f t="shared" si="5"/>
        <v>7491.0508083140876</v>
      </c>
    </row>
    <row r="45" spans="2:17" ht="20.100000000000001" customHeight="1">
      <c r="B45" s="103" t="s">
        <v>82</v>
      </c>
      <c r="C45" s="10" t="s">
        <v>83</v>
      </c>
      <c r="D45" s="7" t="s">
        <v>49</v>
      </c>
      <c r="E45" s="7" t="s">
        <v>84</v>
      </c>
      <c r="F45" s="8"/>
      <c r="G45" s="8">
        <v>0.47</v>
      </c>
      <c r="H45" s="9"/>
      <c r="I45" s="9">
        <v>0.46</v>
      </c>
      <c r="J45" s="8">
        <v>0.45</v>
      </c>
      <c r="K45" s="8">
        <v>0.46</v>
      </c>
      <c r="L45" s="9"/>
      <c r="M45" s="9">
        <v>0.46</v>
      </c>
      <c r="N45" s="8"/>
      <c r="O45" s="8">
        <v>0.46</v>
      </c>
      <c r="P45" s="9">
        <v>0.47</v>
      </c>
      <c r="Q45" s="9">
        <v>0.47</v>
      </c>
    </row>
    <row r="46" spans="2:17" ht="20.100000000000001" customHeight="1">
      <c r="B46" s="103"/>
      <c r="C46" s="10" t="s">
        <v>85</v>
      </c>
      <c r="D46" s="7" t="s">
        <v>42</v>
      </c>
      <c r="E46" s="7" t="s">
        <v>43</v>
      </c>
      <c r="F46" s="8"/>
      <c r="G46" s="8">
        <v>20.2</v>
      </c>
      <c r="H46" s="9"/>
      <c r="I46" s="9">
        <v>19.5</v>
      </c>
      <c r="J46" s="8">
        <v>19.2</v>
      </c>
      <c r="K46" s="8">
        <v>19.7</v>
      </c>
      <c r="L46" s="9"/>
      <c r="M46" s="9">
        <v>19.7</v>
      </c>
      <c r="N46" s="8"/>
      <c r="O46" s="8">
        <v>19.399999999999999</v>
      </c>
      <c r="P46" s="9">
        <v>20</v>
      </c>
      <c r="Q46" s="9">
        <v>20.100000000000001</v>
      </c>
    </row>
    <row r="47" spans="2:17" ht="20.100000000000001" customHeight="1">
      <c r="B47" s="103"/>
      <c r="C47" s="10" t="s">
        <v>86</v>
      </c>
      <c r="D47" s="7" t="s">
        <v>76</v>
      </c>
      <c r="E47" s="7" t="s">
        <v>76</v>
      </c>
      <c r="F47" s="8"/>
      <c r="G47" s="8">
        <v>201</v>
      </c>
      <c r="H47" s="9"/>
      <c r="I47" s="9">
        <v>122.6</v>
      </c>
      <c r="J47" s="8">
        <v>197.9</v>
      </c>
      <c r="K47" s="8">
        <v>202.2</v>
      </c>
      <c r="L47" s="9"/>
      <c r="M47" s="9">
        <v>208</v>
      </c>
      <c r="N47" s="8"/>
      <c r="O47" s="8">
        <v>167.4</v>
      </c>
      <c r="P47" s="9">
        <v>193.5</v>
      </c>
      <c r="Q47" s="9">
        <v>186.2</v>
      </c>
    </row>
    <row r="48" spans="2:17" ht="20.100000000000001" customHeight="1">
      <c r="B48" s="97" t="s">
        <v>87</v>
      </c>
      <c r="C48" s="97"/>
      <c r="D48" s="97"/>
      <c r="E48" s="17" t="s">
        <v>88</v>
      </c>
      <c r="F48" s="8"/>
      <c r="G48" s="8"/>
      <c r="H48" s="9"/>
      <c r="I48" s="9"/>
      <c r="J48" s="8"/>
      <c r="K48" s="8"/>
      <c r="L48" s="9"/>
      <c r="M48" s="9"/>
      <c r="N48" s="8"/>
      <c r="O48" s="8"/>
      <c r="P48" s="9"/>
      <c r="Q48" s="9"/>
    </row>
    <row r="49" spans="2:17" ht="20.100000000000001" customHeight="1">
      <c r="B49" s="97" t="s">
        <v>89</v>
      </c>
      <c r="C49" s="97"/>
      <c r="D49" s="97"/>
      <c r="E49" s="55">
        <v>5.89</v>
      </c>
      <c r="F49" s="8"/>
      <c r="G49" s="8">
        <v>5.62</v>
      </c>
      <c r="H49" s="9"/>
      <c r="I49" s="9">
        <v>5.36</v>
      </c>
      <c r="J49" s="8">
        <v>5.68</v>
      </c>
      <c r="K49" s="8">
        <v>5.66</v>
      </c>
      <c r="L49" s="9"/>
      <c r="M49" s="9">
        <v>5.65</v>
      </c>
      <c r="N49" s="8"/>
      <c r="O49" s="8">
        <v>5.45</v>
      </c>
      <c r="P49" s="9">
        <v>5.32</v>
      </c>
      <c r="Q49" s="9">
        <v>5.23</v>
      </c>
    </row>
    <row r="50" spans="2:17" ht="20.100000000000001" customHeight="1">
      <c r="B50" s="97" t="s">
        <v>90</v>
      </c>
      <c r="C50" s="97"/>
      <c r="D50" s="97"/>
      <c r="E50" s="55"/>
      <c r="F50" s="8"/>
      <c r="G50" s="8"/>
      <c r="H50" s="9"/>
      <c r="I50" s="9"/>
      <c r="J50" s="8"/>
      <c r="K50" s="8"/>
      <c r="L50" s="9"/>
      <c r="M50" s="9"/>
      <c r="N50" s="8"/>
      <c r="O50" s="8"/>
      <c r="P50" s="9"/>
      <c r="Q50" s="9"/>
    </row>
    <row r="51" spans="2:17" ht="20.100000000000001" customHeight="1" thickBot="1">
      <c r="B51" s="97" t="s">
        <v>91</v>
      </c>
      <c r="C51" s="97"/>
      <c r="D51" s="97"/>
      <c r="E51" s="54"/>
      <c r="F51" s="8"/>
      <c r="G51" s="8"/>
      <c r="H51" s="9"/>
      <c r="I51" s="9"/>
      <c r="J51" s="8"/>
      <c r="K51" s="8"/>
      <c r="L51" s="9"/>
      <c r="M51" s="9"/>
      <c r="N51" s="8"/>
      <c r="O51" s="8"/>
      <c r="P51" s="9"/>
      <c r="Q51" s="9"/>
    </row>
    <row r="52" spans="2:17">
      <c r="B52" t="s">
        <v>92</v>
      </c>
      <c r="C52" s="18" t="s">
        <v>93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28"/>
    </row>
    <row r="53" spans="2:17">
      <c r="C53" s="20" t="s">
        <v>94</v>
      </c>
      <c r="Q53" s="31"/>
    </row>
    <row r="54" spans="2:17">
      <c r="C54" s="20" t="s">
        <v>95</v>
      </c>
      <c r="Q54" s="31"/>
    </row>
    <row r="55" spans="2:17">
      <c r="C55" s="20"/>
      <c r="Q55" s="31"/>
    </row>
    <row r="56" spans="2:17">
      <c r="C56" s="20"/>
      <c r="Q56" s="31"/>
    </row>
    <row r="57" spans="2:17">
      <c r="C57" s="20" t="s">
        <v>96</v>
      </c>
      <c r="F57" s="21" t="b">
        <v>0</v>
      </c>
      <c r="G57" s="22" t="s">
        <v>97</v>
      </c>
      <c r="Q57" s="31"/>
    </row>
    <row r="58" spans="2:17">
      <c r="C58" s="20" t="s">
        <v>96</v>
      </c>
      <c r="F58" s="8" t="s">
        <v>98</v>
      </c>
      <c r="G58" s="23" t="s">
        <v>99</v>
      </c>
      <c r="Q58" s="31"/>
    </row>
    <row r="59" spans="2:17" ht="15.75" thickBot="1"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30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BCA7E-CA79-4675-87BF-B6E3D3CFD9C4}">
  <dimension ref="B1:Q59"/>
  <sheetViews>
    <sheetView view="pageBreakPreview" topLeftCell="B1" zoomScale="85" zoomScaleNormal="60" workbookViewId="0">
      <selection activeCell="H10" sqref="H10:H50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107"/>
      <c r="C2" s="110" t="s">
        <v>0</v>
      </c>
      <c r="D2" s="111"/>
      <c r="E2" s="111"/>
      <c r="F2" s="111"/>
      <c r="G2" s="111"/>
      <c r="H2" s="111"/>
      <c r="I2" s="111"/>
      <c r="J2" s="111"/>
      <c r="K2" s="111"/>
      <c r="L2" s="111"/>
      <c r="M2" s="112"/>
      <c r="N2" s="18" t="s">
        <v>1</v>
      </c>
      <c r="O2" s="19"/>
      <c r="P2" s="19"/>
      <c r="Q2" s="28"/>
    </row>
    <row r="3" spans="2:17" ht="15.75" thickBot="1">
      <c r="B3" s="108"/>
      <c r="C3" s="113"/>
      <c r="D3" s="114"/>
      <c r="E3" s="114"/>
      <c r="F3" s="114"/>
      <c r="G3" s="114"/>
      <c r="H3" s="114"/>
      <c r="I3" s="114"/>
      <c r="J3" s="114"/>
      <c r="K3" s="114"/>
      <c r="L3" s="114"/>
      <c r="M3" s="115"/>
      <c r="N3" s="26" t="s">
        <v>2</v>
      </c>
      <c r="O3" s="27" t="s">
        <v>3</v>
      </c>
      <c r="P3" s="27"/>
      <c r="Q3" s="29"/>
    </row>
    <row r="4" spans="2:17" ht="15.75" thickBot="1">
      <c r="B4" s="108"/>
      <c r="C4" s="113"/>
      <c r="D4" s="114"/>
      <c r="E4" s="114"/>
      <c r="F4" s="114"/>
      <c r="G4" s="114"/>
      <c r="H4" s="114"/>
      <c r="I4" s="114"/>
      <c r="J4" s="114"/>
      <c r="K4" s="114"/>
      <c r="L4" s="114"/>
      <c r="M4" s="115"/>
      <c r="N4" s="26" t="s">
        <v>4</v>
      </c>
      <c r="O4" s="27"/>
      <c r="P4" s="27"/>
      <c r="Q4" s="29"/>
    </row>
    <row r="5" spans="2:17" ht="15.75" thickBot="1">
      <c r="B5" s="109"/>
      <c r="C5" s="116"/>
      <c r="D5" s="117"/>
      <c r="E5" s="117"/>
      <c r="F5" s="117"/>
      <c r="G5" s="117"/>
      <c r="H5" s="117"/>
      <c r="I5" s="117"/>
      <c r="J5" s="117"/>
      <c r="K5" s="117"/>
      <c r="L5" s="117"/>
      <c r="M5" s="118"/>
      <c r="N5" s="24" t="s">
        <v>5</v>
      </c>
      <c r="O5" s="25"/>
      <c r="P5" s="25"/>
      <c r="Q5" s="30"/>
    </row>
    <row r="7" spans="2:17">
      <c r="B7" s="98" t="s">
        <v>6</v>
      </c>
      <c r="C7" s="99"/>
      <c r="D7" s="100">
        <v>45728</v>
      </c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2"/>
    </row>
    <row r="8" spans="2:17">
      <c r="B8" s="97" t="s">
        <v>7</v>
      </c>
      <c r="C8" s="97"/>
      <c r="D8" s="97"/>
      <c r="E8" s="105" t="s">
        <v>8</v>
      </c>
      <c r="F8" s="103" t="s">
        <v>9</v>
      </c>
      <c r="G8" s="103"/>
      <c r="H8" s="104" t="s">
        <v>10</v>
      </c>
      <c r="I8" s="104"/>
      <c r="J8" s="103" t="s">
        <v>11</v>
      </c>
      <c r="K8" s="103"/>
      <c r="L8" s="104" t="s">
        <v>12</v>
      </c>
      <c r="M8" s="104"/>
      <c r="N8" s="103" t="s">
        <v>13</v>
      </c>
      <c r="O8" s="103"/>
      <c r="P8" s="104" t="s">
        <v>14</v>
      </c>
      <c r="Q8" s="104"/>
    </row>
    <row r="9" spans="2:17">
      <c r="B9" s="98" t="s">
        <v>15</v>
      </c>
      <c r="C9" s="119"/>
      <c r="D9" s="99"/>
      <c r="E9" s="106"/>
      <c r="F9" s="3">
        <v>0.375</v>
      </c>
      <c r="G9" s="32" t="s">
        <v>16</v>
      </c>
      <c r="H9" s="4">
        <v>0.375</v>
      </c>
      <c r="I9" s="33" t="s">
        <v>16</v>
      </c>
      <c r="J9" s="3">
        <v>0.375</v>
      </c>
      <c r="K9" s="32" t="s">
        <v>16</v>
      </c>
      <c r="L9" s="4">
        <v>0.375</v>
      </c>
      <c r="M9" s="33" t="s">
        <v>16</v>
      </c>
      <c r="N9" s="3">
        <v>0.375</v>
      </c>
      <c r="O9" s="32" t="s">
        <v>16</v>
      </c>
      <c r="P9" s="4">
        <v>0.375</v>
      </c>
      <c r="Q9" s="33" t="s">
        <v>16</v>
      </c>
    </row>
    <row r="10" spans="2:17" ht="26.25" customHeight="1">
      <c r="B10" s="120" t="s">
        <v>17</v>
      </c>
      <c r="C10" s="121"/>
      <c r="D10" s="57" t="s">
        <v>18</v>
      </c>
      <c r="E10" s="5"/>
      <c r="F10" s="34" t="s">
        <v>19</v>
      </c>
      <c r="G10" s="34" t="s">
        <v>19</v>
      </c>
      <c r="H10" s="35" t="s">
        <v>19</v>
      </c>
      <c r="I10" s="35" t="s">
        <v>19</v>
      </c>
      <c r="J10" s="34"/>
      <c r="K10" s="34" t="s">
        <v>19</v>
      </c>
      <c r="L10" s="35"/>
      <c r="M10" s="35" t="s">
        <v>19</v>
      </c>
      <c r="N10" s="34" t="s">
        <v>19</v>
      </c>
      <c r="O10" s="34" t="s">
        <v>19</v>
      </c>
      <c r="P10" s="35" t="s">
        <v>19</v>
      </c>
      <c r="Q10" s="35" t="s">
        <v>19</v>
      </c>
    </row>
    <row r="11" spans="2:17" ht="20.100000000000001" customHeight="1">
      <c r="B11" s="97" t="s">
        <v>20</v>
      </c>
      <c r="C11" s="97"/>
      <c r="D11" s="7" t="s">
        <v>21</v>
      </c>
      <c r="E11" s="7" t="s">
        <v>22</v>
      </c>
      <c r="F11" s="8"/>
      <c r="G11" s="8">
        <v>72.099999999999994</v>
      </c>
      <c r="H11" s="9">
        <v>73.400000000000006</v>
      </c>
      <c r="I11" s="9">
        <v>83.6</v>
      </c>
      <c r="J11" s="8"/>
      <c r="K11" s="8">
        <v>74.3</v>
      </c>
      <c r="L11" s="9"/>
      <c r="M11" s="9">
        <v>76.5</v>
      </c>
      <c r="N11" s="8">
        <v>75.8</v>
      </c>
      <c r="O11" s="8">
        <v>78.2</v>
      </c>
      <c r="P11" s="9"/>
      <c r="Q11" s="9">
        <v>76.099999999999994</v>
      </c>
    </row>
    <row r="12" spans="2:17" ht="20.100000000000001" customHeight="1">
      <c r="B12" s="97" t="s">
        <v>23</v>
      </c>
      <c r="C12" s="97"/>
      <c r="D12" s="7" t="s">
        <v>21</v>
      </c>
      <c r="E12" s="7" t="s">
        <v>22</v>
      </c>
      <c r="F12" s="8"/>
      <c r="G12" s="8">
        <v>0.1</v>
      </c>
      <c r="H12" s="9">
        <v>0</v>
      </c>
      <c r="I12" s="9">
        <v>0</v>
      </c>
      <c r="J12" s="8"/>
      <c r="K12" s="8">
        <v>0</v>
      </c>
      <c r="L12" s="9"/>
      <c r="M12" s="9">
        <v>0</v>
      </c>
      <c r="N12" s="8">
        <v>0</v>
      </c>
      <c r="O12" s="8">
        <v>0</v>
      </c>
      <c r="P12" s="9"/>
      <c r="Q12" s="9">
        <v>0</v>
      </c>
    </row>
    <row r="13" spans="2:17" ht="20.100000000000001" customHeight="1">
      <c r="B13" s="97" t="s">
        <v>24</v>
      </c>
      <c r="C13" s="97"/>
      <c r="D13" s="7" t="s">
        <v>21</v>
      </c>
      <c r="E13" s="7" t="s">
        <v>22</v>
      </c>
      <c r="F13" s="8"/>
      <c r="G13" s="8">
        <v>66.599999999999994</v>
      </c>
      <c r="H13" s="9">
        <v>70.3</v>
      </c>
      <c r="I13" s="9">
        <v>80.2</v>
      </c>
      <c r="J13" s="8"/>
      <c r="K13" s="8">
        <v>68.900000000000006</v>
      </c>
      <c r="L13" s="9"/>
      <c r="M13" s="9">
        <v>71.2</v>
      </c>
      <c r="N13" s="8">
        <v>71.400000000000006</v>
      </c>
      <c r="O13" s="8">
        <v>73.400000000000006</v>
      </c>
      <c r="P13" s="9"/>
      <c r="Q13" s="9">
        <v>70.599999999999994</v>
      </c>
    </row>
    <row r="14" spans="2:17" ht="20.100000000000001" customHeight="1">
      <c r="B14" s="97" t="s">
        <v>25</v>
      </c>
      <c r="C14" s="97"/>
      <c r="D14" s="7" t="s">
        <v>21</v>
      </c>
      <c r="E14" s="7" t="s">
        <v>22</v>
      </c>
      <c r="F14" s="8"/>
      <c r="G14" s="8">
        <v>65.3</v>
      </c>
      <c r="H14" s="9">
        <v>71.2</v>
      </c>
      <c r="I14" s="9">
        <v>66.599999999999994</v>
      </c>
      <c r="J14" s="8"/>
      <c r="K14" s="8">
        <v>63.7</v>
      </c>
      <c r="L14" s="9"/>
      <c r="M14" s="9">
        <v>66.8</v>
      </c>
      <c r="N14" s="8">
        <v>75.400000000000006</v>
      </c>
      <c r="O14" s="8">
        <v>71.099999999999994</v>
      </c>
      <c r="P14" s="9"/>
      <c r="Q14" s="9">
        <v>70.900000000000006</v>
      </c>
    </row>
    <row r="15" spans="2:17" ht="20.100000000000001" customHeight="1">
      <c r="B15" s="97" t="s">
        <v>26</v>
      </c>
      <c r="C15" s="97"/>
      <c r="D15" s="7" t="s">
        <v>21</v>
      </c>
      <c r="E15" s="7" t="s">
        <v>22</v>
      </c>
      <c r="F15" s="8"/>
      <c r="G15" s="8">
        <v>39.4</v>
      </c>
      <c r="H15" s="9">
        <v>54.6</v>
      </c>
      <c r="I15" s="9">
        <v>54.3</v>
      </c>
      <c r="J15" s="8"/>
      <c r="K15" s="8">
        <v>39</v>
      </c>
      <c r="L15" s="9"/>
      <c r="M15" s="9">
        <v>35</v>
      </c>
      <c r="N15" s="8">
        <v>45.9</v>
      </c>
      <c r="O15" s="8">
        <v>89.6</v>
      </c>
      <c r="P15" s="9"/>
      <c r="Q15" s="9">
        <v>41.9</v>
      </c>
    </row>
    <row r="16" spans="2:17" ht="20.100000000000001" customHeight="1">
      <c r="B16" s="103" t="s">
        <v>27</v>
      </c>
      <c r="C16" s="10" t="s">
        <v>28</v>
      </c>
      <c r="D16" s="7" t="s">
        <v>29</v>
      </c>
      <c r="E16" s="7" t="s">
        <v>30</v>
      </c>
      <c r="F16" s="8"/>
      <c r="G16" s="8">
        <v>6.6</v>
      </c>
      <c r="H16" s="9">
        <v>6.6</v>
      </c>
      <c r="I16" s="9">
        <v>6.6</v>
      </c>
      <c r="J16" s="8"/>
      <c r="K16" s="8">
        <v>6.6</v>
      </c>
      <c r="L16" s="9"/>
      <c r="M16" s="9">
        <v>6.6</v>
      </c>
      <c r="N16" s="8">
        <v>6.6</v>
      </c>
      <c r="O16" s="8">
        <v>6.6</v>
      </c>
      <c r="P16" s="9"/>
      <c r="Q16" s="9">
        <v>6.6</v>
      </c>
    </row>
    <row r="17" spans="2:17" ht="20.100000000000001" customHeight="1">
      <c r="B17" s="103"/>
      <c r="C17" s="10" t="s">
        <v>31</v>
      </c>
      <c r="D17" s="7" t="s">
        <v>32</v>
      </c>
      <c r="E17" s="7" t="s">
        <v>33</v>
      </c>
      <c r="F17" s="8"/>
      <c r="G17" s="8">
        <v>116.1</v>
      </c>
      <c r="H17" s="9">
        <v>114.2</v>
      </c>
      <c r="I17" s="9">
        <v>118.4</v>
      </c>
      <c r="J17" s="8"/>
      <c r="K17" s="8">
        <v>115.5</v>
      </c>
      <c r="L17" s="9"/>
      <c r="M17" s="9">
        <v>116.7</v>
      </c>
      <c r="N17" s="8">
        <v>112.2</v>
      </c>
      <c r="O17" s="8">
        <v>117.5</v>
      </c>
      <c r="P17" s="9"/>
      <c r="Q17" s="9">
        <v>117.8</v>
      </c>
    </row>
    <row r="18" spans="2:17" ht="20.100000000000001" customHeight="1">
      <c r="B18" s="103"/>
      <c r="C18" s="10" t="s">
        <v>34</v>
      </c>
      <c r="D18" s="7" t="s">
        <v>35</v>
      </c>
      <c r="E18" s="7" t="s">
        <v>36</v>
      </c>
      <c r="F18" s="8"/>
      <c r="G18" s="8">
        <v>1142</v>
      </c>
      <c r="H18" s="9">
        <v>1150</v>
      </c>
      <c r="I18" s="9">
        <v>1197</v>
      </c>
      <c r="J18" s="8"/>
      <c r="K18" s="8">
        <v>1172</v>
      </c>
      <c r="L18" s="9"/>
      <c r="M18" s="9">
        <v>1183</v>
      </c>
      <c r="N18" s="8">
        <v>1187</v>
      </c>
      <c r="O18" s="8">
        <v>1197</v>
      </c>
      <c r="P18" s="9"/>
      <c r="Q18" s="9">
        <v>1191</v>
      </c>
    </row>
    <row r="19" spans="2:17" ht="20.100000000000001" customHeight="1">
      <c r="B19" s="103" t="s">
        <v>37</v>
      </c>
      <c r="C19" s="10" t="s">
        <v>38</v>
      </c>
      <c r="D19" s="7" t="s">
        <v>39</v>
      </c>
      <c r="E19" s="11" t="s">
        <v>40</v>
      </c>
      <c r="F19" s="8"/>
      <c r="G19" s="8">
        <v>49498.5</v>
      </c>
      <c r="H19" s="9">
        <v>50727.3</v>
      </c>
      <c r="I19" s="9">
        <v>50718.3</v>
      </c>
      <c r="J19" s="8"/>
      <c r="K19" s="8">
        <v>48376.5</v>
      </c>
      <c r="L19" s="9"/>
      <c r="M19" s="9">
        <v>50750.2</v>
      </c>
      <c r="N19" s="8">
        <v>49949.599999999999</v>
      </c>
      <c r="O19" s="8">
        <v>49940.7</v>
      </c>
      <c r="P19" s="9"/>
      <c r="Q19" s="9">
        <v>50094.9</v>
      </c>
    </row>
    <row r="20" spans="2:17" ht="20.100000000000001" customHeight="1">
      <c r="B20" s="103"/>
      <c r="C20" s="10" t="s">
        <v>41</v>
      </c>
      <c r="D20" s="7" t="s">
        <v>42</v>
      </c>
      <c r="E20" s="7" t="s">
        <v>43</v>
      </c>
      <c r="F20" s="8"/>
      <c r="G20" s="8"/>
      <c r="H20" s="9"/>
      <c r="I20" s="9"/>
      <c r="J20" s="8"/>
      <c r="K20" s="8"/>
      <c r="L20" s="9"/>
      <c r="M20" s="9"/>
      <c r="N20" s="8"/>
      <c r="O20" s="8"/>
      <c r="P20" s="9"/>
      <c r="Q20" s="9"/>
    </row>
    <row r="21" spans="2:17" ht="20.100000000000001" customHeight="1">
      <c r="B21" s="103"/>
      <c r="C21" s="10" t="s">
        <v>44</v>
      </c>
      <c r="D21" s="7" t="s">
        <v>42</v>
      </c>
      <c r="E21" s="7" t="s">
        <v>45</v>
      </c>
      <c r="F21" s="8"/>
      <c r="G21" s="8"/>
      <c r="H21" s="9"/>
      <c r="I21" s="9"/>
      <c r="J21" s="8"/>
      <c r="K21" s="8"/>
      <c r="L21" s="9"/>
      <c r="M21" s="9"/>
      <c r="N21" s="8"/>
      <c r="O21" s="8"/>
      <c r="P21" s="9"/>
      <c r="Q21" s="9"/>
    </row>
    <row r="22" spans="2:17" ht="20.100000000000001" customHeight="1">
      <c r="B22" s="103"/>
      <c r="C22" s="10" t="s">
        <v>46</v>
      </c>
      <c r="D22" s="7" t="s">
        <v>42</v>
      </c>
      <c r="E22" s="7" t="s">
        <v>47</v>
      </c>
      <c r="F22" s="8"/>
      <c r="G22" s="8">
        <v>58.4</v>
      </c>
      <c r="H22" s="9">
        <v>58.9</v>
      </c>
      <c r="I22" s="9">
        <v>58.9</v>
      </c>
      <c r="J22" s="8"/>
      <c r="K22" s="8">
        <v>57.8</v>
      </c>
      <c r="L22" s="9"/>
      <c r="M22" s="9">
        <v>58.6</v>
      </c>
      <c r="N22" s="8">
        <v>58.5</v>
      </c>
      <c r="O22" s="8">
        <v>58.6</v>
      </c>
      <c r="P22" s="9"/>
      <c r="Q22" s="9">
        <v>59.1</v>
      </c>
    </row>
    <row r="23" spans="2:17" ht="60">
      <c r="B23" s="103"/>
      <c r="C23" s="12" t="s">
        <v>48</v>
      </c>
      <c r="D23" s="8" t="s">
        <v>49</v>
      </c>
      <c r="E23" s="13" t="s">
        <v>50</v>
      </c>
      <c r="F23" s="8"/>
      <c r="G23" s="8">
        <v>0.52</v>
      </c>
      <c r="H23" s="9">
        <v>0.49</v>
      </c>
      <c r="I23" s="9">
        <v>0.48</v>
      </c>
      <c r="J23" s="8"/>
      <c r="K23" s="8">
        <v>0.56000000000000005</v>
      </c>
      <c r="L23" s="9"/>
      <c r="M23" s="9">
        <v>0.52</v>
      </c>
      <c r="N23" s="8">
        <v>0.47</v>
      </c>
      <c r="O23" s="8">
        <v>0.47</v>
      </c>
      <c r="P23" s="9"/>
      <c r="Q23" s="9">
        <v>0.49</v>
      </c>
    </row>
    <row r="24" spans="2:17" ht="39.75" customHeight="1">
      <c r="B24" s="103"/>
      <c r="C24" s="12" t="s">
        <v>51</v>
      </c>
      <c r="D24" s="7"/>
      <c r="E24" s="7"/>
      <c r="F24" s="8"/>
      <c r="G24" s="8"/>
      <c r="H24" s="9"/>
      <c r="I24" s="9"/>
      <c r="J24" s="8"/>
      <c r="K24" s="8"/>
      <c r="L24" s="8"/>
      <c r="M24" s="9"/>
      <c r="N24" s="8"/>
      <c r="O24" s="8"/>
      <c r="P24" s="9"/>
      <c r="Q24" s="9"/>
    </row>
    <row r="25" spans="2:17" ht="20.100000000000001" customHeight="1">
      <c r="B25" s="103"/>
      <c r="C25" s="10" t="s">
        <v>52</v>
      </c>
      <c r="D25" s="7" t="s">
        <v>42</v>
      </c>
      <c r="E25" s="7" t="s">
        <v>53</v>
      </c>
      <c r="F25" s="8"/>
      <c r="G25" s="8">
        <v>44.9</v>
      </c>
      <c r="H25" s="9">
        <v>45.1</v>
      </c>
      <c r="I25" s="9">
        <v>45.1</v>
      </c>
      <c r="J25" s="8"/>
      <c r="K25" s="8">
        <v>45.1</v>
      </c>
      <c r="L25" s="9"/>
      <c r="M25" s="9">
        <v>45.5</v>
      </c>
      <c r="N25" s="8">
        <v>45.4</v>
      </c>
      <c r="O25" s="8">
        <v>44.9</v>
      </c>
      <c r="P25" s="9"/>
      <c r="Q25" s="9">
        <v>45.3</v>
      </c>
    </row>
    <row r="26" spans="2:17" ht="20.100000000000001" customHeight="1">
      <c r="B26" s="103" t="s">
        <v>54</v>
      </c>
      <c r="C26" s="10" t="s">
        <v>55</v>
      </c>
      <c r="D26" s="7" t="s">
        <v>49</v>
      </c>
      <c r="E26" s="14" t="s">
        <v>56</v>
      </c>
      <c r="F26" s="8"/>
      <c r="G26" s="8">
        <v>0.22</v>
      </c>
      <c r="H26" s="9">
        <v>0.22</v>
      </c>
      <c r="I26" s="9">
        <v>0.21</v>
      </c>
      <c r="J26" s="8"/>
      <c r="K26" s="8">
        <v>0.22</v>
      </c>
      <c r="L26" s="9"/>
      <c r="M26" s="9">
        <v>0.22</v>
      </c>
      <c r="N26" s="8">
        <v>0.23</v>
      </c>
      <c r="O26" s="8">
        <v>0.22</v>
      </c>
      <c r="P26" s="9"/>
      <c r="Q26" s="9">
        <v>0.22</v>
      </c>
    </row>
    <row r="27" spans="2:17" ht="20.100000000000001" customHeight="1">
      <c r="B27" s="103"/>
      <c r="C27" s="10" t="s">
        <v>57</v>
      </c>
      <c r="D27" s="7" t="s">
        <v>42</v>
      </c>
      <c r="E27" s="7" t="s">
        <v>43</v>
      </c>
      <c r="F27" s="8"/>
      <c r="G27" s="8">
        <v>3.9</v>
      </c>
      <c r="H27" s="9">
        <v>3.5</v>
      </c>
      <c r="I27" s="9">
        <v>2.5</v>
      </c>
      <c r="J27" s="8"/>
      <c r="K27" s="8">
        <v>4</v>
      </c>
      <c r="L27" s="9"/>
      <c r="M27" s="9">
        <v>3.7</v>
      </c>
      <c r="N27" s="8"/>
      <c r="O27" s="8">
        <v>3.8</v>
      </c>
      <c r="P27" s="9"/>
      <c r="Q27" s="9">
        <v>4.2</v>
      </c>
    </row>
    <row r="28" spans="2:17" ht="20.100000000000001" customHeight="1">
      <c r="B28" s="103"/>
      <c r="C28" s="10" t="s">
        <v>58</v>
      </c>
      <c r="D28" s="7" t="s">
        <v>42</v>
      </c>
      <c r="E28" s="7" t="s">
        <v>43</v>
      </c>
      <c r="F28" s="8"/>
      <c r="G28" s="8">
        <v>3.2</v>
      </c>
      <c r="H28" s="9">
        <v>2.7</v>
      </c>
      <c r="I28" s="9">
        <v>1.8</v>
      </c>
      <c r="J28" s="8"/>
      <c r="K28" s="8">
        <v>3.2</v>
      </c>
      <c r="L28" s="9"/>
      <c r="M28" s="9">
        <v>2.7</v>
      </c>
      <c r="N28" s="8">
        <v>3.1</v>
      </c>
      <c r="O28" s="8">
        <v>2.5</v>
      </c>
      <c r="P28" s="9"/>
      <c r="Q28" s="9">
        <v>3.2</v>
      </c>
    </row>
    <row r="29" spans="2:17" ht="20.100000000000001" customHeight="1">
      <c r="B29" s="103"/>
      <c r="C29" s="10" t="s">
        <v>59</v>
      </c>
      <c r="D29" s="7" t="s">
        <v>42</v>
      </c>
      <c r="E29" s="7" t="s">
        <v>43</v>
      </c>
      <c r="F29" s="15">
        <f t="shared" ref="F29:Q29" si="0">F32-F28</f>
        <v>0</v>
      </c>
      <c r="G29" s="15">
        <f t="shared" si="0"/>
        <v>0.89999999999999947</v>
      </c>
      <c r="H29" s="15">
        <f t="shared" si="0"/>
        <v>2.0999999999999996</v>
      </c>
      <c r="I29" s="15">
        <f t="shared" si="0"/>
        <v>2.0999999999999996</v>
      </c>
      <c r="J29" s="15">
        <f t="shared" si="0"/>
        <v>0</v>
      </c>
      <c r="K29" s="15">
        <f t="shared" si="0"/>
        <v>1.2000000000000002</v>
      </c>
      <c r="L29" s="15">
        <f t="shared" si="0"/>
        <v>0</v>
      </c>
      <c r="M29" s="15">
        <f t="shared" si="0"/>
        <v>1.0999999999999996</v>
      </c>
      <c r="N29" s="15">
        <f>N32-N28</f>
        <v>1.1999999999999997</v>
      </c>
      <c r="O29" s="15">
        <f>O32-O28</f>
        <v>1.4</v>
      </c>
      <c r="P29" s="15">
        <f t="shared" si="0"/>
        <v>0</v>
      </c>
      <c r="Q29" s="15">
        <f t="shared" si="0"/>
        <v>0.69999999999999973</v>
      </c>
    </row>
    <row r="30" spans="2:17" ht="20.100000000000001" customHeight="1">
      <c r="B30" s="103"/>
      <c r="C30" s="10" t="s">
        <v>60</v>
      </c>
      <c r="D30" s="7" t="s">
        <v>61</v>
      </c>
      <c r="E30" s="7" t="s">
        <v>62</v>
      </c>
      <c r="F30" s="8"/>
      <c r="G30" s="8">
        <v>641.5</v>
      </c>
      <c r="H30" s="9">
        <v>655.52</v>
      </c>
      <c r="I30" s="9">
        <v>640.6</v>
      </c>
      <c r="J30" s="8"/>
      <c r="K30" s="8">
        <v>639.9</v>
      </c>
      <c r="L30" s="9"/>
      <c r="M30" s="9">
        <v>624.70000000000005</v>
      </c>
      <c r="N30" s="8">
        <v>636.24</v>
      </c>
      <c r="O30" s="8">
        <v>640.4</v>
      </c>
      <c r="P30" s="9"/>
      <c r="Q30" s="9">
        <v>640.9</v>
      </c>
    </row>
    <row r="31" spans="2:17" ht="20.100000000000001" customHeight="1">
      <c r="B31" s="103"/>
      <c r="C31" s="10" t="s">
        <v>63</v>
      </c>
      <c r="D31" s="7" t="s">
        <v>42</v>
      </c>
      <c r="E31" s="7">
        <v>13.5</v>
      </c>
      <c r="F31" s="8"/>
      <c r="G31" s="8">
        <v>13</v>
      </c>
      <c r="H31" s="9">
        <v>13.1</v>
      </c>
      <c r="I31" s="9">
        <v>12.3</v>
      </c>
      <c r="J31" s="8"/>
      <c r="K31" s="8">
        <v>12.9</v>
      </c>
      <c r="L31" s="9"/>
      <c r="M31" s="9">
        <v>13.2</v>
      </c>
      <c r="N31" s="8">
        <v>13.2</v>
      </c>
      <c r="O31" s="8">
        <v>12.6</v>
      </c>
      <c r="P31" s="9"/>
      <c r="Q31" s="9">
        <v>12.2</v>
      </c>
    </row>
    <row r="32" spans="2:17" ht="20.100000000000001" customHeight="1">
      <c r="B32" s="103"/>
      <c r="C32" s="10" t="s">
        <v>64</v>
      </c>
      <c r="D32" s="7" t="s">
        <v>42</v>
      </c>
      <c r="E32" s="7">
        <v>4</v>
      </c>
      <c r="F32" s="8"/>
      <c r="G32" s="8">
        <v>4.0999999999999996</v>
      </c>
      <c r="H32" s="9">
        <v>4.8</v>
      </c>
      <c r="I32" s="9">
        <v>3.9</v>
      </c>
      <c r="J32" s="8"/>
      <c r="K32" s="8">
        <v>4.4000000000000004</v>
      </c>
      <c r="L32" s="9"/>
      <c r="M32" s="9">
        <v>3.8</v>
      </c>
      <c r="N32" s="8">
        <v>4.3</v>
      </c>
      <c r="O32" s="8">
        <v>3.9</v>
      </c>
      <c r="P32" s="9"/>
      <c r="Q32" s="9">
        <v>3.9</v>
      </c>
    </row>
    <row r="33" spans="2:17" ht="20.100000000000001" customHeight="1">
      <c r="B33" s="103"/>
      <c r="C33" s="10" t="s">
        <v>65</v>
      </c>
      <c r="D33" s="7" t="s">
        <v>42</v>
      </c>
      <c r="E33" s="7">
        <v>9.5</v>
      </c>
      <c r="F33" s="15">
        <f t="shared" ref="F33:Q33" si="1">F31-F32</f>
        <v>0</v>
      </c>
      <c r="G33" s="15">
        <f t="shared" si="1"/>
        <v>8.9</v>
      </c>
      <c r="H33" s="15">
        <f t="shared" si="1"/>
        <v>8.3000000000000007</v>
      </c>
      <c r="I33" s="15">
        <f t="shared" si="1"/>
        <v>8.4</v>
      </c>
      <c r="J33" s="15">
        <f t="shared" si="1"/>
        <v>0</v>
      </c>
      <c r="K33" s="15">
        <f t="shared" si="1"/>
        <v>8.5</v>
      </c>
      <c r="L33" s="15">
        <f t="shared" si="1"/>
        <v>0</v>
      </c>
      <c r="M33" s="15">
        <f t="shared" si="1"/>
        <v>9.3999999999999986</v>
      </c>
      <c r="N33" s="15">
        <f>N31-N32</f>
        <v>8.8999999999999986</v>
      </c>
      <c r="O33" s="15">
        <f>O31-O32</f>
        <v>8.6999999999999993</v>
      </c>
      <c r="P33" s="15">
        <f t="shared" si="1"/>
        <v>0</v>
      </c>
      <c r="Q33" s="15">
        <f t="shared" si="1"/>
        <v>8.2999999999999989</v>
      </c>
    </row>
    <row r="34" spans="2:17" ht="20.100000000000001" customHeight="1">
      <c r="B34" s="103"/>
      <c r="C34" s="10" t="s">
        <v>66</v>
      </c>
      <c r="D34" s="7" t="s">
        <v>67</v>
      </c>
      <c r="E34" s="7" t="s">
        <v>68</v>
      </c>
      <c r="F34" s="16">
        <f t="shared" ref="F34:Q34" si="2">(F33*F30)/0.866</f>
        <v>0</v>
      </c>
      <c r="G34" s="16">
        <f t="shared" si="2"/>
        <v>6592.7829099307164</v>
      </c>
      <c r="H34" s="16">
        <f t="shared" si="2"/>
        <v>6282.6974595842967</v>
      </c>
      <c r="I34" s="16">
        <f t="shared" si="2"/>
        <v>6213.6720554272524</v>
      </c>
      <c r="J34" s="16">
        <f t="shared" si="2"/>
        <v>0</v>
      </c>
      <c r="K34" s="16">
        <f t="shared" si="2"/>
        <v>6280.7736720554267</v>
      </c>
      <c r="L34" s="16">
        <f t="shared" si="2"/>
        <v>0</v>
      </c>
      <c r="M34" s="16">
        <f t="shared" si="2"/>
        <v>6780.8083140877588</v>
      </c>
      <c r="N34" s="16">
        <f>(N33*N30)/0.866</f>
        <v>6538.7251732101604</v>
      </c>
      <c r="O34" s="16">
        <f>(O33*O30)/0.866</f>
        <v>6433.5796766743642</v>
      </c>
      <c r="P34" s="16">
        <f t="shared" si="2"/>
        <v>0</v>
      </c>
      <c r="Q34" s="16">
        <f t="shared" si="2"/>
        <v>6142.5750577367198</v>
      </c>
    </row>
    <row r="35" spans="2:17" ht="20.100000000000001" customHeight="1">
      <c r="B35" s="103" t="s">
        <v>69</v>
      </c>
      <c r="C35" s="10" t="s">
        <v>70</v>
      </c>
      <c r="D35" s="7" t="s">
        <v>49</v>
      </c>
      <c r="E35" s="7" t="s">
        <v>71</v>
      </c>
      <c r="F35" s="8"/>
      <c r="G35" s="8">
        <v>0.79</v>
      </c>
      <c r="H35" s="9">
        <v>0.83</v>
      </c>
      <c r="I35" s="9">
        <v>0.82</v>
      </c>
      <c r="J35" s="8"/>
      <c r="K35" s="8">
        <v>0.81</v>
      </c>
      <c r="L35" s="9"/>
      <c r="M35" s="9">
        <v>0.82</v>
      </c>
      <c r="N35" s="8">
        <v>0.79</v>
      </c>
      <c r="O35" s="8">
        <v>0.76</v>
      </c>
      <c r="P35" s="9"/>
      <c r="Q35" s="9">
        <v>0.81</v>
      </c>
    </row>
    <row r="36" spans="2:17" ht="20.100000000000001" customHeight="1">
      <c r="B36" s="103"/>
      <c r="C36" s="10" t="s">
        <v>72</v>
      </c>
      <c r="D36" s="7" t="s">
        <v>42</v>
      </c>
      <c r="E36" s="7" t="s">
        <v>43</v>
      </c>
      <c r="F36" s="8"/>
      <c r="G36" s="8">
        <v>35.200000000000003</v>
      </c>
      <c r="H36" s="9">
        <v>35.700000000000003</v>
      </c>
      <c r="I36" s="9">
        <v>35.6</v>
      </c>
      <c r="J36" s="8"/>
      <c r="K36" s="8">
        <v>35.200000000000003</v>
      </c>
      <c r="L36" s="9"/>
      <c r="M36" s="9">
        <v>35.299999999999997</v>
      </c>
      <c r="N36" s="8"/>
      <c r="O36" s="8">
        <v>34.6</v>
      </c>
      <c r="P36" s="9"/>
      <c r="Q36" s="9">
        <v>35.4</v>
      </c>
    </row>
    <row r="37" spans="2:17" ht="20.100000000000001" customHeight="1">
      <c r="B37" s="103"/>
      <c r="C37" s="10" t="s">
        <v>73</v>
      </c>
      <c r="D37" s="7" t="s">
        <v>42</v>
      </c>
      <c r="E37" s="7" t="s">
        <v>43</v>
      </c>
      <c r="F37" s="8"/>
      <c r="G37" s="8">
        <v>35.6</v>
      </c>
      <c r="H37" s="9">
        <v>36.700000000000003</v>
      </c>
      <c r="I37" s="9">
        <v>36.5</v>
      </c>
      <c r="J37" s="8"/>
      <c r="K37" s="8">
        <v>36</v>
      </c>
      <c r="L37" s="9"/>
      <c r="M37" s="9">
        <v>36.799999999999997</v>
      </c>
      <c r="N37" s="8">
        <v>35.200000000000003</v>
      </c>
      <c r="O37" s="8">
        <v>35.1</v>
      </c>
      <c r="P37" s="9"/>
      <c r="Q37" s="9">
        <v>63.2</v>
      </c>
    </row>
    <row r="38" spans="2:17" ht="20.100000000000001" customHeight="1">
      <c r="B38" s="103"/>
      <c r="C38" s="12" t="s">
        <v>74</v>
      </c>
      <c r="D38" s="7" t="s">
        <v>42</v>
      </c>
      <c r="E38" s="7"/>
      <c r="F38" s="15">
        <f t="shared" ref="F38:Q38" si="3">F37-F41</f>
        <v>0</v>
      </c>
      <c r="G38" s="15">
        <f t="shared" si="3"/>
        <v>2.1000000000000014</v>
      </c>
      <c r="H38" s="15">
        <f t="shared" si="3"/>
        <v>4.1000000000000014</v>
      </c>
      <c r="I38" s="15">
        <f t="shared" si="3"/>
        <v>3.7000000000000028</v>
      </c>
      <c r="J38" s="15">
        <f t="shared" si="3"/>
        <v>0</v>
      </c>
      <c r="K38" s="15">
        <f t="shared" si="3"/>
        <v>2.3999999999999986</v>
      </c>
      <c r="L38" s="15">
        <f t="shared" si="3"/>
        <v>0</v>
      </c>
      <c r="M38" s="15">
        <f t="shared" si="3"/>
        <v>3.5</v>
      </c>
      <c r="N38" s="15">
        <f>N37-N41</f>
        <v>2.5</v>
      </c>
      <c r="O38" s="15">
        <f>O37-O41</f>
        <v>1.7000000000000028</v>
      </c>
      <c r="P38" s="15">
        <f t="shared" si="3"/>
        <v>0</v>
      </c>
      <c r="Q38" s="15">
        <f t="shared" si="3"/>
        <v>30</v>
      </c>
    </row>
    <row r="39" spans="2:17" ht="20.100000000000001" customHeight="1">
      <c r="B39" s="103"/>
      <c r="C39" s="10" t="s">
        <v>75</v>
      </c>
      <c r="D39" s="7" t="s">
        <v>76</v>
      </c>
      <c r="E39" s="7"/>
      <c r="F39" s="8"/>
      <c r="G39" s="8"/>
      <c r="H39" s="9"/>
      <c r="I39" s="9"/>
      <c r="J39" s="8"/>
      <c r="K39" s="8"/>
      <c r="L39" s="9"/>
      <c r="M39" s="9"/>
      <c r="N39" s="8"/>
      <c r="O39" s="8"/>
      <c r="P39" s="9"/>
      <c r="Q39" s="9"/>
    </row>
    <row r="40" spans="2:17" ht="20.100000000000001" customHeight="1">
      <c r="B40" s="103"/>
      <c r="C40" s="10" t="s">
        <v>77</v>
      </c>
      <c r="D40" s="7" t="s">
        <v>42</v>
      </c>
      <c r="E40" s="7">
        <v>30.8</v>
      </c>
      <c r="F40" s="8"/>
      <c r="G40" s="8">
        <v>27.4</v>
      </c>
      <c r="H40" s="9">
        <v>27.8</v>
      </c>
      <c r="I40" s="9">
        <v>27.5</v>
      </c>
      <c r="J40" s="8"/>
      <c r="K40" s="8">
        <v>27.5</v>
      </c>
      <c r="L40" s="9"/>
      <c r="M40" s="9">
        <v>27.5</v>
      </c>
      <c r="N40" s="8">
        <v>27.6</v>
      </c>
      <c r="O40" s="8">
        <v>27.3</v>
      </c>
      <c r="P40" s="9"/>
      <c r="Q40" s="9">
        <v>27.3</v>
      </c>
    </row>
    <row r="41" spans="2:17" ht="20.100000000000001" customHeight="1">
      <c r="B41" s="103"/>
      <c r="C41" s="10" t="s">
        <v>78</v>
      </c>
      <c r="D41" s="7" t="s">
        <v>42</v>
      </c>
      <c r="E41" s="7">
        <v>36.4</v>
      </c>
      <c r="F41" s="8"/>
      <c r="G41" s="8">
        <v>33.5</v>
      </c>
      <c r="H41" s="9">
        <v>32.6</v>
      </c>
      <c r="I41" s="9">
        <v>32.799999999999997</v>
      </c>
      <c r="J41" s="8"/>
      <c r="K41" s="8">
        <v>33.6</v>
      </c>
      <c r="L41" s="9"/>
      <c r="M41" s="9">
        <v>33.299999999999997</v>
      </c>
      <c r="N41" s="8">
        <v>32.700000000000003</v>
      </c>
      <c r="O41" s="8">
        <v>33.4</v>
      </c>
      <c r="P41" s="9"/>
      <c r="Q41" s="9">
        <v>33.200000000000003</v>
      </c>
    </row>
    <row r="42" spans="2:17" ht="20.100000000000001" customHeight="1">
      <c r="B42" s="103"/>
      <c r="C42" s="10" t="s">
        <v>79</v>
      </c>
      <c r="D42" s="7" t="s">
        <v>42</v>
      </c>
      <c r="E42" s="7">
        <v>5.6</v>
      </c>
      <c r="F42" s="15">
        <f t="shared" ref="F42:Q42" si="4">F41-F40</f>
        <v>0</v>
      </c>
      <c r="G42" s="15">
        <f t="shared" si="4"/>
        <v>6.1000000000000014</v>
      </c>
      <c r="H42" s="15">
        <f t="shared" si="4"/>
        <v>4.8000000000000007</v>
      </c>
      <c r="I42" s="15">
        <f t="shared" si="4"/>
        <v>5.2999999999999972</v>
      </c>
      <c r="J42" s="15">
        <f t="shared" si="4"/>
        <v>0</v>
      </c>
      <c r="K42" s="15">
        <f t="shared" si="4"/>
        <v>6.1000000000000014</v>
      </c>
      <c r="L42" s="15">
        <f t="shared" si="4"/>
        <v>0</v>
      </c>
      <c r="M42" s="15">
        <f t="shared" si="4"/>
        <v>5.7999999999999972</v>
      </c>
      <c r="N42" s="15">
        <f>N41-N40</f>
        <v>5.1000000000000014</v>
      </c>
      <c r="O42" s="15">
        <f>O41-O40</f>
        <v>6.0999999999999979</v>
      </c>
      <c r="P42" s="15">
        <f t="shared" si="4"/>
        <v>0</v>
      </c>
      <c r="Q42" s="15">
        <f t="shared" si="4"/>
        <v>5.9000000000000021</v>
      </c>
    </row>
    <row r="43" spans="2:17" ht="20.100000000000001" customHeight="1">
      <c r="B43" s="103"/>
      <c r="C43" s="10" t="s">
        <v>80</v>
      </c>
      <c r="D43" s="7" t="s">
        <v>61</v>
      </c>
      <c r="E43" s="7">
        <v>1273.0999999999999</v>
      </c>
      <c r="F43" s="8"/>
      <c r="G43" s="8">
        <v>1156.9000000000001</v>
      </c>
      <c r="H43" s="9">
        <v>1300.18</v>
      </c>
      <c r="I43" s="9">
        <v>1155.5</v>
      </c>
      <c r="J43" s="8"/>
      <c r="K43" s="8">
        <v>1178.9000000000001</v>
      </c>
      <c r="L43" s="9"/>
      <c r="M43" s="8">
        <v>1153.8</v>
      </c>
      <c r="N43" s="8">
        <v>1282.1199999999999</v>
      </c>
      <c r="O43" s="8">
        <v>1132.0999999999999</v>
      </c>
      <c r="P43" s="9"/>
      <c r="Q43" s="9">
        <v>1168.4000000000001</v>
      </c>
    </row>
    <row r="44" spans="2:17" ht="20.100000000000001" customHeight="1">
      <c r="B44" s="103"/>
      <c r="C44" s="10" t="s">
        <v>81</v>
      </c>
      <c r="D44" s="7" t="s">
        <v>67</v>
      </c>
      <c r="E44" s="7">
        <v>8226.9</v>
      </c>
      <c r="F44" s="16">
        <f t="shared" ref="F44:Q44" si="5">F42*F43/0.866</f>
        <v>0</v>
      </c>
      <c r="G44" s="16">
        <f t="shared" si="5"/>
        <v>8149.0646651270235</v>
      </c>
      <c r="H44" s="16">
        <f t="shared" si="5"/>
        <v>7206.5404157043895</v>
      </c>
      <c r="I44" s="16">
        <f t="shared" si="5"/>
        <v>7071.7667436489573</v>
      </c>
      <c r="J44" s="16">
        <f t="shared" si="5"/>
        <v>0</v>
      </c>
      <c r="K44" s="16">
        <f t="shared" si="5"/>
        <v>8304.0300230946905</v>
      </c>
      <c r="L44" s="16">
        <f t="shared" si="5"/>
        <v>0</v>
      </c>
      <c r="M44" s="16">
        <f t="shared" si="5"/>
        <v>7727.528868360273</v>
      </c>
      <c r="N44" s="16">
        <f>N42*N43/0.866</f>
        <v>7550.591224018478</v>
      </c>
      <c r="O44" s="16">
        <f>O42*O43/0.866</f>
        <v>7974.3764434180102</v>
      </c>
      <c r="P44" s="16">
        <f t="shared" si="5"/>
        <v>0</v>
      </c>
      <c r="Q44" s="16">
        <f t="shared" si="5"/>
        <v>7960.2309468822205</v>
      </c>
    </row>
    <row r="45" spans="2:17" ht="20.100000000000001" customHeight="1">
      <c r="B45" s="103" t="s">
        <v>82</v>
      </c>
      <c r="C45" s="10" t="s">
        <v>83</v>
      </c>
      <c r="D45" s="7" t="s">
        <v>49</v>
      </c>
      <c r="E45" s="7" t="s">
        <v>84</v>
      </c>
      <c r="F45" s="8"/>
      <c r="G45" s="8">
        <v>0.45</v>
      </c>
      <c r="H45" s="9">
        <v>0.46</v>
      </c>
      <c r="I45" s="9">
        <v>0.44</v>
      </c>
      <c r="J45" s="8"/>
      <c r="K45" s="8">
        <v>0.45</v>
      </c>
      <c r="L45" s="9"/>
      <c r="M45" s="9">
        <v>0.45</v>
      </c>
      <c r="N45" s="8">
        <v>0.44</v>
      </c>
      <c r="O45" s="8">
        <v>0.44</v>
      </c>
      <c r="P45" s="9"/>
      <c r="Q45" s="9">
        <v>0.46</v>
      </c>
    </row>
    <row r="46" spans="2:17" ht="20.100000000000001" customHeight="1">
      <c r="B46" s="103"/>
      <c r="C46" s="10" t="s">
        <v>85</v>
      </c>
      <c r="D46" s="7" t="s">
        <v>42</v>
      </c>
      <c r="E46" s="7" t="s">
        <v>43</v>
      </c>
      <c r="F46" s="8"/>
      <c r="G46" s="8">
        <v>19.2</v>
      </c>
      <c r="H46" s="9">
        <v>19.2</v>
      </c>
      <c r="I46" s="9">
        <v>18.399999999999999</v>
      </c>
      <c r="J46" s="8"/>
      <c r="K46" s="8">
        <v>18.899999999999999</v>
      </c>
      <c r="L46" s="9"/>
      <c r="M46" s="9">
        <v>19.100000000000001</v>
      </c>
      <c r="N46" s="8">
        <v>18.399999999999999</v>
      </c>
      <c r="O46" s="8">
        <v>18.2</v>
      </c>
      <c r="P46" s="9"/>
      <c r="Q46" s="9">
        <v>19.3</v>
      </c>
    </row>
    <row r="47" spans="2:17" ht="20.100000000000001" customHeight="1">
      <c r="B47" s="103"/>
      <c r="C47" s="10" t="s">
        <v>86</v>
      </c>
      <c r="D47" s="7" t="s">
        <v>76</v>
      </c>
      <c r="E47" s="7" t="s">
        <v>76</v>
      </c>
      <c r="F47" s="8"/>
      <c r="G47" s="8">
        <v>197.9</v>
      </c>
      <c r="H47" s="9">
        <v>131.19999999999999</v>
      </c>
      <c r="I47" s="9">
        <v>125.2</v>
      </c>
      <c r="J47" s="8"/>
      <c r="K47" s="8">
        <v>206.3</v>
      </c>
      <c r="L47" s="9"/>
      <c r="M47" s="9">
        <v>200.8</v>
      </c>
      <c r="N47" s="8">
        <v>153.6</v>
      </c>
      <c r="O47" s="8">
        <v>157.19999999999999</v>
      </c>
      <c r="P47" s="9"/>
      <c r="Q47" s="9">
        <v>196.2</v>
      </c>
    </row>
    <row r="48" spans="2:17" ht="20.100000000000001" customHeight="1">
      <c r="B48" s="97" t="s">
        <v>87</v>
      </c>
      <c r="C48" s="97"/>
      <c r="D48" s="97"/>
      <c r="E48" s="17" t="s">
        <v>88</v>
      </c>
      <c r="F48" s="8"/>
      <c r="G48" s="8"/>
      <c r="H48" s="9"/>
      <c r="I48" s="9"/>
      <c r="J48" s="8"/>
      <c r="K48" s="8"/>
      <c r="L48" s="9"/>
      <c r="M48" s="9"/>
      <c r="N48" s="8"/>
      <c r="O48" s="8"/>
      <c r="P48" s="9"/>
      <c r="Q48" s="9"/>
    </row>
    <row r="49" spans="2:17" ht="20.100000000000001" customHeight="1">
      <c r="B49" s="97" t="s">
        <v>89</v>
      </c>
      <c r="C49" s="97"/>
      <c r="D49" s="97"/>
      <c r="E49" s="57">
        <v>5.89</v>
      </c>
      <c r="F49" s="8"/>
      <c r="G49" s="8">
        <v>5.6</v>
      </c>
      <c r="H49" s="9">
        <v>5.73</v>
      </c>
      <c r="I49" s="9">
        <v>5.72</v>
      </c>
      <c r="J49" s="8"/>
      <c r="K49" s="8">
        <v>5.78</v>
      </c>
      <c r="L49" s="9"/>
      <c r="M49" s="9">
        <v>5.75</v>
      </c>
      <c r="N49" s="8">
        <v>5.89</v>
      </c>
      <c r="O49" s="8">
        <v>5.75</v>
      </c>
      <c r="P49" s="9"/>
      <c r="Q49" s="9">
        <v>5.59</v>
      </c>
    </row>
    <row r="50" spans="2:17" ht="20.100000000000001" customHeight="1">
      <c r="B50" s="97" t="s">
        <v>90</v>
      </c>
      <c r="C50" s="97"/>
      <c r="D50" s="97"/>
      <c r="E50" s="57"/>
      <c r="F50" s="8"/>
      <c r="G50" s="8"/>
      <c r="H50" s="9"/>
      <c r="I50" s="9"/>
      <c r="J50" s="8"/>
      <c r="K50" s="8"/>
      <c r="L50" s="9"/>
      <c r="M50" s="9"/>
      <c r="N50" s="8"/>
      <c r="O50" s="8"/>
      <c r="P50" s="9"/>
      <c r="Q50" s="9"/>
    </row>
    <row r="51" spans="2:17" ht="20.100000000000001" customHeight="1" thickBot="1">
      <c r="B51" s="97" t="s">
        <v>91</v>
      </c>
      <c r="C51" s="97"/>
      <c r="D51" s="97"/>
      <c r="E51" s="56"/>
      <c r="F51" s="8"/>
      <c r="G51" s="8"/>
      <c r="H51" s="9"/>
      <c r="I51" s="9"/>
      <c r="J51" s="8"/>
      <c r="K51" s="8"/>
      <c r="L51" s="9"/>
      <c r="M51" s="9"/>
      <c r="N51" s="8"/>
      <c r="O51" s="8"/>
      <c r="P51" s="9"/>
      <c r="Q51" s="9"/>
    </row>
    <row r="52" spans="2:17">
      <c r="B52" t="s">
        <v>92</v>
      </c>
      <c r="C52" s="18" t="s">
        <v>93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28"/>
    </row>
    <row r="53" spans="2:17">
      <c r="C53" s="20" t="s">
        <v>94</v>
      </c>
      <c r="Q53" s="31"/>
    </row>
    <row r="54" spans="2:17">
      <c r="C54" s="20" t="s">
        <v>95</v>
      </c>
      <c r="Q54" s="31"/>
    </row>
    <row r="55" spans="2:17">
      <c r="C55" s="20"/>
      <c r="Q55" s="31"/>
    </row>
    <row r="56" spans="2:17">
      <c r="C56" s="20"/>
      <c r="Q56" s="31"/>
    </row>
    <row r="57" spans="2:17">
      <c r="C57" s="20" t="s">
        <v>96</v>
      </c>
      <c r="F57" s="21" t="b">
        <v>0</v>
      </c>
      <c r="G57" s="22" t="s">
        <v>97</v>
      </c>
      <c r="Q57" s="31"/>
    </row>
    <row r="58" spans="2:17">
      <c r="C58" s="20" t="s">
        <v>96</v>
      </c>
      <c r="F58" s="8" t="s">
        <v>98</v>
      </c>
      <c r="G58" s="23" t="s">
        <v>99</v>
      </c>
      <c r="Q58" s="31"/>
    </row>
    <row r="59" spans="2:17" ht="15.75" thickBot="1"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30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7CE21-133C-41F4-899F-FDC487AB2DAF}">
  <dimension ref="B1:Q59"/>
  <sheetViews>
    <sheetView view="pageBreakPreview" topLeftCell="B1" zoomScale="85" zoomScaleNormal="60" workbookViewId="0">
      <selection activeCell="D7" sqref="D7:Q7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107"/>
      <c r="C2" s="110" t="s">
        <v>0</v>
      </c>
      <c r="D2" s="111"/>
      <c r="E2" s="111"/>
      <c r="F2" s="111"/>
      <c r="G2" s="111"/>
      <c r="H2" s="111"/>
      <c r="I2" s="111"/>
      <c r="J2" s="111"/>
      <c r="K2" s="111"/>
      <c r="L2" s="111"/>
      <c r="M2" s="112"/>
      <c r="N2" s="18" t="s">
        <v>1</v>
      </c>
      <c r="O2" s="19"/>
      <c r="P2" s="19"/>
      <c r="Q2" s="28"/>
    </row>
    <row r="3" spans="2:17" ht="15.75" thickBot="1">
      <c r="B3" s="108"/>
      <c r="C3" s="113"/>
      <c r="D3" s="114"/>
      <c r="E3" s="114"/>
      <c r="F3" s="114"/>
      <c r="G3" s="114"/>
      <c r="H3" s="114"/>
      <c r="I3" s="114"/>
      <c r="J3" s="114"/>
      <c r="K3" s="114"/>
      <c r="L3" s="114"/>
      <c r="M3" s="115"/>
      <c r="N3" s="26" t="s">
        <v>2</v>
      </c>
      <c r="O3" s="27" t="s">
        <v>3</v>
      </c>
      <c r="P3" s="27"/>
      <c r="Q3" s="29"/>
    </row>
    <row r="4" spans="2:17" ht="15.75" thickBot="1">
      <c r="B4" s="108"/>
      <c r="C4" s="113"/>
      <c r="D4" s="114"/>
      <c r="E4" s="114"/>
      <c r="F4" s="114"/>
      <c r="G4" s="114"/>
      <c r="H4" s="114"/>
      <c r="I4" s="114"/>
      <c r="J4" s="114"/>
      <c r="K4" s="114"/>
      <c r="L4" s="114"/>
      <c r="M4" s="115"/>
      <c r="N4" s="26" t="s">
        <v>4</v>
      </c>
      <c r="O4" s="27"/>
      <c r="P4" s="27"/>
      <c r="Q4" s="29"/>
    </row>
    <row r="5" spans="2:17" ht="15.75" thickBot="1">
      <c r="B5" s="109"/>
      <c r="C5" s="116"/>
      <c r="D5" s="117"/>
      <c r="E5" s="117"/>
      <c r="F5" s="117"/>
      <c r="G5" s="117"/>
      <c r="H5" s="117"/>
      <c r="I5" s="117"/>
      <c r="J5" s="117"/>
      <c r="K5" s="117"/>
      <c r="L5" s="117"/>
      <c r="M5" s="118"/>
      <c r="N5" s="24" t="s">
        <v>5</v>
      </c>
      <c r="O5" s="25"/>
      <c r="P5" s="25"/>
      <c r="Q5" s="30"/>
    </row>
    <row r="7" spans="2:17">
      <c r="B7" s="98" t="s">
        <v>6</v>
      </c>
      <c r="C7" s="99"/>
      <c r="D7" s="100">
        <v>45729</v>
      </c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2"/>
    </row>
    <row r="8" spans="2:17">
      <c r="B8" s="97" t="s">
        <v>7</v>
      </c>
      <c r="C8" s="97"/>
      <c r="D8" s="97"/>
      <c r="E8" s="105" t="s">
        <v>8</v>
      </c>
      <c r="F8" s="103" t="s">
        <v>9</v>
      </c>
      <c r="G8" s="103"/>
      <c r="H8" s="104" t="s">
        <v>10</v>
      </c>
      <c r="I8" s="104"/>
      <c r="J8" s="103" t="s">
        <v>11</v>
      </c>
      <c r="K8" s="103"/>
      <c r="L8" s="104" t="s">
        <v>12</v>
      </c>
      <c r="M8" s="104"/>
      <c r="N8" s="103" t="s">
        <v>13</v>
      </c>
      <c r="O8" s="103"/>
      <c r="P8" s="104" t="s">
        <v>14</v>
      </c>
      <c r="Q8" s="104"/>
    </row>
    <row r="9" spans="2:17">
      <c r="B9" s="98" t="s">
        <v>15</v>
      </c>
      <c r="C9" s="119"/>
      <c r="D9" s="99"/>
      <c r="E9" s="106"/>
      <c r="F9" s="3">
        <v>0.375</v>
      </c>
      <c r="G9" s="32" t="s">
        <v>16</v>
      </c>
      <c r="H9" s="4">
        <v>0.375</v>
      </c>
      <c r="I9" s="33" t="s">
        <v>16</v>
      </c>
      <c r="J9" s="3">
        <v>0.375</v>
      </c>
      <c r="K9" s="32" t="s">
        <v>16</v>
      </c>
      <c r="L9" s="4">
        <v>0.375</v>
      </c>
      <c r="M9" s="33" t="s">
        <v>16</v>
      </c>
      <c r="N9" s="3">
        <v>0.375</v>
      </c>
      <c r="O9" s="32" t="s">
        <v>16</v>
      </c>
      <c r="P9" s="4">
        <v>0.375</v>
      </c>
      <c r="Q9" s="33" t="s">
        <v>16</v>
      </c>
    </row>
    <row r="10" spans="2:17" ht="26.25" customHeight="1">
      <c r="B10" s="120" t="s">
        <v>17</v>
      </c>
      <c r="C10" s="121"/>
      <c r="D10" s="59" t="s">
        <v>18</v>
      </c>
      <c r="E10" s="5"/>
      <c r="F10" s="34" t="s">
        <v>19</v>
      </c>
      <c r="G10" s="34" t="s">
        <v>19</v>
      </c>
      <c r="H10" s="35"/>
      <c r="I10" s="35" t="s">
        <v>19</v>
      </c>
      <c r="J10" s="34" t="s">
        <v>19</v>
      </c>
      <c r="K10" s="34" t="s">
        <v>19</v>
      </c>
      <c r="L10" s="35" t="s">
        <v>19</v>
      </c>
      <c r="M10" s="35" t="s">
        <v>19</v>
      </c>
      <c r="N10" s="34"/>
      <c r="O10" s="34" t="s">
        <v>19</v>
      </c>
      <c r="P10" s="35" t="s">
        <v>19</v>
      </c>
      <c r="Q10" s="35" t="s">
        <v>19</v>
      </c>
    </row>
    <row r="11" spans="2:17" ht="20.100000000000001" customHeight="1">
      <c r="B11" s="97" t="s">
        <v>20</v>
      </c>
      <c r="C11" s="97"/>
      <c r="D11" s="7" t="s">
        <v>21</v>
      </c>
      <c r="E11" s="7" t="s">
        <v>22</v>
      </c>
      <c r="F11" s="8"/>
      <c r="G11" s="8">
        <v>66.599999999999994</v>
      </c>
      <c r="H11" s="9"/>
      <c r="I11" s="9">
        <v>82</v>
      </c>
      <c r="J11" s="8">
        <v>74.599999999999994</v>
      </c>
      <c r="K11" s="8">
        <v>73.400000000000006</v>
      </c>
      <c r="L11" s="9">
        <v>70.5</v>
      </c>
      <c r="M11" s="9">
        <v>76.5</v>
      </c>
      <c r="N11" s="8"/>
      <c r="O11" s="8">
        <v>78.2</v>
      </c>
      <c r="P11" s="9"/>
      <c r="Q11" s="9">
        <v>76.099999999999994</v>
      </c>
    </row>
    <row r="12" spans="2:17" ht="20.100000000000001" customHeight="1">
      <c r="B12" s="97" t="s">
        <v>23</v>
      </c>
      <c r="C12" s="97"/>
      <c r="D12" s="7" t="s">
        <v>21</v>
      </c>
      <c r="E12" s="7" t="s">
        <v>22</v>
      </c>
      <c r="F12" s="8"/>
      <c r="G12" s="8">
        <v>0.1</v>
      </c>
      <c r="H12" s="9"/>
      <c r="I12" s="9">
        <v>0</v>
      </c>
      <c r="J12" s="8">
        <v>0</v>
      </c>
      <c r="K12" s="8">
        <v>0</v>
      </c>
      <c r="L12" s="9">
        <v>0</v>
      </c>
      <c r="M12" s="9">
        <v>0</v>
      </c>
      <c r="N12" s="8"/>
      <c r="O12" s="8">
        <v>0</v>
      </c>
      <c r="P12" s="9"/>
      <c r="Q12" s="9">
        <v>0</v>
      </c>
    </row>
    <row r="13" spans="2:17" ht="20.100000000000001" customHeight="1">
      <c r="B13" s="97" t="s">
        <v>24</v>
      </c>
      <c r="C13" s="97"/>
      <c r="D13" s="7" t="s">
        <v>21</v>
      </c>
      <c r="E13" s="7" t="s">
        <v>22</v>
      </c>
      <c r="F13" s="8"/>
      <c r="G13" s="8">
        <v>62.7</v>
      </c>
      <c r="H13" s="9"/>
      <c r="I13" s="9">
        <v>78.3</v>
      </c>
      <c r="J13" s="8">
        <v>71</v>
      </c>
      <c r="K13" s="8">
        <v>58.2</v>
      </c>
      <c r="L13" s="9">
        <v>67.5</v>
      </c>
      <c r="M13" s="9">
        <v>71.2</v>
      </c>
      <c r="N13" s="8"/>
      <c r="O13" s="8">
        <v>73.400000000000006</v>
      </c>
      <c r="P13" s="9"/>
      <c r="Q13" s="9">
        <v>70.599999999999994</v>
      </c>
    </row>
    <row r="14" spans="2:17" ht="20.100000000000001" customHeight="1">
      <c r="B14" s="97" t="s">
        <v>25</v>
      </c>
      <c r="C14" s="97"/>
      <c r="D14" s="7" t="s">
        <v>21</v>
      </c>
      <c r="E14" s="7" t="s">
        <v>22</v>
      </c>
      <c r="F14" s="8"/>
      <c r="G14" s="8">
        <v>66.900000000000006</v>
      </c>
      <c r="H14" s="9"/>
      <c r="I14" s="9">
        <v>66.8</v>
      </c>
      <c r="J14" s="8">
        <v>64.599999999999994</v>
      </c>
      <c r="K14" s="8">
        <v>63.9</v>
      </c>
      <c r="L14" s="9">
        <v>66.2</v>
      </c>
      <c r="M14" s="9">
        <v>66.8</v>
      </c>
      <c r="N14" s="8"/>
      <c r="O14" s="8">
        <v>71.099999999999994</v>
      </c>
      <c r="P14" s="9"/>
      <c r="Q14" s="9">
        <v>70.900000000000006</v>
      </c>
    </row>
    <row r="15" spans="2:17" ht="20.100000000000001" customHeight="1">
      <c r="B15" s="97" t="s">
        <v>26</v>
      </c>
      <c r="C15" s="97"/>
      <c r="D15" s="7" t="s">
        <v>21</v>
      </c>
      <c r="E15" s="7" t="s">
        <v>22</v>
      </c>
      <c r="F15" s="8"/>
      <c r="G15" s="8">
        <v>40.6</v>
      </c>
      <c r="H15" s="9"/>
      <c r="I15" s="9">
        <v>54.5</v>
      </c>
      <c r="J15" s="8">
        <v>39.200000000000003</v>
      </c>
      <c r="K15" s="8">
        <v>38.5</v>
      </c>
      <c r="L15" s="9">
        <v>33.799999999999997</v>
      </c>
      <c r="M15" s="9">
        <v>35</v>
      </c>
      <c r="N15" s="8"/>
      <c r="O15" s="8">
        <v>89.6</v>
      </c>
      <c r="P15" s="9"/>
      <c r="Q15" s="9">
        <v>41.9</v>
      </c>
    </row>
    <row r="16" spans="2:17" ht="20.100000000000001" customHeight="1">
      <c r="B16" s="103" t="s">
        <v>27</v>
      </c>
      <c r="C16" s="10" t="s">
        <v>28</v>
      </c>
      <c r="D16" s="7" t="s">
        <v>29</v>
      </c>
      <c r="E16" s="7" t="s">
        <v>30</v>
      </c>
      <c r="F16" s="8"/>
      <c r="G16" s="8">
        <v>6.6</v>
      </c>
      <c r="H16" s="9"/>
      <c r="I16" s="9">
        <v>6.6</v>
      </c>
      <c r="J16" s="8">
        <v>6.6</v>
      </c>
      <c r="K16" s="8">
        <v>6.6</v>
      </c>
      <c r="L16" s="9">
        <v>6.6</v>
      </c>
      <c r="M16" s="9">
        <v>6.6</v>
      </c>
      <c r="N16" s="8"/>
      <c r="O16" s="8">
        <v>6.6</v>
      </c>
      <c r="P16" s="9"/>
      <c r="Q16" s="9">
        <v>6.6</v>
      </c>
    </row>
    <row r="17" spans="2:17" ht="20.100000000000001" customHeight="1">
      <c r="B17" s="103"/>
      <c r="C17" s="10" t="s">
        <v>31</v>
      </c>
      <c r="D17" s="7" t="s">
        <v>32</v>
      </c>
      <c r="E17" s="7" t="s">
        <v>33</v>
      </c>
      <c r="F17" s="8"/>
      <c r="G17" s="8">
        <v>113.9</v>
      </c>
      <c r="H17" s="9"/>
      <c r="I17" s="9">
        <v>117.7</v>
      </c>
      <c r="J17" s="8">
        <v>115.5</v>
      </c>
      <c r="K17" s="8">
        <v>116.1</v>
      </c>
      <c r="L17" s="9">
        <v>111.9</v>
      </c>
      <c r="M17" s="9">
        <v>116.7</v>
      </c>
      <c r="N17" s="8"/>
      <c r="O17" s="8">
        <v>117.5</v>
      </c>
      <c r="P17" s="9"/>
      <c r="Q17" s="9">
        <v>117.8</v>
      </c>
    </row>
    <row r="18" spans="2:17" ht="20.100000000000001" customHeight="1">
      <c r="B18" s="103"/>
      <c r="C18" s="10" t="s">
        <v>34</v>
      </c>
      <c r="D18" s="7" t="s">
        <v>35</v>
      </c>
      <c r="E18" s="7" t="s">
        <v>36</v>
      </c>
      <c r="F18" s="8"/>
      <c r="G18" s="8">
        <v>1122</v>
      </c>
      <c r="H18" s="9"/>
      <c r="I18" s="9">
        <v>1197</v>
      </c>
      <c r="J18" s="8">
        <v>1180</v>
      </c>
      <c r="K18" s="8">
        <v>1182</v>
      </c>
      <c r="L18" s="9">
        <v>1147</v>
      </c>
      <c r="M18" s="9">
        <v>1183</v>
      </c>
      <c r="N18" s="8"/>
      <c r="O18" s="8">
        <v>1197</v>
      </c>
      <c r="P18" s="9"/>
      <c r="Q18" s="9">
        <v>1191</v>
      </c>
    </row>
    <row r="19" spans="2:17" ht="20.100000000000001" customHeight="1">
      <c r="B19" s="103" t="s">
        <v>37</v>
      </c>
      <c r="C19" s="10" t="s">
        <v>38</v>
      </c>
      <c r="D19" s="7" t="s">
        <v>39</v>
      </c>
      <c r="E19" s="11" t="s">
        <v>40</v>
      </c>
      <c r="F19" s="8"/>
      <c r="G19" s="8">
        <v>49508</v>
      </c>
      <c r="H19" s="9"/>
      <c r="I19" s="9">
        <v>50737.8</v>
      </c>
      <c r="J19" s="8">
        <v>48395.1</v>
      </c>
      <c r="K19" s="8">
        <v>48386.1</v>
      </c>
      <c r="L19" s="9">
        <v>50768.800000000003</v>
      </c>
      <c r="M19" s="9">
        <v>50759.8</v>
      </c>
      <c r="N19" s="8"/>
      <c r="O19" s="8">
        <v>49962.9</v>
      </c>
      <c r="P19" s="9"/>
      <c r="Q19" s="9">
        <v>50104.4</v>
      </c>
    </row>
    <row r="20" spans="2:17" ht="20.100000000000001" customHeight="1">
      <c r="B20" s="103"/>
      <c r="C20" s="10" t="s">
        <v>41</v>
      </c>
      <c r="D20" s="7" t="s">
        <v>42</v>
      </c>
      <c r="E20" s="7" t="s">
        <v>43</v>
      </c>
      <c r="F20" s="8"/>
      <c r="G20" s="8"/>
      <c r="H20" s="9"/>
      <c r="I20" s="9"/>
      <c r="J20" s="8"/>
      <c r="K20" s="8"/>
      <c r="L20" s="9"/>
      <c r="M20" s="9"/>
      <c r="N20" s="8"/>
      <c r="O20" s="8"/>
      <c r="P20" s="9"/>
      <c r="Q20" s="9"/>
    </row>
    <row r="21" spans="2:17" ht="20.100000000000001" customHeight="1">
      <c r="B21" s="103"/>
      <c r="C21" s="10" t="s">
        <v>44</v>
      </c>
      <c r="D21" s="7" t="s">
        <v>42</v>
      </c>
      <c r="E21" s="7" t="s">
        <v>45</v>
      </c>
      <c r="F21" s="8"/>
      <c r="G21" s="8"/>
      <c r="H21" s="9"/>
      <c r="I21" s="9"/>
      <c r="J21" s="8"/>
      <c r="K21" s="8"/>
      <c r="L21" s="9"/>
      <c r="M21" s="9"/>
      <c r="N21" s="8"/>
      <c r="O21" s="8"/>
      <c r="P21" s="9"/>
      <c r="Q21" s="9"/>
    </row>
    <row r="22" spans="2:17" ht="20.100000000000001" customHeight="1">
      <c r="B22" s="103"/>
      <c r="C22" s="10" t="s">
        <v>46</v>
      </c>
      <c r="D22" s="7" t="s">
        <v>42</v>
      </c>
      <c r="E22" s="7" t="s">
        <v>47</v>
      </c>
      <c r="F22" s="8"/>
      <c r="G22" s="8">
        <v>58.1</v>
      </c>
      <c r="H22" s="9"/>
      <c r="I22" s="9">
        <v>59.1</v>
      </c>
      <c r="J22" s="8">
        <v>57.4</v>
      </c>
      <c r="K22" s="8">
        <v>57.5</v>
      </c>
      <c r="L22" s="9">
        <v>57.2</v>
      </c>
      <c r="M22" s="9">
        <v>58.6</v>
      </c>
      <c r="N22" s="8"/>
      <c r="O22" s="8">
        <v>58.6</v>
      </c>
      <c r="P22" s="9"/>
      <c r="Q22" s="9">
        <v>59.1</v>
      </c>
    </row>
    <row r="23" spans="2:17" ht="60">
      <c r="B23" s="103"/>
      <c r="C23" s="12" t="s">
        <v>48</v>
      </c>
      <c r="D23" s="8" t="s">
        <v>49</v>
      </c>
      <c r="E23" s="13" t="s">
        <v>50</v>
      </c>
      <c r="F23" s="8"/>
      <c r="G23" s="8">
        <v>0.52</v>
      </c>
      <c r="H23" s="9"/>
      <c r="I23" s="9">
        <v>0.48</v>
      </c>
      <c r="J23" s="8">
        <v>0.59</v>
      </c>
      <c r="K23" s="8">
        <v>0.59</v>
      </c>
      <c r="L23" s="9">
        <v>0.52</v>
      </c>
      <c r="M23" s="9">
        <v>0.52</v>
      </c>
      <c r="N23" s="8"/>
      <c r="O23" s="8">
        <v>0.47</v>
      </c>
      <c r="P23" s="9"/>
      <c r="Q23" s="9">
        <v>0.49</v>
      </c>
    </row>
    <row r="24" spans="2:17" ht="39.75" customHeight="1">
      <c r="B24" s="103"/>
      <c r="C24" s="12" t="s">
        <v>51</v>
      </c>
      <c r="D24" s="7"/>
      <c r="E24" s="7"/>
      <c r="F24" s="8"/>
      <c r="G24" s="8"/>
      <c r="H24" s="9"/>
      <c r="I24" s="9"/>
      <c r="J24" s="8"/>
      <c r="K24" s="8"/>
      <c r="L24" s="8"/>
      <c r="M24" s="9"/>
      <c r="N24" s="8"/>
      <c r="O24" s="8"/>
      <c r="P24" s="9"/>
      <c r="Q24" s="9"/>
    </row>
    <row r="25" spans="2:17" ht="20.100000000000001" customHeight="1">
      <c r="B25" s="103"/>
      <c r="C25" s="10" t="s">
        <v>52</v>
      </c>
      <c r="D25" s="7" t="s">
        <v>42</v>
      </c>
      <c r="E25" s="7" t="s">
        <v>53</v>
      </c>
      <c r="F25" s="8"/>
      <c r="G25" s="8">
        <v>44.8</v>
      </c>
      <c r="H25" s="9"/>
      <c r="I25" s="9">
        <v>44.7</v>
      </c>
      <c r="J25" s="8">
        <v>45.1</v>
      </c>
      <c r="K25" s="8">
        <v>44.9</v>
      </c>
      <c r="L25" s="9">
        <v>45.1</v>
      </c>
      <c r="M25" s="9">
        <v>45.5</v>
      </c>
      <c r="N25" s="8"/>
      <c r="O25" s="8">
        <v>44.9</v>
      </c>
      <c r="P25" s="9"/>
      <c r="Q25" s="9">
        <v>45.3</v>
      </c>
    </row>
    <row r="26" spans="2:17" ht="20.100000000000001" customHeight="1">
      <c r="B26" s="103" t="s">
        <v>54</v>
      </c>
      <c r="C26" s="10" t="s">
        <v>55</v>
      </c>
      <c r="D26" s="7" t="s">
        <v>49</v>
      </c>
      <c r="E26" s="14" t="s">
        <v>56</v>
      </c>
      <c r="F26" s="8"/>
      <c r="G26" s="8">
        <v>0.23</v>
      </c>
      <c r="H26" s="9"/>
      <c r="I26" s="9">
        <v>0.21</v>
      </c>
      <c r="J26" s="8">
        <v>0.22</v>
      </c>
      <c r="K26" s="8">
        <v>0.23</v>
      </c>
      <c r="L26" s="9">
        <v>0.22</v>
      </c>
      <c r="M26" s="9">
        <v>0.22</v>
      </c>
      <c r="N26" s="8"/>
      <c r="O26" s="8">
        <v>0.22</v>
      </c>
      <c r="P26" s="9"/>
      <c r="Q26" s="9">
        <v>0.22</v>
      </c>
    </row>
    <row r="27" spans="2:17" ht="20.100000000000001" customHeight="1">
      <c r="B27" s="103"/>
      <c r="C27" s="10" t="s">
        <v>57</v>
      </c>
      <c r="D27" s="7" t="s">
        <v>42</v>
      </c>
      <c r="E27" s="7" t="s">
        <v>43</v>
      </c>
      <c r="F27" s="8"/>
      <c r="G27" s="8">
        <v>4.4000000000000004</v>
      </c>
      <c r="H27" s="9"/>
      <c r="I27" s="9">
        <v>3</v>
      </c>
      <c r="J27" s="8">
        <v>4.0999999999999996</v>
      </c>
      <c r="K27" s="8">
        <v>4</v>
      </c>
      <c r="L27" s="9">
        <v>3.8</v>
      </c>
      <c r="M27" s="9">
        <v>3.7</v>
      </c>
      <c r="N27" s="8"/>
      <c r="O27" s="8">
        <v>3.8</v>
      </c>
      <c r="P27" s="9"/>
      <c r="Q27" s="9">
        <v>4.2</v>
      </c>
    </row>
    <row r="28" spans="2:17" ht="20.100000000000001" customHeight="1">
      <c r="B28" s="103"/>
      <c r="C28" s="10" t="s">
        <v>58</v>
      </c>
      <c r="D28" s="7" t="s">
        <v>42</v>
      </c>
      <c r="E28" s="7" t="s">
        <v>43</v>
      </c>
      <c r="F28" s="8"/>
      <c r="G28" s="8">
        <v>3.7</v>
      </c>
      <c r="H28" s="9"/>
      <c r="I28" s="9">
        <v>2</v>
      </c>
      <c r="J28" s="8">
        <v>3.2</v>
      </c>
      <c r="K28" s="8">
        <v>3.2</v>
      </c>
      <c r="L28" s="9">
        <v>3.2</v>
      </c>
      <c r="M28" s="9">
        <v>2.7</v>
      </c>
      <c r="N28" s="8"/>
      <c r="O28" s="8">
        <v>2.5</v>
      </c>
      <c r="P28" s="9"/>
      <c r="Q28" s="9">
        <v>3.2</v>
      </c>
    </row>
    <row r="29" spans="2:17" ht="20.100000000000001" customHeight="1">
      <c r="B29" s="103"/>
      <c r="C29" s="10" t="s">
        <v>59</v>
      </c>
      <c r="D29" s="7" t="s">
        <v>42</v>
      </c>
      <c r="E29" s="7" t="s">
        <v>43</v>
      </c>
      <c r="F29" s="15">
        <f t="shared" ref="F29:Q29" si="0">F32-F28</f>
        <v>0</v>
      </c>
      <c r="G29" s="15">
        <f t="shared" si="0"/>
        <v>0.89999999999999947</v>
      </c>
      <c r="H29" s="15"/>
      <c r="I29" s="15">
        <f t="shared" si="0"/>
        <v>2.4000000000000004</v>
      </c>
      <c r="J29" s="15">
        <f t="shared" si="0"/>
        <v>1.2000000000000002</v>
      </c>
      <c r="K29" s="15">
        <f t="shared" si="0"/>
        <v>1.2000000000000002</v>
      </c>
      <c r="L29" s="15">
        <f t="shared" si="0"/>
        <v>0.5</v>
      </c>
      <c r="M29" s="15">
        <f t="shared" si="0"/>
        <v>1.0999999999999996</v>
      </c>
      <c r="N29" s="15"/>
      <c r="O29" s="15">
        <f>O32-O28</f>
        <v>1.4</v>
      </c>
      <c r="P29" s="15">
        <f t="shared" si="0"/>
        <v>0</v>
      </c>
      <c r="Q29" s="15">
        <f t="shared" si="0"/>
        <v>0.69999999999999973</v>
      </c>
    </row>
    <row r="30" spans="2:17" ht="20.100000000000001" customHeight="1">
      <c r="B30" s="103"/>
      <c r="C30" s="10" t="s">
        <v>60</v>
      </c>
      <c r="D30" s="7" t="s">
        <v>61</v>
      </c>
      <c r="E30" s="7" t="s">
        <v>62</v>
      </c>
      <c r="F30" s="8"/>
      <c r="G30" s="8">
        <v>669.9</v>
      </c>
      <c r="H30" s="9"/>
      <c r="I30" s="9">
        <v>652.5</v>
      </c>
      <c r="J30" s="8">
        <v>627.44000000000005</v>
      </c>
      <c r="K30" s="8">
        <v>651.14</v>
      </c>
      <c r="L30" s="9">
        <v>624.32000000000005</v>
      </c>
      <c r="M30" s="9">
        <v>624.1</v>
      </c>
      <c r="N30" s="8"/>
      <c r="O30" s="8">
        <v>654.9</v>
      </c>
      <c r="P30" s="9"/>
      <c r="Q30" s="9">
        <v>645.79999999999995</v>
      </c>
    </row>
    <row r="31" spans="2:17" ht="20.100000000000001" customHeight="1">
      <c r="B31" s="103"/>
      <c r="C31" s="10" t="s">
        <v>63</v>
      </c>
      <c r="D31" s="7" t="s">
        <v>42</v>
      </c>
      <c r="E31" s="7">
        <v>13.5</v>
      </c>
      <c r="F31" s="8"/>
      <c r="G31" s="8">
        <v>13.5</v>
      </c>
      <c r="H31" s="9"/>
      <c r="I31" s="9">
        <v>13</v>
      </c>
      <c r="J31" s="8">
        <v>13.6</v>
      </c>
      <c r="K31" s="8">
        <v>12.9</v>
      </c>
      <c r="L31" s="9">
        <v>13.2</v>
      </c>
      <c r="M31" s="9">
        <v>13.2</v>
      </c>
      <c r="N31" s="8"/>
      <c r="O31" s="8">
        <v>12.6</v>
      </c>
      <c r="P31" s="9"/>
      <c r="Q31" s="9">
        <v>12.2</v>
      </c>
    </row>
    <row r="32" spans="2:17" ht="20.100000000000001" customHeight="1">
      <c r="B32" s="103"/>
      <c r="C32" s="10" t="s">
        <v>64</v>
      </c>
      <c r="D32" s="7" t="s">
        <v>42</v>
      </c>
      <c r="E32" s="7">
        <v>4</v>
      </c>
      <c r="F32" s="8"/>
      <c r="G32" s="8">
        <v>4.5999999999999996</v>
      </c>
      <c r="H32" s="9"/>
      <c r="I32" s="9">
        <v>4.4000000000000004</v>
      </c>
      <c r="J32" s="8">
        <v>4.4000000000000004</v>
      </c>
      <c r="K32" s="8">
        <v>4.4000000000000004</v>
      </c>
      <c r="L32" s="9">
        <v>3.7</v>
      </c>
      <c r="M32" s="9">
        <v>3.8</v>
      </c>
      <c r="N32" s="8"/>
      <c r="O32" s="8">
        <v>3.9</v>
      </c>
      <c r="P32" s="9"/>
      <c r="Q32" s="9">
        <v>3.9</v>
      </c>
    </row>
    <row r="33" spans="2:17" ht="20.100000000000001" customHeight="1">
      <c r="B33" s="103"/>
      <c r="C33" s="10" t="s">
        <v>65</v>
      </c>
      <c r="D33" s="7" t="s">
        <v>42</v>
      </c>
      <c r="E33" s="7">
        <v>9.5</v>
      </c>
      <c r="F33" s="15">
        <f t="shared" ref="F33:Q33" si="1">F31-F32</f>
        <v>0</v>
      </c>
      <c r="G33" s="15">
        <f t="shared" si="1"/>
        <v>8.9</v>
      </c>
      <c r="H33" s="15"/>
      <c r="I33" s="15">
        <f t="shared" si="1"/>
        <v>8.6</v>
      </c>
      <c r="J33" s="15">
        <f t="shared" si="1"/>
        <v>9.1999999999999993</v>
      </c>
      <c r="K33" s="15">
        <f t="shared" si="1"/>
        <v>8.5</v>
      </c>
      <c r="L33" s="15">
        <f t="shared" si="1"/>
        <v>9.5</v>
      </c>
      <c r="M33" s="15">
        <f t="shared" si="1"/>
        <v>9.3999999999999986</v>
      </c>
      <c r="N33" s="15"/>
      <c r="O33" s="15">
        <f>O31-O32</f>
        <v>8.6999999999999993</v>
      </c>
      <c r="P33" s="15">
        <f t="shared" si="1"/>
        <v>0</v>
      </c>
      <c r="Q33" s="15">
        <f t="shared" si="1"/>
        <v>8.2999999999999989</v>
      </c>
    </row>
    <row r="34" spans="2:17" ht="20.100000000000001" customHeight="1">
      <c r="B34" s="103"/>
      <c r="C34" s="10" t="s">
        <v>66</v>
      </c>
      <c r="D34" s="7" t="s">
        <v>67</v>
      </c>
      <c r="E34" s="7" t="s">
        <v>68</v>
      </c>
      <c r="F34" s="16">
        <f t="shared" ref="F34:Q34" si="2">(F33*F30)/0.866</f>
        <v>0</v>
      </c>
      <c r="G34" s="16">
        <f t="shared" si="2"/>
        <v>6884.6535796766739</v>
      </c>
      <c r="H34" s="16"/>
      <c r="I34" s="16">
        <f t="shared" si="2"/>
        <v>6479.7921478060043</v>
      </c>
      <c r="J34" s="16">
        <f t="shared" si="2"/>
        <v>6665.644341801386</v>
      </c>
      <c r="K34" s="16">
        <f t="shared" si="2"/>
        <v>6391.0969976905308</v>
      </c>
      <c r="L34" s="16">
        <f t="shared" si="2"/>
        <v>6848.7759815242507</v>
      </c>
      <c r="M34" s="16">
        <f t="shared" si="2"/>
        <v>6774.2956120092367</v>
      </c>
      <c r="N34" s="16"/>
      <c r="O34" s="16">
        <f>(O33*O30)/0.866</f>
        <v>6579.2494226327935</v>
      </c>
      <c r="P34" s="16">
        <f t="shared" si="2"/>
        <v>0</v>
      </c>
      <c r="Q34" s="16">
        <f t="shared" si="2"/>
        <v>6189.5381062355646</v>
      </c>
    </row>
    <row r="35" spans="2:17" ht="20.100000000000001" customHeight="1">
      <c r="B35" s="103" t="s">
        <v>69</v>
      </c>
      <c r="C35" s="10" t="s">
        <v>70</v>
      </c>
      <c r="D35" s="7" t="s">
        <v>49</v>
      </c>
      <c r="E35" s="7" t="s">
        <v>71</v>
      </c>
      <c r="F35" s="8"/>
      <c r="G35" s="8">
        <v>0.8</v>
      </c>
      <c r="H35" s="9"/>
      <c r="I35" s="9">
        <v>0.83</v>
      </c>
      <c r="J35" s="8">
        <v>0.82</v>
      </c>
      <c r="K35" s="8">
        <v>0.81</v>
      </c>
      <c r="L35" s="9">
        <v>0.81</v>
      </c>
      <c r="M35" s="9">
        <v>0.82</v>
      </c>
      <c r="N35" s="8"/>
      <c r="O35" s="8">
        <v>0.76</v>
      </c>
      <c r="P35" s="9"/>
      <c r="Q35" s="9">
        <v>0.81</v>
      </c>
    </row>
    <row r="36" spans="2:17" ht="20.100000000000001" customHeight="1">
      <c r="B36" s="103"/>
      <c r="C36" s="10" t="s">
        <v>72</v>
      </c>
      <c r="D36" s="7" t="s">
        <v>42</v>
      </c>
      <c r="E36" s="7" t="s">
        <v>43</v>
      </c>
      <c r="F36" s="8"/>
      <c r="G36" s="8">
        <v>35.5</v>
      </c>
      <c r="H36" s="9"/>
      <c r="I36" s="9">
        <v>36.1</v>
      </c>
      <c r="J36" s="8">
        <v>35.6</v>
      </c>
      <c r="K36" s="8">
        <v>35.200000000000003</v>
      </c>
      <c r="L36" s="9">
        <v>35.4</v>
      </c>
      <c r="M36" s="9">
        <v>35.299999999999997</v>
      </c>
      <c r="N36" s="8"/>
      <c r="O36" s="8">
        <v>34.6</v>
      </c>
      <c r="P36" s="9"/>
      <c r="Q36" s="9">
        <v>35.4</v>
      </c>
    </row>
    <row r="37" spans="2:17" ht="20.100000000000001" customHeight="1">
      <c r="B37" s="103"/>
      <c r="C37" s="10" t="s">
        <v>73</v>
      </c>
      <c r="D37" s="7" t="s">
        <v>42</v>
      </c>
      <c r="E37" s="7" t="s">
        <v>43</v>
      </c>
      <c r="F37" s="8"/>
      <c r="G37" s="8">
        <v>35.9</v>
      </c>
      <c r="H37" s="9"/>
      <c r="I37" s="9">
        <v>36.9</v>
      </c>
      <c r="J37" s="8">
        <v>36.5</v>
      </c>
      <c r="K37" s="8">
        <v>36</v>
      </c>
      <c r="L37" s="9">
        <v>36.1</v>
      </c>
      <c r="M37" s="9">
        <v>36.799999999999997</v>
      </c>
      <c r="N37" s="8"/>
      <c r="O37" s="8">
        <v>35.1</v>
      </c>
      <c r="P37" s="9"/>
      <c r="Q37" s="9">
        <v>63.2</v>
      </c>
    </row>
    <row r="38" spans="2:17" ht="20.100000000000001" customHeight="1">
      <c r="B38" s="103"/>
      <c r="C38" s="12" t="s">
        <v>74</v>
      </c>
      <c r="D38" s="7" t="s">
        <v>42</v>
      </c>
      <c r="E38" s="7"/>
      <c r="F38" s="15">
        <f t="shared" ref="F38:Q38" si="3">F37-F41</f>
        <v>0</v>
      </c>
      <c r="G38" s="15">
        <f t="shared" si="3"/>
        <v>2.1000000000000014</v>
      </c>
      <c r="H38" s="15"/>
      <c r="I38" s="15">
        <f t="shared" si="3"/>
        <v>3.5</v>
      </c>
      <c r="J38" s="15">
        <f t="shared" si="3"/>
        <v>3.2000000000000028</v>
      </c>
      <c r="K38" s="15">
        <f t="shared" si="3"/>
        <v>2.3999999999999986</v>
      </c>
      <c r="L38" s="15">
        <f t="shared" si="3"/>
        <v>3.3999999999999986</v>
      </c>
      <c r="M38" s="15">
        <f t="shared" si="3"/>
        <v>3.5</v>
      </c>
      <c r="N38" s="15"/>
      <c r="O38" s="15">
        <f>O37-O41</f>
        <v>1.7000000000000028</v>
      </c>
      <c r="P38" s="15">
        <f t="shared" si="3"/>
        <v>0</v>
      </c>
      <c r="Q38" s="15">
        <f t="shared" si="3"/>
        <v>30</v>
      </c>
    </row>
    <row r="39" spans="2:17" ht="20.100000000000001" customHeight="1">
      <c r="B39" s="103"/>
      <c r="C39" s="10" t="s">
        <v>75</v>
      </c>
      <c r="D39" s="7" t="s">
        <v>76</v>
      </c>
      <c r="E39" s="7"/>
      <c r="F39" s="8"/>
      <c r="G39" s="8"/>
      <c r="H39" s="9"/>
      <c r="I39" s="9"/>
      <c r="J39" s="8"/>
      <c r="K39" s="8"/>
      <c r="L39" s="9"/>
      <c r="M39" s="9"/>
      <c r="N39" s="8"/>
      <c r="O39" s="8"/>
      <c r="P39" s="9"/>
      <c r="Q39" s="9"/>
    </row>
    <row r="40" spans="2:17" ht="20.100000000000001" customHeight="1">
      <c r="B40" s="103"/>
      <c r="C40" s="10" t="s">
        <v>77</v>
      </c>
      <c r="D40" s="7" t="s">
        <v>42</v>
      </c>
      <c r="E40" s="7">
        <v>30.8</v>
      </c>
      <c r="F40" s="8"/>
      <c r="G40" s="8">
        <v>28.9</v>
      </c>
      <c r="H40" s="9"/>
      <c r="I40" s="9">
        <v>27.8</v>
      </c>
      <c r="J40" s="8">
        <v>27.8</v>
      </c>
      <c r="K40" s="8">
        <v>27.5</v>
      </c>
      <c r="L40" s="9">
        <v>27.5</v>
      </c>
      <c r="M40" s="9">
        <v>27.5</v>
      </c>
      <c r="N40" s="8"/>
      <c r="O40" s="8">
        <v>27.3</v>
      </c>
      <c r="P40" s="9"/>
      <c r="Q40" s="9">
        <v>27.3</v>
      </c>
    </row>
    <row r="41" spans="2:17" ht="20.100000000000001" customHeight="1">
      <c r="B41" s="103"/>
      <c r="C41" s="10" t="s">
        <v>78</v>
      </c>
      <c r="D41" s="7" t="s">
        <v>42</v>
      </c>
      <c r="E41" s="7">
        <v>36.4</v>
      </c>
      <c r="F41" s="8"/>
      <c r="G41" s="8">
        <v>33.799999999999997</v>
      </c>
      <c r="H41" s="9"/>
      <c r="I41" s="9">
        <v>33.4</v>
      </c>
      <c r="J41" s="8">
        <v>33.299999999999997</v>
      </c>
      <c r="K41" s="8">
        <v>33.6</v>
      </c>
      <c r="L41" s="9">
        <v>32.700000000000003</v>
      </c>
      <c r="M41" s="9">
        <v>33.299999999999997</v>
      </c>
      <c r="N41" s="8"/>
      <c r="O41" s="8">
        <v>33.4</v>
      </c>
      <c r="P41" s="9"/>
      <c r="Q41" s="9">
        <v>33.200000000000003</v>
      </c>
    </row>
    <row r="42" spans="2:17" ht="20.100000000000001" customHeight="1">
      <c r="B42" s="103"/>
      <c r="C42" s="10" t="s">
        <v>79</v>
      </c>
      <c r="D42" s="7" t="s">
        <v>42</v>
      </c>
      <c r="E42" s="7">
        <v>5.6</v>
      </c>
      <c r="F42" s="15">
        <f t="shared" ref="F42:Q42" si="4">F41-F40</f>
        <v>0</v>
      </c>
      <c r="G42" s="15">
        <f t="shared" si="4"/>
        <v>4.8999999999999986</v>
      </c>
      <c r="H42" s="15"/>
      <c r="I42" s="15">
        <f t="shared" si="4"/>
        <v>5.5999999999999979</v>
      </c>
      <c r="J42" s="15">
        <f t="shared" si="4"/>
        <v>5.4999999999999964</v>
      </c>
      <c r="K42" s="15">
        <f t="shared" si="4"/>
        <v>6.1000000000000014</v>
      </c>
      <c r="L42" s="15">
        <f t="shared" si="4"/>
        <v>5.2000000000000028</v>
      </c>
      <c r="M42" s="15">
        <f t="shared" si="4"/>
        <v>5.7999999999999972</v>
      </c>
      <c r="N42" s="15"/>
      <c r="O42" s="15">
        <f>O41-O40</f>
        <v>6.0999999999999979</v>
      </c>
      <c r="P42" s="15">
        <f t="shared" si="4"/>
        <v>0</v>
      </c>
      <c r="Q42" s="15">
        <f t="shared" si="4"/>
        <v>5.9000000000000021</v>
      </c>
    </row>
    <row r="43" spans="2:17" ht="20.100000000000001" customHeight="1">
      <c r="B43" s="103"/>
      <c r="C43" s="10" t="s">
        <v>80</v>
      </c>
      <c r="D43" s="7" t="s">
        <v>61</v>
      </c>
      <c r="E43" s="7">
        <v>1273.0999999999999</v>
      </c>
      <c r="F43" s="8"/>
      <c r="G43" s="8">
        <v>1154.4000000000001</v>
      </c>
      <c r="H43" s="9"/>
      <c r="I43" s="9">
        <v>1152.5999999999999</v>
      </c>
      <c r="J43" s="8">
        <v>1292.3399999999999</v>
      </c>
      <c r="K43" s="8">
        <v>1176.4000000000001</v>
      </c>
      <c r="L43" s="9">
        <v>1300.32</v>
      </c>
      <c r="M43" s="8">
        <v>1155.5999999999999</v>
      </c>
      <c r="N43" s="8"/>
      <c r="O43" s="8">
        <v>1134.7</v>
      </c>
      <c r="P43" s="9"/>
      <c r="Q43" s="9">
        <v>1170.3</v>
      </c>
    </row>
    <row r="44" spans="2:17" ht="20.100000000000001" customHeight="1">
      <c r="B44" s="103"/>
      <c r="C44" s="10" t="s">
        <v>81</v>
      </c>
      <c r="D44" s="7" t="s">
        <v>67</v>
      </c>
      <c r="E44" s="7">
        <v>8226.9</v>
      </c>
      <c r="F44" s="16">
        <f t="shared" ref="F44:Q44" si="5">F42*F43/0.866</f>
        <v>0</v>
      </c>
      <c r="G44" s="16">
        <f t="shared" si="5"/>
        <v>6531.8244803695134</v>
      </c>
      <c r="H44" s="16"/>
      <c r="I44" s="16">
        <f t="shared" si="5"/>
        <v>7453.3025404157006</v>
      </c>
      <c r="J44" s="16">
        <f t="shared" si="5"/>
        <v>8207.7020785219338</v>
      </c>
      <c r="K44" s="16">
        <f t="shared" si="5"/>
        <v>8286.4203233256376</v>
      </c>
      <c r="L44" s="16">
        <f t="shared" si="5"/>
        <v>7807.9260969976949</v>
      </c>
      <c r="M44" s="16">
        <f t="shared" si="5"/>
        <v>7739.584295612005</v>
      </c>
      <c r="N44" s="16"/>
      <c r="O44" s="16">
        <f>O42*O43/0.866</f>
        <v>7992.6905311778273</v>
      </c>
      <c r="P44" s="16">
        <f t="shared" si="5"/>
        <v>0</v>
      </c>
      <c r="Q44" s="16">
        <f t="shared" si="5"/>
        <v>7973.1755196304875</v>
      </c>
    </row>
    <row r="45" spans="2:17" ht="20.100000000000001" customHeight="1">
      <c r="B45" s="103" t="s">
        <v>82</v>
      </c>
      <c r="C45" s="10" t="s">
        <v>83</v>
      </c>
      <c r="D45" s="7" t="s">
        <v>49</v>
      </c>
      <c r="E45" s="7" t="s">
        <v>84</v>
      </c>
      <c r="F45" s="8"/>
      <c r="G45" s="8">
        <v>0.46</v>
      </c>
      <c r="H45" s="9"/>
      <c r="I45" s="9">
        <v>0.45</v>
      </c>
      <c r="J45" s="8">
        <v>0.45</v>
      </c>
      <c r="K45" s="8">
        <v>0.45</v>
      </c>
      <c r="L45" s="9">
        <v>0.45</v>
      </c>
      <c r="M45" s="9">
        <v>0.45</v>
      </c>
      <c r="N45" s="8"/>
      <c r="O45" s="8">
        <v>0.44</v>
      </c>
      <c r="P45" s="9"/>
      <c r="Q45" s="9">
        <v>0.46</v>
      </c>
    </row>
    <row r="46" spans="2:17" ht="20.100000000000001" customHeight="1">
      <c r="B46" s="103"/>
      <c r="C46" s="10" t="s">
        <v>85</v>
      </c>
      <c r="D46" s="7" t="s">
        <v>42</v>
      </c>
      <c r="E46" s="7" t="s">
        <v>43</v>
      </c>
      <c r="F46" s="8"/>
      <c r="G46" s="8">
        <v>19.600000000000001</v>
      </c>
      <c r="H46" s="9"/>
      <c r="I46" s="9">
        <v>18.899999999999999</v>
      </c>
      <c r="J46" s="8">
        <v>19</v>
      </c>
      <c r="K46" s="8">
        <v>18.899999999999999</v>
      </c>
      <c r="L46" s="9">
        <v>19.2</v>
      </c>
      <c r="M46" s="9">
        <v>19.100000000000001</v>
      </c>
      <c r="N46" s="8"/>
      <c r="O46" s="8">
        <v>18.2</v>
      </c>
      <c r="P46" s="9"/>
      <c r="Q46" s="9">
        <v>19.3</v>
      </c>
    </row>
    <row r="47" spans="2:17" ht="20.100000000000001" customHeight="1">
      <c r="B47" s="103"/>
      <c r="C47" s="10" t="s">
        <v>86</v>
      </c>
      <c r="D47" s="7" t="s">
        <v>76</v>
      </c>
      <c r="E47" s="7" t="s">
        <v>76</v>
      </c>
      <c r="F47" s="8"/>
      <c r="G47" s="8">
        <v>199.7</v>
      </c>
      <c r="H47" s="9"/>
      <c r="I47" s="9">
        <v>127.9</v>
      </c>
      <c r="J47" s="8">
        <v>195</v>
      </c>
      <c r="K47" s="8">
        <v>206.3</v>
      </c>
      <c r="L47" s="9">
        <v>209</v>
      </c>
      <c r="M47" s="9">
        <v>200.8</v>
      </c>
      <c r="N47" s="8"/>
      <c r="O47" s="8">
        <v>157.19999999999999</v>
      </c>
      <c r="P47" s="9"/>
      <c r="Q47" s="9">
        <v>196.2</v>
      </c>
    </row>
    <row r="48" spans="2:17" ht="20.100000000000001" customHeight="1">
      <c r="B48" s="97" t="s">
        <v>87</v>
      </c>
      <c r="C48" s="97"/>
      <c r="D48" s="97"/>
      <c r="E48" s="17" t="s">
        <v>88</v>
      </c>
      <c r="F48" s="8"/>
      <c r="G48" s="8"/>
      <c r="H48" s="9"/>
      <c r="I48" s="9"/>
      <c r="J48" s="8"/>
      <c r="K48" s="8"/>
      <c r="L48" s="9"/>
      <c r="M48" s="9"/>
      <c r="N48" s="8"/>
      <c r="O48" s="8"/>
      <c r="P48" s="9"/>
      <c r="Q48" s="9"/>
    </row>
    <row r="49" spans="2:17" ht="20.100000000000001" customHeight="1">
      <c r="B49" s="97" t="s">
        <v>89</v>
      </c>
      <c r="C49" s="97"/>
      <c r="D49" s="97"/>
      <c r="E49" s="59">
        <v>5.89</v>
      </c>
      <c r="F49" s="8"/>
      <c r="G49" s="8">
        <v>5.86</v>
      </c>
      <c r="H49" s="9"/>
      <c r="I49" s="9">
        <v>5.81</v>
      </c>
      <c r="J49" s="8">
        <v>5.77</v>
      </c>
      <c r="K49" s="8">
        <v>5.78</v>
      </c>
      <c r="L49" s="9">
        <v>5.71</v>
      </c>
      <c r="M49" s="9">
        <v>5.75</v>
      </c>
      <c r="N49" s="8"/>
      <c r="O49" s="8">
        <v>5.75</v>
      </c>
      <c r="P49" s="9"/>
      <c r="Q49" s="9">
        <v>5.59</v>
      </c>
    </row>
    <row r="50" spans="2:17" ht="20.100000000000001" customHeight="1">
      <c r="B50" s="97" t="s">
        <v>90</v>
      </c>
      <c r="C50" s="97"/>
      <c r="D50" s="97"/>
      <c r="E50" s="59"/>
      <c r="F50" s="8"/>
      <c r="G50" s="8"/>
      <c r="H50" s="9"/>
      <c r="I50" s="9"/>
      <c r="J50" s="8"/>
      <c r="K50" s="8"/>
      <c r="L50" s="9"/>
      <c r="M50" s="9"/>
      <c r="N50" s="8"/>
      <c r="O50" s="8"/>
      <c r="P50" s="9"/>
      <c r="Q50" s="9"/>
    </row>
    <row r="51" spans="2:17" ht="20.100000000000001" customHeight="1" thickBot="1">
      <c r="B51" s="97" t="s">
        <v>91</v>
      </c>
      <c r="C51" s="97"/>
      <c r="D51" s="97"/>
      <c r="E51" s="58"/>
      <c r="F51" s="8"/>
      <c r="G51" s="8"/>
      <c r="H51" s="9"/>
      <c r="I51" s="9"/>
      <c r="J51" s="8"/>
      <c r="K51" s="8"/>
      <c r="L51" s="9"/>
      <c r="M51" s="9"/>
      <c r="N51" s="8"/>
      <c r="O51" s="8"/>
      <c r="P51" s="9"/>
      <c r="Q51" s="9"/>
    </row>
    <row r="52" spans="2:17">
      <c r="B52" t="s">
        <v>92</v>
      </c>
      <c r="C52" s="18" t="s">
        <v>93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28"/>
    </row>
    <row r="53" spans="2:17">
      <c r="C53" s="20" t="s">
        <v>94</v>
      </c>
      <c r="Q53" s="31"/>
    </row>
    <row r="54" spans="2:17">
      <c r="C54" s="20" t="s">
        <v>95</v>
      </c>
      <c r="Q54" s="31"/>
    </row>
    <row r="55" spans="2:17">
      <c r="C55" s="20"/>
      <c r="Q55" s="31"/>
    </row>
    <row r="56" spans="2:17">
      <c r="C56" s="20"/>
      <c r="Q56" s="31"/>
    </row>
    <row r="57" spans="2:17">
      <c r="C57" s="20" t="s">
        <v>96</v>
      </c>
      <c r="F57" s="21" t="b">
        <v>0</v>
      </c>
      <c r="G57" s="22" t="s">
        <v>97</v>
      </c>
      <c r="Q57" s="31"/>
    </row>
    <row r="58" spans="2:17">
      <c r="C58" s="20" t="s">
        <v>96</v>
      </c>
      <c r="F58" s="8" t="s">
        <v>98</v>
      </c>
      <c r="G58" s="23" t="s">
        <v>99</v>
      </c>
      <c r="Q58" s="31"/>
    </row>
    <row r="59" spans="2:17" ht="15.75" thickBot="1"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30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3A8EC-5040-4A8E-85DA-DD9CE78B7DC6}">
  <dimension ref="B1:Q59"/>
  <sheetViews>
    <sheetView view="pageBreakPreview" zoomScale="85" zoomScaleNormal="60" workbookViewId="0">
      <selection activeCell="D7" sqref="D7:Q7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107"/>
      <c r="C2" s="110" t="s">
        <v>0</v>
      </c>
      <c r="D2" s="111"/>
      <c r="E2" s="111"/>
      <c r="F2" s="111"/>
      <c r="G2" s="111"/>
      <c r="H2" s="111"/>
      <c r="I2" s="111"/>
      <c r="J2" s="111"/>
      <c r="K2" s="111"/>
      <c r="L2" s="111"/>
      <c r="M2" s="112"/>
      <c r="N2" s="18" t="s">
        <v>1</v>
      </c>
      <c r="O2" s="19"/>
      <c r="P2" s="19"/>
      <c r="Q2" s="28"/>
    </row>
    <row r="3" spans="2:17" ht="15.75" thickBot="1">
      <c r="B3" s="108"/>
      <c r="C3" s="113"/>
      <c r="D3" s="114"/>
      <c r="E3" s="114"/>
      <c r="F3" s="114"/>
      <c r="G3" s="114"/>
      <c r="H3" s="114"/>
      <c r="I3" s="114"/>
      <c r="J3" s="114"/>
      <c r="K3" s="114"/>
      <c r="L3" s="114"/>
      <c r="M3" s="115"/>
      <c r="N3" s="26" t="s">
        <v>2</v>
      </c>
      <c r="O3" s="27" t="s">
        <v>3</v>
      </c>
      <c r="P3" s="27"/>
      <c r="Q3" s="29"/>
    </row>
    <row r="4" spans="2:17" ht="15.75" thickBot="1">
      <c r="B4" s="108"/>
      <c r="C4" s="113"/>
      <c r="D4" s="114"/>
      <c r="E4" s="114"/>
      <c r="F4" s="114"/>
      <c r="G4" s="114"/>
      <c r="H4" s="114"/>
      <c r="I4" s="114"/>
      <c r="J4" s="114"/>
      <c r="K4" s="114"/>
      <c r="L4" s="114"/>
      <c r="M4" s="115"/>
      <c r="N4" s="26" t="s">
        <v>4</v>
      </c>
      <c r="O4" s="27"/>
      <c r="P4" s="27"/>
      <c r="Q4" s="29"/>
    </row>
    <row r="5" spans="2:17" ht="15.75" thickBot="1">
      <c r="B5" s="109"/>
      <c r="C5" s="116"/>
      <c r="D5" s="117"/>
      <c r="E5" s="117"/>
      <c r="F5" s="117"/>
      <c r="G5" s="117"/>
      <c r="H5" s="117"/>
      <c r="I5" s="117"/>
      <c r="J5" s="117"/>
      <c r="K5" s="117"/>
      <c r="L5" s="117"/>
      <c r="M5" s="118"/>
      <c r="N5" s="24" t="s">
        <v>5</v>
      </c>
      <c r="O5" s="25"/>
      <c r="P5" s="25"/>
      <c r="Q5" s="30"/>
    </row>
    <row r="7" spans="2:17">
      <c r="B7" s="98" t="s">
        <v>6</v>
      </c>
      <c r="C7" s="99"/>
      <c r="D7" s="100">
        <v>45730</v>
      </c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2"/>
    </row>
    <row r="8" spans="2:17">
      <c r="B8" s="97" t="s">
        <v>7</v>
      </c>
      <c r="C8" s="97"/>
      <c r="D8" s="97"/>
      <c r="E8" s="105" t="s">
        <v>8</v>
      </c>
      <c r="F8" s="103" t="s">
        <v>9</v>
      </c>
      <c r="G8" s="103"/>
      <c r="H8" s="104" t="s">
        <v>10</v>
      </c>
      <c r="I8" s="104"/>
      <c r="J8" s="103" t="s">
        <v>11</v>
      </c>
      <c r="K8" s="103"/>
      <c r="L8" s="104" t="s">
        <v>12</v>
      </c>
      <c r="M8" s="104"/>
      <c r="N8" s="103" t="s">
        <v>13</v>
      </c>
      <c r="O8" s="103"/>
      <c r="P8" s="104" t="s">
        <v>14</v>
      </c>
      <c r="Q8" s="104"/>
    </row>
    <row r="9" spans="2:17">
      <c r="B9" s="98" t="s">
        <v>15</v>
      </c>
      <c r="C9" s="119"/>
      <c r="D9" s="99"/>
      <c r="E9" s="106"/>
      <c r="F9" s="3">
        <v>0.375</v>
      </c>
      <c r="G9" s="32" t="s">
        <v>16</v>
      </c>
      <c r="H9" s="4">
        <v>0.375</v>
      </c>
      <c r="I9" s="33" t="s">
        <v>16</v>
      </c>
      <c r="J9" s="3">
        <v>0.375</v>
      </c>
      <c r="K9" s="32" t="s">
        <v>16</v>
      </c>
      <c r="L9" s="4">
        <v>0.375</v>
      </c>
      <c r="M9" s="33" t="s">
        <v>16</v>
      </c>
      <c r="N9" s="3">
        <v>0.375</v>
      </c>
      <c r="O9" s="32" t="s">
        <v>16</v>
      </c>
      <c r="P9" s="4">
        <v>0.375</v>
      </c>
      <c r="Q9" s="33" t="s">
        <v>16</v>
      </c>
    </row>
    <row r="10" spans="2:17" ht="26.25" customHeight="1">
      <c r="B10" s="120" t="s">
        <v>17</v>
      </c>
      <c r="C10" s="121"/>
      <c r="D10" s="61" t="s">
        <v>18</v>
      </c>
      <c r="E10" s="5"/>
      <c r="F10" s="6" t="s">
        <v>19</v>
      </c>
      <c r="G10" s="34" t="s">
        <v>19</v>
      </c>
      <c r="H10" s="35" t="s">
        <v>19</v>
      </c>
      <c r="I10" s="35" t="s">
        <v>19</v>
      </c>
      <c r="J10" s="34"/>
      <c r="K10" s="34" t="s">
        <v>19</v>
      </c>
      <c r="L10" s="35" t="s">
        <v>19</v>
      </c>
      <c r="M10" s="35" t="s">
        <v>19</v>
      </c>
      <c r="N10" s="6" t="s">
        <v>19</v>
      </c>
      <c r="O10" s="34" t="s">
        <v>19</v>
      </c>
      <c r="P10" s="35" t="s">
        <v>19</v>
      </c>
      <c r="Q10" s="35" t="s">
        <v>19</v>
      </c>
    </row>
    <row r="11" spans="2:17" ht="20.100000000000001" customHeight="1">
      <c r="B11" s="97" t="s">
        <v>20</v>
      </c>
      <c r="C11" s="97"/>
      <c r="D11" s="7" t="s">
        <v>21</v>
      </c>
      <c r="E11" s="7" t="s">
        <v>22</v>
      </c>
      <c r="F11" s="8"/>
      <c r="G11" s="8">
        <v>70.599999999999994</v>
      </c>
      <c r="H11" s="9">
        <v>68.8</v>
      </c>
      <c r="I11" s="9">
        <v>80</v>
      </c>
      <c r="J11" s="8"/>
      <c r="K11" s="8">
        <v>74</v>
      </c>
      <c r="L11" s="9"/>
      <c r="M11" s="9">
        <v>71.400000000000006</v>
      </c>
      <c r="N11" s="8"/>
      <c r="O11" s="8">
        <v>75.599999999999994</v>
      </c>
      <c r="P11" s="9">
        <v>74</v>
      </c>
      <c r="Q11" s="9">
        <v>73.400000000000006</v>
      </c>
    </row>
    <row r="12" spans="2:17" ht="20.100000000000001" customHeight="1">
      <c r="B12" s="97" t="s">
        <v>23</v>
      </c>
      <c r="C12" s="97"/>
      <c r="D12" s="7" t="s">
        <v>21</v>
      </c>
      <c r="E12" s="7" t="s">
        <v>22</v>
      </c>
      <c r="F12" s="8"/>
      <c r="G12" s="8">
        <v>0.1</v>
      </c>
      <c r="H12" s="9">
        <v>0</v>
      </c>
      <c r="I12" s="9">
        <v>0</v>
      </c>
      <c r="J12" s="8"/>
      <c r="K12" s="8">
        <v>0</v>
      </c>
      <c r="L12" s="9"/>
      <c r="M12" s="9">
        <v>0.1</v>
      </c>
      <c r="N12" s="8"/>
      <c r="O12" s="8">
        <v>0</v>
      </c>
      <c r="P12" s="9">
        <v>0</v>
      </c>
      <c r="Q12" s="9">
        <v>0</v>
      </c>
    </row>
    <row r="13" spans="2:17" ht="20.100000000000001" customHeight="1">
      <c r="B13" s="97" t="s">
        <v>24</v>
      </c>
      <c r="C13" s="97"/>
      <c r="D13" s="7" t="s">
        <v>21</v>
      </c>
      <c r="E13" s="7" t="s">
        <v>22</v>
      </c>
      <c r="F13" s="8"/>
      <c r="G13" s="8">
        <v>64.7</v>
      </c>
      <c r="H13" s="9">
        <v>64.900000000000006</v>
      </c>
      <c r="I13" s="9">
        <v>76.2</v>
      </c>
      <c r="J13" s="8"/>
      <c r="K13" s="8">
        <v>69</v>
      </c>
      <c r="L13" s="9"/>
      <c r="M13" s="9">
        <v>67.8</v>
      </c>
      <c r="N13" s="8"/>
      <c r="O13" s="8">
        <v>71</v>
      </c>
      <c r="P13" s="9">
        <v>68.099999999999994</v>
      </c>
      <c r="Q13" s="9">
        <v>67.8</v>
      </c>
    </row>
    <row r="14" spans="2:17" ht="20.100000000000001" customHeight="1">
      <c r="B14" s="97" t="s">
        <v>25</v>
      </c>
      <c r="C14" s="97"/>
      <c r="D14" s="7" t="s">
        <v>21</v>
      </c>
      <c r="E14" s="7" t="s">
        <v>22</v>
      </c>
      <c r="F14" s="8"/>
      <c r="G14" s="8">
        <v>67.400000000000006</v>
      </c>
      <c r="H14" s="9">
        <v>70.8</v>
      </c>
      <c r="I14" s="9">
        <v>68.8</v>
      </c>
      <c r="J14" s="8"/>
      <c r="K14" s="8">
        <v>63.6</v>
      </c>
      <c r="L14" s="9"/>
      <c r="M14" s="9">
        <v>66.3</v>
      </c>
      <c r="N14" s="8"/>
      <c r="O14" s="8">
        <v>73.400000000000006</v>
      </c>
      <c r="P14" s="9">
        <v>73.3</v>
      </c>
      <c r="Q14" s="9">
        <v>72</v>
      </c>
    </row>
    <row r="15" spans="2:17" ht="20.100000000000001" customHeight="1">
      <c r="B15" s="97" t="s">
        <v>26</v>
      </c>
      <c r="C15" s="97"/>
      <c r="D15" s="7" t="s">
        <v>21</v>
      </c>
      <c r="E15" s="7" t="s">
        <v>22</v>
      </c>
      <c r="F15" s="8"/>
      <c r="G15" s="8">
        <v>36.200000000000003</v>
      </c>
      <c r="H15" s="9">
        <v>54.6</v>
      </c>
      <c r="I15" s="9">
        <v>50.9</v>
      </c>
      <c r="J15" s="8"/>
      <c r="K15" s="8">
        <v>39.9</v>
      </c>
      <c r="L15" s="9"/>
      <c r="M15" s="9">
        <v>33.9</v>
      </c>
      <c r="N15" s="8"/>
      <c r="O15" s="8">
        <v>52.3</v>
      </c>
      <c r="P15" s="9">
        <v>42</v>
      </c>
      <c r="Q15" s="9">
        <v>42.4</v>
      </c>
    </row>
    <row r="16" spans="2:17" ht="20.100000000000001" customHeight="1">
      <c r="B16" s="103" t="s">
        <v>27</v>
      </c>
      <c r="C16" s="10" t="s">
        <v>28</v>
      </c>
      <c r="D16" s="7" t="s">
        <v>29</v>
      </c>
      <c r="E16" s="7" t="s">
        <v>30</v>
      </c>
      <c r="F16" s="8"/>
      <c r="G16" s="8">
        <v>6.6</v>
      </c>
      <c r="H16" s="8">
        <v>6.6</v>
      </c>
      <c r="I16" s="8">
        <v>6.6</v>
      </c>
      <c r="J16" s="8"/>
      <c r="K16" s="8">
        <v>6.6</v>
      </c>
      <c r="L16" s="8"/>
      <c r="M16" s="8">
        <v>6.6</v>
      </c>
      <c r="N16" s="8"/>
      <c r="O16" s="8">
        <v>6.6</v>
      </c>
      <c r="P16" s="8">
        <v>6.6</v>
      </c>
      <c r="Q16" s="8">
        <v>6.6</v>
      </c>
    </row>
    <row r="17" spans="2:17" ht="20.100000000000001" customHeight="1">
      <c r="B17" s="103"/>
      <c r="C17" s="10" t="s">
        <v>31</v>
      </c>
      <c r="D17" s="7" t="s">
        <v>32</v>
      </c>
      <c r="E17" s="7" t="s">
        <v>33</v>
      </c>
      <c r="F17" s="8"/>
      <c r="G17" s="8">
        <v>117.2</v>
      </c>
      <c r="H17" s="9">
        <v>110.3</v>
      </c>
      <c r="I17" s="9">
        <v>118.1</v>
      </c>
      <c r="J17" s="8"/>
      <c r="K17" s="8">
        <v>116.7</v>
      </c>
      <c r="L17" s="9"/>
      <c r="M17" s="9">
        <v>113.9</v>
      </c>
      <c r="N17" s="8"/>
      <c r="O17" s="8">
        <v>118.6</v>
      </c>
      <c r="P17" s="9">
        <v>116.9</v>
      </c>
      <c r="Q17" s="9">
        <v>186.2</v>
      </c>
    </row>
    <row r="18" spans="2:17" ht="20.100000000000001" customHeight="1">
      <c r="B18" s="103"/>
      <c r="C18" s="10" t="s">
        <v>34</v>
      </c>
      <c r="D18" s="7" t="s">
        <v>35</v>
      </c>
      <c r="E18" s="7" t="s">
        <v>36</v>
      </c>
      <c r="F18" s="8"/>
      <c r="G18" s="8">
        <v>1147</v>
      </c>
      <c r="H18" s="9">
        <v>1128</v>
      </c>
      <c r="I18" s="9">
        <v>1194</v>
      </c>
      <c r="J18" s="8"/>
      <c r="K18" s="8">
        <v>1181</v>
      </c>
      <c r="L18" s="9"/>
      <c r="M18" s="9">
        <v>1161</v>
      </c>
      <c r="N18" s="8"/>
      <c r="O18" s="8">
        <v>1208</v>
      </c>
      <c r="P18" s="9">
        <v>1191</v>
      </c>
      <c r="Q18" s="9">
        <v>1182</v>
      </c>
    </row>
    <row r="19" spans="2:17" ht="20.100000000000001" customHeight="1">
      <c r="B19" s="103" t="s">
        <v>37</v>
      </c>
      <c r="C19" s="10" t="s">
        <v>38</v>
      </c>
      <c r="D19" s="7" t="s">
        <v>39</v>
      </c>
      <c r="E19" s="11" t="s">
        <v>40</v>
      </c>
      <c r="F19" s="8"/>
      <c r="G19" s="8">
        <v>49517.5</v>
      </c>
      <c r="H19" s="9">
        <v>50756</v>
      </c>
      <c r="I19" s="9">
        <v>50747</v>
      </c>
      <c r="J19" s="8"/>
      <c r="K19" s="8">
        <v>48404</v>
      </c>
      <c r="L19" s="9"/>
      <c r="M19" s="9">
        <v>50783</v>
      </c>
      <c r="N19" s="8"/>
      <c r="O19" s="8">
        <v>49980.7</v>
      </c>
      <c r="P19" s="9">
        <v>50122.8</v>
      </c>
      <c r="Q19" s="9">
        <v>50113.8</v>
      </c>
    </row>
    <row r="20" spans="2:17" ht="20.100000000000001" customHeight="1">
      <c r="B20" s="103"/>
      <c r="C20" s="10" t="s">
        <v>41</v>
      </c>
      <c r="D20" s="7" t="s">
        <v>42</v>
      </c>
      <c r="E20" s="7" t="s">
        <v>43</v>
      </c>
      <c r="F20" s="8"/>
      <c r="G20" s="8"/>
      <c r="H20" s="9"/>
      <c r="I20" s="9"/>
      <c r="J20" s="8"/>
      <c r="K20" s="8"/>
      <c r="L20" s="9"/>
      <c r="M20" s="9"/>
      <c r="N20" s="8"/>
      <c r="O20" s="8"/>
      <c r="P20" s="9"/>
      <c r="Q20" s="9"/>
    </row>
    <row r="21" spans="2:17" ht="20.100000000000001" customHeight="1">
      <c r="B21" s="103"/>
      <c r="C21" s="10" t="s">
        <v>44</v>
      </c>
      <c r="D21" s="7" t="s">
        <v>42</v>
      </c>
      <c r="E21" s="7" t="s">
        <v>45</v>
      </c>
      <c r="F21" s="8"/>
      <c r="G21" s="8"/>
      <c r="H21" s="9"/>
      <c r="I21" s="9"/>
      <c r="J21" s="8"/>
      <c r="K21" s="8"/>
      <c r="L21" s="9"/>
      <c r="M21" s="9"/>
      <c r="N21" s="8"/>
      <c r="O21" s="8"/>
      <c r="P21" s="9"/>
      <c r="Q21" s="9"/>
    </row>
    <row r="22" spans="2:17" ht="20.100000000000001" customHeight="1">
      <c r="B22" s="103"/>
      <c r="C22" s="10" t="s">
        <v>46</v>
      </c>
      <c r="D22" s="7" t="s">
        <v>42</v>
      </c>
      <c r="E22" s="7" t="s">
        <v>47</v>
      </c>
      <c r="F22" s="8"/>
      <c r="G22" s="8">
        <v>58.5</v>
      </c>
      <c r="H22" s="9">
        <v>59.1</v>
      </c>
      <c r="I22" s="9">
        <v>59.4</v>
      </c>
      <c r="J22" s="8"/>
      <c r="K22" s="8">
        <v>57.5</v>
      </c>
      <c r="L22" s="9"/>
      <c r="M22" s="9">
        <v>57.4</v>
      </c>
      <c r="N22" s="8"/>
      <c r="O22" s="8">
        <v>58.7</v>
      </c>
      <c r="P22" s="9">
        <v>58.9</v>
      </c>
      <c r="Q22" s="9">
        <v>59.2</v>
      </c>
    </row>
    <row r="23" spans="2:17" ht="60">
      <c r="B23" s="103"/>
      <c r="C23" s="12" t="s">
        <v>48</v>
      </c>
      <c r="D23" s="8" t="s">
        <v>49</v>
      </c>
      <c r="E23" s="13" t="s">
        <v>50</v>
      </c>
      <c r="F23" s="8"/>
      <c r="G23" s="8">
        <v>0.53</v>
      </c>
      <c r="H23" s="9">
        <v>0.5</v>
      </c>
      <c r="I23" s="9">
        <v>0.49</v>
      </c>
      <c r="J23" s="8"/>
      <c r="K23" s="8">
        <v>0.59</v>
      </c>
      <c r="L23" s="9"/>
      <c r="M23" s="9">
        <v>0.52</v>
      </c>
      <c r="N23" s="8"/>
      <c r="O23" s="8">
        <v>0.48</v>
      </c>
      <c r="P23" s="9">
        <v>0.5</v>
      </c>
      <c r="Q23" s="9">
        <v>0.49</v>
      </c>
    </row>
    <row r="24" spans="2:17" ht="39.75" customHeight="1">
      <c r="B24" s="103"/>
      <c r="C24" s="12" t="s">
        <v>51</v>
      </c>
      <c r="D24" s="7"/>
      <c r="E24" s="7"/>
      <c r="F24" s="8"/>
      <c r="G24" s="8"/>
      <c r="H24" s="9"/>
      <c r="I24" s="9"/>
      <c r="J24" s="8"/>
      <c r="K24" s="8"/>
      <c r="L24" s="8"/>
      <c r="M24" s="9"/>
      <c r="N24" s="8"/>
      <c r="O24" s="8"/>
      <c r="P24" s="9"/>
      <c r="Q24" s="9"/>
    </row>
    <row r="25" spans="2:17" ht="20.100000000000001" customHeight="1">
      <c r="B25" s="103"/>
      <c r="C25" s="10" t="s">
        <v>52</v>
      </c>
      <c r="D25" s="7" t="s">
        <v>42</v>
      </c>
      <c r="E25" s="7" t="s">
        <v>53</v>
      </c>
      <c r="F25" s="8"/>
      <c r="G25" s="8">
        <v>44.8</v>
      </c>
      <c r="H25" s="9">
        <v>44.7</v>
      </c>
      <c r="I25" s="9">
        <v>44.8</v>
      </c>
      <c r="J25" s="8"/>
      <c r="K25" s="8">
        <v>45</v>
      </c>
      <c r="L25" s="9"/>
      <c r="M25" s="9">
        <v>44.9</v>
      </c>
      <c r="N25" s="8"/>
      <c r="O25" s="8">
        <v>44.8</v>
      </c>
      <c r="P25" s="9">
        <v>45.2</v>
      </c>
      <c r="Q25" s="9">
        <v>44.9</v>
      </c>
    </row>
    <row r="26" spans="2:17" ht="20.100000000000001" customHeight="1">
      <c r="B26" s="103" t="s">
        <v>54</v>
      </c>
      <c r="C26" s="10" t="s">
        <v>55</v>
      </c>
      <c r="D26" s="7" t="s">
        <v>49</v>
      </c>
      <c r="E26" s="14" t="s">
        <v>56</v>
      </c>
      <c r="F26" s="8"/>
      <c r="G26" s="8">
        <v>0.23</v>
      </c>
      <c r="H26" s="9">
        <v>0.22</v>
      </c>
      <c r="I26" s="9">
        <v>0.22</v>
      </c>
      <c r="J26" s="8"/>
      <c r="K26" s="8">
        <v>0.23</v>
      </c>
      <c r="L26" s="9"/>
      <c r="M26" s="9">
        <v>0.22</v>
      </c>
      <c r="N26" s="8"/>
      <c r="O26" s="8">
        <v>0.23</v>
      </c>
      <c r="P26" s="9">
        <v>0.23</v>
      </c>
      <c r="Q26" s="9">
        <v>0.23</v>
      </c>
    </row>
    <row r="27" spans="2:17" ht="20.100000000000001" customHeight="1">
      <c r="B27" s="103"/>
      <c r="C27" s="10" t="s">
        <v>57</v>
      </c>
      <c r="D27" s="7" t="s">
        <v>42</v>
      </c>
      <c r="E27" s="7" t="s">
        <v>43</v>
      </c>
      <c r="F27" s="8"/>
      <c r="G27" s="8">
        <v>4.3</v>
      </c>
      <c r="H27" s="9">
        <v>4.2</v>
      </c>
      <c r="I27" s="9">
        <v>3.3</v>
      </c>
      <c r="J27" s="8"/>
      <c r="K27" s="8">
        <v>4.2</v>
      </c>
      <c r="L27" s="9"/>
      <c r="M27" s="9">
        <v>3.9</v>
      </c>
      <c r="N27" s="8"/>
      <c r="O27" s="8">
        <v>4.5999999999999996</v>
      </c>
      <c r="P27" s="9">
        <v>4.8</v>
      </c>
      <c r="Q27" s="9">
        <v>4.5</v>
      </c>
    </row>
    <row r="28" spans="2:17" ht="20.100000000000001" customHeight="1">
      <c r="B28" s="103"/>
      <c r="C28" s="10" t="s">
        <v>58</v>
      </c>
      <c r="D28" s="7" t="s">
        <v>42</v>
      </c>
      <c r="E28" s="7" t="s">
        <v>43</v>
      </c>
      <c r="F28" s="8"/>
      <c r="G28" s="8">
        <v>4</v>
      </c>
      <c r="H28" s="9">
        <v>3.2</v>
      </c>
      <c r="I28" s="9">
        <v>2.5</v>
      </c>
      <c r="J28" s="8"/>
      <c r="K28" s="8">
        <v>3.5</v>
      </c>
      <c r="L28" s="9"/>
      <c r="M28" s="9">
        <v>2.8</v>
      </c>
      <c r="N28" s="8"/>
      <c r="O28" s="8">
        <v>3.6</v>
      </c>
      <c r="P28" s="9">
        <v>3.7</v>
      </c>
      <c r="Q28" s="9">
        <v>3.5</v>
      </c>
    </row>
    <row r="29" spans="2:17" ht="20.100000000000001" customHeight="1">
      <c r="B29" s="103"/>
      <c r="C29" s="10" t="s">
        <v>59</v>
      </c>
      <c r="D29" s="7" t="s">
        <v>42</v>
      </c>
      <c r="E29" s="7" t="s">
        <v>43</v>
      </c>
      <c r="F29" s="15">
        <f>F32-F28</f>
        <v>0</v>
      </c>
      <c r="G29" s="15">
        <v>0.29999999999999982</v>
      </c>
      <c r="H29" s="15">
        <v>2.0999999999999996</v>
      </c>
      <c r="I29" s="15">
        <v>1.4</v>
      </c>
      <c r="J29" s="15"/>
      <c r="K29" s="15">
        <v>1</v>
      </c>
      <c r="L29" s="15">
        <f t="shared" ref="L29:P29" si="0">L32-L28</f>
        <v>0</v>
      </c>
      <c r="M29" s="15">
        <v>1</v>
      </c>
      <c r="N29" s="15">
        <f>N32-N28</f>
        <v>0</v>
      </c>
      <c r="O29" s="15">
        <v>0.19999999999999973</v>
      </c>
      <c r="P29" s="15">
        <f t="shared" si="0"/>
        <v>1</v>
      </c>
      <c r="Q29" s="15">
        <v>0.39999999999999991</v>
      </c>
    </row>
    <row r="30" spans="2:17" ht="20.100000000000001" customHeight="1">
      <c r="B30" s="103"/>
      <c r="C30" s="10" t="s">
        <v>60</v>
      </c>
      <c r="D30" s="7" t="s">
        <v>61</v>
      </c>
      <c r="E30" s="7" t="s">
        <v>62</v>
      </c>
      <c r="F30" s="8"/>
      <c r="G30" s="8">
        <v>648.08000000000004</v>
      </c>
      <c r="H30" s="9">
        <v>646.70000000000005</v>
      </c>
      <c r="I30" s="9">
        <v>640.32000000000005</v>
      </c>
      <c r="J30" s="8"/>
      <c r="K30" s="8">
        <v>639.91999999999996</v>
      </c>
      <c r="L30" s="9"/>
      <c r="M30" s="9">
        <v>645.04</v>
      </c>
      <c r="N30" s="8"/>
      <c r="O30" s="8">
        <v>636.64</v>
      </c>
      <c r="P30" s="9">
        <v>637.6</v>
      </c>
      <c r="Q30" s="9">
        <v>640.32000000000005</v>
      </c>
    </row>
    <row r="31" spans="2:17" ht="20.100000000000001" customHeight="1">
      <c r="B31" s="103"/>
      <c r="C31" s="10" t="s">
        <v>63</v>
      </c>
      <c r="D31" s="7" t="s">
        <v>42</v>
      </c>
      <c r="E31" s="7">
        <v>13.5</v>
      </c>
      <c r="F31" s="8"/>
      <c r="G31" s="8">
        <v>12.7</v>
      </c>
      <c r="H31" s="9">
        <v>13.7</v>
      </c>
      <c r="I31" s="9">
        <v>12.3</v>
      </c>
      <c r="J31" s="8"/>
      <c r="K31" s="8">
        <v>13.1</v>
      </c>
      <c r="L31" s="9"/>
      <c r="M31" s="9">
        <v>13.1</v>
      </c>
      <c r="N31" s="8"/>
      <c r="O31" s="8">
        <v>12.6</v>
      </c>
      <c r="P31" s="9">
        <v>13.6</v>
      </c>
      <c r="Q31" s="9">
        <v>12.3</v>
      </c>
    </row>
    <row r="32" spans="2:17" ht="20.100000000000001" customHeight="1">
      <c r="B32" s="103"/>
      <c r="C32" s="10" t="s">
        <v>64</v>
      </c>
      <c r="D32" s="7" t="s">
        <v>42</v>
      </c>
      <c r="E32" s="7">
        <v>4</v>
      </c>
      <c r="F32" s="8"/>
      <c r="G32" s="8">
        <v>4.3</v>
      </c>
      <c r="H32" s="9">
        <v>5.5</v>
      </c>
      <c r="I32" s="9">
        <v>3.9</v>
      </c>
      <c r="J32" s="8"/>
      <c r="K32" s="8">
        <v>4.5</v>
      </c>
      <c r="L32" s="9"/>
      <c r="M32" s="9">
        <v>3.8</v>
      </c>
      <c r="N32" s="8"/>
      <c r="O32" s="8">
        <v>3.8</v>
      </c>
      <c r="P32" s="9">
        <v>4.7</v>
      </c>
      <c r="Q32" s="9">
        <v>3.9</v>
      </c>
    </row>
    <row r="33" spans="2:17" ht="20.100000000000001" customHeight="1">
      <c r="B33" s="103"/>
      <c r="C33" s="10" t="s">
        <v>65</v>
      </c>
      <c r="D33" s="7" t="s">
        <v>42</v>
      </c>
      <c r="E33" s="7">
        <v>9.5</v>
      </c>
      <c r="F33" s="15">
        <f>F31-F32</f>
        <v>0</v>
      </c>
      <c r="G33" s="15">
        <v>8.3999999999999986</v>
      </c>
      <c r="H33" s="15">
        <v>8.3000000000000007</v>
      </c>
      <c r="I33" s="15">
        <v>8.4</v>
      </c>
      <c r="J33" s="15"/>
      <c r="K33" s="15">
        <v>8.6</v>
      </c>
      <c r="L33" s="15">
        <f t="shared" ref="L33:P33" si="1">L31-L32</f>
        <v>0</v>
      </c>
      <c r="M33" s="15">
        <v>9.3000000000000007</v>
      </c>
      <c r="N33" s="15">
        <f>N31-N32</f>
        <v>0</v>
      </c>
      <c r="O33" s="15">
        <v>8.8000000000000007</v>
      </c>
      <c r="P33" s="15">
        <f t="shared" si="1"/>
        <v>8.8999999999999986</v>
      </c>
      <c r="Q33" s="15">
        <v>8.4</v>
      </c>
    </row>
    <row r="34" spans="2:17" ht="20.100000000000001" customHeight="1">
      <c r="B34" s="103"/>
      <c r="C34" s="10" t="s">
        <v>66</v>
      </c>
      <c r="D34" s="7" t="s">
        <v>67</v>
      </c>
      <c r="E34" s="7" t="s">
        <v>68</v>
      </c>
      <c r="F34" s="16">
        <f>(F33*F30)/0.866</f>
        <v>0</v>
      </c>
      <c r="G34" s="16">
        <v>6286.2263279445724</v>
      </c>
      <c r="H34" s="16">
        <v>6282.6974595842967</v>
      </c>
      <c r="I34" s="16">
        <v>6210.9561200923799</v>
      </c>
      <c r="J34" s="16"/>
      <c r="K34" s="16">
        <v>6354.8637413394908</v>
      </c>
      <c r="L34" s="16">
        <f t="shared" ref="L34:P34" si="2">(L33*L30)/0.866</f>
        <v>0</v>
      </c>
      <c r="M34" s="16">
        <v>6927.1039260969983</v>
      </c>
      <c r="N34" s="16">
        <f>(N33*N30)/0.866</f>
        <v>0</v>
      </c>
      <c r="O34" s="16">
        <v>6469.3210161662828</v>
      </c>
      <c r="P34" s="16">
        <f t="shared" si="2"/>
        <v>6552.7020785219393</v>
      </c>
      <c r="Q34" s="16">
        <v>6210.9561200923799</v>
      </c>
    </row>
    <row r="35" spans="2:17" ht="20.100000000000001" customHeight="1">
      <c r="B35" s="103" t="s">
        <v>69</v>
      </c>
      <c r="C35" s="10" t="s">
        <v>70</v>
      </c>
      <c r="D35" s="7" t="s">
        <v>49</v>
      </c>
      <c r="E35" s="7" t="s">
        <v>71</v>
      </c>
      <c r="F35" s="8"/>
      <c r="G35" s="8">
        <v>0.82</v>
      </c>
      <c r="H35" s="9">
        <v>0.83</v>
      </c>
      <c r="I35" s="9">
        <v>0.84</v>
      </c>
      <c r="J35" s="8"/>
      <c r="K35" s="8">
        <v>0.82</v>
      </c>
      <c r="L35" s="9"/>
      <c r="M35" s="9">
        <v>0.82</v>
      </c>
      <c r="N35" s="8"/>
      <c r="O35" s="8">
        <v>0.8</v>
      </c>
      <c r="P35" s="9">
        <v>0.82</v>
      </c>
      <c r="Q35" s="9">
        <v>0.83</v>
      </c>
    </row>
    <row r="36" spans="2:17" ht="20.100000000000001" customHeight="1">
      <c r="B36" s="103"/>
      <c r="C36" s="10" t="s">
        <v>72</v>
      </c>
      <c r="D36" s="7" t="s">
        <v>42</v>
      </c>
      <c r="E36" s="7" t="s">
        <v>43</v>
      </c>
      <c r="F36" s="8"/>
      <c r="G36" s="8">
        <v>36.1</v>
      </c>
      <c r="H36" s="9">
        <v>36.1</v>
      </c>
      <c r="I36" s="9">
        <v>36.6</v>
      </c>
      <c r="J36" s="8"/>
      <c r="K36" s="8">
        <v>36.4</v>
      </c>
      <c r="L36" s="9"/>
      <c r="M36" s="9">
        <v>36.4</v>
      </c>
      <c r="N36" s="8"/>
      <c r="O36" s="8">
        <v>35.9</v>
      </c>
      <c r="P36" s="9">
        <v>36</v>
      </c>
      <c r="Q36" s="9">
        <v>36.299999999999997</v>
      </c>
    </row>
    <row r="37" spans="2:17" ht="20.100000000000001" customHeight="1">
      <c r="B37" s="103"/>
      <c r="C37" s="10" t="s">
        <v>73</v>
      </c>
      <c r="D37" s="7" t="s">
        <v>42</v>
      </c>
      <c r="E37" s="7" t="s">
        <v>43</v>
      </c>
      <c r="F37" s="8"/>
      <c r="G37" s="8">
        <v>36.4</v>
      </c>
      <c r="H37" s="9">
        <v>36.9</v>
      </c>
      <c r="I37" s="9">
        <v>37.1</v>
      </c>
      <c r="J37" s="8"/>
      <c r="K37" s="8">
        <v>36.4</v>
      </c>
      <c r="L37" s="9"/>
      <c r="M37" s="9">
        <v>36.6</v>
      </c>
      <c r="N37" s="8"/>
      <c r="O37" s="8">
        <v>35.5</v>
      </c>
      <c r="P37" s="9">
        <v>36.700000000000003</v>
      </c>
      <c r="Q37" s="9">
        <v>36.700000000000003</v>
      </c>
    </row>
    <row r="38" spans="2:17" ht="20.100000000000001" customHeight="1">
      <c r="B38" s="103"/>
      <c r="C38" s="12" t="s">
        <v>74</v>
      </c>
      <c r="D38" s="7" t="s">
        <v>42</v>
      </c>
      <c r="E38" s="7" t="s">
        <v>101</v>
      </c>
      <c r="F38" s="15">
        <f>F37-F41</f>
        <v>0</v>
      </c>
      <c r="G38" s="15">
        <v>2.6000000000000014</v>
      </c>
      <c r="H38" s="15">
        <v>4.1000000000000014</v>
      </c>
      <c r="I38" s="15">
        <v>4</v>
      </c>
      <c r="J38" s="15"/>
      <c r="K38" s="15">
        <v>3</v>
      </c>
      <c r="L38" s="15">
        <f t="shared" ref="L38:P38" si="3">L37-L41</f>
        <v>0</v>
      </c>
      <c r="M38" s="15">
        <v>3.3000000000000043</v>
      </c>
      <c r="N38" s="15">
        <f>N37-N41</f>
        <v>0</v>
      </c>
      <c r="O38" s="15">
        <v>2.2999999999999972</v>
      </c>
      <c r="P38" s="15">
        <f t="shared" si="3"/>
        <v>3</v>
      </c>
      <c r="Q38" s="15">
        <v>3.2000000000000028</v>
      </c>
    </row>
    <row r="39" spans="2:17" ht="20.100000000000001" customHeight="1">
      <c r="B39" s="103"/>
      <c r="C39" s="10" t="s">
        <v>75</v>
      </c>
      <c r="D39" s="7" t="s">
        <v>76</v>
      </c>
      <c r="E39" s="7"/>
      <c r="F39" s="8"/>
      <c r="G39" s="8"/>
      <c r="H39" s="9"/>
      <c r="I39" s="9"/>
      <c r="J39" s="8"/>
      <c r="K39" s="8"/>
      <c r="L39" s="9"/>
      <c r="M39" s="9"/>
      <c r="N39" s="8"/>
      <c r="O39" s="8"/>
      <c r="P39" s="9"/>
      <c r="Q39" s="9"/>
    </row>
    <row r="40" spans="2:17" ht="20.100000000000001" customHeight="1">
      <c r="B40" s="103"/>
      <c r="C40" s="10" t="s">
        <v>77</v>
      </c>
      <c r="D40" s="7" t="s">
        <v>42</v>
      </c>
      <c r="E40" s="7">
        <v>30.8</v>
      </c>
      <c r="F40" s="8"/>
      <c r="G40" s="8">
        <v>27.9</v>
      </c>
      <c r="H40" s="9">
        <v>28.3</v>
      </c>
      <c r="I40" s="9">
        <v>27.8</v>
      </c>
      <c r="J40" s="8"/>
      <c r="K40" s="8">
        <v>27.9</v>
      </c>
      <c r="L40" s="9"/>
      <c r="M40" s="9">
        <v>27.5</v>
      </c>
      <c r="N40" s="8"/>
      <c r="O40" s="8">
        <v>27.6</v>
      </c>
      <c r="P40" s="9">
        <v>28.1</v>
      </c>
      <c r="Q40" s="9">
        <v>28</v>
      </c>
    </row>
    <row r="41" spans="2:17" ht="20.100000000000001" customHeight="1">
      <c r="B41" s="103"/>
      <c r="C41" s="10" t="s">
        <v>78</v>
      </c>
      <c r="D41" s="7" t="s">
        <v>42</v>
      </c>
      <c r="E41" s="7">
        <v>36.4</v>
      </c>
      <c r="F41" s="8"/>
      <c r="G41" s="8">
        <v>33.799999999999997</v>
      </c>
      <c r="H41" s="9">
        <v>33.4</v>
      </c>
      <c r="I41" s="9">
        <v>33.1</v>
      </c>
      <c r="J41" s="8"/>
      <c r="K41" s="8">
        <v>33.4</v>
      </c>
      <c r="L41" s="9"/>
      <c r="M41" s="9">
        <v>33.299999999999997</v>
      </c>
      <c r="N41" s="8"/>
      <c r="O41" s="8">
        <v>33.200000000000003</v>
      </c>
      <c r="P41" s="9">
        <v>33.700000000000003</v>
      </c>
      <c r="Q41" s="9">
        <v>33.5</v>
      </c>
    </row>
    <row r="42" spans="2:17" ht="20.100000000000001" customHeight="1">
      <c r="B42" s="103"/>
      <c r="C42" s="10" t="s">
        <v>79</v>
      </c>
      <c r="D42" s="7" t="s">
        <v>42</v>
      </c>
      <c r="E42" s="7">
        <v>5.6</v>
      </c>
      <c r="F42" s="15">
        <f>F41-F40</f>
        <v>0</v>
      </c>
      <c r="G42" s="15">
        <v>5.8999999999999986</v>
      </c>
      <c r="H42" s="15">
        <v>4.8000000000000007</v>
      </c>
      <c r="I42" s="15">
        <v>5.3000000000000007</v>
      </c>
      <c r="J42" s="15"/>
      <c r="K42" s="15">
        <v>5.5</v>
      </c>
      <c r="L42" s="15">
        <f t="shared" ref="L42:P42" si="4">L41-L40</f>
        <v>0</v>
      </c>
      <c r="M42" s="15">
        <v>5.7999999999999972</v>
      </c>
      <c r="N42" s="15">
        <f>N41-N40</f>
        <v>0</v>
      </c>
      <c r="O42" s="15">
        <v>5.6000000000000014</v>
      </c>
      <c r="P42" s="15">
        <f t="shared" si="4"/>
        <v>5.6000000000000014</v>
      </c>
      <c r="Q42" s="15">
        <v>5.5</v>
      </c>
    </row>
    <row r="43" spans="2:17" ht="20.100000000000001" customHeight="1">
      <c r="B43" s="103"/>
      <c r="C43" s="10" t="s">
        <v>80</v>
      </c>
      <c r="D43" s="7" t="s">
        <v>61</v>
      </c>
      <c r="E43" s="7">
        <v>1273.0999999999999</v>
      </c>
      <c r="F43" s="8"/>
      <c r="G43" s="8">
        <v>1098.58</v>
      </c>
      <c r="H43" s="9">
        <v>1226.2</v>
      </c>
      <c r="I43" s="9">
        <v>1163.82</v>
      </c>
      <c r="J43" s="8"/>
      <c r="K43" s="8">
        <v>1186.5</v>
      </c>
      <c r="L43" s="9"/>
      <c r="M43" s="8">
        <v>1164.52</v>
      </c>
      <c r="N43" s="8"/>
      <c r="O43" s="8">
        <v>1139.32</v>
      </c>
      <c r="P43" s="9">
        <v>1247.3</v>
      </c>
      <c r="Q43" s="9">
        <v>1179.5</v>
      </c>
    </row>
    <row r="44" spans="2:17" ht="20.100000000000001" customHeight="1">
      <c r="B44" s="103"/>
      <c r="C44" s="10" t="s">
        <v>81</v>
      </c>
      <c r="D44" s="7" t="s">
        <v>67</v>
      </c>
      <c r="E44" s="7">
        <v>8226.9</v>
      </c>
      <c r="F44" s="16">
        <f>F42*F43/0.866</f>
        <v>0</v>
      </c>
      <c r="G44" s="16">
        <v>7484.551963048496</v>
      </c>
      <c r="H44" s="16">
        <v>7206.5404157043895</v>
      </c>
      <c r="I44" s="16">
        <v>7122.6859122401847</v>
      </c>
      <c r="J44" s="16"/>
      <c r="K44" s="16">
        <v>7535.5080831408777</v>
      </c>
      <c r="L44" s="16">
        <f t="shared" ref="L44:P44" si="5">L42*L43/0.866</f>
        <v>0</v>
      </c>
      <c r="M44" s="16">
        <v>7799.3256351039227</v>
      </c>
      <c r="N44" s="16">
        <f>N42*N43/0.866</f>
        <v>0</v>
      </c>
      <c r="O44" s="16">
        <v>7367.4272517321024</v>
      </c>
      <c r="P44" s="16">
        <f t="shared" si="5"/>
        <v>8065.6812933025431</v>
      </c>
      <c r="Q44" s="16">
        <v>7491.0508083140876</v>
      </c>
    </row>
    <row r="45" spans="2:17" ht="20.100000000000001" customHeight="1">
      <c r="B45" s="103" t="s">
        <v>82</v>
      </c>
      <c r="C45" s="10" t="s">
        <v>83</v>
      </c>
      <c r="D45" s="7" t="s">
        <v>49</v>
      </c>
      <c r="E45" s="7" t="s">
        <v>84</v>
      </c>
      <c r="F45" s="8"/>
      <c r="G45" s="8">
        <v>0.47</v>
      </c>
      <c r="H45" s="9">
        <v>0.46</v>
      </c>
      <c r="I45" s="9">
        <v>0.46</v>
      </c>
      <c r="J45" s="8"/>
      <c r="K45" s="8">
        <v>0.46</v>
      </c>
      <c r="L45" s="9"/>
      <c r="M45" s="9">
        <v>0.46</v>
      </c>
      <c r="N45" s="8"/>
      <c r="O45" s="8">
        <v>0.46</v>
      </c>
      <c r="P45" s="9">
        <v>0.47</v>
      </c>
      <c r="Q45" s="9">
        <v>0.47</v>
      </c>
    </row>
    <row r="46" spans="2:17" ht="20.100000000000001" customHeight="1">
      <c r="B46" s="103"/>
      <c r="C46" s="10" t="s">
        <v>85</v>
      </c>
      <c r="D46" s="7" t="s">
        <v>42</v>
      </c>
      <c r="E46" s="7" t="s">
        <v>43</v>
      </c>
      <c r="F46" s="8"/>
      <c r="G46" s="8">
        <v>20.2</v>
      </c>
      <c r="H46" s="9">
        <v>19.7</v>
      </c>
      <c r="I46" s="9">
        <v>19.5</v>
      </c>
      <c r="J46" s="8"/>
      <c r="K46" s="8">
        <v>19.7</v>
      </c>
      <c r="L46" s="9"/>
      <c r="M46" s="9">
        <v>19.7</v>
      </c>
      <c r="N46" s="8"/>
      <c r="O46" s="8">
        <v>19.399999999999999</v>
      </c>
      <c r="P46" s="9">
        <v>20</v>
      </c>
      <c r="Q46" s="9">
        <v>20.100000000000001</v>
      </c>
    </row>
    <row r="47" spans="2:17" ht="20.100000000000001" customHeight="1">
      <c r="B47" s="103"/>
      <c r="C47" s="10" t="s">
        <v>86</v>
      </c>
      <c r="D47" s="7" t="s">
        <v>76</v>
      </c>
      <c r="E47" s="7" t="s">
        <v>76</v>
      </c>
      <c r="F47" s="8"/>
      <c r="G47" s="8">
        <v>201</v>
      </c>
      <c r="H47" s="9">
        <v>119.8</v>
      </c>
      <c r="I47" s="9">
        <v>122.6</v>
      </c>
      <c r="J47" s="8"/>
      <c r="K47" s="8">
        <v>202.2</v>
      </c>
      <c r="L47" s="9"/>
      <c r="M47" s="9">
        <v>208</v>
      </c>
      <c r="N47" s="8"/>
      <c r="O47" s="8">
        <v>167.4</v>
      </c>
      <c r="P47" s="9">
        <v>196.4</v>
      </c>
      <c r="Q47" s="9">
        <v>186.2</v>
      </c>
    </row>
    <row r="48" spans="2:17" ht="20.100000000000001" customHeight="1">
      <c r="B48" s="97" t="s">
        <v>87</v>
      </c>
      <c r="C48" s="97"/>
      <c r="D48" s="97"/>
      <c r="E48" s="17" t="s">
        <v>88</v>
      </c>
      <c r="F48" s="8"/>
      <c r="G48" s="8"/>
      <c r="H48" s="9"/>
      <c r="I48" s="9"/>
      <c r="J48" s="8"/>
      <c r="K48" s="8"/>
      <c r="L48" s="9"/>
      <c r="M48" s="9"/>
      <c r="N48" s="8"/>
      <c r="O48" s="8"/>
      <c r="P48" s="9"/>
      <c r="Q48" s="9"/>
    </row>
    <row r="49" spans="2:17" ht="20.100000000000001" customHeight="1">
      <c r="B49" s="97" t="s">
        <v>89</v>
      </c>
      <c r="C49" s="97"/>
      <c r="D49" s="97"/>
      <c r="E49" s="61">
        <v>5.89</v>
      </c>
      <c r="F49" s="8"/>
      <c r="G49" s="8">
        <v>5.62</v>
      </c>
      <c r="H49" s="9">
        <v>5.41</v>
      </c>
      <c r="I49" s="9">
        <v>5.36</v>
      </c>
      <c r="J49" s="8"/>
      <c r="K49" s="8">
        <v>5.66</v>
      </c>
      <c r="L49" s="9"/>
      <c r="M49" s="9">
        <v>5.65</v>
      </c>
      <c r="N49" s="8"/>
      <c r="O49" s="8">
        <v>5.45</v>
      </c>
      <c r="P49" s="9">
        <v>5.45</v>
      </c>
      <c r="Q49" s="9">
        <v>5.23</v>
      </c>
    </row>
    <row r="50" spans="2:17" ht="20.100000000000001" customHeight="1">
      <c r="B50" s="97" t="s">
        <v>90</v>
      </c>
      <c r="C50" s="97"/>
      <c r="D50" s="97"/>
      <c r="E50" s="61"/>
      <c r="F50" s="8"/>
      <c r="G50" s="8"/>
      <c r="H50" s="9"/>
      <c r="I50" s="9"/>
      <c r="J50" s="8"/>
      <c r="K50" s="8"/>
      <c r="L50" s="9"/>
      <c r="M50" s="9"/>
      <c r="N50" s="8"/>
      <c r="O50" s="8"/>
      <c r="P50" s="9"/>
      <c r="Q50" s="9"/>
    </row>
    <row r="51" spans="2:17" ht="20.100000000000001" customHeight="1" thickBot="1">
      <c r="B51" s="97" t="s">
        <v>91</v>
      </c>
      <c r="C51" s="97"/>
      <c r="D51" s="97"/>
      <c r="E51" s="60"/>
      <c r="F51" s="8"/>
      <c r="G51" s="8"/>
      <c r="H51" s="9"/>
      <c r="I51" s="9"/>
      <c r="J51" s="8"/>
      <c r="K51" s="8"/>
      <c r="L51" s="9"/>
      <c r="M51" s="9"/>
      <c r="N51" s="8"/>
      <c r="O51" s="8"/>
      <c r="P51" s="9"/>
      <c r="Q51" s="9"/>
    </row>
    <row r="52" spans="2:17">
      <c r="B52" t="s">
        <v>92</v>
      </c>
      <c r="C52" s="18" t="s">
        <v>93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28"/>
    </row>
    <row r="53" spans="2:17">
      <c r="C53" s="20" t="s">
        <v>94</v>
      </c>
      <c r="Q53" s="31"/>
    </row>
    <row r="54" spans="2:17">
      <c r="C54" s="20" t="s">
        <v>95</v>
      </c>
      <c r="Q54" s="31"/>
    </row>
    <row r="55" spans="2:17">
      <c r="C55" s="20"/>
      <c r="Q55" s="31"/>
    </row>
    <row r="56" spans="2:17">
      <c r="C56" s="20"/>
      <c r="Q56" s="31"/>
    </row>
    <row r="57" spans="2:17">
      <c r="C57" s="20" t="s">
        <v>96</v>
      </c>
      <c r="F57" s="21" t="b">
        <v>0</v>
      </c>
      <c r="G57" s="22" t="s">
        <v>97</v>
      </c>
      <c r="Q57" s="31"/>
    </row>
    <row r="58" spans="2:17">
      <c r="C58" s="20" t="s">
        <v>96</v>
      </c>
      <c r="F58" s="8" t="s">
        <v>98</v>
      </c>
      <c r="G58" s="23" t="s">
        <v>99</v>
      </c>
      <c r="Q58" s="31"/>
    </row>
    <row r="59" spans="2:17" ht="15.75" thickBot="1"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30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068CA-D0EC-4DD5-98DB-012B2B857C96}">
  <dimension ref="B1:Q59"/>
  <sheetViews>
    <sheetView view="pageBreakPreview" zoomScale="85" zoomScaleNormal="60" workbookViewId="0">
      <selection activeCell="D7" sqref="D7:Q7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107"/>
      <c r="C2" s="110" t="s">
        <v>0</v>
      </c>
      <c r="D2" s="111"/>
      <c r="E2" s="111"/>
      <c r="F2" s="111"/>
      <c r="G2" s="111"/>
      <c r="H2" s="111"/>
      <c r="I2" s="111"/>
      <c r="J2" s="111"/>
      <c r="K2" s="111"/>
      <c r="L2" s="111"/>
      <c r="M2" s="112"/>
      <c r="N2" s="18" t="s">
        <v>1</v>
      </c>
      <c r="O2" s="19"/>
      <c r="P2" s="19"/>
      <c r="Q2" s="28"/>
    </row>
    <row r="3" spans="2:17" ht="15.75" thickBot="1">
      <c r="B3" s="108"/>
      <c r="C3" s="113"/>
      <c r="D3" s="114"/>
      <c r="E3" s="114"/>
      <c r="F3" s="114"/>
      <c r="G3" s="114"/>
      <c r="H3" s="114"/>
      <c r="I3" s="114"/>
      <c r="J3" s="114"/>
      <c r="K3" s="114"/>
      <c r="L3" s="114"/>
      <c r="M3" s="115"/>
      <c r="N3" s="26" t="s">
        <v>2</v>
      </c>
      <c r="O3" s="27" t="s">
        <v>3</v>
      </c>
      <c r="P3" s="27"/>
      <c r="Q3" s="29"/>
    </row>
    <row r="4" spans="2:17" ht="15.75" thickBot="1">
      <c r="B4" s="108"/>
      <c r="C4" s="113"/>
      <c r="D4" s="114"/>
      <c r="E4" s="114"/>
      <c r="F4" s="114"/>
      <c r="G4" s="114"/>
      <c r="H4" s="114"/>
      <c r="I4" s="114"/>
      <c r="J4" s="114"/>
      <c r="K4" s="114"/>
      <c r="L4" s="114"/>
      <c r="M4" s="115"/>
      <c r="N4" s="26" t="s">
        <v>4</v>
      </c>
      <c r="O4" s="27"/>
      <c r="P4" s="27"/>
      <c r="Q4" s="29"/>
    </row>
    <row r="5" spans="2:17" ht="15.75" thickBot="1">
      <c r="B5" s="109"/>
      <c r="C5" s="116"/>
      <c r="D5" s="117"/>
      <c r="E5" s="117"/>
      <c r="F5" s="117"/>
      <c r="G5" s="117"/>
      <c r="H5" s="117"/>
      <c r="I5" s="117"/>
      <c r="J5" s="117"/>
      <c r="K5" s="117"/>
      <c r="L5" s="117"/>
      <c r="M5" s="118"/>
      <c r="N5" s="24" t="s">
        <v>5</v>
      </c>
      <c r="O5" s="25"/>
      <c r="P5" s="25"/>
      <c r="Q5" s="30"/>
    </row>
    <row r="7" spans="2:17">
      <c r="B7" s="98" t="s">
        <v>6</v>
      </c>
      <c r="C7" s="99"/>
      <c r="D7" s="100">
        <v>45731</v>
      </c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2"/>
    </row>
    <row r="8" spans="2:17">
      <c r="B8" s="97" t="s">
        <v>7</v>
      </c>
      <c r="C8" s="97"/>
      <c r="D8" s="97"/>
      <c r="E8" s="105" t="s">
        <v>8</v>
      </c>
      <c r="F8" s="103" t="s">
        <v>9</v>
      </c>
      <c r="G8" s="103"/>
      <c r="H8" s="104" t="s">
        <v>10</v>
      </c>
      <c r="I8" s="104"/>
      <c r="J8" s="103" t="s">
        <v>11</v>
      </c>
      <c r="K8" s="103"/>
      <c r="L8" s="104" t="s">
        <v>12</v>
      </c>
      <c r="M8" s="104"/>
      <c r="N8" s="103" t="s">
        <v>13</v>
      </c>
      <c r="O8" s="103"/>
      <c r="P8" s="104" t="s">
        <v>14</v>
      </c>
      <c r="Q8" s="104"/>
    </row>
    <row r="9" spans="2:17">
      <c r="B9" s="98" t="s">
        <v>15</v>
      </c>
      <c r="C9" s="119"/>
      <c r="D9" s="99"/>
      <c r="E9" s="106"/>
      <c r="F9" s="3">
        <v>0.375</v>
      </c>
      <c r="G9" s="32" t="s">
        <v>16</v>
      </c>
      <c r="H9" s="4">
        <v>0.375</v>
      </c>
      <c r="I9" s="33" t="s">
        <v>16</v>
      </c>
      <c r="J9" s="3">
        <v>0.375</v>
      </c>
      <c r="K9" s="32" t="s">
        <v>16</v>
      </c>
      <c r="L9" s="4">
        <v>0.375</v>
      </c>
      <c r="M9" s="33" t="s">
        <v>16</v>
      </c>
      <c r="N9" s="3">
        <v>0.375</v>
      </c>
      <c r="O9" s="32" t="s">
        <v>16</v>
      </c>
      <c r="P9" s="4">
        <v>0.375</v>
      </c>
      <c r="Q9" s="33" t="s">
        <v>16</v>
      </c>
    </row>
    <row r="10" spans="2:17" ht="26.25" customHeight="1">
      <c r="B10" s="120" t="s">
        <v>17</v>
      </c>
      <c r="C10" s="121"/>
      <c r="D10" s="63" t="s">
        <v>18</v>
      </c>
      <c r="E10" s="5"/>
      <c r="F10" s="6" t="s">
        <v>19</v>
      </c>
      <c r="G10" s="34" t="s">
        <v>19</v>
      </c>
      <c r="H10" s="35" t="s">
        <v>19</v>
      </c>
      <c r="I10" s="35" t="s">
        <v>19</v>
      </c>
      <c r="J10" s="34" t="s">
        <v>19</v>
      </c>
      <c r="K10" s="34" t="s">
        <v>19</v>
      </c>
      <c r="L10" s="35" t="s">
        <v>19</v>
      </c>
      <c r="M10" s="35" t="s">
        <v>19</v>
      </c>
      <c r="N10" s="6" t="s">
        <v>19</v>
      </c>
      <c r="O10" s="34" t="s">
        <v>19</v>
      </c>
      <c r="P10" s="35" t="s">
        <v>19</v>
      </c>
      <c r="Q10" s="35" t="s">
        <v>19</v>
      </c>
    </row>
    <row r="11" spans="2:17" ht="20.100000000000001" customHeight="1">
      <c r="B11" s="97" t="s">
        <v>20</v>
      </c>
      <c r="C11" s="97"/>
      <c r="D11" s="7" t="s">
        <v>21</v>
      </c>
      <c r="E11" s="7" t="s">
        <v>22</v>
      </c>
      <c r="F11" s="8">
        <v>68.900000000000006</v>
      </c>
      <c r="G11" s="8">
        <v>68.2</v>
      </c>
      <c r="H11" s="9"/>
      <c r="I11" s="9">
        <v>77.2</v>
      </c>
      <c r="J11" s="8"/>
      <c r="K11" s="8">
        <v>74.099999999999994</v>
      </c>
      <c r="L11" s="9">
        <v>72.400000000000006</v>
      </c>
      <c r="M11" s="9">
        <v>73.099999999999994</v>
      </c>
      <c r="N11" s="8"/>
      <c r="O11" s="8">
        <v>76.099999999999994</v>
      </c>
      <c r="P11" s="9"/>
      <c r="Q11" s="9">
        <v>73.7</v>
      </c>
    </row>
    <row r="12" spans="2:17" ht="20.100000000000001" customHeight="1">
      <c r="B12" s="97" t="s">
        <v>23</v>
      </c>
      <c r="C12" s="97"/>
      <c r="D12" s="7" t="s">
        <v>21</v>
      </c>
      <c r="E12" s="7" t="s">
        <v>22</v>
      </c>
      <c r="F12" s="8">
        <v>0</v>
      </c>
      <c r="G12" s="8">
        <v>0</v>
      </c>
      <c r="H12" s="9"/>
      <c r="I12" s="9">
        <v>0</v>
      </c>
      <c r="J12" s="8"/>
      <c r="K12" s="8">
        <v>0</v>
      </c>
      <c r="L12" s="9">
        <v>0</v>
      </c>
      <c r="M12" s="9">
        <v>0</v>
      </c>
      <c r="N12" s="8"/>
      <c r="O12" s="8">
        <v>0</v>
      </c>
      <c r="P12" s="9"/>
      <c r="Q12" s="9">
        <v>0</v>
      </c>
    </row>
    <row r="13" spans="2:17" ht="20.100000000000001" customHeight="1">
      <c r="B13" s="97" t="s">
        <v>24</v>
      </c>
      <c r="C13" s="97"/>
      <c r="D13" s="7" t="s">
        <v>21</v>
      </c>
      <c r="E13" s="7" t="s">
        <v>22</v>
      </c>
      <c r="F13" s="8">
        <v>65.5</v>
      </c>
      <c r="G13" s="8">
        <v>62.7</v>
      </c>
      <c r="H13" s="9"/>
      <c r="I13" s="9">
        <v>67.400000000000006</v>
      </c>
      <c r="J13" s="8"/>
      <c r="K13" s="8">
        <v>68.900000000000006</v>
      </c>
      <c r="L13" s="9">
        <v>69.900000000000006</v>
      </c>
      <c r="M13" s="9">
        <v>68.3</v>
      </c>
      <c r="N13" s="8"/>
      <c r="O13" s="8">
        <v>70.400000000000006</v>
      </c>
      <c r="P13" s="9"/>
      <c r="Q13" s="9">
        <v>67.8</v>
      </c>
    </row>
    <row r="14" spans="2:17" ht="20.100000000000001" customHeight="1">
      <c r="B14" s="97" t="s">
        <v>25</v>
      </c>
      <c r="C14" s="97"/>
      <c r="D14" s="7" t="s">
        <v>21</v>
      </c>
      <c r="E14" s="7" t="s">
        <v>22</v>
      </c>
      <c r="F14" s="8">
        <v>65.8</v>
      </c>
      <c r="G14" s="8">
        <v>67.099999999999994</v>
      </c>
      <c r="H14" s="9"/>
      <c r="I14" s="9">
        <v>67.400000000000006</v>
      </c>
      <c r="J14" s="8"/>
      <c r="K14" s="8">
        <v>64.099999999999994</v>
      </c>
      <c r="L14" s="9">
        <v>65.5</v>
      </c>
      <c r="M14" s="9">
        <v>65.900000000000006</v>
      </c>
      <c r="N14" s="8"/>
      <c r="O14" s="8">
        <v>72</v>
      </c>
      <c r="P14" s="9"/>
      <c r="Q14" s="9">
        <v>71.900000000000006</v>
      </c>
    </row>
    <row r="15" spans="2:17" ht="20.100000000000001" customHeight="1">
      <c r="B15" s="97" t="s">
        <v>26</v>
      </c>
      <c r="C15" s="97"/>
      <c r="D15" s="7" t="s">
        <v>21</v>
      </c>
      <c r="E15" s="7" t="s">
        <v>22</v>
      </c>
      <c r="F15" s="8">
        <v>38.5</v>
      </c>
      <c r="G15" s="8">
        <v>39.5</v>
      </c>
      <c r="H15" s="9"/>
      <c r="I15" s="9">
        <v>54.2</v>
      </c>
      <c r="J15" s="8"/>
      <c r="K15" s="8">
        <v>41.4</v>
      </c>
      <c r="L15" s="9">
        <v>30.6</v>
      </c>
      <c r="M15" s="9">
        <v>35.6</v>
      </c>
      <c r="N15" s="8"/>
      <c r="O15" s="8"/>
      <c r="P15" s="9"/>
      <c r="Q15" s="9">
        <v>42.4</v>
      </c>
    </row>
    <row r="16" spans="2:17" ht="20.100000000000001" customHeight="1">
      <c r="B16" s="103" t="s">
        <v>27</v>
      </c>
      <c r="C16" s="10" t="s">
        <v>28</v>
      </c>
      <c r="D16" s="7" t="s">
        <v>29</v>
      </c>
      <c r="E16" s="7" t="s">
        <v>30</v>
      </c>
      <c r="F16" s="8">
        <v>6.6</v>
      </c>
      <c r="G16" s="8">
        <v>6.6</v>
      </c>
      <c r="H16" s="8">
        <v>6.6</v>
      </c>
      <c r="I16" s="8">
        <v>6.6</v>
      </c>
      <c r="J16" s="8">
        <v>6.6</v>
      </c>
      <c r="K16" s="8">
        <v>6.6</v>
      </c>
      <c r="L16" s="8">
        <v>6.6</v>
      </c>
      <c r="M16" s="8">
        <v>6.6</v>
      </c>
      <c r="N16" s="8">
        <v>6.6</v>
      </c>
      <c r="O16" s="8">
        <v>6.6</v>
      </c>
      <c r="P16" s="8">
        <v>6.6</v>
      </c>
      <c r="Q16" s="8">
        <v>6.6</v>
      </c>
    </row>
    <row r="17" spans="2:17" ht="20.100000000000001" customHeight="1">
      <c r="B17" s="103"/>
      <c r="C17" s="10" t="s">
        <v>31</v>
      </c>
      <c r="D17" s="7" t="s">
        <v>32</v>
      </c>
      <c r="E17" s="7" t="s">
        <v>33</v>
      </c>
      <c r="F17" s="8">
        <v>117.5</v>
      </c>
      <c r="G17" s="8">
        <v>115.5</v>
      </c>
      <c r="H17" s="9"/>
      <c r="I17" s="9">
        <v>115.6</v>
      </c>
      <c r="J17" s="8"/>
      <c r="K17" s="8">
        <v>117.7</v>
      </c>
      <c r="L17" s="9">
        <v>115</v>
      </c>
      <c r="M17" s="9">
        <v>115</v>
      </c>
      <c r="N17" s="8"/>
      <c r="O17" s="8">
        <v>117.7</v>
      </c>
      <c r="P17" s="9"/>
      <c r="Q17" s="9">
        <v>117.7</v>
      </c>
    </row>
    <row r="18" spans="2:17" ht="20.100000000000001" customHeight="1">
      <c r="B18" s="103"/>
      <c r="C18" s="10" t="s">
        <v>34</v>
      </c>
      <c r="D18" s="7" t="s">
        <v>35</v>
      </c>
      <c r="E18" s="7" t="s">
        <v>36</v>
      </c>
      <c r="F18" s="8">
        <v>1163</v>
      </c>
      <c r="G18" s="8">
        <v>1123</v>
      </c>
      <c r="H18" s="9"/>
      <c r="I18" s="9">
        <v>1167</v>
      </c>
      <c r="J18" s="8"/>
      <c r="K18" s="8">
        <v>1182</v>
      </c>
      <c r="L18" s="9">
        <v>1172</v>
      </c>
      <c r="M18" s="9">
        <v>1157</v>
      </c>
      <c r="N18" s="8"/>
      <c r="O18" s="8">
        <v>1188</v>
      </c>
      <c r="P18" s="9"/>
      <c r="Q18" s="9">
        <v>1186</v>
      </c>
    </row>
    <row r="19" spans="2:17" ht="20.100000000000001" customHeight="1">
      <c r="B19" s="103" t="s">
        <v>37</v>
      </c>
      <c r="C19" s="10" t="s">
        <v>38</v>
      </c>
      <c r="D19" s="7" t="s">
        <v>39</v>
      </c>
      <c r="E19" s="11" t="s">
        <v>40</v>
      </c>
      <c r="F19" s="8">
        <v>49536.3</v>
      </c>
      <c r="G19" s="8">
        <v>49526.9</v>
      </c>
      <c r="H19" s="9"/>
      <c r="I19" s="9">
        <v>50771.5</v>
      </c>
      <c r="J19" s="8"/>
      <c r="K19" s="8">
        <v>48413.599999999999</v>
      </c>
      <c r="L19" s="9">
        <v>50804</v>
      </c>
      <c r="M19" s="9">
        <v>50793.599999999999</v>
      </c>
      <c r="N19" s="8"/>
      <c r="O19" s="8">
        <v>49982.5</v>
      </c>
      <c r="P19" s="9"/>
      <c r="Q19" s="9">
        <v>50134.6</v>
      </c>
    </row>
    <row r="20" spans="2:17" ht="20.100000000000001" customHeight="1">
      <c r="B20" s="103"/>
      <c r="C20" s="10" t="s">
        <v>41</v>
      </c>
      <c r="D20" s="7" t="s">
        <v>42</v>
      </c>
      <c r="E20" s="7" t="s">
        <v>43</v>
      </c>
      <c r="F20" s="8"/>
      <c r="G20" s="8"/>
      <c r="H20" s="9"/>
      <c r="I20" s="9"/>
      <c r="J20" s="8"/>
      <c r="K20" s="8"/>
      <c r="L20" s="9"/>
      <c r="M20" s="9"/>
      <c r="N20" s="8"/>
      <c r="O20" s="8"/>
      <c r="P20" s="9"/>
      <c r="Q20" s="9"/>
    </row>
    <row r="21" spans="2:17" ht="20.100000000000001" customHeight="1">
      <c r="B21" s="103"/>
      <c r="C21" s="10" t="s">
        <v>44</v>
      </c>
      <c r="D21" s="7" t="s">
        <v>42</v>
      </c>
      <c r="E21" s="7" t="s">
        <v>45</v>
      </c>
      <c r="F21" s="8"/>
      <c r="G21" s="8"/>
      <c r="H21" s="9"/>
      <c r="I21" s="9"/>
      <c r="J21" s="8"/>
      <c r="K21" s="8"/>
      <c r="L21" s="9"/>
      <c r="M21" s="9"/>
      <c r="N21" s="8"/>
      <c r="O21" s="8"/>
      <c r="P21" s="9"/>
      <c r="Q21" s="9"/>
    </row>
    <row r="22" spans="2:17" ht="20.100000000000001" customHeight="1">
      <c r="B22" s="103"/>
      <c r="C22" s="10" t="s">
        <v>46</v>
      </c>
      <c r="D22" s="7" t="s">
        <v>42</v>
      </c>
      <c r="E22" s="7" t="s">
        <v>47</v>
      </c>
      <c r="F22" s="8">
        <v>58.1</v>
      </c>
      <c r="G22" s="8">
        <v>57.9</v>
      </c>
      <c r="H22" s="9"/>
      <c r="I22" s="9">
        <v>59.1</v>
      </c>
      <c r="J22" s="8"/>
      <c r="K22" s="8">
        <v>57.7</v>
      </c>
      <c r="L22" s="9">
        <v>57.4</v>
      </c>
      <c r="M22" s="9">
        <v>57.1</v>
      </c>
      <c r="N22" s="8"/>
      <c r="O22" s="8">
        <v>58.6</v>
      </c>
      <c r="P22" s="9"/>
      <c r="Q22" s="9">
        <v>59.1</v>
      </c>
    </row>
    <row r="23" spans="2:17" ht="60">
      <c r="B23" s="103"/>
      <c r="C23" s="12" t="s">
        <v>48</v>
      </c>
      <c r="D23" s="8" t="s">
        <v>49</v>
      </c>
      <c r="E23" s="13" t="s">
        <v>50</v>
      </c>
      <c r="F23" s="8">
        <v>0.53</v>
      </c>
      <c r="G23" s="8">
        <v>0.52</v>
      </c>
      <c r="H23" s="9"/>
      <c r="I23" s="9">
        <v>0.48</v>
      </c>
      <c r="J23" s="8"/>
      <c r="K23" s="8">
        <v>0.59</v>
      </c>
      <c r="L23" s="9">
        <v>0.52</v>
      </c>
      <c r="M23" s="9">
        <v>0.52</v>
      </c>
      <c r="N23" s="8"/>
      <c r="O23" s="8"/>
      <c r="P23" s="9"/>
      <c r="Q23" s="9">
        <v>0.49</v>
      </c>
    </row>
    <row r="24" spans="2:17" ht="39.75" customHeight="1">
      <c r="B24" s="103"/>
      <c r="C24" s="12" t="s">
        <v>51</v>
      </c>
      <c r="D24" s="7"/>
      <c r="E24" s="7"/>
      <c r="F24" s="8"/>
      <c r="G24" s="8"/>
      <c r="H24" s="9"/>
      <c r="I24" s="9"/>
      <c r="J24" s="8"/>
      <c r="K24" s="8"/>
      <c r="L24" s="8"/>
      <c r="M24" s="9"/>
      <c r="N24" s="8"/>
      <c r="O24" s="8"/>
      <c r="P24" s="9"/>
      <c r="Q24" s="9"/>
    </row>
    <row r="25" spans="2:17" ht="20.100000000000001" customHeight="1">
      <c r="B25" s="103"/>
      <c r="C25" s="10" t="s">
        <v>52</v>
      </c>
      <c r="D25" s="7" t="s">
        <v>42</v>
      </c>
      <c r="E25" s="7" t="s">
        <v>53</v>
      </c>
      <c r="F25" s="8">
        <v>45.1</v>
      </c>
      <c r="G25" s="8">
        <v>45</v>
      </c>
      <c r="H25" s="9"/>
      <c r="I25" s="9">
        <v>45</v>
      </c>
      <c r="J25" s="8"/>
      <c r="K25" s="8">
        <v>45</v>
      </c>
      <c r="L25" s="9">
        <v>44.9</v>
      </c>
      <c r="M25" s="9">
        <v>45</v>
      </c>
      <c r="N25" s="8"/>
      <c r="O25" s="8">
        <v>44.9</v>
      </c>
      <c r="P25" s="9"/>
      <c r="Q25" s="9">
        <v>44.9</v>
      </c>
    </row>
    <row r="26" spans="2:17" ht="20.100000000000001" customHeight="1">
      <c r="B26" s="103" t="s">
        <v>54</v>
      </c>
      <c r="C26" s="10" t="s">
        <v>55</v>
      </c>
      <c r="D26" s="7" t="s">
        <v>49</v>
      </c>
      <c r="E26" s="14" t="s">
        <v>56</v>
      </c>
      <c r="F26" s="8">
        <v>0.23</v>
      </c>
      <c r="G26" s="8">
        <v>0.26</v>
      </c>
      <c r="H26" s="9"/>
      <c r="I26" s="9">
        <v>0.21</v>
      </c>
      <c r="J26" s="8"/>
      <c r="K26" s="8">
        <v>0.22</v>
      </c>
      <c r="L26" s="9">
        <v>0.22</v>
      </c>
      <c r="M26" s="9">
        <v>0.22</v>
      </c>
      <c r="N26" s="8"/>
      <c r="O26" s="8">
        <v>0.22</v>
      </c>
      <c r="P26" s="9"/>
      <c r="Q26" s="9">
        <v>0.23</v>
      </c>
    </row>
    <row r="27" spans="2:17" ht="20.100000000000001" customHeight="1">
      <c r="B27" s="103"/>
      <c r="C27" s="10" t="s">
        <v>57</v>
      </c>
      <c r="D27" s="7" t="s">
        <v>42</v>
      </c>
      <c r="E27" s="7" t="s">
        <v>43</v>
      </c>
      <c r="F27" s="8">
        <v>4.5</v>
      </c>
      <c r="G27" s="8">
        <v>4</v>
      </c>
      <c r="H27" s="9"/>
      <c r="I27" s="9">
        <v>3.1</v>
      </c>
      <c r="J27" s="8"/>
      <c r="K27" s="8">
        <v>4</v>
      </c>
      <c r="L27" s="9">
        <v>3.8</v>
      </c>
      <c r="M27" s="9">
        <v>3.5</v>
      </c>
      <c r="N27" s="8"/>
      <c r="O27" s="8">
        <v>4.0999999999999996</v>
      </c>
      <c r="P27" s="9"/>
      <c r="Q27" s="9">
        <v>4.5999999999999996</v>
      </c>
    </row>
    <row r="28" spans="2:17" ht="20.100000000000001" customHeight="1">
      <c r="B28" s="103"/>
      <c r="C28" s="10" t="s">
        <v>58</v>
      </c>
      <c r="D28" s="7" t="s">
        <v>42</v>
      </c>
      <c r="E28" s="7" t="s">
        <v>43</v>
      </c>
      <c r="F28" s="8">
        <v>4</v>
      </c>
      <c r="G28" s="8">
        <v>3.5</v>
      </c>
      <c r="H28" s="9"/>
      <c r="I28" s="9">
        <v>2.1</v>
      </c>
      <c r="J28" s="8"/>
      <c r="K28" s="8">
        <v>3.3</v>
      </c>
      <c r="L28" s="9">
        <v>2.8</v>
      </c>
      <c r="M28" s="9">
        <v>3.5</v>
      </c>
      <c r="N28" s="8"/>
      <c r="O28" s="8">
        <v>3.5</v>
      </c>
      <c r="P28" s="9"/>
      <c r="Q28" s="9">
        <v>3.6</v>
      </c>
    </row>
    <row r="29" spans="2:17" ht="20.100000000000001" customHeight="1">
      <c r="B29" s="103"/>
      <c r="C29" s="10" t="s">
        <v>59</v>
      </c>
      <c r="D29" s="7" t="s">
        <v>42</v>
      </c>
      <c r="E29" s="7" t="s">
        <v>43</v>
      </c>
      <c r="F29" s="15">
        <v>1</v>
      </c>
      <c r="G29" s="15">
        <f>G32-G28</f>
        <v>0.90000000000000036</v>
      </c>
      <c r="H29" s="15">
        <f t="shared" ref="H29:Q29" si="0">H32-H28</f>
        <v>0</v>
      </c>
      <c r="I29" s="15">
        <f t="shared" si="0"/>
        <v>2.4999999999999996</v>
      </c>
      <c r="J29" s="15">
        <f t="shared" si="0"/>
        <v>0</v>
      </c>
      <c r="K29" s="15">
        <f t="shared" si="0"/>
        <v>0.79999999999999982</v>
      </c>
      <c r="L29" s="15">
        <v>1.5</v>
      </c>
      <c r="M29" s="15">
        <f t="shared" si="0"/>
        <v>0.29999999999999982</v>
      </c>
      <c r="N29" s="15">
        <f>N32-N28</f>
        <v>0</v>
      </c>
      <c r="O29" s="15">
        <f>O32-O28</f>
        <v>0.79999999999999982</v>
      </c>
      <c r="P29" s="15">
        <f t="shared" si="0"/>
        <v>0</v>
      </c>
      <c r="Q29" s="15">
        <f t="shared" si="0"/>
        <v>1.1000000000000001</v>
      </c>
    </row>
    <row r="30" spans="2:17" ht="20.100000000000001" customHeight="1">
      <c r="B30" s="103"/>
      <c r="C30" s="10" t="s">
        <v>60</v>
      </c>
      <c r="D30" s="7" t="s">
        <v>61</v>
      </c>
      <c r="E30" s="7" t="s">
        <v>62</v>
      </c>
      <c r="F30" s="8">
        <v>694.4</v>
      </c>
      <c r="G30" s="8">
        <v>664.6</v>
      </c>
      <c r="H30" s="9"/>
      <c r="I30" s="9">
        <v>646.4</v>
      </c>
      <c r="J30" s="8"/>
      <c r="K30" s="8">
        <v>644.4</v>
      </c>
      <c r="L30" s="9">
        <v>631</v>
      </c>
      <c r="M30" s="9">
        <v>626.29999999999995</v>
      </c>
      <c r="N30" s="8"/>
      <c r="O30" s="8">
        <v>651.29999999999995</v>
      </c>
      <c r="P30" s="9"/>
      <c r="Q30" s="9">
        <v>641.9</v>
      </c>
    </row>
    <row r="31" spans="2:17" ht="20.100000000000001" customHeight="1">
      <c r="B31" s="103"/>
      <c r="C31" s="10" t="s">
        <v>63</v>
      </c>
      <c r="D31" s="7" t="s">
        <v>42</v>
      </c>
      <c r="E31" s="7">
        <v>13.5</v>
      </c>
      <c r="F31" s="8">
        <v>13.5</v>
      </c>
      <c r="G31" s="8">
        <v>13.5</v>
      </c>
      <c r="H31" s="9"/>
      <c r="I31" s="9">
        <v>13.4</v>
      </c>
      <c r="J31" s="8"/>
      <c r="K31" s="8">
        <v>13.2</v>
      </c>
      <c r="L31" s="9">
        <v>13.5</v>
      </c>
      <c r="M31" s="9">
        <v>13.1</v>
      </c>
      <c r="N31" s="8"/>
      <c r="O31" s="8">
        <v>13.3</v>
      </c>
      <c r="P31" s="9"/>
      <c r="Q31" s="9">
        <v>13.2</v>
      </c>
    </row>
    <row r="32" spans="2:17" ht="20.100000000000001" customHeight="1">
      <c r="B32" s="103"/>
      <c r="C32" s="10" t="s">
        <v>64</v>
      </c>
      <c r="D32" s="7" t="s">
        <v>42</v>
      </c>
      <c r="E32" s="7">
        <v>4</v>
      </c>
      <c r="F32" s="8">
        <v>4.8</v>
      </c>
      <c r="G32" s="8">
        <v>4.4000000000000004</v>
      </c>
      <c r="H32" s="9"/>
      <c r="I32" s="9">
        <v>4.5999999999999996</v>
      </c>
      <c r="J32" s="8"/>
      <c r="K32" s="8">
        <v>4.0999999999999996</v>
      </c>
      <c r="L32" s="9">
        <v>4.3</v>
      </c>
      <c r="M32" s="9">
        <v>3.8</v>
      </c>
      <c r="N32" s="8"/>
      <c r="O32" s="8">
        <v>4.3</v>
      </c>
      <c r="P32" s="9"/>
      <c r="Q32" s="9">
        <v>4.7</v>
      </c>
    </row>
    <row r="33" spans="2:17" ht="20.100000000000001" customHeight="1">
      <c r="B33" s="103"/>
      <c r="C33" s="10" t="s">
        <v>65</v>
      </c>
      <c r="D33" s="7" t="s">
        <v>42</v>
      </c>
      <c r="E33" s="7">
        <v>9.5</v>
      </c>
      <c r="F33" s="15">
        <v>8.8999999999999986</v>
      </c>
      <c r="G33" s="15">
        <f>G31-G32</f>
        <v>9.1</v>
      </c>
      <c r="H33" s="15">
        <f t="shared" ref="H33:Q33" si="1">H31-H32</f>
        <v>0</v>
      </c>
      <c r="I33" s="15">
        <f t="shared" si="1"/>
        <v>8.8000000000000007</v>
      </c>
      <c r="J33" s="15">
        <f t="shared" si="1"/>
        <v>0</v>
      </c>
      <c r="K33" s="15">
        <f t="shared" si="1"/>
        <v>9.1</v>
      </c>
      <c r="L33" s="15">
        <v>9.1999999999999993</v>
      </c>
      <c r="M33" s="15">
        <f t="shared" si="1"/>
        <v>9.3000000000000007</v>
      </c>
      <c r="N33" s="15">
        <f>N31-N32</f>
        <v>0</v>
      </c>
      <c r="O33" s="15">
        <f>O31-O32</f>
        <v>9</v>
      </c>
      <c r="P33" s="15">
        <f t="shared" si="1"/>
        <v>0</v>
      </c>
      <c r="Q33" s="15">
        <f t="shared" si="1"/>
        <v>8.5</v>
      </c>
    </row>
    <row r="34" spans="2:17" ht="20.100000000000001" customHeight="1">
      <c r="B34" s="103"/>
      <c r="C34" s="10" t="s">
        <v>66</v>
      </c>
      <c r="D34" s="7" t="s">
        <v>67</v>
      </c>
      <c r="E34" s="7" t="s">
        <v>68</v>
      </c>
      <c r="F34" s="16">
        <v>6643.1408775981517</v>
      </c>
      <c r="G34" s="16">
        <f>(G33*G30)/0.866</f>
        <v>6983.6720554272515</v>
      </c>
      <c r="H34" s="16">
        <f t="shared" ref="H34:Q34" si="2">(H33*H30)/0.866</f>
        <v>0</v>
      </c>
      <c r="I34" s="16">
        <f t="shared" si="2"/>
        <v>6568.4988452655898</v>
      </c>
      <c r="J34" s="16">
        <f t="shared" si="2"/>
        <v>0</v>
      </c>
      <c r="K34" s="16">
        <f t="shared" si="2"/>
        <v>6771.4087759815238</v>
      </c>
      <c r="L34" s="16">
        <v>6981.8013856812931</v>
      </c>
      <c r="M34" s="16">
        <f t="shared" si="2"/>
        <v>6725.8545034642038</v>
      </c>
      <c r="N34" s="16">
        <f>(N33*N30)/0.866</f>
        <v>0</v>
      </c>
      <c r="O34" s="16">
        <f>(O33*O30)/0.866</f>
        <v>6768.7066974595846</v>
      </c>
      <c r="P34" s="16">
        <f t="shared" si="2"/>
        <v>0</v>
      </c>
      <c r="Q34" s="16">
        <f t="shared" si="2"/>
        <v>6300.4041570438794</v>
      </c>
    </row>
    <row r="35" spans="2:17" ht="20.100000000000001" customHeight="1">
      <c r="B35" s="103" t="s">
        <v>69</v>
      </c>
      <c r="C35" s="10" t="s">
        <v>70</v>
      </c>
      <c r="D35" s="7" t="s">
        <v>49</v>
      </c>
      <c r="E35" s="7" t="s">
        <v>71</v>
      </c>
      <c r="F35" s="8">
        <v>0.8</v>
      </c>
      <c r="G35" s="8">
        <v>0.8</v>
      </c>
      <c r="H35" s="9"/>
      <c r="I35" s="9">
        <v>0.82</v>
      </c>
      <c r="J35" s="8"/>
      <c r="K35" s="8">
        <v>0.81</v>
      </c>
      <c r="L35" s="9">
        <v>0.79</v>
      </c>
      <c r="M35" s="9">
        <v>0.8</v>
      </c>
      <c r="N35" s="8"/>
      <c r="O35" s="8">
        <v>0.78</v>
      </c>
      <c r="P35" s="9"/>
      <c r="Q35" s="9">
        <v>0.81</v>
      </c>
    </row>
    <row r="36" spans="2:17" ht="20.100000000000001" customHeight="1">
      <c r="B36" s="103"/>
      <c r="C36" s="10" t="s">
        <v>72</v>
      </c>
      <c r="D36" s="7" t="s">
        <v>42</v>
      </c>
      <c r="E36" s="7" t="s">
        <v>43</v>
      </c>
      <c r="F36" s="8">
        <v>36.5</v>
      </c>
      <c r="G36" s="8">
        <v>35</v>
      </c>
      <c r="H36" s="9"/>
      <c r="I36" s="9">
        <v>35.700000000000003</v>
      </c>
      <c r="J36" s="8"/>
      <c r="K36" s="8">
        <v>35.4</v>
      </c>
      <c r="L36" s="9">
        <v>34.5</v>
      </c>
      <c r="M36" s="9">
        <v>35.200000000000003</v>
      </c>
      <c r="N36" s="8"/>
      <c r="O36" s="8">
        <v>34.6</v>
      </c>
      <c r="P36" s="9"/>
      <c r="Q36" s="9">
        <v>35.5</v>
      </c>
    </row>
    <row r="37" spans="2:17" ht="20.100000000000001" customHeight="1">
      <c r="B37" s="103"/>
      <c r="C37" s="10" t="s">
        <v>73</v>
      </c>
      <c r="D37" s="7" t="s">
        <v>42</v>
      </c>
      <c r="E37" s="7" t="s">
        <v>43</v>
      </c>
      <c r="F37" s="8">
        <v>35.200000000000003</v>
      </c>
      <c r="G37" s="8">
        <v>35.6</v>
      </c>
      <c r="H37" s="9"/>
      <c r="I37" s="9">
        <v>36.5</v>
      </c>
      <c r="J37" s="8"/>
      <c r="K37" s="8">
        <v>36.1</v>
      </c>
      <c r="L37" s="9">
        <v>35.299999999999997</v>
      </c>
      <c r="M37" s="9">
        <v>35.700000000000003</v>
      </c>
      <c r="N37" s="8"/>
      <c r="O37" s="8">
        <v>35</v>
      </c>
      <c r="P37" s="9"/>
      <c r="Q37" s="9">
        <v>36.299999999999997</v>
      </c>
    </row>
    <row r="38" spans="2:17" ht="20.100000000000001" customHeight="1">
      <c r="B38" s="103"/>
      <c r="C38" s="12" t="s">
        <v>74</v>
      </c>
      <c r="D38" s="7" t="s">
        <v>42</v>
      </c>
      <c r="E38" s="7" t="s">
        <v>101</v>
      </c>
      <c r="F38" s="15">
        <f>F37-F41</f>
        <v>0.5</v>
      </c>
      <c r="G38" s="15">
        <f>G37-G41</f>
        <v>2.2000000000000028</v>
      </c>
      <c r="H38" s="15">
        <f t="shared" ref="H38:Q38" si="3">H37-H41</f>
        <v>0</v>
      </c>
      <c r="I38" s="15">
        <f t="shared" si="3"/>
        <v>3.6000000000000014</v>
      </c>
      <c r="J38" s="15">
        <f t="shared" si="3"/>
        <v>0</v>
      </c>
      <c r="K38" s="15">
        <f t="shared" si="3"/>
        <v>2.3999999999999986</v>
      </c>
      <c r="L38" s="15">
        <v>2.5</v>
      </c>
      <c r="M38" s="15">
        <f t="shared" si="3"/>
        <v>2.5</v>
      </c>
      <c r="N38" s="15">
        <f>N37-N41</f>
        <v>0</v>
      </c>
      <c r="O38" s="15">
        <f>O37-O41</f>
        <v>1.6000000000000014</v>
      </c>
      <c r="P38" s="15">
        <f t="shared" si="3"/>
        <v>0</v>
      </c>
      <c r="Q38" s="15">
        <f t="shared" si="3"/>
        <v>3</v>
      </c>
    </row>
    <row r="39" spans="2:17" ht="20.100000000000001" customHeight="1">
      <c r="B39" s="103"/>
      <c r="C39" s="10" t="s">
        <v>75</v>
      </c>
      <c r="D39" s="7" t="s">
        <v>76</v>
      </c>
      <c r="E39" s="7"/>
      <c r="F39" s="8"/>
      <c r="G39" s="8"/>
      <c r="H39" s="9"/>
      <c r="I39" s="9"/>
      <c r="J39" s="8"/>
      <c r="K39" s="8"/>
      <c r="L39" s="9"/>
      <c r="M39" s="9"/>
      <c r="N39" s="8"/>
      <c r="O39" s="8"/>
      <c r="P39" s="9"/>
      <c r="Q39" s="9"/>
    </row>
    <row r="40" spans="2:17" ht="20.100000000000001" customHeight="1">
      <c r="B40" s="103"/>
      <c r="C40" s="10" t="s">
        <v>77</v>
      </c>
      <c r="D40" s="7" t="s">
        <v>42</v>
      </c>
      <c r="E40" s="7">
        <v>30.8</v>
      </c>
      <c r="F40" s="8">
        <v>29.4</v>
      </c>
      <c r="G40" s="8">
        <v>27.6</v>
      </c>
      <c r="H40" s="9"/>
      <c r="I40" s="9">
        <v>27.5</v>
      </c>
      <c r="J40" s="8"/>
      <c r="K40" s="8">
        <v>27.6</v>
      </c>
      <c r="L40" s="9">
        <v>27.5</v>
      </c>
      <c r="M40" s="9">
        <v>27.5</v>
      </c>
      <c r="N40" s="8"/>
      <c r="O40" s="8">
        <v>27.2</v>
      </c>
      <c r="P40" s="9"/>
      <c r="Q40" s="9">
        <v>27.2</v>
      </c>
    </row>
    <row r="41" spans="2:17" ht="20.100000000000001" customHeight="1">
      <c r="B41" s="103"/>
      <c r="C41" s="10" t="s">
        <v>78</v>
      </c>
      <c r="D41" s="7" t="s">
        <v>42</v>
      </c>
      <c r="E41" s="7">
        <v>36.4</v>
      </c>
      <c r="F41" s="8">
        <v>34.700000000000003</v>
      </c>
      <c r="G41" s="8">
        <v>33.4</v>
      </c>
      <c r="H41" s="9"/>
      <c r="I41" s="9">
        <v>32.9</v>
      </c>
      <c r="J41" s="8"/>
      <c r="K41" s="8">
        <v>33.700000000000003</v>
      </c>
      <c r="L41" s="9">
        <v>32.799999999999997</v>
      </c>
      <c r="M41" s="9">
        <v>33.200000000000003</v>
      </c>
      <c r="N41" s="8"/>
      <c r="O41" s="8">
        <v>33.4</v>
      </c>
      <c r="P41" s="9"/>
      <c r="Q41" s="9">
        <v>33.299999999999997</v>
      </c>
    </row>
    <row r="42" spans="2:17" ht="20.100000000000001" customHeight="1">
      <c r="B42" s="103"/>
      <c r="C42" s="10" t="s">
        <v>79</v>
      </c>
      <c r="D42" s="7" t="s">
        <v>42</v>
      </c>
      <c r="E42" s="7">
        <v>5.6</v>
      </c>
      <c r="F42" s="15">
        <f>F41-F40</f>
        <v>5.3000000000000043</v>
      </c>
      <c r="G42" s="15">
        <f>G41-G40</f>
        <v>5.7999999999999972</v>
      </c>
      <c r="H42" s="15">
        <f t="shared" ref="H42:Q42" si="4">H41-H40</f>
        <v>0</v>
      </c>
      <c r="I42" s="15">
        <f t="shared" si="4"/>
        <v>5.3999999999999986</v>
      </c>
      <c r="J42" s="15">
        <f t="shared" si="4"/>
        <v>0</v>
      </c>
      <c r="K42" s="15">
        <f t="shared" si="4"/>
        <v>6.1000000000000014</v>
      </c>
      <c r="L42" s="15">
        <v>5.2999999999999972</v>
      </c>
      <c r="M42" s="15">
        <f t="shared" si="4"/>
        <v>5.7000000000000028</v>
      </c>
      <c r="N42" s="15">
        <f>N41-N40</f>
        <v>0</v>
      </c>
      <c r="O42" s="15">
        <f>O41-O40</f>
        <v>6.1999999999999993</v>
      </c>
      <c r="P42" s="15">
        <f t="shared" si="4"/>
        <v>0</v>
      </c>
      <c r="Q42" s="15">
        <f t="shared" si="4"/>
        <v>6.0999999999999979</v>
      </c>
    </row>
    <row r="43" spans="2:17" ht="20.100000000000001" customHeight="1">
      <c r="B43" s="103"/>
      <c r="C43" s="10" t="s">
        <v>80</v>
      </c>
      <c r="D43" s="7" t="s">
        <v>61</v>
      </c>
      <c r="E43" s="7">
        <v>1273.0999999999999</v>
      </c>
      <c r="F43" s="8">
        <v>1296.5</v>
      </c>
      <c r="G43" s="8">
        <v>1161.0999999999999</v>
      </c>
      <c r="H43" s="9"/>
      <c r="I43" s="9">
        <v>1151.8</v>
      </c>
      <c r="J43" s="8"/>
      <c r="K43" s="8">
        <v>1181.5999999999999</v>
      </c>
      <c r="L43" s="9">
        <v>1295.7</v>
      </c>
      <c r="M43" s="8">
        <v>1153.7</v>
      </c>
      <c r="N43" s="8"/>
      <c r="O43" s="8">
        <v>1137</v>
      </c>
      <c r="P43" s="9"/>
      <c r="Q43" s="9">
        <v>1168.5999999999999</v>
      </c>
    </row>
    <row r="44" spans="2:17" ht="20.100000000000001" customHeight="1">
      <c r="B44" s="103"/>
      <c r="C44" s="10" t="s">
        <v>81</v>
      </c>
      <c r="D44" s="7" t="s">
        <v>67</v>
      </c>
      <c r="E44" s="7">
        <v>8226.9</v>
      </c>
      <c r="F44" s="16">
        <v>7922.0923787528882</v>
      </c>
      <c r="G44" s="16">
        <f>G42*G43/0.866</f>
        <v>7776.4203233256312</v>
      </c>
      <c r="H44" s="16">
        <f t="shared" ref="H44:Q44" si="5">H42*H43/0.866</f>
        <v>0</v>
      </c>
      <c r="I44" s="16">
        <f t="shared" si="5"/>
        <v>7182.1247113163954</v>
      </c>
      <c r="J44" s="16">
        <f t="shared" si="5"/>
        <v>0</v>
      </c>
      <c r="K44" s="16">
        <f t="shared" si="5"/>
        <v>8323.0484988452663</v>
      </c>
      <c r="L44" s="16">
        <v>7895.5311778290952</v>
      </c>
      <c r="M44" s="16">
        <f t="shared" si="5"/>
        <v>7593.6374133949239</v>
      </c>
      <c r="N44" s="16">
        <f>N42*N43/0.866</f>
        <v>0</v>
      </c>
      <c r="O44" s="16">
        <f>O42*O43/0.866</f>
        <v>8140.1847575057736</v>
      </c>
      <c r="P44" s="16">
        <f t="shared" si="5"/>
        <v>0</v>
      </c>
      <c r="Q44" s="16">
        <f t="shared" si="5"/>
        <v>8231.4780600461872</v>
      </c>
    </row>
    <row r="45" spans="2:17" ht="20.100000000000001" customHeight="1">
      <c r="B45" s="103" t="s">
        <v>82</v>
      </c>
      <c r="C45" s="10" t="s">
        <v>83</v>
      </c>
      <c r="D45" s="7" t="s">
        <v>49</v>
      </c>
      <c r="E45" s="7" t="s">
        <v>84</v>
      </c>
      <c r="F45" s="8">
        <v>0.47</v>
      </c>
      <c r="G45" s="8">
        <v>0.46</v>
      </c>
      <c r="H45" s="9"/>
      <c r="I45" s="9">
        <v>0.44</v>
      </c>
      <c r="J45" s="8"/>
      <c r="K45" s="8">
        <v>0.45</v>
      </c>
      <c r="L45" s="9">
        <v>0.45</v>
      </c>
      <c r="M45" s="9">
        <v>0.45</v>
      </c>
      <c r="N45" s="8"/>
      <c r="O45" s="8">
        <v>0.44</v>
      </c>
      <c r="P45" s="9"/>
      <c r="Q45" s="9">
        <v>0.46</v>
      </c>
    </row>
    <row r="46" spans="2:17" ht="20.100000000000001" customHeight="1">
      <c r="B46" s="103"/>
      <c r="C46" s="10" t="s">
        <v>85</v>
      </c>
      <c r="D46" s="7" t="s">
        <v>42</v>
      </c>
      <c r="E46" s="7" t="s">
        <v>43</v>
      </c>
      <c r="F46" s="8">
        <v>20.2</v>
      </c>
      <c r="G46" s="8">
        <v>19.5</v>
      </c>
      <c r="H46" s="9"/>
      <c r="I46" s="9">
        <v>18.5</v>
      </c>
      <c r="J46" s="8"/>
      <c r="K46" s="8">
        <v>19.2</v>
      </c>
      <c r="L46" s="9">
        <v>18.8</v>
      </c>
      <c r="M46" s="9">
        <v>19</v>
      </c>
      <c r="N46" s="8"/>
      <c r="O46" s="8">
        <v>18.5</v>
      </c>
      <c r="P46" s="9"/>
      <c r="Q46" s="9">
        <v>19.7</v>
      </c>
    </row>
    <row r="47" spans="2:17" ht="20.100000000000001" customHeight="1">
      <c r="B47" s="103"/>
      <c r="C47" s="10" t="s">
        <v>86</v>
      </c>
      <c r="D47" s="7" t="s">
        <v>76</v>
      </c>
      <c r="E47" s="7" t="s">
        <v>76</v>
      </c>
      <c r="F47" s="8">
        <v>202.2</v>
      </c>
      <c r="G47" s="8">
        <v>198.6</v>
      </c>
      <c r="H47" s="9"/>
      <c r="I47" s="9">
        <v>123.8</v>
      </c>
      <c r="J47" s="8"/>
      <c r="K47" s="8">
        <v>204.2</v>
      </c>
      <c r="L47" s="9">
        <v>213.5</v>
      </c>
      <c r="M47" s="9">
        <v>207.1</v>
      </c>
      <c r="N47" s="8"/>
      <c r="O47" s="8">
        <v>157.4</v>
      </c>
      <c r="P47" s="9"/>
      <c r="Q47" s="9">
        <v>196</v>
      </c>
    </row>
    <row r="48" spans="2:17" ht="20.100000000000001" customHeight="1">
      <c r="B48" s="97" t="s">
        <v>87</v>
      </c>
      <c r="C48" s="97"/>
      <c r="D48" s="97"/>
      <c r="E48" s="17" t="s">
        <v>88</v>
      </c>
      <c r="F48" s="8"/>
      <c r="G48" s="8"/>
      <c r="H48" s="9"/>
      <c r="I48" s="9"/>
      <c r="J48" s="8"/>
      <c r="K48" s="8"/>
      <c r="L48" s="9"/>
      <c r="M48" s="9"/>
      <c r="N48" s="8"/>
      <c r="O48" s="8"/>
      <c r="P48" s="9"/>
      <c r="Q48" s="9"/>
    </row>
    <row r="49" spans="2:17" ht="20.100000000000001" customHeight="1">
      <c r="B49" s="97" t="s">
        <v>89</v>
      </c>
      <c r="C49" s="97"/>
      <c r="D49" s="97"/>
      <c r="E49" s="63">
        <v>5.89</v>
      </c>
      <c r="F49" s="8">
        <v>5.54</v>
      </c>
      <c r="G49" s="8">
        <v>5.79</v>
      </c>
      <c r="H49" s="9"/>
      <c r="I49" s="9">
        <v>5.43</v>
      </c>
      <c r="J49" s="8"/>
      <c r="K49" s="8">
        <v>5.73</v>
      </c>
      <c r="L49" s="9">
        <v>5.57</v>
      </c>
      <c r="M49" s="9">
        <v>5.95</v>
      </c>
      <c r="N49" s="8"/>
      <c r="O49" s="8">
        <v>5.74</v>
      </c>
      <c r="P49" s="9"/>
      <c r="Q49" s="9">
        <v>5.42</v>
      </c>
    </row>
    <row r="50" spans="2:17" ht="20.100000000000001" customHeight="1">
      <c r="B50" s="97" t="s">
        <v>90</v>
      </c>
      <c r="C50" s="97"/>
      <c r="D50" s="97"/>
      <c r="E50" s="63"/>
      <c r="F50" s="8"/>
      <c r="G50" s="8"/>
      <c r="H50" s="9"/>
      <c r="I50" s="9"/>
      <c r="J50" s="8"/>
      <c r="K50" s="8"/>
      <c r="L50" s="9"/>
      <c r="M50" s="9"/>
      <c r="N50" s="8"/>
      <c r="O50" s="8"/>
      <c r="P50" s="9"/>
      <c r="Q50" s="9"/>
    </row>
    <row r="51" spans="2:17" ht="20.100000000000001" customHeight="1" thickBot="1">
      <c r="B51" s="97" t="s">
        <v>91</v>
      </c>
      <c r="C51" s="97"/>
      <c r="D51" s="97"/>
      <c r="E51" s="62"/>
      <c r="F51" s="8"/>
      <c r="G51" s="8"/>
      <c r="H51" s="9"/>
      <c r="I51" s="9"/>
      <c r="J51" s="8"/>
      <c r="K51" s="8"/>
      <c r="L51" s="9"/>
      <c r="M51" s="9"/>
      <c r="N51" s="8"/>
      <c r="O51" s="8"/>
      <c r="P51" s="9"/>
      <c r="Q51" s="9"/>
    </row>
    <row r="52" spans="2:17">
      <c r="B52" t="s">
        <v>92</v>
      </c>
      <c r="C52" s="18" t="s">
        <v>93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28"/>
    </row>
    <row r="53" spans="2:17">
      <c r="C53" s="20" t="s">
        <v>94</v>
      </c>
      <c r="Q53" s="31"/>
    </row>
    <row r="54" spans="2:17">
      <c r="C54" s="20" t="s">
        <v>95</v>
      </c>
      <c r="Q54" s="31"/>
    </row>
    <row r="55" spans="2:17">
      <c r="C55" s="20"/>
      <c r="Q55" s="31"/>
    </row>
    <row r="56" spans="2:17">
      <c r="C56" s="20"/>
      <c r="Q56" s="31"/>
    </row>
    <row r="57" spans="2:17">
      <c r="C57" s="20" t="s">
        <v>96</v>
      </c>
      <c r="F57" s="21" t="b">
        <v>0</v>
      </c>
      <c r="G57" s="22" t="s">
        <v>97</v>
      </c>
      <c r="Q57" s="31"/>
    </row>
    <row r="58" spans="2:17">
      <c r="C58" s="20" t="s">
        <v>96</v>
      </c>
      <c r="F58" s="8" t="s">
        <v>98</v>
      </c>
      <c r="G58" s="23" t="s">
        <v>99</v>
      </c>
      <c r="Q58" s="31"/>
    </row>
    <row r="59" spans="2:17" ht="15.75" thickBot="1"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30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0A764-57B0-41B7-9F37-592441727CFF}">
  <dimension ref="B1:Q59"/>
  <sheetViews>
    <sheetView view="pageBreakPreview" zoomScale="85" zoomScaleNormal="60" workbookViewId="0">
      <selection activeCell="P29" sqref="P29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107"/>
      <c r="C2" s="110" t="s">
        <v>0</v>
      </c>
      <c r="D2" s="111"/>
      <c r="E2" s="111"/>
      <c r="F2" s="111"/>
      <c r="G2" s="111"/>
      <c r="H2" s="111"/>
      <c r="I2" s="111"/>
      <c r="J2" s="111"/>
      <c r="K2" s="111"/>
      <c r="L2" s="111"/>
      <c r="M2" s="112"/>
      <c r="N2" s="18" t="s">
        <v>1</v>
      </c>
      <c r="O2" s="19"/>
      <c r="P2" s="19"/>
      <c r="Q2" s="28"/>
    </row>
    <row r="3" spans="2:17" ht="15.75" thickBot="1">
      <c r="B3" s="108"/>
      <c r="C3" s="113"/>
      <c r="D3" s="114"/>
      <c r="E3" s="114"/>
      <c r="F3" s="114"/>
      <c r="G3" s="114"/>
      <c r="H3" s="114"/>
      <c r="I3" s="114"/>
      <c r="J3" s="114"/>
      <c r="K3" s="114"/>
      <c r="L3" s="114"/>
      <c r="M3" s="115"/>
      <c r="N3" s="26" t="s">
        <v>2</v>
      </c>
      <c r="O3" s="27" t="s">
        <v>3</v>
      </c>
      <c r="P3" s="27"/>
      <c r="Q3" s="29"/>
    </row>
    <row r="4" spans="2:17" ht="15.75" thickBot="1">
      <c r="B4" s="108"/>
      <c r="C4" s="113"/>
      <c r="D4" s="114"/>
      <c r="E4" s="114"/>
      <c r="F4" s="114"/>
      <c r="G4" s="114"/>
      <c r="H4" s="114"/>
      <c r="I4" s="114"/>
      <c r="J4" s="114"/>
      <c r="K4" s="114"/>
      <c r="L4" s="114"/>
      <c r="M4" s="115"/>
      <c r="N4" s="26" t="s">
        <v>4</v>
      </c>
      <c r="O4" s="27"/>
      <c r="P4" s="27"/>
      <c r="Q4" s="29"/>
    </row>
    <row r="5" spans="2:17" ht="15.75" thickBot="1">
      <c r="B5" s="109"/>
      <c r="C5" s="116"/>
      <c r="D5" s="117"/>
      <c r="E5" s="117"/>
      <c r="F5" s="117"/>
      <c r="G5" s="117"/>
      <c r="H5" s="117"/>
      <c r="I5" s="117"/>
      <c r="J5" s="117"/>
      <c r="K5" s="117"/>
      <c r="L5" s="117"/>
      <c r="M5" s="118"/>
      <c r="N5" s="24" t="s">
        <v>5</v>
      </c>
      <c r="O5" s="25"/>
      <c r="P5" s="25"/>
      <c r="Q5" s="30"/>
    </row>
    <row r="7" spans="2:17">
      <c r="B7" s="98" t="s">
        <v>6</v>
      </c>
      <c r="C7" s="99"/>
      <c r="D7" s="100">
        <v>45732</v>
      </c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2"/>
    </row>
    <row r="8" spans="2:17">
      <c r="B8" s="97" t="s">
        <v>7</v>
      </c>
      <c r="C8" s="97"/>
      <c r="D8" s="97"/>
      <c r="E8" s="105" t="s">
        <v>8</v>
      </c>
      <c r="F8" s="103" t="s">
        <v>9</v>
      </c>
      <c r="G8" s="103"/>
      <c r="H8" s="104" t="s">
        <v>10</v>
      </c>
      <c r="I8" s="104"/>
      <c r="J8" s="103" t="s">
        <v>11</v>
      </c>
      <c r="K8" s="103"/>
      <c r="L8" s="104" t="s">
        <v>12</v>
      </c>
      <c r="M8" s="104"/>
      <c r="N8" s="103" t="s">
        <v>13</v>
      </c>
      <c r="O8" s="103"/>
      <c r="P8" s="104" t="s">
        <v>14</v>
      </c>
      <c r="Q8" s="104"/>
    </row>
    <row r="9" spans="2:17">
      <c r="B9" s="98" t="s">
        <v>15</v>
      </c>
      <c r="C9" s="119"/>
      <c r="D9" s="99"/>
      <c r="E9" s="106"/>
      <c r="F9" s="3">
        <v>0.375</v>
      </c>
      <c r="G9" s="32" t="s">
        <v>16</v>
      </c>
      <c r="H9" s="4">
        <v>0.375</v>
      </c>
      <c r="I9" s="33" t="s">
        <v>16</v>
      </c>
      <c r="J9" s="3">
        <v>0.375</v>
      </c>
      <c r="K9" s="32" t="s">
        <v>16</v>
      </c>
      <c r="L9" s="4">
        <v>0.375</v>
      </c>
      <c r="M9" s="33" t="s">
        <v>16</v>
      </c>
      <c r="N9" s="3">
        <v>0.375</v>
      </c>
      <c r="O9" s="32" t="s">
        <v>16</v>
      </c>
      <c r="P9" s="4">
        <v>0.375</v>
      </c>
      <c r="Q9" s="33" t="s">
        <v>16</v>
      </c>
    </row>
    <row r="10" spans="2:17" ht="26.25" customHeight="1">
      <c r="B10" s="120" t="s">
        <v>17</v>
      </c>
      <c r="C10" s="121"/>
      <c r="D10" s="65" t="s">
        <v>18</v>
      </c>
      <c r="E10" s="5"/>
      <c r="F10" s="6" t="s">
        <v>19</v>
      </c>
      <c r="G10" s="34" t="s">
        <v>19</v>
      </c>
      <c r="H10" s="35" t="s">
        <v>19</v>
      </c>
      <c r="I10" s="35" t="s">
        <v>19</v>
      </c>
      <c r="J10" s="34" t="s">
        <v>19</v>
      </c>
      <c r="K10" s="34" t="s">
        <v>19</v>
      </c>
      <c r="L10" s="35" t="s">
        <v>19</v>
      </c>
      <c r="M10" s="35" t="s">
        <v>19</v>
      </c>
      <c r="N10" s="6" t="s">
        <v>19</v>
      </c>
      <c r="O10" s="34" t="s">
        <v>19</v>
      </c>
      <c r="P10" s="35" t="s">
        <v>19</v>
      </c>
      <c r="Q10" s="35" t="s">
        <v>19</v>
      </c>
    </row>
    <row r="11" spans="2:17" ht="20.100000000000001" customHeight="1">
      <c r="B11" s="97" t="s">
        <v>20</v>
      </c>
      <c r="C11" s="97"/>
      <c r="D11" s="7" t="s">
        <v>21</v>
      </c>
      <c r="E11" s="7" t="s">
        <v>22</v>
      </c>
      <c r="F11" s="8"/>
      <c r="G11" s="8"/>
      <c r="H11" s="9">
        <v>76.599999999999994</v>
      </c>
      <c r="I11" s="9"/>
      <c r="J11" s="8"/>
      <c r="K11" s="8"/>
      <c r="L11" s="9"/>
      <c r="M11" s="9"/>
      <c r="N11" s="8">
        <v>76.5</v>
      </c>
      <c r="O11" s="8"/>
      <c r="P11" s="9"/>
      <c r="Q11" s="9"/>
    </row>
    <row r="12" spans="2:17" ht="20.100000000000001" customHeight="1">
      <c r="B12" s="97" t="s">
        <v>23</v>
      </c>
      <c r="C12" s="97"/>
      <c r="D12" s="7" t="s">
        <v>21</v>
      </c>
      <c r="E12" s="7" t="s">
        <v>22</v>
      </c>
      <c r="F12" s="8"/>
      <c r="G12" s="8"/>
      <c r="H12" s="9">
        <v>0</v>
      </c>
      <c r="I12" s="9"/>
      <c r="J12" s="8"/>
      <c r="K12" s="8"/>
      <c r="L12" s="9"/>
      <c r="M12" s="9"/>
      <c r="N12" s="8">
        <v>0</v>
      </c>
      <c r="O12" s="8"/>
      <c r="P12" s="9"/>
      <c r="Q12" s="9"/>
    </row>
    <row r="13" spans="2:17" ht="20.100000000000001" customHeight="1">
      <c r="B13" s="97" t="s">
        <v>24</v>
      </c>
      <c r="C13" s="97"/>
      <c r="D13" s="7" t="s">
        <v>21</v>
      </c>
      <c r="E13" s="7" t="s">
        <v>22</v>
      </c>
      <c r="F13" s="8"/>
      <c r="G13" s="8"/>
      <c r="H13" s="9">
        <v>74.3</v>
      </c>
      <c r="I13" s="9"/>
      <c r="J13" s="8"/>
      <c r="K13" s="8"/>
      <c r="L13" s="9"/>
      <c r="M13" s="9"/>
      <c r="N13" s="8">
        <v>71.599999999999994</v>
      </c>
      <c r="O13" s="8"/>
      <c r="P13" s="9"/>
      <c r="Q13" s="9"/>
    </row>
    <row r="14" spans="2:17" ht="20.100000000000001" customHeight="1">
      <c r="B14" s="97" t="s">
        <v>25</v>
      </c>
      <c r="C14" s="97"/>
      <c r="D14" s="7" t="s">
        <v>21</v>
      </c>
      <c r="E14" s="7" t="s">
        <v>22</v>
      </c>
      <c r="F14" s="8"/>
      <c r="G14" s="8"/>
      <c r="H14" s="9">
        <v>67.900000000000006</v>
      </c>
      <c r="I14" s="9"/>
      <c r="J14" s="8"/>
      <c r="K14" s="8"/>
      <c r="L14" s="9"/>
      <c r="M14" s="9"/>
      <c r="N14" s="8">
        <v>72.3</v>
      </c>
      <c r="O14" s="8"/>
      <c r="P14" s="9"/>
      <c r="Q14" s="9"/>
    </row>
    <row r="15" spans="2:17" ht="20.100000000000001" customHeight="1">
      <c r="B15" s="97" t="s">
        <v>26</v>
      </c>
      <c r="C15" s="97"/>
      <c r="D15" s="7" t="s">
        <v>21</v>
      </c>
      <c r="E15" s="7" t="s">
        <v>22</v>
      </c>
      <c r="F15" s="8"/>
      <c r="G15" s="8"/>
      <c r="H15" s="9">
        <v>49.7</v>
      </c>
      <c r="I15" s="9"/>
      <c r="J15" s="8"/>
      <c r="K15" s="8"/>
      <c r="L15" s="9"/>
      <c r="M15" s="9"/>
      <c r="N15" s="8">
        <v>53.7</v>
      </c>
      <c r="O15" s="8"/>
      <c r="P15" s="9"/>
      <c r="Q15" s="9"/>
    </row>
    <row r="16" spans="2:17" ht="20.100000000000001" customHeight="1">
      <c r="B16" s="103" t="s">
        <v>27</v>
      </c>
      <c r="C16" s="10" t="s">
        <v>28</v>
      </c>
      <c r="D16" s="7" t="s">
        <v>29</v>
      </c>
      <c r="E16" s="7" t="s">
        <v>30</v>
      </c>
      <c r="F16" s="8"/>
      <c r="G16" s="8"/>
      <c r="H16" s="8">
        <v>6.6</v>
      </c>
      <c r="I16" s="8"/>
      <c r="J16" s="8"/>
      <c r="K16" s="8"/>
      <c r="L16" s="8"/>
      <c r="M16" s="8"/>
      <c r="N16" s="8">
        <v>6.6</v>
      </c>
      <c r="O16" s="8"/>
      <c r="P16" s="8"/>
      <c r="Q16" s="8"/>
    </row>
    <row r="17" spans="2:17" ht="20.100000000000001" customHeight="1">
      <c r="B17" s="103"/>
      <c r="C17" s="10" t="s">
        <v>31</v>
      </c>
      <c r="D17" s="7" t="s">
        <v>32</v>
      </c>
      <c r="E17" s="7" t="s">
        <v>33</v>
      </c>
      <c r="F17" s="8"/>
      <c r="G17" s="8"/>
      <c r="H17" s="9">
        <v>117.2</v>
      </c>
      <c r="I17" s="9"/>
      <c r="J17" s="8"/>
      <c r="K17" s="8"/>
      <c r="L17" s="9"/>
      <c r="M17" s="9"/>
      <c r="N17" s="8">
        <v>120.6</v>
      </c>
      <c r="O17" s="8"/>
      <c r="P17" s="9"/>
      <c r="Q17" s="9"/>
    </row>
    <row r="18" spans="2:17" ht="20.100000000000001" customHeight="1">
      <c r="B18" s="103"/>
      <c r="C18" s="10" t="s">
        <v>34</v>
      </c>
      <c r="D18" s="7" t="s">
        <v>35</v>
      </c>
      <c r="E18" s="7" t="s">
        <v>36</v>
      </c>
      <c r="F18" s="8"/>
      <c r="G18" s="8"/>
      <c r="H18" s="9">
        <v>1189</v>
      </c>
      <c r="I18" s="9"/>
      <c r="J18" s="8"/>
      <c r="K18" s="8"/>
      <c r="L18" s="9"/>
      <c r="M18" s="9"/>
      <c r="N18" s="8">
        <v>1226</v>
      </c>
      <c r="O18" s="8"/>
      <c r="P18" s="9"/>
      <c r="Q18" s="9"/>
    </row>
    <row r="19" spans="2:17" ht="20.100000000000001" customHeight="1">
      <c r="B19" s="103" t="s">
        <v>37</v>
      </c>
      <c r="C19" s="10" t="s">
        <v>38</v>
      </c>
      <c r="D19" s="7" t="s">
        <v>39</v>
      </c>
      <c r="E19" s="11" t="s">
        <v>40</v>
      </c>
      <c r="F19" s="8"/>
      <c r="G19" s="8"/>
      <c r="H19" s="9">
        <v>50796.1</v>
      </c>
      <c r="I19" s="9"/>
      <c r="J19" s="8"/>
      <c r="K19" s="8"/>
      <c r="L19" s="9"/>
      <c r="M19" s="9"/>
      <c r="N19" s="8">
        <v>50000.1</v>
      </c>
      <c r="O19" s="8"/>
      <c r="P19" s="9"/>
      <c r="Q19" s="9"/>
    </row>
    <row r="20" spans="2:17" ht="20.100000000000001" customHeight="1">
      <c r="B20" s="103"/>
      <c r="C20" s="10" t="s">
        <v>41</v>
      </c>
      <c r="D20" s="7" t="s">
        <v>42</v>
      </c>
      <c r="E20" s="7" t="s">
        <v>43</v>
      </c>
      <c r="F20" s="8"/>
      <c r="G20" s="8"/>
      <c r="H20" s="9"/>
      <c r="I20" s="9"/>
      <c r="J20" s="8"/>
      <c r="K20" s="8"/>
      <c r="L20" s="9"/>
      <c r="M20" s="9"/>
      <c r="N20" s="8"/>
      <c r="O20" s="8"/>
      <c r="P20" s="9"/>
      <c r="Q20" s="9"/>
    </row>
    <row r="21" spans="2:17" ht="20.100000000000001" customHeight="1">
      <c r="B21" s="103"/>
      <c r="C21" s="10" t="s">
        <v>44</v>
      </c>
      <c r="D21" s="7" t="s">
        <v>42</v>
      </c>
      <c r="E21" s="7" t="s">
        <v>45</v>
      </c>
      <c r="F21" s="8"/>
      <c r="G21" s="8"/>
      <c r="H21" s="9"/>
      <c r="I21" s="9"/>
      <c r="J21" s="8"/>
      <c r="K21" s="8"/>
      <c r="L21" s="9"/>
      <c r="M21" s="9"/>
      <c r="N21" s="8"/>
      <c r="O21" s="8"/>
      <c r="P21" s="9"/>
      <c r="Q21" s="9"/>
    </row>
    <row r="22" spans="2:17" ht="20.100000000000001" customHeight="1">
      <c r="B22" s="103"/>
      <c r="C22" s="10" t="s">
        <v>46</v>
      </c>
      <c r="D22" s="7" t="s">
        <v>42</v>
      </c>
      <c r="E22" s="7" t="s">
        <v>47</v>
      </c>
      <c r="F22" s="8"/>
      <c r="G22" s="8"/>
      <c r="H22" s="9">
        <v>59.4</v>
      </c>
      <c r="I22" s="9"/>
      <c r="J22" s="8"/>
      <c r="K22" s="8"/>
      <c r="L22" s="9"/>
      <c r="M22" s="9"/>
      <c r="N22" s="8">
        <v>58.6</v>
      </c>
      <c r="O22" s="8"/>
      <c r="P22" s="9"/>
      <c r="Q22" s="9"/>
    </row>
    <row r="23" spans="2:17" ht="60">
      <c r="B23" s="103"/>
      <c r="C23" s="12" t="s">
        <v>48</v>
      </c>
      <c r="D23" s="8" t="s">
        <v>49</v>
      </c>
      <c r="E23" s="13" t="s">
        <v>50</v>
      </c>
      <c r="F23" s="8"/>
      <c r="G23" s="8"/>
      <c r="H23" s="9">
        <v>0.49</v>
      </c>
      <c r="I23" s="9"/>
      <c r="J23" s="8"/>
      <c r="K23" s="8"/>
      <c r="L23" s="9"/>
      <c r="M23" s="9"/>
      <c r="N23" s="8">
        <v>0.82</v>
      </c>
      <c r="O23" s="8"/>
      <c r="P23" s="9"/>
      <c r="Q23" s="9"/>
    </row>
    <row r="24" spans="2:17" ht="39.75" customHeight="1">
      <c r="B24" s="103"/>
      <c r="C24" s="12" t="s">
        <v>51</v>
      </c>
      <c r="D24" s="7"/>
      <c r="E24" s="7"/>
      <c r="F24" s="8"/>
      <c r="G24" s="8"/>
      <c r="H24" s="9"/>
      <c r="I24" s="9"/>
      <c r="J24" s="8"/>
      <c r="K24" s="8"/>
      <c r="L24" s="8"/>
      <c r="M24" s="9"/>
      <c r="N24" s="8"/>
      <c r="O24" s="8"/>
      <c r="P24" s="9"/>
      <c r="Q24" s="9"/>
    </row>
    <row r="25" spans="2:17" ht="20.100000000000001" customHeight="1">
      <c r="B25" s="103"/>
      <c r="C25" s="10" t="s">
        <v>52</v>
      </c>
      <c r="D25" s="7" t="s">
        <v>42</v>
      </c>
      <c r="E25" s="7" t="s">
        <v>53</v>
      </c>
      <c r="F25" s="8"/>
      <c r="G25" s="8"/>
      <c r="H25" s="9">
        <v>44.8</v>
      </c>
      <c r="I25" s="9"/>
      <c r="J25" s="8"/>
      <c r="K25" s="8"/>
      <c r="L25" s="9"/>
      <c r="M25" s="9"/>
      <c r="N25" s="8">
        <v>45.1</v>
      </c>
      <c r="O25" s="8"/>
      <c r="P25" s="9"/>
      <c r="Q25" s="9"/>
    </row>
    <row r="26" spans="2:17" ht="20.100000000000001" customHeight="1">
      <c r="B26" s="103" t="s">
        <v>54</v>
      </c>
      <c r="C26" s="10" t="s">
        <v>55</v>
      </c>
      <c r="D26" s="7" t="s">
        <v>49</v>
      </c>
      <c r="E26" s="14" t="s">
        <v>56</v>
      </c>
      <c r="F26" s="8"/>
      <c r="G26" s="8"/>
      <c r="H26" s="9">
        <v>0.22</v>
      </c>
      <c r="I26" s="9"/>
      <c r="J26" s="8"/>
      <c r="K26" s="8"/>
      <c r="L26" s="9"/>
      <c r="M26" s="9"/>
      <c r="N26" s="8">
        <v>0.23</v>
      </c>
      <c r="O26" s="8"/>
      <c r="P26" s="9"/>
      <c r="Q26" s="9"/>
    </row>
    <row r="27" spans="2:17" ht="20.100000000000001" customHeight="1">
      <c r="B27" s="103"/>
      <c r="C27" s="10" t="s">
        <v>57</v>
      </c>
      <c r="D27" s="7" t="s">
        <v>42</v>
      </c>
      <c r="E27" s="7" t="s">
        <v>43</v>
      </c>
      <c r="F27" s="8"/>
      <c r="G27" s="8"/>
      <c r="H27" s="9">
        <v>3.6</v>
      </c>
      <c r="I27" s="9"/>
      <c r="J27" s="8"/>
      <c r="K27" s="8"/>
      <c r="L27" s="9"/>
      <c r="M27" s="9"/>
      <c r="N27" s="8">
        <v>4.5</v>
      </c>
      <c r="O27" s="8"/>
      <c r="P27" s="9"/>
      <c r="Q27" s="9"/>
    </row>
    <row r="28" spans="2:17" ht="20.100000000000001" customHeight="1">
      <c r="B28" s="103"/>
      <c r="C28" s="10" t="s">
        <v>58</v>
      </c>
      <c r="D28" s="7" t="s">
        <v>42</v>
      </c>
      <c r="E28" s="7" t="s">
        <v>43</v>
      </c>
      <c r="F28" s="8"/>
      <c r="G28" s="8"/>
      <c r="H28" s="9">
        <v>2.7</v>
      </c>
      <c r="I28" s="9"/>
      <c r="J28" s="8"/>
      <c r="K28" s="8"/>
      <c r="L28" s="9"/>
      <c r="M28" s="9"/>
      <c r="N28" s="8">
        <v>3.6</v>
      </c>
      <c r="O28" s="8"/>
      <c r="P28" s="9"/>
      <c r="Q28" s="9"/>
    </row>
    <row r="29" spans="2:17" ht="20.100000000000001" customHeight="1">
      <c r="B29" s="103"/>
      <c r="C29" s="10" t="s">
        <v>59</v>
      </c>
      <c r="D29" s="7" t="s">
        <v>42</v>
      </c>
      <c r="E29" s="7" t="s">
        <v>43</v>
      </c>
      <c r="F29" s="15">
        <f>F32-F28</f>
        <v>0</v>
      </c>
      <c r="G29" s="15">
        <f>G32-G28</f>
        <v>0</v>
      </c>
      <c r="H29" s="15">
        <f t="shared" ref="H29:Q29" si="0">H32-H28</f>
        <v>2.5999999999999996</v>
      </c>
      <c r="I29" s="15">
        <f t="shared" si="0"/>
        <v>0</v>
      </c>
      <c r="J29" s="15">
        <f t="shared" si="0"/>
        <v>0</v>
      </c>
      <c r="K29" s="15">
        <f t="shared" si="0"/>
        <v>0</v>
      </c>
      <c r="L29" s="15">
        <f>L32-L28</f>
        <v>0</v>
      </c>
      <c r="M29" s="15">
        <f>M32-M28</f>
        <v>0</v>
      </c>
      <c r="N29" s="15">
        <f>N32-N28</f>
        <v>1.1999999999999997</v>
      </c>
      <c r="O29" s="15">
        <f>O32-O28</f>
        <v>0</v>
      </c>
      <c r="P29" s="15">
        <f t="shared" si="0"/>
        <v>0</v>
      </c>
      <c r="Q29" s="15">
        <f t="shared" si="0"/>
        <v>0</v>
      </c>
    </row>
    <row r="30" spans="2:17" ht="20.100000000000001" customHeight="1">
      <c r="B30" s="103"/>
      <c r="C30" s="10" t="s">
        <v>60</v>
      </c>
      <c r="D30" s="7" t="s">
        <v>61</v>
      </c>
      <c r="E30" s="7" t="s">
        <v>62</v>
      </c>
      <c r="F30" s="8"/>
      <c r="G30" s="8"/>
      <c r="H30" s="9">
        <v>683.4</v>
      </c>
      <c r="I30" s="9"/>
      <c r="J30" s="8"/>
      <c r="K30" s="8"/>
      <c r="L30" s="9"/>
      <c r="M30" s="9"/>
      <c r="N30" s="8">
        <v>691</v>
      </c>
      <c r="O30" s="8"/>
      <c r="P30" s="9"/>
      <c r="Q30" s="9"/>
    </row>
    <row r="31" spans="2:17" ht="20.100000000000001" customHeight="1">
      <c r="B31" s="103"/>
      <c r="C31" s="10" t="s">
        <v>63</v>
      </c>
      <c r="D31" s="7" t="s">
        <v>42</v>
      </c>
      <c r="E31" s="7">
        <v>13.5</v>
      </c>
      <c r="F31" s="8"/>
      <c r="G31" s="8"/>
      <c r="H31" s="9">
        <v>13.4</v>
      </c>
      <c r="I31" s="9"/>
      <c r="J31" s="8"/>
      <c r="K31" s="8"/>
      <c r="L31" s="9"/>
      <c r="M31" s="9"/>
      <c r="N31" s="8">
        <v>13.5</v>
      </c>
      <c r="O31" s="8"/>
      <c r="P31" s="9"/>
      <c r="Q31" s="9"/>
    </row>
    <row r="32" spans="2:17" ht="20.100000000000001" customHeight="1">
      <c r="B32" s="103"/>
      <c r="C32" s="10" t="s">
        <v>64</v>
      </c>
      <c r="D32" s="7" t="s">
        <v>42</v>
      </c>
      <c r="E32" s="7">
        <v>4</v>
      </c>
      <c r="F32" s="8"/>
      <c r="G32" s="8"/>
      <c r="H32" s="9">
        <v>5.3</v>
      </c>
      <c r="I32" s="9"/>
      <c r="J32" s="8"/>
      <c r="K32" s="8"/>
      <c r="L32" s="9"/>
      <c r="M32" s="9"/>
      <c r="N32" s="8">
        <v>4.8</v>
      </c>
      <c r="O32" s="8"/>
      <c r="P32" s="9"/>
      <c r="Q32" s="9"/>
    </row>
    <row r="33" spans="2:17" ht="20.100000000000001" customHeight="1">
      <c r="B33" s="103"/>
      <c r="C33" s="10" t="s">
        <v>65</v>
      </c>
      <c r="D33" s="7" t="s">
        <v>42</v>
      </c>
      <c r="E33" s="7">
        <v>9.5</v>
      </c>
      <c r="F33" s="15">
        <f>F31-F32</f>
        <v>0</v>
      </c>
      <c r="G33" s="15">
        <f>G31-G32</f>
        <v>0</v>
      </c>
      <c r="H33" s="15">
        <f t="shared" ref="H33:Q33" si="1">H31-H32</f>
        <v>8.1000000000000014</v>
      </c>
      <c r="I33" s="15">
        <f t="shared" si="1"/>
        <v>0</v>
      </c>
      <c r="J33" s="15">
        <f t="shared" si="1"/>
        <v>0</v>
      </c>
      <c r="K33" s="15">
        <f t="shared" si="1"/>
        <v>0</v>
      </c>
      <c r="L33" s="15">
        <f>L31-L32</f>
        <v>0</v>
      </c>
      <c r="M33" s="15">
        <f>M31-M32</f>
        <v>0</v>
      </c>
      <c r="N33" s="15">
        <f>N31-N32</f>
        <v>8.6999999999999993</v>
      </c>
      <c r="O33" s="15">
        <f>O31-O32</f>
        <v>0</v>
      </c>
      <c r="P33" s="15">
        <f t="shared" si="1"/>
        <v>0</v>
      </c>
      <c r="Q33" s="15">
        <f t="shared" si="1"/>
        <v>0</v>
      </c>
    </row>
    <row r="34" spans="2:17" ht="20.100000000000001" customHeight="1">
      <c r="B34" s="103"/>
      <c r="C34" s="10" t="s">
        <v>66</v>
      </c>
      <c r="D34" s="7" t="s">
        <v>67</v>
      </c>
      <c r="E34" s="7" t="s">
        <v>68</v>
      </c>
      <c r="F34" s="16">
        <f>(F33*F30)/0.866</f>
        <v>0</v>
      </c>
      <c r="G34" s="16">
        <f>(G33*G30)/0.866</f>
        <v>0</v>
      </c>
      <c r="H34" s="16">
        <f t="shared" ref="H34:Q34" si="2">(H33*H30)/0.866</f>
        <v>6392.078521939955</v>
      </c>
      <c r="I34" s="16">
        <f t="shared" si="2"/>
        <v>0</v>
      </c>
      <c r="J34" s="16">
        <f t="shared" si="2"/>
        <v>0</v>
      </c>
      <c r="K34" s="16">
        <f t="shared" si="2"/>
        <v>0</v>
      </c>
      <c r="L34" s="16">
        <f>(L33*L30)/0.866</f>
        <v>0</v>
      </c>
      <c r="M34" s="16">
        <f>(M33*M30)/0.866</f>
        <v>0</v>
      </c>
      <c r="N34" s="16">
        <f>(N33*N30)/0.866</f>
        <v>6941.9168591224015</v>
      </c>
      <c r="O34" s="16">
        <f>(O33*O30)/0.866</f>
        <v>0</v>
      </c>
      <c r="P34" s="16">
        <f t="shared" si="2"/>
        <v>0</v>
      </c>
      <c r="Q34" s="16">
        <f t="shared" si="2"/>
        <v>0</v>
      </c>
    </row>
    <row r="35" spans="2:17" ht="20.100000000000001" customHeight="1">
      <c r="B35" s="103" t="s">
        <v>69</v>
      </c>
      <c r="C35" s="10" t="s">
        <v>70</v>
      </c>
      <c r="D35" s="7" t="s">
        <v>49</v>
      </c>
      <c r="E35" s="7" t="s">
        <v>71</v>
      </c>
      <c r="F35" s="8"/>
      <c r="G35" s="8"/>
      <c r="H35" s="9">
        <v>0.86</v>
      </c>
      <c r="I35" s="9"/>
      <c r="J35" s="8"/>
      <c r="K35" s="8"/>
      <c r="L35" s="9"/>
      <c r="M35" s="9"/>
      <c r="N35" s="8">
        <v>0.82</v>
      </c>
      <c r="O35" s="8"/>
      <c r="P35" s="9"/>
      <c r="Q35" s="9"/>
    </row>
    <row r="36" spans="2:17" ht="20.100000000000001" customHeight="1">
      <c r="B36" s="103"/>
      <c r="C36" s="10" t="s">
        <v>72</v>
      </c>
      <c r="D36" s="7" t="s">
        <v>42</v>
      </c>
      <c r="E36" s="7" t="s">
        <v>43</v>
      </c>
      <c r="F36" s="8"/>
      <c r="G36" s="8"/>
      <c r="H36" s="9">
        <v>37.299999999999997</v>
      </c>
      <c r="I36" s="9"/>
      <c r="J36" s="8"/>
      <c r="K36" s="8"/>
      <c r="L36" s="9"/>
      <c r="M36" s="9"/>
      <c r="N36" s="8">
        <v>36.1</v>
      </c>
      <c r="O36" s="8"/>
      <c r="P36" s="9"/>
      <c r="Q36" s="9"/>
    </row>
    <row r="37" spans="2:17" ht="20.100000000000001" customHeight="1">
      <c r="B37" s="103"/>
      <c r="C37" s="10" t="s">
        <v>73</v>
      </c>
      <c r="D37" s="7" t="s">
        <v>42</v>
      </c>
      <c r="E37" s="7" t="s">
        <v>43</v>
      </c>
      <c r="F37" s="8"/>
      <c r="G37" s="8"/>
      <c r="H37" s="9">
        <v>38.200000000000003</v>
      </c>
      <c r="I37" s="9"/>
      <c r="J37" s="8"/>
      <c r="K37" s="8"/>
      <c r="L37" s="9"/>
      <c r="M37" s="9"/>
      <c r="N37" s="8">
        <v>36.5</v>
      </c>
      <c r="O37" s="8"/>
      <c r="P37" s="9"/>
      <c r="Q37" s="9"/>
    </row>
    <row r="38" spans="2:17" ht="20.100000000000001" customHeight="1">
      <c r="B38" s="103"/>
      <c r="C38" s="12" t="s">
        <v>74</v>
      </c>
      <c r="D38" s="7" t="s">
        <v>42</v>
      </c>
      <c r="E38" s="7" t="s">
        <v>101</v>
      </c>
      <c r="F38" s="15">
        <f>F37-F41</f>
        <v>0</v>
      </c>
      <c r="G38" s="15">
        <f>G37-G41</f>
        <v>0</v>
      </c>
      <c r="H38" s="15">
        <f t="shared" ref="H38:Q38" si="3">H37-H41</f>
        <v>3.7000000000000028</v>
      </c>
      <c r="I38" s="15">
        <f t="shared" si="3"/>
        <v>0</v>
      </c>
      <c r="J38" s="15">
        <f t="shared" si="3"/>
        <v>0</v>
      </c>
      <c r="K38" s="15">
        <f t="shared" si="3"/>
        <v>0</v>
      </c>
      <c r="L38" s="15">
        <f>L37-L41</f>
        <v>0</v>
      </c>
      <c r="M38" s="15">
        <f>M37-M41</f>
        <v>0</v>
      </c>
      <c r="N38" s="15">
        <f>N37-N41</f>
        <v>1.6000000000000014</v>
      </c>
      <c r="O38" s="15">
        <f>O37-O41</f>
        <v>0</v>
      </c>
      <c r="P38" s="15">
        <f t="shared" si="3"/>
        <v>0</v>
      </c>
      <c r="Q38" s="15">
        <f t="shared" si="3"/>
        <v>0</v>
      </c>
    </row>
    <row r="39" spans="2:17" ht="20.100000000000001" customHeight="1">
      <c r="B39" s="103"/>
      <c r="C39" s="10" t="s">
        <v>75</v>
      </c>
      <c r="D39" s="7" t="s">
        <v>76</v>
      </c>
      <c r="E39" s="7"/>
      <c r="F39" s="8"/>
      <c r="G39" s="8"/>
      <c r="H39" s="9"/>
      <c r="I39" s="9"/>
      <c r="J39" s="8"/>
      <c r="K39" s="8"/>
      <c r="L39" s="9"/>
      <c r="M39" s="9"/>
      <c r="N39" s="8"/>
      <c r="O39" s="8"/>
      <c r="P39" s="9"/>
      <c r="Q39" s="9"/>
    </row>
    <row r="40" spans="2:17" ht="20.100000000000001" customHeight="1">
      <c r="B40" s="103"/>
      <c r="C40" s="10" t="s">
        <v>77</v>
      </c>
      <c r="D40" s="7" t="s">
        <v>42</v>
      </c>
      <c r="E40" s="7">
        <v>30.8</v>
      </c>
      <c r="F40" s="8"/>
      <c r="G40" s="8"/>
      <c r="H40" s="9">
        <v>29.7</v>
      </c>
      <c r="I40" s="9"/>
      <c r="J40" s="8"/>
      <c r="K40" s="8"/>
      <c r="L40" s="9"/>
      <c r="M40" s="9"/>
      <c r="N40" s="8">
        <v>29.5</v>
      </c>
      <c r="O40" s="8"/>
      <c r="P40" s="9"/>
      <c r="Q40" s="9"/>
    </row>
    <row r="41" spans="2:17" ht="20.100000000000001" customHeight="1">
      <c r="B41" s="103"/>
      <c r="C41" s="10" t="s">
        <v>78</v>
      </c>
      <c r="D41" s="7" t="s">
        <v>42</v>
      </c>
      <c r="E41" s="7">
        <v>36.4</v>
      </c>
      <c r="F41" s="8"/>
      <c r="G41" s="8"/>
      <c r="H41" s="9">
        <v>34.5</v>
      </c>
      <c r="I41" s="9"/>
      <c r="J41" s="8"/>
      <c r="K41" s="8"/>
      <c r="L41" s="9"/>
      <c r="M41" s="9"/>
      <c r="N41" s="8">
        <v>34.9</v>
      </c>
      <c r="O41" s="8"/>
      <c r="P41" s="9"/>
      <c r="Q41" s="9"/>
    </row>
    <row r="42" spans="2:17" ht="20.100000000000001" customHeight="1">
      <c r="B42" s="103"/>
      <c r="C42" s="10" t="s">
        <v>79</v>
      </c>
      <c r="D42" s="7" t="s">
        <v>42</v>
      </c>
      <c r="E42" s="7">
        <v>5.6</v>
      </c>
      <c r="F42" s="15">
        <f>F41-F40</f>
        <v>0</v>
      </c>
      <c r="G42" s="15">
        <f>G41-G40</f>
        <v>0</v>
      </c>
      <c r="H42" s="15">
        <f t="shared" ref="H42:Q42" si="4">H41-H40</f>
        <v>4.8000000000000007</v>
      </c>
      <c r="I42" s="15">
        <f t="shared" si="4"/>
        <v>0</v>
      </c>
      <c r="J42" s="15">
        <f t="shared" si="4"/>
        <v>0</v>
      </c>
      <c r="K42" s="15">
        <f t="shared" si="4"/>
        <v>0</v>
      </c>
      <c r="L42" s="15">
        <f>L41-L40</f>
        <v>0</v>
      </c>
      <c r="M42" s="15">
        <f>M41-M40</f>
        <v>0</v>
      </c>
      <c r="N42" s="15">
        <f>N41-N40</f>
        <v>5.3999999999999986</v>
      </c>
      <c r="O42" s="15">
        <f>O41-O40</f>
        <v>0</v>
      </c>
      <c r="P42" s="15">
        <f t="shared" si="4"/>
        <v>0</v>
      </c>
      <c r="Q42" s="15">
        <f t="shared" si="4"/>
        <v>0</v>
      </c>
    </row>
    <row r="43" spans="2:17" ht="20.100000000000001" customHeight="1">
      <c r="B43" s="103"/>
      <c r="C43" s="10" t="s">
        <v>80</v>
      </c>
      <c r="D43" s="7" t="s">
        <v>61</v>
      </c>
      <c r="E43" s="7">
        <v>1273.0999999999999</v>
      </c>
      <c r="F43" s="8"/>
      <c r="G43" s="8"/>
      <c r="H43" s="9">
        <v>1292</v>
      </c>
      <c r="I43" s="9"/>
      <c r="J43" s="8"/>
      <c r="K43" s="8"/>
      <c r="L43" s="9"/>
      <c r="M43" s="8"/>
      <c r="N43" s="8">
        <v>1286.7</v>
      </c>
      <c r="O43" s="8"/>
      <c r="P43" s="9"/>
      <c r="Q43" s="9"/>
    </row>
    <row r="44" spans="2:17" ht="20.100000000000001" customHeight="1">
      <c r="B44" s="103"/>
      <c r="C44" s="10" t="s">
        <v>81</v>
      </c>
      <c r="D44" s="7" t="s">
        <v>67</v>
      </c>
      <c r="E44" s="7">
        <v>8226.9</v>
      </c>
      <c r="F44" s="16">
        <f>F42*F43/0.866</f>
        <v>0</v>
      </c>
      <c r="G44" s="16">
        <f>G42*G43/0.866</f>
        <v>0</v>
      </c>
      <c r="H44" s="16">
        <f t="shared" ref="H44:Q44" si="5">H42*H43/0.866</f>
        <v>7161.20092378753</v>
      </c>
      <c r="I44" s="16">
        <f t="shared" si="5"/>
        <v>0</v>
      </c>
      <c r="J44" s="16">
        <f t="shared" si="5"/>
        <v>0</v>
      </c>
      <c r="K44" s="16">
        <f t="shared" si="5"/>
        <v>0</v>
      </c>
      <c r="L44" s="16">
        <f>L42*L43/0.866</f>
        <v>0</v>
      </c>
      <c r="M44" s="16">
        <f>M42*M43/0.866</f>
        <v>0</v>
      </c>
      <c r="N44" s="16">
        <f>N42*N43/0.866</f>
        <v>8023.3025404157024</v>
      </c>
      <c r="O44" s="16">
        <f>O42*O43/0.866</f>
        <v>0</v>
      </c>
      <c r="P44" s="16">
        <f t="shared" si="5"/>
        <v>0</v>
      </c>
      <c r="Q44" s="16">
        <f t="shared" si="5"/>
        <v>0</v>
      </c>
    </row>
    <row r="45" spans="2:17" ht="20.100000000000001" customHeight="1">
      <c r="B45" s="103" t="s">
        <v>82</v>
      </c>
      <c r="C45" s="10" t="s">
        <v>83</v>
      </c>
      <c r="D45" s="7" t="s">
        <v>49</v>
      </c>
      <c r="E45" s="7" t="s">
        <v>84</v>
      </c>
      <c r="F45" s="8"/>
      <c r="G45" s="8"/>
      <c r="H45" s="9">
        <v>0.47</v>
      </c>
      <c r="I45" s="9"/>
      <c r="J45" s="8"/>
      <c r="K45" s="8"/>
      <c r="L45" s="9"/>
      <c r="M45" s="9"/>
      <c r="N45" s="8">
        <v>0.46</v>
      </c>
      <c r="O45" s="8"/>
      <c r="P45" s="9"/>
      <c r="Q45" s="9"/>
    </row>
    <row r="46" spans="2:17" ht="20.100000000000001" customHeight="1">
      <c r="B46" s="103"/>
      <c r="C46" s="10" t="s">
        <v>85</v>
      </c>
      <c r="D46" s="7" t="s">
        <v>42</v>
      </c>
      <c r="E46" s="7" t="s">
        <v>43</v>
      </c>
      <c r="F46" s="8"/>
      <c r="G46" s="8"/>
      <c r="H46" s="9">
        <v>19.899999999999999</v>
      </c>
      <c r="I46" s="9"/>
      <c r="J46" s="8"/>
      <c r="K46" s="8"/>
      <c r="L46" s="9"/>
      <c r="M46" s="9"/>
      <c r="N46" s="8">
        <v>19.8</v>
      </c>
      <c r="O46" s="8"/>
      <c r="P46" s="9"/>
      <c r="Q46" s="9"/>
    </row>
    <row r="47" spans="2:17" ht="20.100000000000001" customHeight="1">
      <c r="B47" s="103"/>
      <c r="C47" s="10" t="s">
        <v>86</v>
      </c>
      <c r="D47" s="7" t="s">
        <v>76</v>
      </c>
      <c r="E47" s="7" t="s">
        <v>76</v>
      </c>
      <c r="F47" s="8"/>
      <c r="G47" s="8"/>
      <c r="H47" s="9">
        <v>124.2</v>
      </c>
      <c r="I47" s="9"/>
      <c r="J47" s="8"/>
      <c r="K47" s="8"/>
      <c r="L47" s="9"/>
      <c r="M47" s="9"/>
      <c r="N47" s="8">
        <v>157.1</v>
      </c>
      <c r="O47" s="8"/>
      <c r="P47" s="9"/>
      <c r="Q47" s="9"/>
    </row>
    <row r="48" spans="2:17" ht="20.100000000000001" customHeight="1">
      <c r="B48" s="97" t="s">
        <v>87</v>
      </c>
      <c r="C48" s="97"/>
      <c r="D48" s="97"/>
      <c r="E48" s="17" t="s">
        <v>88</v>
      </c>
      <c r="F48" s="8"/>
      <c r="G48" s="8"/>
      <c r="H48" s="9"/>
      <c r="I48" s="9"/>
      <c r="J48" s="8"/>
      <c r="K48" s="8"/>
      <c r="L48" s="9"/>
      <c r="M48" s="9"/>
      <c r="N48" s="8"/>
      <c r="O48" s="8"/>
      <c r="P48" s="9"/>
      <c r="Q48" s="9"/>
    </row>
    <row r="49" spans="2:17" ht="20.100000000000001" customHeight="1">
      <c r="B49" s="97" t="s">
        <v>89</v>
      </c>
      <c r="C49" s="97"/>
      <c r="D49" s="97"/>
      <c r="E49" s="65">
        <v>5.89</v>
      </c>
      <c r="F49" s="8"/>
      <c r="G49" s="8"/>
      <c r="H49" s="9">
        <v>5.15</v>
      </c>
      <c r="I49" s="9"/>
      <c r="J49" s="8"/>
      <c r="K49" s="8"/>
      <c r="L49" s="9"/>
      <c r="M49" s="9"/>
      <c r="N49" s="8">
        <v>5.24</v>
      </c>
      <c r="O49" s="8"/>
      <c r="P49" s="9"/>
      <c r="Q49" s="9"/>
    </row>
    <row r="50" spans="2:17" ht="20.100000000000001" customHeight="1">
      <c r="B50" s="97" t="s">
        <v>90</v>
      </c>
      <c r="C50" s="97"/>
      <c r="D50" s="97"/>
      <c r="E50" s="65"/>
      <c r="F50" s="8"/>
      <c r="G50" s="8"/>
      <c r="H50" s="9"/>
      <c r="I50" s="9"/>
      <c r="J50" s="8"/>
      <c r="K50" s="8"/>
      <c r="L50" s="9"/>
      <c r="M50" s="9"/>
      <c r="N50" s="8"/>
      <c r="O50" s="8"/>
      <c r="P50" s="9"/>
      <c r="Q50" s="9"/>
    </row>
    <row r="51" spans="2:17" ht="20.100000000000001" customHeight="1" thickBot="1">
      <c r="B51" s="97" t="s">
        <v>91</v>
      </c>
      <c r="C51" s="97"/>
      <c r="D51" s="97"/>
      <c r="E51" s="64"/>
      <c r="F51" s="8"/>
      <c r="G51" s="8"/>
      <c r="H51" s="9"/>
      <c r="I51" s="9"/>
      <c r="J51" s="8"/>
      <c r="K51" s="8"/>
      <c r="L51" s="9"/>
      <c r="M51" s="9"/>
      <c r="N51" s="8"/>
      <c r="O51" s="8"/>
      <c r="P51" s="9"/>
      <c r="Q51" s="9"/>
    </row>
    <row r="52" spans="2:17">
      <c r="B52" t="s">
        <v>92</v>
      </c>
      <c r="C52" s="18" t="s">
        <v>93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28"/>
    </row>
    <row r="53" spans="2:17">
      <c r="C53" s="20" t="s">
        <v>94</v>
      </c>
      <c r="Q53" s="31"/>
    </row>
    <row r="54" spans="2:17">
      <c r="C54" s="20" t="s">
        <v>95</v>
      </c>
      <c r="Q54" s="31"/>
    </row>
    <row r="55" spans="2:17">
      <c r="C55" s="20"/>
      <c r="Q55" s="31"/>
    </row>
    <row r="56" spans="2:17">
      <c r="C56" s="20"/>
      <c r="Q56" s="31"/>
    </row>
    <row r="57" spans="2:17">
      <c r="C57" s="20" t="s">
        <v>96</v>
      </c>
      <c r="F57" s="21" t="b">
        <v>0</v>
      </c>
      <c r="G57" s="22" t="s">
        <v>97</v>
      </c>
      <c r="Q57" s="31"/>
    </row>
    <row r="58" spans="2:17">
      <c r="C58" s="20" t="s">
        <v>96</v>
      </c>
      <c r="F58" s="8" t="s">
        <v>98</v>
      </c>
      <c r="G58" s="23" t="s">
        <v>99</v>
      </c>
      <c r="Q58" s="31"/>
    </row>
    <row r="59" spans="2:17" ht="15.75" thickBot="1"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30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3DBFE-0FF2-440E-8BE2-5F4A75063891}">
  <dimension ref="B1:Q59"/>
  <sheetViews>
    <sheetView view="pageBreakPreview" zoomScale="85" zoomScaleNormal="60" workbookViewId="0">
      <selection activeCell="H38" sqref="H38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107"/>
      <c r="C2" s="110" t="s">
        <v>0</v>
      </c>
      <c r="D2" s="111"/>
      <c r="E2" s="111"/>
      <c r="F2" s="111"/>
      <c r="G2" s="111"/>
      <c r="H2" s="111"/>
      <c r="I2" s="111"/>
      <c r="J2" s="111"/>
      <c r="K2" s="111"/>
      <c r="L2" s="111"/>
      <c r="M2" s="112"/>
      <c r="N2" s="18" t="s">
        <v>1</v>
      </c>
      <c r="O2" s="19"/>
      <c r="P2" s="19"/>
      <c r="Q2" s="28"/>
    </row>
    <row r="3" spans="2:17" ht="15.75" thickBot="1">
      <c r="B3" s="108"/>
      <c r="C3" s="113"/>
      <c r="D3" s="114"/>
      <c r="E3" s="114"/>
      <c r="F3" s="114"/>
      <c r="G3" s="114"/>
      <c r="H3" s="114"/>
      <c r="I3" s="114"/>
      <c r="J3" s="114"/>
      <c r="K3" s="114"/>
      <c r="L3" s="114"/>
      <c r="M3" s="115"/>
      <c r="N3" s="26" t="s">
        <v>2</v>
      </c>
      <c r="O3" s="27" t="s">
        <v>3</v>
      </c>
      <c r="P3" s="27"/>
      <c r="Q3" s="29"/>
    </row>
    <row r="4" spans="2:17" ht="15.75" thickBot="1">
      <c r="B4" s="108"/>
      <c r="C4" s="113"/>
      <c r="D4" s="114"/>
      <c r="E4" s="114"/>
      <c r="F4" s="114"/>
      <c r="G4" s="114"/>
      <c r="H4" s="114"/>
      <c r="I4" s="114"/>
      <c r="J4" s="114"/>
      <c r="K4" s="114"/>
      <c r="L4" s="114"/>
      <c r="M4" s="115"/>
      <c r="N4" s="26" t="s">
        <v>4</v>
      </c>
      <c r="O4" s="27"/>
      <c r="P4" s="27"/>
      <c r="Q4" s="29"/>
    </row>
    <row r="5" spans="2:17" ht="15.75" thickBot="1">
      <c r="B5" s="109"/>
      <c r="C5" s="116"/>
      <c r="D5" s="117"/>
      <c r="E5" s="117"/>
      <c r="F5" s="117"/>
      <c r="G5" s="117"/>
      <c r="H5" s="117"/>
      <c r="I5" s="117"/>
      <c r="J5" s="117"/>
      <c r="K5" s="117"/>
      <c r="L5" s="117"/>
      <c r="M5" s="118"/>
      <c r="N5" s="24" t="s">
        <v>5</v>
      </c>
      <c r="O5" s="25"/>
      <c r="P5" s="25"/>
      <c r="Q5" s="30"/>
    </row>
    <row r="7" spans="2:17">
      <c r="B7" s="98" t="s">
        <v>6</v>
      </c>
      <c r="C7" s="99"/>
      <c r="D7" s="100">
        <v>45733</v>
      </c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2"/>
    </row>
    <row r="8" spans="2:17">
      <c r="B8" s="97" t="s">
        <v>7</v>
      </c>
      <c r="C8" s="97"/>
      <c r="D8" s="97"/>
      <c r="E8" s="105" t="s">
        <v>8</v>
      </c>
      <c r="F8" s="103" t="s">
        <v>9</v>
      </c>
      <c r="G8" s="103"/>
      <c r="H8" s="104" t="s">
        <v>10</v>
      </c>
      <c r="I8" s="104"/>
      <c r="J8" s="103" t="s">
        <v>11</v>
      </c>
      <c r="K8" s="103"/>
      <c r="L8" s="104" t="s">
        <v>12</v>
      </c>
      <c r="M8" s="104"/>
      <c r="N8" s="103" t="s">
        <v>13</v>
      </c>
      <c r="O8" s="103"/>
      <c r="P8" s="104" t="s">
        <v>14</v>
      </c>
      <c r="Q8" s="104"/>
    </row>
    <row r="9" spans="2:17">
      <c r="B9" s="98" t="s">
        <v>15</v>
      </c>
      <c r="C9" s="119"/>
      <c r="D9" s="99"/>
      <c r="E9" s="106"/>
      <c r="F9" s="3">
        <v>0.375</v>
      </c>
      <c r="G9" s="32" t="s">
        <v>16</v>
      </c>
      <c r="H9" s="4">
        <v>0.375</v>
      </c>
      <c r="I9" s="33" t="s">
        <v>16</v>
      </c>
      <c r="J9" s="3">
        <v>0.375</v>
      </c>
      <c r="K9" s="32" t="s">
        <v>16</v>
      </c>
      <c r="L9" s="4">
        <v>0.375</v>
      </c>
      <c r="M9" s="33" t="s">
        <v>16</v>
      </c>
      <c r="N9" s="3">
        <v>0.375</v>
      </c>
      <c r="O9" s="32" t="s">
        <v>16</v>
      </c>
      <c r="P9" s="4">
        <v>0.375</v>
      </c>
      <c r="Q9" s="33" t="s">
        <v>16</v>
      </c>
    </row>
    <row r="10" spans="2:17" ht="26.25" customHeight="1">
      <c r="B10" s="120" t="s">
        <v>17</v>
      </c>
      <c r="C10" s="121"/>
      <c r="D10" s="67" t="s">
        <v>18</v>
      </c>
      <c r="E10" s="5"/>
      <c r="F10" s="6" t="s">
        <v>19</v>
      </c>
      <c r="G10" s="34" t="s">
        <v>19</v>
      </c>
      <c r="H10" s="35" t="s">
        <v>19</v>
      </c>
      <c r="I10" s="35" t="s">
        <v>19</v>
      </c>
      <c r="J10" s="34" t="s">
        <v>19</v>
      </c>
      <c r="K10" s="34" t="s">
        <v>19</v>
      </c>
      <c r="L10" s="35" t="s">
        <v>19</v>
      </c>
      <c r="M10" s="35" t="s">
        <v>19</v>
      </c>
      <c r="N10" s="6" t="s">
        <v>19</v>
      </c>
      <c r="O10" s="34" t="s">
        <v>19</v>
      </c>
      <c r="P10" s="35" t="s">
        <v>19</v>
      </c>
      <c r="Q10" s="35" t="s">
        <v>19</v>
      </c>
    </row>
    <row r="11" spans="2:17" ht="20.100000000000001" customHeight="1">
      <c r="B11" s="97" t="s">
        <v>20</v>
      </c>
      <c r="C11" s="97"/>
      <c r="D11" s="7" t="s">
        <v>21</v>
      </c>
      <c r="E11" s="7" t="s">
        <v>22</v>
      </c>
      <c r="F11" s="8"/>
      <c r="G11" s="8">
        <v>71.900000000000006</v>
      </c>
      <c r="H11" s="9"/>
      <c r="I11" s="9">
        <v>76</v>
      </c>
      <c r="J11" s="8">
        <v>75.3</v>
      </c>
      <c r="K11" s="8">
        <v>74</v>
      </c>
      <c r="L11" s="9"/>
      <c r="M11" s="9">
        <v>69.7</v>
      </c>
      <c r="N11" s="8"/>
      <c r="O11" s="8">
        <v>76.5</v>
      </c>
      <c r="P11" s="9">
        <v>75.900000000000006</v>
      </c>
      <c r="Q11" s="9">
        <v>75.2</v>
      </c>
    </row>
    <row r="12" spans="2:17" ht="20.100000000000001" customHeight="1">
      <c r="B12" s="97" t="s">
        <v>23</v>
      </c>
      <c r="C12" s="97"/>
      <c r="D12" s="7" t="s">
        <v>21</v>
      </c>
      <c r="E12" s="7" t="s">
        <v>22</v>
      </c>
      <c r="F12" s="8"/>
      <c r="G12" s="8">
        <v>0</v>
      </c>
      <c r="H12" s="9"/>
      <c r="I12" s="9">
        <v>0</v>
      </c>
      <c r="J12" s="8">
        <v>0</v>
      </c>
      <c r="K12" s="8">
        <v>0</v>
      </c>
      <c r="L12" s="9"/>
      <c r="M12" s="9">
        <v>0</v>
      </c>
      <c r="N12" s="8"/>
      <c r="O12" s="8">
        <v>0</v>
      </c>
      <c r="P12" s="9">
        <v>0</v>
      </c>
      <c r="Q12" s="9">
        <v>0</v>
      </c>
    </row>
    <row r="13" spans="2:17" ht="20.100000000000001" customHeight="1">
      <c r="B13" s="97" t="s">
        <v>24</v>
      </c>
      <c r="C13" s="97"/>
      <c r="D13" s="7" t="s">
        <v>21</v>
      </c>
      <c r="E13" s="7" t="s">
        <v>22</v>
      </c>
      <c r="F13" s="8"/>
      <c r="G13" s="8">
        <v>66.400000000000006</v>
      </c>
      <c r="H13" s="9"/>
      <c r="I13" s="9">
        <v>71.3</v>
      </c>
      <c r="J13" s="8">
        <v>69.599999999999994</v>
      </c>
      <c r="K13" s="8">
        <v>69.099999999999994</v>
      </c>
      <c r="L13" s="9"/>
      <c r="M13" s="9">
        <v>65.3</v>
      </c>
      <c r="N13" s="8"/>
      <c r="O13" s="8">
        <v>71.599999999999994</v>
      </c>
      <c r="P13" s="9">
        <v>70.400000000000006</v>
      </c>
      <c r="Q13" s="9">
        <v>69.7</v>
      </c>
    </row>
    <row r="14" spans="2:17" ht="20.100000000000001" customHeight="1">
      <c r="B14" s="97" t="s">
        <v>25</v>
      </c>
      <c r="C14" s="97"/>
      <c r="D14" s="7" t="s">
        <v>21</v>
      </c>
      <c r="E14" s="7" t="s">
        <v>22</v>
      </c>
      <c r="F14" s="8"/>
      <c r="G14" s="8">
        <v>67.8</v>
      </c>
      <c r="H14" s="9"/>
      <c r="I14" s="9">
        <v>70.599999999999994</v>
      </c>
      <c r="J14" s="8">
        <v>62.5</v>
      </c>
      <c r="K14" s="8">
        <v>63.8</v>
      </c>
      <c r="L14" s="9"/>
      <c r="M14" s="9">
        <v>65.2</v>
      </c>
      <c r="N14" s="8"/>
      <c r="O14" s="8">
        <v>74.2</v>
      </c>
      <c r="P14" s="9">
        <v>70.099999999999994</v>
      </c>
      <c r="Q14" s="9">
        <v>73.400000000000006</v>
      </c>
    </row>
    <row r="15" spans="2:17" ht="20.100000000000001" customHeight="1">
      <c r="B15" s="97" t="s">
        <v>26</v>
      </c>
      <c r="C15" s="97"/>
      <c r="D15" s="7" t="s">
        <v>21</v>
      </c>
      <c r="E15" s="7" t="s">
        <v>22</v>
      </c>
      <c r="F15" s="8"/>
      <c r="G15" s="8">
        <v>37.299999999999997</v>
      </c>
      <c r="H15" s="9"/>
      <c r="I15" s="9">
        <v>52.2</v>
      </c>
      <c r="J15" s="8">
        <v>38.200000000000003</v>
      </c>
      <c r="K15" s="8">
        <v>38.200000000000003</v>
      </c>
      <c r="L15" s="9"/>
      <c r="M15" s="9">
        <v>32.1</v>
      </c>
      <c r="N15" s="8"/>
      <c r="O15" s="8">
        <v>53.5</v>
      </c>
      <c r="P15" s="9">
        <v>41.2</v>
      </c>
      <c r="Q15" s="9">
        <v>42</v>
      </c>
    </row>
    <row r="16" spans="2:17" ht="20.100000000000001" customHeight="1">
      <c r="B16" s="103" t="s">
        <v>27</v>
      </c>
      <c r="C16" s="10" t="s">
        <v>28</v>
      </c>
      <c r="D16" s="7" t="s">
        <v>29</v>
      </c>
      <c r="E16" s="7" t="s">
        <v>30</v>
      </c>
      <c r="F16" s="8"/>
      <c r="G16" s="8">
        <v>6.6</v>
      </c>
      <c r="H16" s="8"/>
      <c r="I16" s="8">
        <v>6.6</v>
      </c>
      <c r="J16" s="8">
        <v>6.6</v>
      </c>
      <c r="K16" s="8">
        <v>6.6</v>
      </c>
      <c r="L16" s="8"/>
      <c r="M16" s="8">
        <v>6.6</v>
      </c>
      <c r="N16" s="8"/>
      <c r="O16" s="8">
        <v>6.6</v>
      </c>
      <c r="P16" s="8">
        <v>6.6</v>
      </c>
      <c r="Q16" s="8">
        <v>6.6</v>
      </c>
    </row>
    <row r="17" spans="2:17" ht="20.100000000000001" customHeight="1">
      <c r="B17" s="103"/>
      <c r="C17" s="10" t="s">
        <v>31</v>
      </c>
      <c r="D17" s="7" t="s">
        <v>32</v>
      </c>
      <c r="E17" s="7" t="s">
        <v>33</v>
      </c>
      <c r="F17" s="8"/>
      <c r="G17" s="8">
        <v>117.5</v>
      </c>
      <c r="H17" s="9"/>
      <c r="I17" s="9">
        <v>115.6</v>
      </c>
      <c r="J17" s="8">
        <v>118.5</v>
      </c>
      <c r="K17" s="8">
        <v>116.4</v>
      </c>
      <c r="L17" s="9"/>
      <c r="M17" s="9">
        <v>112.3</v>
      </c>
      <c r="N17" s="8"/>
      <c r="O17" s="8">
        <v>118.3</v>
      </c>
      <c r="P17" s="9">
        <v>120</v>
      </c>
      <c r="Q17" s="9">
        <v>118.5</v>
      </c>
    </row>
    <row r="18" spans="2:17" ht="20.100000000000001" customHeight="1">
      <c r="B18" s="103"/>
      <c r="C18" s="10" t="s">
        <v>34</v>
      </c>
      <c r="D18" s="7" t="s">
        <v>35</v>
      </c>
      <c r="E18" s="7" t="s">
        <v>36</v>
      </c>
      <c r="F18" s="8"/>
      <c r="G18" s="8">
        <v>1158</v>
      </c>
      <c r="H18" s="9"/>
      <c r="I18" s="9">
        <v>1171</v>
      </c>
      <c r="J18" s="8">
        <v>1215</v>
      </c>
      <c r="K18" s="8">
        <v>1182</v>
      </c>
      <c r="L18" s="9"/>
      <c r="M18" s="9">
        <v>1140</v>
      </c>
      <c r="N18" s="8"/>
      <c r="O18" s="8">
        <v>1202</v>
      </c>
      <c r="P18" s="9">
        <v>1218</v>
      </c>
      <c r="Q18" s="9">
        <v>1205</v>
      </c>
    </row>
    <row r="19" spans="2:17" ht="20.100000000000001" customHeight="1">
      <c r="B19" s="103" t="s">
        <v>37</v>
      </c>
      <c r="C19" s="10" t="s">
        <v>38</v>
      </c>
      <c r="D19" s="7" t="s">
        <v>39</v>
      </c>
      <c r="E19" s="11" t="s">
        <v>40</v>
      </c>
      <c r="F19" s="8"/>
      <c r="G19" s="8">
        <v>49553.1</v>
      </c>
      <c r="H19" s="9"/>
      <c r="I19" s="9">
        <v>50800.2</v>
      </c>
      <c r="J19" s="8">
        <v>48442.3</v>
      </c>
      <c r="K19" s="8">
        <v>48432.2</v>
      </c>
      <c r="L19" s="9"/>
      <c r="M19" s="9">
        <v>50826.3</v>
      </c>
      <c r="N19" s="8"/>
      <c r="O19" s="8">
        <v>50015.4</v>
      </c>
      <c r="P19" s="9">
        <v>50163</v>
      </c>
      <c r="Q19" s="9">
        <v>50153</v>
      </c>
    </row>
    <row r="20" spans="2:17" ht="20.100000000000001" customHeight="1">
      <c r="B20" s="103"/>
      <c r="C20" s="10" t="s">
        <v>41</v>
      </c>
      <c r="D20" s="7" t="s">
        <v>42</v>
      </c>
      <c r="E20" s="7" t="s">
        <v>43</v>
      </c>
      <c r="F20" s="8"/>
      <c r="G20" s="8"/>
      <c r="H20" s="9"/>
      <c r="I20" s="9"/>
      <c r="J20" s="8"/>
      <c r="K20" s="8"/>
      <c r="L20" s="9"/>
      <c r="M20" s="9"/>
      <c r="N20" s="8"/>
      <c r="O20" s="8"/>
      <c r="P20" s="9"/>
      <c r="Q20" s="9"/>
    </row>
    <row r="21" spans="2:17" ht="20.100000000000001" customHeight="1">
      <c r="B21" s="103"/>
      <c r="C21" s="10" t="s">
        <v>44</v>
      </c>
      <c r="D21" s="7" t="s">
        <v>42</v>
      </c>
      <c r="E21" s="7" t="s">
        <v>45</v>
      </c>
      <c r="F21" s="8"/>
      <c r="G21" s="8"/>
      <c r="H21" s="9"/>
      <c r="I21" s="9"/>
      <c r="J21" s="8"/>
      <c r="K21" s="8"/>
      <c r="L21" s="9"/>
      <c r="M21" s="9"/>
      <c r="N21" s="8"/>
      <c r="O21" s="8"/>
      <c r="P21" s="9"/>
      <c r="Q21" s="9"/>
    </row>
    <row r="22" spans="2:17" ht="20.100000000000001" customHeight="1">
      <c r="B22" s="103"/>
      <c r="C22" s="10" t="s">
        <v>46</v>
      </c>
      <c r="D22" s="7" t="s">
        <v>42</v>
      </c>
      <c r="E22" s="7" t="s">
        <v>47</v>
      </c>
      <c r="F22" s="8"/>
      <c r="G22" s="8">
        <v>59</v>
      </c>
      <c r="H22" s="9"/>
      <c r="I22" s="9">
        <v>58.9</v>
      </c>
      <c r="J22" s="8">
        <v>58</v>
      </c>
      <c r="K22" s="8">
        <v>57.8</v>
      </c>
      <c r="L22" s="9"/>
      <c r="M22" s="9">
        <v>57.2</v>
      </c>
      <c r="N22" s="8"/>
      <c r="O22" s="8">
        <v>58.5</v>
      </c>
      <c r="P22" s="9">
        <v>59.1</v>
      </c>
      <c r="Q22" s="9">
        <v>59.2</v>
      </c>
    </row>
    <row r="23" spans="2:17" ht="60">
      <c r="B23" s="103"/>
      <c r="C23" s="12" t="s">
        <v>48</v>
      </c>
      <c r="D23" s="8" t="s">
        <v>49</v>
      </c>
      <c r="E23" s="13" t="s">
        <v>50</v>
      </c>
      <c r="F23" s="8"/>
      <c r="G23" s="8">
        <v>0.52</v>
      </c>
      <c r="H23" s="9"/>
      <c r="I23" s="9">
        <v>0.49</v>
      </c>
      <c r="J23" s="8">
        <v>0.59</v>
      </c>
      <c r="K23" s="8">
        <v>0.59</v>
      </c>
      <c r="L23" s="9"/>
      <c r="M23" s="9">
        <v>0.52</v>
      </c>
      <c r="N23" s="8"/>
      <c r="O23" s="8">
        <v>0.47</v>
      </c>
      <c r="P23" s="9">
        <v>0.5</v>
      </c>
      <c r="Q23" s="9">
        <v>0.5</v>
      </c>
    </row>
    <row r="24" spans="2:17" ht="39.75" customHeight="1">
      <c r="B24" s="103"/>
      <c r="C24" s="12" t="s">
        <v>51</v>
      </c>
      <c r="D24" s="7"/>
      <c r="E24" s="7"/>
      <c r="F24" s="8"/>
      <c r="G24" s="8"/>
      <c r="H24" s="9"/>
      <c r="I24" s="9"/>
      <c r="J24" s="8"/>
      <c r="K24" s="8"/>
      <c r="L24" s="8"/>
      <c r="M24" s="9"/>
      <c r="N24" s="8"/>
      <c r="O24" s="8"/>
      <c r="P24" s="9"/>
      <c r="Q24" s="9"/>
    </row>
    <row r="25" spans="2:17" ht="20.100000000000001" customHeight="1">
      <c r="B25" s="103"/>
      <c r="C25" s="10" t="s">
        <v>52</v>
      </c>
      <c r="D25" s="7" t="s">
        <v>42</v>
      </c>
      <c r="E25" s="7" t="s">
        <v>53</v>
      </c>
      <c r="F25" s="8"/>
      <c r="G25" s="8">
        <v>45</v>
      </c>
      <c r="H25" s="9"/>
      <c r="I25" s="9">
        <v>45.2</v>
      </c>
      <c r="J25" s="8">
        <v>44.9</v>
      </c>
      <c r="K25" s="8">
        <v>44.8</v>
      </c>
      <c r="L25" s="9"/>
      <c r="M25" s="9">
        <v>45.2</v>
      </c>
      <c r="N25" s="8"/>
      <c r="O25" s="8">
        <v>45.1</v>
      </c>
      <c r="P25" s="9">
        <v>44.9</v>
      </c>
      <c r="Q25" s="9">
        <v>44.9</v>
      </c>
    </row>
    <row r="26" spans="2:17" ht="20.100000000000001" customHeight="1">
      <c r="B26" s="103" t="s">
        <v>54</v>
      </c>
      <c r="C26" s="10" t="s">
        <v>55</v>
      </c>
      <c r="D26" s="7" t="s">
        <v>49</v>
      </c>
      <c r="E26" s="14" t="s">
        <v>56</v>
      </c>
      <c r="F26" s="8"/>
      <c r="G26" s="8">
        <v>0.23</v>
      </c>
      <c r="H26" s="9"/>
      <c r="I26" s="9">
        <v>0.22</v>
      </c>
      <c r="J26" s="8">
        <v>0.23</v>
      </c>
      <c r="K26" s="8">
        <v>0.23</v>
      </c>
      <c r="L26" s="9"/>
      <c r="M26" s="9">
        <v>0.22</v>
      </c>
      <c r="N26" s="8"/>
      <c r="O26" s="8">
        <v>0.22</v>
      </c>
      <c r="P26" s="9">
        <v>0.23</v>
      </c>
      <c r="Q26" s="9">
        <v>0.23</v>
      </c>
    </row>
    <row r="27" spans="2:17" ht="20.100000000000001" customHeight="1">
      <c r="B27" s="103"/>
      <c r="C27" s="10" t="s">
        <v>57</v>
      </c>
      <c r="D27" s="7" t="s">
        <v>42</v>
      </c>
      <c r="E27" s="7" t="s">
        <v>43</v>
      </c>
      <c r="F27" s="8"/>
      <c r="G27" s="8">
        <v>4.4000000000000004</v>
      </c>
      <c r="H27" s="9"/>
      <c r="I27" s="9">
        <v>3.5</v>
      </c>
      <c r="J27" s="8">
        <v>4.5999999999999996</v>
      </c>
      <c r="K27" s="8">
        <v>4.2</v>
      </c>
      <c r="L27" s="9"/>
      <c r="M27" s="9">
        <v>3.7</v>
      </c>
      <c r="N27" s="8"/>
      <c r="O27" s="8">
        <v>4.0999999999999996</v>
      </c>
      <c r="P27" s="9">
        <v>4.7</v>
      </c>
      <c r="Q27" s="9">
        <v>4.8</v>
      </c>
    </row>
    <row r="28" spans="2:17" ht="20.100000000000001" customHeight="1">
      <c r="B28" s="103"/>
      <c r="C28" s="10" t="s">
        <v>58</v>
      </c>
      <c r="D28" s="7" t="s">
        <v>42</v>
      </c>
      <c r="E28" s="7" t="s">
        <v>43</v>
      </c>
      <c r="F28" s="8"/>
      <c r="G28" s="8">
        <v>3.8</v>
      </c>
      <c r="H28" s="9"/>
      <c r="I28" s="9">
        <v>2.7</v>
      </c>
      <c r="J28" s="8">
        <v>3.7</v>
      </c>
      <c r="K28" s="8">
        <v>3.5</v>
      </c>
      <c r="L28" s="9"/>
      <c r="M28" s="9">
        <v>2.7</v>
      </c>
      <c r="N28" s="8"/>
      <c r="O28" s="8">
        <v>3.3</v>
      </c>
      <c r="P28" s="9">
        <v>3.7</v>
      </c>
      <c r="Q28" s="9">
        <v>3.7</v>
      </c>
    </row>
    <row r="29" spans="2:17" ht="20.100000000000001" customHeight="1">
      <c r="B29" s="103"/>
      <c r="C29" s="10" t="s">
        <v>59</v>
      </c>
      <c r="D29" s="7" t="s">
        <v>42</v>
      </c>
      <c r="E29" s="7" t="s">
        <v>43</v>
      </c>
      <c r="F29" s="15">
        <f>F32-F28</f>
        <v>0</v>
      </c>
      <c r="G29" s="15">
        <f>G32-G28</f>
        <v>1</v>
      </c>
      <c r="H29" s="15">
        <f t="shared" ref="H29:Q29" si="0">H32-H28</f>
        <v>0</v>
      </c>
      <c r="I29" s="15">
        <f t="shared" si="0"/>
        <v>2.0999999999999996</v>
      </c>
      <c r="J29" s="15">
        <f t="shared" si="0"/>
        <v>0.79999999999999982</v>
      </c>
      <c r="K29" s="15">
        <f t="shared" si="0"/>
        <v>0.70000000000000018</v>
      </c>
      <c r="L29" s="15">
        <f>L32-L28</f>
        <v>0</v>
      </c>
      <c r="M29" s="15">
        <f>M32-M28</f>
        <v>1.0999999999999996</v>
      </c>
      <c r="N29" s="15">
        <f>N32-N28</f>
        <v>0</v>
      </c>
      <c r="O29" s="15">
        <f>O32-O28</f>
        <v>1.1000000000000005</v>
      </c>
      <c r="P29" s="15">
        <f t="shared" si="0"/>
        <v>1.2000000000000002</v>
      </c>
      <c r="Q29" s="15">
        <f t="shared" si="0"/>
        <v>1.0999999999999996</v>
      </c>
    </row>
    <row r="30" spans="2:17" ht="20.100000000000001" customHeight="1">
      <c r="B30" s="103"/>
      <c r="C30" s="10" t="s">
        <v>60</v>
      </c>
      <c r="D30" s="7" t="s">
        <v>61</v>
      </c>
      <c r="E30" s="7" t="s">
        <v>62</v>
      </c>
      <c r="F30" s="8"/>
      <c r="G30" s="8">
        <v>673</v>
      </c>
      <c r="H30" s="9"/>
      <c r="I30" s="9">
        <v>652.6</v>
      </c>
      <c r="J30" s="8">
        <v>681.5</v>
      </c>
      <c r="K30" s="8">
        <v>634.29999999999995</v>
      </c>
      <c r="L30" s="9"/>
      <c r="M30" s="9">
        <v>643.29999999999995</v>
      </c>
      <c r="N30" s="8"/>
      <c r="O30" s="8">
        <v>652.79999999999995</v>
      </c>
      <c r="P30" s="9">
        <v>676.1</v>
      </c>
      <c r="Q30" s="9">
        <v>643</v>
      </c>
    </row>
    <row r="31" spans="2:17" ht="20.100000000000001" customHeight="1">
      <c r="B31" s="103"/>
      <c r="C31" s="10" t="s">
        <v>63</v>
      </c>
      <c r="D31" s="7" t="s">
        <v>42</v>
      </c>
      <c r="E31" s="7">
        <v>13.5</v>
      </c>
      <c r="F31" s="8"/>
      <c r="G31" s="8">
        <v>13.4</v>
      </c>
      <c r="H31" s="9"/>
      <c r="I31" s="9">
        <v>13.6</v>
      </c>
      <c r="J31" s="8">
        <v>13</v>
      </c>
      <c r="K31" s="8">
        <v>13.4</v>
      </c>
      <c r="L31" s="9"/>
      <c r="M31" s="9">
        <v>12.8</v>
      </c>
      <c r="N31" s="8"/>
      <c r="O31" s="8">
        <v>13.6</v>
      </c>
      <c r="P31" s="9">
        <v>13</v>
      </c>
      <c r="Q31" s="9">
        <v>13.4</v>
      </c>
    </row>
    <row r="32" spans="2:17" ht="20.100000000000001" customHeight="1">
      <c r="B32" s="103"/>
      <c r="C32" s="10" t="s">
        <v>64</v>
      </c>
      <c r="D32" s="7" t="s">
        <v>42</v>
      </c>
      <c r="E32" s="7">
        <v>4</v>
      </c>
      <c r="F32" s="8"/>
      <c r="G32" s="8">
        <v>4.8</v>
      </c>
      <c r="H32" s="9"/>
      <c r="I32" s="9">
        <v>4.8</v>
      </c>
      <c r="J32" s="8">
        <v>4.5</v>
      </c>
      <c r="K32" s="8">
        <v>4.2</v>
      </c>
      <c r="L32" s="9"/>
      <c r="M32" s="9">
        <v>3.8</v>
      </c>
      <c r="N32" s="8"/>
      <c r="O32" s="8">
        <v>4.4000000000000004</v>
      </c>
      <c r="P32" s="9">
        <v>4.9000000000000004</v>
      </c>
      <c r="Q32" s="9">
        <v>4.8</v>
      </c>
    </row>
    <row r="33" spans="2:17" ht="20.100000000000001" customHeight="1">
      <c r="B33" s="103"/>
      <c r="C33" s="10" t="s">
        <v>65</v>
      </c>
      <c r="D33" s="7" t="s">
        <v>42</v>
      </c>
      <c r="E33" s="7">
        <v>9.5</v>
      </c>
      <c r="F33" s="15">
        <f>F31-F32</f>
        <v>0</v>
      </c>
      <c r="G33" s="15">
        <f>G31-G32</f>
        <v>8.6000000000000014</v>
      </c>
      <c r="H33" s="15">
        <f t="shared" ref="H33:Q33" si="1">H31-H32</f>
        <v>0</v>
      </c>
      <c r="I33" s="15">
        <f t="shared" si="1"/>
        <v>8.8000000000000007</v>
      </c>
      <c r="J33" s="15">
        <f t="shared" si="1"/>
        <v>8.5</v>
      </c>
      <c r="K33" s="15">
        <f t="shared" si="1"/>
        <v>9.1999999999999993</v>
      </c>
      <c r="L33" s="15">
        <f>L31-L32</f>
        <v>0</v>
      </c>
      <c r="M33" s="15">
        <f>M31-M32</f>
        <v>9</v>
      </c>
      <c r="N33" s="15">
        <f>N31-N32</f>
        <v>0</v>
      </c>
      <c r="O33" s="15">
        <f>O31-O32</f>
        <v>9.1999999999999993</v>
      </c>
      <c r="P33" s="15">
        <f t="shared" si="1"/>
        <v>8.1</v>
      </c>
      <c r="Q33" s="15">
        <f t="shared" si="1"/>
        <v>8.6000000000000014</v>
      </c>
    </row>
    <row r="34" spans="2:17" ht="20.100000000000001" customHeight="1">
      <c r="B34" s="103"/>
      <c r="C34" s="10" t="s">
        <v>66</v>
      </c>
      <c r="D34" s="7" t="s">
        <v>67</v>
      </c>
      <c r="E34" s="7" t="s">
        <v>68</v>
      </c>
      <c r="F34" s="16">
        <f>(F33*F30)/0.866</f>
        <v>0</v>
      </c>
      <c r="G34" s="16">
        <f>(G33*G30)/0.866</f>
        <v>6683.3718244803713</v>
      </c>
      <c r="H34" s="16">
        <f t="shared" ref="H34:Q34" si="2">(H33*H30)/0.866</f>
        <v>0</v>
      </c>
      <c r="I34" s="16">
        <f t="shared" si="2"/>
        <v>6631.501154734412</v>
      </c>
      <c r="J34" s="16">
        <f t="shared" si="2"/>
        <v>6689.0877598152429</v>
      </c>
      <c r="K34" s="16">
        <f t="shared" si="2"/>
        <v>6738.52193995381</v>
      </c>
      <c r="L34" s="16">
        <f>(L33*L30)/0.866</f>
        <v>0</v>
      </c>
      <c r="M34" s="16">
        <f>(M33*M30)/0.866</f>
        <v>6685.5658198614319</v>
      </c>
      <c r="N34" s="16">
        <f>(N33*N30)/0.866</f>
        <v>0</v>
      </c>
      <c r="O34" s="16">
        <f>(O33*O30)/0.866</f>
        <v>6935.0577367205533</v>
      </c>
      <c r="P34" s="16">
        <f t="shared" si="2"/>
        <v>6323.7990762124709</v>
      </c>
      <c r="Q34" s="16">
        <f t="shared" si="2"/>
        <v>6385.4503464203244</v>
      </c>
    </row>
    <row r="35" spans="2:17" ht="20.100000000000001" customHeight="1">
      <c r="B35" s="103" t="s">
        <v>69</v>
      </c>
      <c r="C35" s="10" t="s">
        <v>70</v>
      </c>
      <c r="D35" s="7" t="s">
        <v>49</v>
      </c>
      <c r="E35" s="7" t="s">
        <v>71</v>
      </c>
      <c r="F35" s="8"/>
      <c r="G35" s="8">
        <v>0.82</v>
      </c>
      <c r="H35" s="9"/>
      <c r="I35" s="9">
        <v>0.84</v>
      </c>
      <c r="J35" s="8">
        <v>0.85</v>
      </c>
      <c r="K35" s="8">
        <v>0.82</v>
      </c>
      <c r="L35" s="9"/>
      <c r="M35" s="9">
        <v>0.81</v>
      </c>
      <c r="N35" s="8"/>
      <c r="O35" s="8">
        <v>0.82</v>
      </c>
      <c r="P35" s="9">
        <v>0.85</v>
      </c>
      <c r="Q35" s="9">
        <v>0.83</v>
      </c>
    </row>
    <row r="36" spans="2:17" ht="20.100000000000001" customHeight="1">
      <c r="B36" s="103"/>
      <c r="C36" s="10" t="s">
        <v>72</v>
      </c>
      <c r="D36" s="7" t="s">
        <v>42</v>
      </c>
      <c r="E36" s="7" t="s">
        <v>43</v>
      </c>
      <c r="F36" s="8"/>
      <c r="G36" s="8">
        <v>36</v>
      </c>
      <c r="H36" s="9"/>
      <c r="I36" s="9">
        <v>36.200000000000003</v>
      </c>
      <c r="J36" s="8">
        <v>36.9</v>
      </c>
      <c r="K36" s="8">
        <v>36</v>
      </c>
      <c r="L36" s="9"/>
      <c r="M36" s="9">
        <v>35.700000000000003</v>
      </c>
      <c r="N36" s="8"/>
      <c r="O36" s="8">
        <v>35.299999999999997</v>
      </c>
      <c r="P36" s="9">
        <v>37</v>
      </c>
      <c r="Q36" s="9">
        <v>36.299999999999997</v>
      </c>
    </row>
    <row r="37" spans="2:17" ht="20.100000000000001" customHeight="1">
      <c r="B37" s="103"/>
      <c r="C37" s="10" t="s">
        <v>73</v>
      </c>
      <c r="D37" s="7" t="s">
        <v>42</v>
      </c>
      <c r="E37" s="7" t="s">
        <v>43</v>
      </c>
      <c r="F37" s="8"/>
      <c r="G37" s="8">
        <v>36.4</v>
      </c>
      <c r="H37" s="9"/>
      <c r="I37" s="9">
        <v>37.200000000000003</v>
      </c>
      <c r="J37" s="8">
        <v>37.700000000000003</v>
      </c>
      <c r="K37" s="8">
        <v>36.700000000000003</v>
      </c>
      <c r="L37" s="9"/>
      <c r="M37" s="9">
        <v>36.200000000000003</v>
      </c>
      <c r="N37" s="8"/>
      <c r="O37" s="8">
        <v>35.700000000000003</v>
      </c>
      <c r="P37" s="9">
        <v>37.799999999999997</v>
      </c>
      <c r="Q37" s="9">
        <v>37</v>
      </c>
    </row>
    <row r="38" spans="2:17" ht="20.100000000000001" customHeight="1">
      <c r="B38" s="103"/>
      <c r="C38" s="12" t="s">
        <v>74</v>
      </c>
      <c r="D38" s="7" t="s">
        <v>42</v>
      </c>
      <c r="E38" s="7" t="s">
        <v>101</v>
      </c>
      <c r="F38" s="15">
        <f>F37-F41</f>
        <v>0</v>
      </c>
      <c r="G38" s="15">
        <f>G37-G41</f>
        <v>2.1000000000000014</v>
      </c>
      <c r="H38" s="15">
        <f t="shared" ref="H38:Q38" si="3">H37-H41</f>
        <v>0</v>
      </c>
      <c r="I38" s="15">
        <f t="shared" si="3"/>
        <v>3.8000000000000043</v>
      </c>
      <c r="J38" s="15">
        <f t="shared" si="3"/>
        <v>2.5</v>
      </c>
      <c r="K38" s="15">
        <f t="shared" si="3"/>
        <v>2.4000000000000057</v>
      </c>
      <c r="L38" s="15">
        <f>L37-L41</f>
        <v>0</v>
      </c>
      <c r="M38" s="15">
        <f>M37-M41</f>
        <v>2.5</v>
      </c>
      <c r="N38" s="15">
        <f>N37-N41</f>
        <v>0</v>
      </c>
      <c r="O38" s="15">
        <f>O37-O41</f>
        <v>1.6000000000000014</v>
      </c>
      <c r="P38" s="15">
        <f t="shared" si="3"/>
        <v>3.0999999999999943</v>
      </c>
      <c r="Q38" s="15">
        <f t="shared" si="3"/>
        <v>3.1000000000000014</v>
      </c>
    </row>
    <row r="39" spans="2:17" ht="20.100000000000001" customHeight="1">
      <c r="B39" s="103"/>
      <c r="C39" s="10" t="s">
        <v>75</v>
      </c>
      <c r="D39" s="7" t="s">
        <v>76</v>
      </c>
      <c r="E39" s="7"/>
      <c r="F39" s="8"/>
      <c r="G39" s="8"/>
      <c r="H39" s="9"/>
      <c r="I39" s="9"/>
      <c r="J39" s="8"/>
      <c r="K39" s="8"/>
      <c r="L39" s="9"/>
      <c r="M39" s="9"/>
      <c r="N39" s="8"/>
      <c r="O39" s="8"/>
      <c r="P39" s="9"/>
      <c r="Q39" s="9"/>
    </row>
    <row r="40" spans="2:17" ht="20.100000000000001" customHeight="1">
      <c r="B40" s="103"/>
      <c r="C40" s="10" t="s">
        <v>77</v>
      </c>
      <c r="D40" s="7" t="s">
        <v>42</v>
      </c>
      <c r="E40" s="7">
        <v>30.8</v>
      </c>
      <c r="F40" s="8"/>
      <c r="G40" s="8">
        <v>28</v>
      </c>
      <c r="H40" s="9"/>
      <c r="I40" s="9">
        <v>28.2</v>
      </c>
      <c r="J40" s="8">
        <v>29.7</v>
      </c>
      <c r="K40" s="8">
        <v>28.3</v>
      </c>
      <c r="L40" s="9"/>
      <c r="M40" s="9">
        <v>28.2</v>
      </c>
      <c r="N40" s="8"/>
      <c r="O40" s="8">
        <v>28</v>
      </c>
      <c r="P40" s="9">
        <v>29.3</v>
      </c>
      <c r="Q40" s="9">
        <v>27.9</v>
      </c>
    </row>
    <row r="41" spans="2:17" ht="20.100000000000001" customHeight="1">
      <c r="B41" s="103"/>
      <c r="C41" s="10" t="s">
        <v>78</v>
      </c>
      <c r="D41" s="7" t="s">
        <v>42</v>
      </c>
      <c r="E41" s="7">
        <v>36.4</v>
      </c>
      <c r="F41" s="8"/>
      <c r="G41" s="8">
        <v>34.299999999999997</v>
      </c>
      <c r="H41" s="9"/>
      <c r="I41" s="9">
        <v>33.4</v>
      </c>
      <c r="J41" s="8">
        <v>35.200000000000003</v>
      </c>
      <c r="K41" s="8">
        <v>34.299999999999997</v>
      </c>
      <c r="L41" s="9"/>
      <c r="M41" s="9">
        <v>33.700000000000003</v>
      </c>
      <c r="N41" s="8"/>
      <c r="O41" s="8">
        <v>34.1</v>
      </c>
      <c r="P41" s="9">
        <v>34.700000000000003</v>
      </c>
      <c r="Q41" s="9">
        <v>33.9</v>
      </c>
    </row>
    <row r="42" spans="2:17" ht="20.100000000000001" customHeight="1">
      <c r="B42" s="103"/>
      <c r="C42" s="10" t="s">
        <v>79</v>
      </c>
      <c r="D42" s="7" t="s">
        <v>42</v>
      </c>
      <c r="E42" s="7">
        <v>5.6</v>
      </c>
      <c r="F42" s="15">
        <f>F41-F40</f>
        <v>0</v>
      </c>
      <c r="G42" s="15">
        <f>G41-G40</f>
        <v>6.2999999999999972</v>
      </c>
      <c r="H42" s="15">
        <f t="shared" ref="H42:Q42" si="4">H41-H40</f>
        <v>0</v>
      </c>
      <c r="I42" s="15">
        <f t="shared" si="4"/>
        <v>5.1999999999999993</v>
      </c>
      <c r="J42" s="15">
        <f t="shared" si="4"/>
        <v>5.5000000000000036</v>
      </c>
      <c r="K42" s="15">
        <f t="shared" si="4"/>
        <v>5.9999999999999964</v>
      </c>
      <c r="L42" s="15">
        <f>L41-L40</f>
        <v>0</v>
      </c>
      <c r="M42" s="15">
        <f>M41-M40</f>
        <v>5.5000000000000036</v>
      </c>
      <c r="N42" s="15">
        <f>N41-N40</f>
        <v>0</v>
      </c>
      <c r="O42" s="15">
        <f>O41-O40</f>
        <v>6.1000000000000014</v>
      </c>
      <c r="P42" s="15">
        <f t="shared" si="4"/>
        <v>5.4000000000000021</v>
      </c>
      <c r="Q42" s="15">
        <f t="shared" si="4"/>
        <v>6</v>
      </c>
    </row>
    <row r="43" spans="2:17" ht="20.100000000000001" customHeight="1">
      <c r="B43" s="103"/>
      <c r="C43" s="10" t="s">
        <v>80</v>
      </c>
      <c r="D43" s="7" t="s">
        <v>61</v>
      </c>
      <c r="E43" s="7">
        <v>1273.0999999999999</v>
      </c>
      <c r="F43" s="8"/>
      <c r="G43" s="8">
        <v>1155.8</v>
      </c>
      <c r="H43" s="9"/>
      <c r="I43" s="9">
        <v>1149.9000000000001</v>
      </c>
      <c r="J43" s="8">
        <v>1294.2</v>
      </c>
      <c r="K43" s="8">
        <v>1177.2</v>
      </c>
      <c r="L43" s="9"/>
      <c r="M43" s="8">
        <v>1151.4000000000001</v>
      </c>
      <c r="N43" s="8"/>
      <c r="O43" s="8">
        <v>1138.5999999999999</v>
      </c>
      <c r="P43" s="9">
        <v>1278.0999999999999</v>
      </c>
      <c r="Q43" s="9">
        <v>1165.7</v>
      </c>
    </row>
    <row r="44" spans="2:17" ht="20.100000000000001" customHeight="1">
      <c r="B44" s="103"/>
      <c r="C44" s="10" t="s">
        <v>81</v>
      </c>
      <c r="D44" s="7" t="s">
        <v>67</v>
      </c>
      <c r="E44" s="7">
        <v>8226.9</v>
      </c>
      <c r="F44" s="16">
        <f>F42*F43/0.866</f>
        <v>0</v>
      </c>
      <c r="G44" s="16">
        <f>G42*G43/0.866</f>
        <v>8408.2448036951464</v>
      </c>
      <c r="H44" s="16">
        <f t="shared" ref="H44:Q44" si="5">H42*H43/0.866</f>
        <v>0</v>
      </c>
      <c r="I44" s="16">
        <f t="shared" si="5"/>
        <v>6904.7113163972281</v>
      </c>
      <c r="J44" s="16">
        <f t="shared" si="5"/>
        <v>8219.5150115473498</v>
      </c>
      <c r="K44" s="16">
        <f t="shared" si="5"/>
        <v>8156.1200923787483</v>
      </c>
      <c r="L44" s="16">
        <f>L42*L43/0.866</f>
        <v>0</v>
      </c>
      <c r="M44" s="16">
        <f>M42*M43/0.866</f>
        <v>7312.5866050808363</v>
      </c>
      <c r="N44" s="16">
        <f>N42*N43/0.866</f>
        <v>0</v>
      </c>
      <c r="O44" s="16">
        <f>O42*O43/0.866</f>
        <v>8020.1616628175534</v>
      </c>
      <c r="P44" s="16">
        <f t="shared" si="5"/>
        <v>7969.6766743648986</v>
      </c>
      <c r="Q44" s="16">
        <f t="shared" si="5"/>
        <v>8076.4434180138578</v>
      </c>
    </row>
    <row r="45" spans="2:17" ht="20.100000000000001" customHeight="1">
      <c r="B45" s="103" t="s">
        <v>82</v>
      </c>
      <c r="C45" s="10" t="s">
        <v>83</v>
      </c>
      <c r="D45" s="7" t="s">
        <v>49</v>
      </c>
      <c r="E45" s="7" t="s">
        <v>84</v>
      </c>
      <c r="F45" s="8"/>
      <c r="G45" s="8">
        <v>0.47</v>
      </c>
      <c r="H45" s="9"/>
      <c r="I45" s="9">
        <v>0.46</v>
      </c>
      <c r="J45" s="8">
        <v>0.47</v>
      </c>
      <c r="K45" s="8">
        <v>0.46</v>
      </c>
      <c r="L45" s="9"/>
      <c r="M45" s="9">
        <v>0.46</v>
      </c>
      <c r="N45" s="8"/>
      <c r="O45" s="8">
        <v>0.45</v>
      </c>
      <c r="P45" s="9">
        <v>0.48</v>
      </c>
      <c r="Q45" s="9">
        <v>0.47</v>
      </c>
    </row>
    <row r="46" spans="2:17" ht="20.100000000000001" customHeight="1">
      <c r="B46" s="103"/>
      <c r="C46" s="10" t="s">
        <v>85</v>
      </c>
      <c r="D46" s="7" t="s">
        <v>42</v>
      </c>
      <c r="E46" s="7" t="s">
        <v>43</v>
      </c>
      <c r="F46" s="8"/>
      <c r="G46" s="8">
        <v>19.899999999999999</v>
      </c>
      <c r="H46" s="9"/>
      <c r="I46" s="9">
        <v>19.399999999999999</v>
      </c>
      <c r="J46" s="8">
        <v>20</v>
      </c>
      <c r="K46" s="8">
        <v>19.600000000000001</v>
      </c>
      <c r="L46" s="9"/>
      <c r="M46" s="9">
        <v>19.5</v>
      </c>
      <c r="N46" s="8"/>
      <c r="O46" s="8">
        <v>19.100000000000001</v>
      </c>
      <c r="P46" s="9">
        <v>20.5</v>
      </c>
      <c r="Q46" s="9">
        <v>20.100000000000001</v>
      </c>
    </row>
    <row r="47" spans="2:17" ht="20.100000000000001" customHeight="1">
      <c r="B47" s="103"/>
      <c r="C47" s="10" t="s">
        <v>86</v>
      </c>
      <c r="D47" s="7" t="s">
        <v>76</v>
      </c>
      <c r="E47" s="7" t="s">
        <v>76</v>
      </c>
      <c r="F47" s="8"/>
      <c r="G47" s="8">
        <v>196.9</v>
      </c>
      <c r="H47" s="9"/>
      <c r="I47" s="9">
        <v>120.4</v>
      </c>
      <c r="J47" s="8">
        <v>205.6</v>
      </c>
      <c r="K47" s="8">
        <v>205</v>
      </c>
      <c r="L47" s="9"/>
      <c r="M47" s="9">
        <v>195.4</v>
      </c>
      <c r="N47" s="8"/>
      <c r="O47" s="8">
        <v>159.9</v>
      </c>
      <c r="P47" s="9">
        <v>201.1</v>
      </c>
      <c r="Q47" s="9">
        <v>195.5</v>
      </c>
    </row>
    <row r="48" spans="2:17" ht="20.100000000000001" customHeight="1">
      <c r="B48" s="97" t="s">
        <v>87</v>
      </c>
      <c r="C48" s="97"/>
      <c r="D48" s="97"/>
      <c r="E48" s="17" t="s">
        <v>88</v>
      </c>
      <c r="F48" s="8"/>
      <c r="G48" s="8"/>
      <c r="H48" s="9"/>
      <c r="I48" s="9"/>
      <c r="J48" s="8"/>
      <c r="K48" s="8"/>
      <c r="L48" s="9"/>
      <c r="M48" s="9"/>
      <c r="N48" s="8"/>
      <c r="O48" s="8"/>
      <c r="P48" s="9"/>
      <c r="Q48" s="9"/>
    </row>
    <row r="49" spans="2:17" ht="20.100000000000001" customHeight="1">
      <c r="B49" s="97" t="s">
        <v>89</v>
      </c>
      <c r="C49" s="97"/>
      <c r="D49" s="97"/>
      <c r="E49" s="67">
        <v>5.89</v>
      </c>
      <c r="F49" s="8"/>
      <c r="G49" s="8">
        <v>5.6</v>
      </c>
      <c r="H49" s="9"/>
      <c r="I49" s="9">
        <v>5.5</v>
      </c>
      <c r="J49" s="8">
        <v>5.19</v>
      </c>
      <c r="K49" s="8">
        <v>5.72</v>
      </c>
      <c r="L49" s="9"/>
      <c r="M49" s="9">
        <v>5.72</v>
      </c>
      <c r="N49" s="8"/>
      <c r="O49" s="8">
        <v>5.64</v>
      </c>
      <c r="P49" s="9">
        <v>4.95</v>
      </c>
      <c r="Q49" s="9">
        <v>5.26</v>
      </c>
    </row>
    <row r="50" spans="2:17" ht="20.100000000000001" customHeight="1">
      <c r="B50" s="97" t="s">
        <v>90</v>
      </c>
      <c r="C50" s="97"/>
      <c r="D50" s="97"/>
      <c r="E50" s="67"/>
      <c r="F50" s="8"/>
      <c r="G50" s="8"/>
      <c r="H50" s="9"/>
      <c r="I50" s="9"/>
      <c r="J50" s="8"/>
      <c r="K50" s="8"/>
      <c r="L50" s="9"/>
      <c r="M50" s="9"/>
      <c r="N50" s="8"/>
      <c r="O50" s="8"/>
      <c r="P50" s="9"/>
      <c r="Q50" s="9"/>
    </row>
    <row r="51" spans="2:17" ht="20.100000000000001" customHeight="1" thickBot="1">
      <c r="B51" s="97" t="s">
        <v>91</v>
      </c>
      <c r="C51" s="97"/>
      <c r="D51" s="97"/>
      <c r="E51" s="66"/>
      <c r="F51" s="8"/>
      <c r="G51" s="8"/>
      <c r="H51" s="9"/>
      <c r="I51" s="9"/>
      <c r="J51" s="8"/>
      <c r="K51" s="8"/>
      <c r="L51" s="9"/>
      <c r="M51" s="9"/>
      <c r="N51" s="8"/>
      <c r="O51" s="8"/>
      <c r="P51" s="9"/>
      <c r="Q51" s="9"/>
    </row>
    <row r="52" spans="2:17">
      <c r="B52" t="s">
        <v>92</v>
      </c>
      <c r="C52" s="18" t="s">
        <v>93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28"/>
    </row>
    <row r="53" spans="2:17">
      <c r="C53" s="20" t="s">
        <v>94</v>
      </c>
      <c r="Q53" s="31"/>
    </row>
    <row r="54" spans="2:17">
      <c r="C54" s="20" t="s">
        <v>95</v>
      </c>
      <c r="Q54" s="31"/>
    </row>
    <row r="55" spans="2:17">
      <c r="C55" s="20"/>
      <c r="Q55" s="31"/>
    </row>
    <row r="56" spans="2:17">
      <c r="C56" s="20"/>
      <c r="Q56" s="31"/>
    </row>
    <row r="57" spans="2:17">
      <c r="C57" s="20" t="s">
        <v>96</v>
      </c>
      <c r="F57" s="21" t="b">
        <v>0</v>
      </c>
      <c r="G57" s="22" t="s">
        <v>97</v>
      </c>
      <c r="Q57" s="31"/>
    </row>
    <row r="58" spans="2:17">
      <c r="C58" s="20" t="s">
        <v>96</v>
      </c>
      <c r="F58" s="8" t="s">
        <v>98</v>
      </c>
      <c r="G58" s="23" t="s">
        <v>99</v>
      </c>
      <c r="Q58" s="31"/>
    </row>
    <row r="59" spans="2:17" ht="15.75" thickBot="1"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30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E2B33-54FF-4E39-A503-A2E173222223}">
  <dimension ref="B1:Q59"/>
  <sheetViews>
    <sheetView view="pageBreakPreview" zoomScale="85" zoomScaleNormal="60" workbookViewId="0">
      <selection activeCell="P27" sqref="P27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107"/>
      <c r="C2" s="110" t="s">
        <v>0</v>
      </c>
      <c r="D2" s="111"/>
      <c r="E2" s="111"/>
      <c r="F2" s="111"/>
      <c r="G2" s="111"/>
      <c r="H2" s="111"/>
      <c r="I2" s="111"/>
      <c r="J2" s="111"/>
      <c r="K2" s="111"/>
      <c r="L2" s="111"/>
      <c r="M2" s="112"/>
      <c r="N2" s="18" t="s">
        <v>1</v>
      </c>
      <c r="O2" s="19"/>
      <c r="P2" s="19"/>
      <c r="Q2" s="28"/>
    </row>
    <row r="3" spans="2:17" ht="15.75" thickBot="1">
      <c r="B3" s="108"/>
      <c r="C3" s="113"/>
      <c r="D3" s="114"/>
      <c r="E3" s="114"/>
      <c r="F3" s="114"/>
      <c r="G3" s="114"/>
      <c r="H3" s="114"/>
      <c r="I3" s="114"/>
      <c r="J3" s="114"/>
      <c r="K3" s="114"/>
      <c r="L3" s="114"/>
      <c r="M3" s="115"/>
      <c r="N3" s="26" t="s">
        <v>2</v>
      </c>
      <c r="O3" s="27" t="s">
        <v>3</v>
      </c>
      <c r="P3" s="27"/>
      <c r="Q3" s="29"/>
    </row>
    <row r="4" spans="2:17" ht="15.75" thickBot="1">
      <c r="B4" s="108"/>
      <c r="C4" s="113"/>
      <c r="D4" s="114"/>
      <c r="E4" s="114"/>
      <c r="F4" s="114"/>
      <c r="G4" s="114"/>
      <c r="H4" s="114"/>
      <c r="I4" s="114"/>
      <c r="J4" s="114"/>
      <c r="K4" s="114"/>
      <c r="L4" s="114"/>
      <c r="M4" s="115"/>
      <c r="N4" s="26" t="s">
        <v>4</v>
      </c>
      <c r="O4" s="27"/>
      <c r="P4" s="27"/>
      <c r="Q4" s="29"/>
    </row>
    <row r="5" spans="2:17" ht="15.75" thickBot="1">
      <c r="B5" s="109"/>
      <c r="C5" s="116"/>
      <c r="D5" s="117"/>
      <c r="E5" s="117"/>
      <c r="F5" s="117"/>
      <c r="G5" s="117"/>
      <c r="H5" s="117"/>
      <c r="I5" s="117"/>
      <c r="J5" s="117"/>
      <c r="K5" s="117"/>
      <c r="L5" s="117"/>
      <c r="M5" s="118"/>
      <c r="N5" s="24" t="s">
        <v>5</v>
      </c>
      <c r="O5" s="25"/>
      <c r="P5" s="25"/>
      <c r="Q5" s="30"/>
    </row>
    <row r="7" spans="2:17">
      <c r="B7" s="98" t="s">
        <v>6</v>
      </c>
      <c r="C7" s="99"/>
      <c r="D7" s="100">
        <v>45734</v>
      </c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2"/>
    </row>
    <row r="8" spans="2:17">
      <c r="B8" s="97" t="s">
        <v>7</v>
      </c>
      <c r="C8" s="97"/>
      <c r="D8" s="97"/>
      <c r="E8" s="105" t="s">
        <v>8</v>
      </c>
      <c r="F8" s="103" t="s">
        <v>9</v>
      </c>
      <c r="G8" s="103"/>
      <c r="H8" s="104" t="s">
        <v>10</v>
      </c>
      <c r="I8" s="104"/>
      <c r="J8" s="103" t="s">
        <v>11</v>
      </c>
      <c r="K8" s="103"/>
      <c r="L8" s="104" t="s">
        <v>12</v>
      </c>
      <c r="M8" s="104"/>
      <c r="N8" s="103" t="s">
        <v>13</v>
      </c>
      <c r="O8" s="103"/>
      <c r="P8" s="104" t="s">
        <v>14</v>
      </c>
      <c r="Q8" s="104"/>
    </row>
    <row r="9" spans="2:17">
      <c r="B9" s="98" t="s">
        <v>15</v>
      </c>
      <c r="C9" s="119"/>
      <c r="D9" s="99"/>
      <c r="E9" s="106"/>
      <c r="F9" s="3">
        <v>0.375</v>
      </c>
      <c r="G9" s="32" t="s">
        <v>16</v>
      </c>
      <c r="H9" s="4">
        <v>0.375</v>
      </c>
      <c r="I9" s="33" t="s">
        <v>16</v>
      </c>
      <c r="J9" s="3">
        <v>0.375</v>
      </c>
      <c r="K9" s="32" t="s">
        <v>16</v>
      </c>
      <c r="L9" s="4">
        <v>0.375</v>
      </c>
      <c r="M9" s="33" t="s">
        <v>16</v>
      </c>
      <c r="N9" s="3">
        <v>0.375</v>
      </c>
      <c r="O9" s="32" t="s">
        <v>16</v>
      </c>
      <c r="P9" s="4">
        <v>0.375</v>
      </c>
      <c r="Q9" s="33" t="s">
        <v>16</v>
      </c>
    </row>
    <row r="10" spans="2:17" ht="26.25" customHeight="1">
      <c r="B10" s="120" t="s">
        <v>17</v>
      </c>
      <c r="C10" s="121"/>
      <c r="D10" s="69" t="s">
        <v>18</v>
      </c>
      <c r="E10" s="5"/>
      <c r="F10" s="6"/>
      <c r="G10" s="34" t="s">
        <v>19</v>
      </c>
      <c r="H10" s="35"/>
      <c r="I10" s="35" t="s">
        <v>19</v>
      </c>
      <c r="J10" s="34"/>
      <c r="K10" s="34" t="s">
        <v>19</v>
      </c>
      <c r="L10" s="35"/>
      <c r="M10" s="35" t="s">
        <v>19</v>
      </c>
      <c r="N10" s="6"/>
      <c r="O10" s="34" t="s">
        <v>19</v>
      </c>
      <c r="P10" s="35"/>
      <c r="Q10" s="35" t="s">
        <v>19</v>
      </c>
    </row>
    <row r="11" spans="2:17" ht="20.100000000000001" customHeight="1">
      <c r="B11" s="97" t="s">
        <v>20</v>
      </c>
      <c r="C11" s="97"/>
      <c r="D11" s="7" t="s">
        <v>21</v>
      </c>
      <c r="E11" s="7" t="s">
        <v>22</v>
      </c>
      <c r="F11" s="8"/>
      <c r="G11" s="8">
        <v>69.099999999999994</v>
      </c>
      <c r="H11" s="9"/>
      <c r="I11" s="9">
        <v>75.3</v>
      </c>
      <c r="J11" s="8"/>
      <c r="K11" s="8">
        <v>72.599999999999994</v>
      </c>
      <c r="L11" s="9"/>
      <c r="M11" s="9">
        <v>70.5</v>
      </c>
      <c r="N11" s="8"/>
      <c r="O11" s="8">
        <v>73.7</v>
      </c>
      <c r="P11" s="9"/>
      <c r="Q11" s="9">
        <v>67.2</v>
      </c>
    </row>
    <row r="12" spans="2:17" ht="20.100000000000001" customHeight="1">
      <c r="B12" s="97" t="s">
        <v>23</v>
      </c>
      <c r="C12" s="97"/>
      <c r="D12" s="7" t="s">
        <v>21</v>
      </c>
      <c r="E12" s="7" t="s">
        <v>22</v>
      </c>
      <c r="F12" s="8"/>
      <c r="G12" s="8">
        <v>0.5</v>
      </c>
      <c r="H12" s="9"/>
      <c r="I12" s="9">
        <v>0</v>
      </c>
      <c r="J12" s="8"/>
      <c r="K12" s="8">
        <v>0</v>
      </c>
      <c r="L12" s="9"/>
      <c r="M12" s="9">
        <v>0.1</v>
      </c>
      <c r="N12" s="8"/>
      <c r="O12" s="8">
        <v>0</v>
      </c>
      <c r="P12" s="9"/>
      <c r="Q12" s="9">
        <v>0</v>
      </c>
    </row>
    <row r="13" spans="2:17" ht="20.100000000000001" customHeight="1">
      <c r="B13" s="97" t="s">
        <v>24</v>
      </c>
      <c r="C13" s="97"/>
      <c r="D13" s="7" t="s">
        <v>21</v>
      </c>
      <c r="E13" s="7" t="s">
        <v>22</v>
      </c>
      <c r="F13" s="8"/>
      <c r="G13" s="8">
        <v>63.2</v>
      </c>
      <c r="H13" s="9"/>
      <c r="I13" s="9">
        <v>72.7</v>
      </c>
      <c r="J13" s="8"/>
      <c r="K13" s="8">
        <v>67.2</v>
      </c>
      <c r="L13" s="9"/>
      <c r="M13" s="9">
        <v>67.2</v>
      </c>
      <c r="N13" s="8"/>
      <c r="O13" s="8">
        <v>68.5</v>
      </c>
      <c r="P13" s="9"/>
      <c r="Q13" s="9">
        <v>35.700000000000003</v>
      </c>
    </row>
    <row r="14" spans="2:17" ht="20.100000000000001" customHeight="1">
      <c r="B14" s="97" t="s">
        <v>25</v>
      </c>
      <c r="C14" s="97"/>
      <c r="D14" s="7" t="s">
        <v>21</v>
      </c>
      <c r="E14" s="7" t="s">
        <v>22</v>
      </c>
      <c r="F14" s="8"/>
      <c r="G14" s="8">
        <v>65.2</v>
      </c>
      <c r="H14" s="9"/>
      <c r="I14" s="9">
        <v>66.900000000000006</v>
      </c>
      <c r="J14" s="8"/>
      <c r="K14" s="8">
        <v>62.6</v>
      </c>
      <c r="L14" s="9"/>
      <c r="M14" s="9">
        <v>64.900000000000006</v>
      </c>
      <c r="N14" s="8"/>
      <c r="O14" s="8">
        <v>71.2</v>
      </c>
      <c r="P14" s="9"/>
      <c r="Q14" s="9">
        <v>69.400000000000006</v>
      </c>
    </row>
    <row r="15" spans="2:17" ht="20.100000000000001" customHeight="1">
      <c r="B15" s="97" t="s">
        <v>26</v>
      </c>
      <c r="C15" s="97"/>
      <c r="D15" s="7" t="s">
        <v>21</v>
      </c>
      <c r="E15" s="7" t="s">
        <v>22</v>
      </c>
      <c r="F15" s="8"/>
      <c r="G15" s="8">
        <v>33.6</v>
      </c>
      <c r="H15" s="9"/>
      <c r="I15" s="9">
        <v>47.7</v>
      </c>
      <c r="J15" s="8"/>
      <c r="K15" s="8">
        <v>36.5</v>
      </c>
      <c r="L15" s="9"/>
      <c r="M15" s="9">
        <v>28.7</v>
      </c>
      <c r="N15" s="8"/>
      <c r="O15" s="8">
        <v>43.1</v>
      </c>
      <c r="P15" s="9"/>
      <c r="Q15" s="9">
        <v>35.700000000000003</v>
      </c>
    </row>
    <row r="16" spans="2:17" ht="20.100000000000001" customHeight="1">
      <c r="B16" s="103" t="s">
        <v>27</v>
      </c>
      <c r="C16" s="10" t="s">
        <v>28</v>
      </c>
      <c r="D16" s="7" t="s">
        <v>29</v>
      </c>
      <c r="E16" s="7" t="s">
        <v>30</v>
      </c>
      <c r="F16" s="8"/>
      <c r="G16" s="8">
        <v>6.6</v>
      </c>
      <c r="H16" s="9"/>
      <c r="I16" s="9">
        <v>6.6</v>
      </c>
      <c r="J16" s="8"/>
      <c r="K16" s="8">
        <v>6.6</v>
      </c>
      <c r="L16" s="9"/>
      <c r="M16" s="9">
        <v>6.6</v>
      </c>
      <c r="N16" s="8"/>
      <c r="O16" s="8">
        <v>6.6</v>
      </c>
      <c r="P16" s="9"/>
      <c r="Q16" s="9">
        <v>6.6</v>
      </c>
    </row>
    <row r="17" spans="2:17" ht="20.100000000000001" customHeight="1">
      <c r="B17" s="103"/>
      <c r="C17" s="10" t="s">
        <v>31</v>
      </c>
      <c r="D17" s="7" t="s">
        <v>32</v>
      </c>
      <c r="E17" s="7" t="s">
        <v>33</v>
      </c>
      <c r="F17" s="8"/>
      <c r="G17" s="8">
        <v>115.4</v>
      </c>
      <c r="H17" s="9"/>
      <c r="I17" s="9">
        <v>115.7</v>
      </c>
      <c r="J17" s="8"/>
      <c r="K17" s="8">
        <v>116.7</v>
      </c>
      <c r="L17" s="9"/>
      <c r="M17" s="9">
        <v>114.4</v>
      </c>
      <c r="N17" s="8"/>
      <c r="O17" s="8">
        <v>112.2</v>
      </c>
      <c r="P17" s="9"/>
      <c r="Q17" s="9">
        <v>113.9</v>
      </c>
    </row>
    <row r="18" spans="2:17" ht="20.100000000000001" customHeight="1">
      <c r="B18" s="103"/>
      <c r="C18" s="10" t="s">
        <v>34</v>
      </c>
      <c r="D18" s="7" t="s">
        <v>35</v>
      </c>
      <c r="E18" s="7" t="s">
        <v>36</v>
      </c>
      <c r="F18" s="8"/>
      <c r="G18" s="8">
        <v>1119</v>
      </c>
      <c r="H18" s="9"/>
      <c r="I18" s="9">
        <v>1157</v>
      </c>
      <c r="J18" s="8"/>
      <c r="K18" s="8">
        <v>1167</v>
      </c>
      <c r="L18" s="9"/>
      <c r="M18" s="9">
        <v>1157</v>
      </c>
      <c r="N18" s="8"/>
      <c r="O18" s="8">
        <v>1180</v>
      </c>
      <c r="P18" s="9"/>
      <c r="Q18" s="9">
        <v>1145</v>
      </c>
    </row>
    <row r="19" spans="2:17" ht="20.100000000000001" customHeight="1">
      <c r="B19" s="103" t="s">
        <v>37</v>
      </c>
      <c r="C19" s="10" t="s">
        <v>38</v>
      </c>
      <c r="D19" s="7" t="s">
        <v>39</v>
      </c>
      <c r="E19" s="11" t="s">
        <v>40</v>
      </c>
      <c r="F19" s="8"/>
      <c r="G19" s="8">
        <v>49562.400000000001</v>
      </c>
      <c r="H19" s="9"/>
      <c r="I19" s="9">
        <v>50809.9</v>
      </c>
      <c r="J19" s="8"/>
      <c r="K19" s="8">
        <v>48452.3</v>
      </c>
      <c r="L19" s="9"/>
      <c r="M19" s="9">
        <v>50836</v>
      </c>
      <c r="N19" s="8"/>
      <c r="O19" s="8">
        <v>50025</v>
      </c>
      <c r="P19" s="9"/>
      <c r="Q19" s="9">
        <v>50176.9</v>
      </c>
    </row>
    <row r="20" spans="2:17" ht="20.100000000000001" customHeight="1">
      <c r="B20" s="103"/>
      <c r="C20" s="10" t="s">
        <v>41</v>
      </c>
      <c r="D20" s="7" t="s">
        <v>42</v>
      </c>
      <c r="E20" s="7" t="s">
        <v>43</v>
      </c>
      <c r="F20" s="8"/>
      <c r="G20" s="8"/>
      <c r="H20" s="9"/>
      <c r="I20" s="9"/>
      <c r="J20" s="8"/>
      <c r="K20" s="8"/>
      <c r="L20" s="9"/>
      <c r="M20" s="9"/>
      <c r="N20" s="8"/>
      <c r="O20" s="8"/>
      <c r="P20" s="9"/>
      <c r="Q20" s="9"/>
    </row>
    <row r="21" spans="2:17" ht="20.100000000000001" customHeight="1">
      <c r="B21" s="103"/>
      <c r="C21" s="10" t="s">
        <v>44</v>
      </c>
      <c r="D21" s="7" t="s">
        <v>42</v>
      </c>
      <c r="E21" s="7" t="s">
        <v>45</v>
      </c>
      <c r="F21" s="8"/>
      <c r="G21" s="8"/>
      <c r="H21" s="9"/>
      <c r="I21" s="9"/>
      <c r="J21" s="8"/>
      <c r="K21" s="8"/>
      <c r="L21" s="9"/>
      <c r="M21" s="9"/>
      <c r="N21" s="8"/>
      <c r="O21" s="8"/>
      <c r="P21" s="9"/>
      <c r="Q21" s="9"/>
    </row>
    <row r="22" spans="2:17" ht="20.100000000000001" customHeight="1">
      <c r="B22" s="103"/>
      <c r="C22" s="10" t="s">
        <v>46</v>
      </c>
      <c r="D22" s="7" t="s">
        <v>42</v>
      </c>
      <c r="E22" s="7" t="s">
        <v>47</v>
      </c>
      <c r="F22" s="8"/>
      <c r="G22" s="8">
        <v>59.8</v>
      </c>
      <c r="H22" s="9"/>
      <c r="I22" s="9">
        <v>59.3</v>
      </c>
      <c r="J22" s="8"/>
      <c r="K22" s="8">
        <v>57.7</v>
      </c>
      <c r="L22" s="9"/>
      <c r="M22" s="9">
        <v>57.5</v>
      </c>
      <c r="N22" s="8"/>
      <c r="O22" s="8">
        <v>53.3</v>
      </c>
      <c r="P22" s="9"/>
      <c r="Q22" s="9">
        <v>59.1</v>
      </c>
    </row>
    <row r="23" spans="2:17" ht="60">
      <c r="B23" s="103"/>
      <c r="C23" s="12" t="s">
        <v>48</v>
      </c>
      <c r="D23" s="8" t="s">
        <v>49</v>
      </c>
      <c r="E23" s="13" t="s">
        <v>50</v>
      </c>
      <c r="F23" s="8"/>
      <c r="G23" s="8">
        <v>0.52</v>
      </c>
      <c r="H23" s="9"/>
      <c r="I23" s="9">
        <v>0.49</v>
      </c>
      <c r="J23" s="8"/>
      <c r="K23" s="8">
        <v>0.59</v>
      </c>
      <c r="L23" s="9"/>
      <c r="M23" s="9">
        <v>0.52</v>
      </c>
      <c r="N23" s="8"/>
      <c r="O23" s="8">
        <v>0.47</v>
      </c>
      <c r="P23" s="9"/>
      <c r="Q23" s="9">
        <v>0.5</v>
      </c>
    </row>
    <row r="24" spans="2:17" ht="39.75" customHeight="1">
      <c r="B24" s="103"/>
      <c r="C24" s="12" t="s">
        <v>51</v>
      </c>
      <c r="D24" s="7"/>
      <c r="E24" s="7"/>
      <c r="F24" s="8"/>
      <c r="G24" s="8"/>
      <c r="H24" s="9"/>
      <c r="I24" s="9"/>
      <c r="J24" s="8"/>
      <c r="K24" s="8"/>
      <c r="L24" s="8"/>
      <c r="M24" s="9"/>
      <c r="N24" s="8"/>
      <c r="O24" s="8"/>
      <c r="P24" s="9"/>
      <c r="Q24" s="9"/>
    </row>
    <row r="25" spans="2:17" ht="20.100000000000001" customHeight="1">
      <c r="B25" s="103"/>
      <c r="C25" s="10" t="s">
        <v>52</v>
      </c>
      <c r="D25" s="7" t="s">
        <v>42</v>
      </c>
      <c r="E25" s="7" t="s">
        <v>53</v>
      </c>
      <c r="F25" s="8"/>
      <c r="G25" s="8">
        <v>46.1</v>
      </c>
      <c r="H25" s="9"/>
      <c r="I25" s="9">
        <v>44.8</v>
      </c>
      <c r="J25" s="8"/>
      <c r="K25" s="8">
        <v>45.8</v>
      </c>
      <c r="L25" s="9"/>
      <c r="M25" s="9">
        <v>45</v>
      </c>
      <c r="N25" s="8"/>
      <c r="O25" s="8">
        <v>44.6</v>
      </c>
      <c r="P25" s="9"/>
      <c r="Q25" s="9">
        <v>44.8</v>
      </c>
    </row>
    <row r="26" spans="2:17" ht="20.100000000000001" customHeight="1">
      <c r="B26" s="103" t="s">
        <v>54</v>
      </c>
      <c r="C26" s="10" t="s">
        <v>55</v>
      </c>
      <c r="D26" s="7" t="s">
        <v>49</v>
      </c>
      <c r="E26" s="14" t="s">
        <v>56</v>
      </c>
      <c r="F26" s="8"/>
      <c r="G26" s="8">
        <v>0.23</v>
      </c>
      <c r="H26" s="9"/>
      <c r="I26" s="9">
        <v>0.22</v>
      </c>
      <c r="J26" s="8"/>
      <c r="K26" s="8">
        <v>0.23</v>
      </c>
      <c r="L26" s="9"/>
      <c r="M26" s="9">
        <v>0.22</v>
      </c>
      <c r="N26" s="8"/>
      <c r="O26" s="8">
        <v>0.22</v>
      </c>
      <c r="P26" s="9"/>
      <c r="Q26" s="9">
        <v>0.23</v>
      </c>
    </row>
    <row r="27" spans="2:17" ht="20.100000000000001" customHeight="1">
      <c r="B27" s="103"/>
      <c r="C27" s="10" t="s">
        <v>57</v>
      </c>
      <c r="D27" s="7" t="s">
        <v>42</v>
      </c>
      <c r="E27" s="7" t="s">
        <v>43</v>
      </c>
      <c r="F27" s="8"/>
      <c r="G27" s="8">
        <v>4.2</v>
      </c>
      <c r="H27" s="9"/>
      <c r="I27" s="9">
        <v>3.6</v>
      </c>
      <c r="J27" s="8"/>
      <c r="K27" s="8">
        <v>4.0999999999999996</v>
      </c>
      <c r="L27" s="9"/>
      <c r="M27" s="9">
        <v>4</v>
      </c>
      <c r="N27" s="8"/>
      <c r="O27" s="8">
        <v>4.0999999999999996</v>
      </c>
      <c r="P27" s="9"/>
      <c r="Q27" s="9">
        <v>4.5</v>
      </c>
    </row>
    <row r="28" spans="2:17" ht="20.100000000000001" customHeight="1">
      <c r="B28" s="103"/>
      <c r="C28" s="10" t="s">
        <v>58</v>
      </c>
      <c r="D28" s="7" t="s">
        <v>42</v>
      </c>
      <c r="E28" s="7" t="s">
        <v>43</v>
      </c>
      <c r="F28" s="8"/>
      <c r="G28" s="8">
        <v>3.6</v>
      </c>
      <c r="H28" s="9"/>
      <c r="I28" s="9">
        <v>2.2999999999999998</v>
      </c>
      <c r="J28" s="8"/>
      <c r="K28" s="8">
        <v>3.4</v>
      </c>
      <c r="L28" s="9"/>
      <c r="M28" s="9">
        <v>3</v>
      </c>
      <c r="N28" s="8"/>
      <c r="O28" s="8">
        <v>3</v>
      </c>
      <c r="P28" s="9"/>
      <c r="Q28" s="9">
        <v>3.5</v>
      </c>
    </row>
    <row r="29" spans="2:17" ht="20.100000000000001" customHeight="1">
      <c r="B29" s="103"/>
      <c r="C29" s="10" t="s">
        <v>59</v>
      </c>
      <c r="D29" s="7" t="s">
        <v>42</v>
      </c>
      <c r="E29" s="7" t="s">
        <v>43</v>
      </c>
      <c r="F29" s="15">
        <f>F32-F28</f>
        <v>0</v>
      </c>
      <c r="G29" s="15">
        <f>G32-G28</f>
        <v>0.69999999999999973</v>
      </c>
      <c r="H29" s="15">
        <f t="shared" ref="H29:Q29" si="0">H32-H28</f>
        <v>0</v>
      </c>
      <c r="I29" s="15">
        <f t="shared" si="0"/>
        <v>2</v>
      </c>
      <c r="J29" s="15">
        <f t="shared" si="0"/>
        <v>0</v>
      </c>
      <c r="K29" s="15">
        <f t="shared" si="0"/>
        <v>1.1999999999999997</v>
      </c>
      <c r="L29" s="15">
        <f>L32-L28</f>
        <v>0</v>
      </c>
      <c r="M29" s="15">
        <f>M32-M28</f>
        <v>1</v>
      </c>
      <c r="N29" s="15">
        <f>N32-N28</f>
        <v>0</v>
      </c>
      <c r="O29" s="15">
        <f>O32-O28</f>
        <v>1</v>
      </c>
      <c r="P29" s="15">
        <f t="shared" si="0"/>
        <v>0</v>
      </c>
      <c r="Q29" s="15">
        <f t="shared" si="0"/>
        <v>0.90000000000000036</v>
      </c>
    </row>
    <row r="30" spans="2:17" ht="20.100000000000001" customHeight="1">
      <c r="B30" s="103"/>
      <c r="C30" s="10" t="s">
        <v>60</v>
      </c>
      <c r="D30" s="7" t="s">
        <v>61</v>
      </c>
      <c r="E30" s="7" t="s">
        <v>62</v>
      </c>
      <c r="F30" s="8"/>
      <c r="G30" s="8">
        <v>653.76</v>
      </c>
      <c r="H30" s="9"/>
      <c r="I30" s="9">
        <v>641.91999999999996</v>
      </c>
      <c r="J30" s="8"/>
      <c r="K30" s="8">
        <v>639.91999999999996</v>
      </c>
      <c r="L30" s="9"/>
      <c r="M30" s="9">
        <v>641.20000000000005</v>
      </c>
      <c r="N30" s="8"/>
      <c r="O30" s="8">
        <v>636.96</v>
      </c>
      <c r="P30" s="9"/>
      <c r="Q30" s="9">
        <v>637.67999999999995</v>
      </c>
    </row>
    <row r="31" spans="2:17" ht="20.100000000000001" customHeight="1">
      <c r="B31" s="103"/>
      <c r="C31" s="10" t="s">
        <v>63</v>
      </c>
      <c r="D31" s="7" t="s">
        <v>42</v>
      </c>
      <c r="E31" s="7">
        <v>13.5</v>
      </c>
      <c r="F31" s="8"/>
      <c r="G31" s="8">
        <v>12.8</v>
      </c>
      <c r="H31" s="9"/>
      <c r="I31" s="9">
        <v>12.4</v>
      </c>
      <c r="J31" s="8"/>
      <c r="K31" s="8">
        <v>13.2</v>
      </c>
      <c r="L31" s="9"/>
      <c r="M31" s="9">
        <v>13.1</v>
      </c>
      <c r="N31" s="8"/>
      <c r="O31" s="8">
        <v>12.8</v>
      </c>
      <c r="P31" s="9"/>
      <c r="Q31" s="9">
        <v>12.6</v>
      </c>
    </row>
    <row r="32" spans="2:17" ht="20.100000000000001" customHeight="1">
      <c r="B32" s="103"/>
      <c r="C32" s="10" t="s">
        <v>64</v>
      </c>
      <c r="D32" s="7" t="s">
        <v>42</v>
      </c>
      <c r="E32" s="7">
        <v>4</v>
      </c>
      <c r="F32" s="8"/>
      <c r="G32" s="8">
        <v>4.3</v>
      </c>
      <c r="H32" s="9"/>
      <c r="I32" s="9">
        <v>4.3</v>
      </c>
      <c r="J32" s="8"/>
      <c r="K32" s="8">
        <v>4.5999999999999996</v>
      </c>
      <c r="L32" s="9"/>
      <c r="M32" s="9">
        <v>4</v>
      </c>
      <c r="N32" s="8"/>
      <c r="O32" s="8">
        <v>4</v>
      </c>
      <c r="P32" s="9"/>
      <c r="Q32" s="9">
        <v>4.4000000000000004</v>
      </c>
    </row>
    <row r="33" spans="2:17" ht="20.100000000000001" customHeight="1">
      <c r="B33" s="103"/>
      <c r="C33" s="10" t="s">
        <v>65</v>
      </c>
      <c r="D33" s="7" t="s">
        <v>42</v>
      </c>
      <c r="E33" s="7">
        <v>9.5</v>
      </c>
      <c r="F33" s="15">
        <f>F31-F32</f>
        <v>0</v>
      </c>
      <c r="G33" s="15">
        <f>G31-G32</f>
        <v>8.5</v>
      </c>
      <c r="H33" s="15">
        <f t="shared" ref="H33:Q33" si="1">H31-H32</f>
        <v>0</v>
      </c>
      <c r="I33" s="15">
        <f t="shared" si="1"/>
        <v>8.1000000000000014</v>
      </c>
      <c r="J33" s="15">
        <f t="shared" si="1"/>
        <v>0</v>
      </c>
      <c r="K33" s="15">
        <f t="shared" si="1"/>
        <v>8.6</v>
      </c>
      <c r="L33" s="15">
        <f>L31-L32</f>
        <v>0</v>
      </c>
      <c r="M33" s="15">
        <f>M31-M32</f>
        <v>9.1</v>
      </c>
      <c r="N33" s="15">
        <f>N31-N32</f>
        <v>0</v>
      </c>
      <c r="O33" s="15">
        <f>O31-O32</f>
        <v>8.8000000000000007</v>
      </c>
      <c r="P33" s="15">
        <f t="shared" si="1"/>
        <v>0</v>
      </c>
      <c r="Q33" s="15">
        <f t="shared" si="1"/>
        <v>8.1999999999999993</v>
      </c>
    </row>
    <row r="34" spans="2:17" ht="20.100000000000001" customHeight="1">
      <c r="B34" s="103"/>
      <c r="C34" s="10" t="s">
        <v>66</v>
      </c>
      <c r="D34" s="7" t="s">
        <v>67</v>
      </c>
      <c r="E34" s="7" t="s">
        <v>68</v>
      </c>
      <c r="F34" s="16">
        <f>(F33*F30)/0.866</f>
        <v>0</v>
      </c>
      <c r="G34" s="16">
        <f>(G33*G30)/0.866</f>
        <v>6416.8129330254042</v>
      </c>
      <c r="H34" s="16">
        <f t="shared" ref="H34:Q34" si="2">(H33*H30)/0.866</f>
        <v>0</v>
      </c>
      <c r="I34" s="16">
        <f t="shared" si="2"/>
        <v>6004.1016166281761</v>
      </c>
      <c r="J34" s="16">
        <f t="shared" si="2"/>
        <v>0</v>
      </c>
      <c r="K34" s="16">
        <f t="shared" si="2"/>
        <v>6354.8637413394908</v>
      </c>
      <c r="L34" s="16">
        <f>(L33*L30)/0.866</f>
        <v>0</v>
      </c>
      <c r="M34" s="16">
        <f>(M33*M30)/0.866</f>
        <v>6737.7829099307164</v>
      </c>
      <c r="N34" s="16">
        <f>(N33*N30)/0.866</f>
        <v>0</v>
      </c>
      <c r="O34" s="16">
        <f>(O33*O30)/0.866</f>
        <v>6472.5727482678994</v>
      </c>
      <c r="P34" s="16">
        <f t="shared" si="2"/>
        <v>0</v>
      </c>
      <c r="Q34" s="16">
        <f t="shared" si="2"/>
        <v>6038.0785219399522</v>
      </c>
    </row>
    <row r="35" spans="2:17" ht="20.100000000000001" customHeight="1">
      <c r="B35" s="103" t="s">
        <v>69</v>
      </c>
      <c r="C35" s="10" t="s">
        <v>70</v>
      </c>
      <c r="D35" s="7" t="s">
        <v>49</v>
      </c>
      <c r="E35" s="7" t="s">
        <v>71</v>
      </c>
      <c r="F35" s="8"/>
      <c r="G35" s="8">
        <v>0.83</v>
      </c>
      <c r="H35" s="9"/>
      <c r="I35" s="9">
        <v>0.85</v>
      </c>
      <c r="J35" s="8"/>
      <c r="K35" s="8">
        <v>0.84</v>
      </c>
      <c r="L35" s="9"/>
      <c r="M35" s="9">
        <v>0.84</v>
      </c>
      <c r="N35" s="8"/>
      <c r="O35" s="8">
        <v>0.81</v>
      </c>
      <c r="P35" s="9"/>
      <c r="Q35" s="9">
        <v>0.84</v>
      </c>
    </row>
    <row r="36" spans="2:17" ht="20.100000000000001" customHeight="1">
      <c r="B36" s="103"/>
      <c r="C36" s="10" t="s">
        <v>72</v>
      </c>
      <c r="D36" s="7" t="s">
        <v>42</v>
      </c>
      <c r="E36" s="7" t="s">
        <v>43</v>
      </c>
      <c r="F36" s="8"/>
      <c r="G36" s="8">
        <v>36.299999999999997</v>
      </c>
      <c r="H36" s="9"/>
      <c r="I36" s="9">
        <v>36.6</v>
      </c>
      <c r="J36" s="8"/>
      <c r="K36" s="8">
        <v>36.6</v>
      </c>
      <c r="L36" s="9"/>
      <c r="M36" s="9">
        <v>36.6</v>
      </c>
      <c r="N36" s="8"/>
      <c r="O36" s="8">
        <v>35.9</v>
      </c>
      <c r="P36" s="9"/>
      <c r="Q36" s="9">
        <v>36.5</v>
      </c>
    </row>
    <row r="37" spans="2:17" ht="20.100000000000001" customHeight="1">
      <c r="B37" s="103"/>
      <c r="C37" s="10" t="s">
        <v>73</v>
      </c>
      <c r="D37" s="7" t="s">
        <v>42</v>
      </c>
      <c r="E37" s="7" t="s">
        <v>43</v>
      </c>
      <c r="F37" s="8"/>
      <c r="G37" s="8">
        <v>36.799999999999997</v>
      </c>
      <c r="H37" s="9"/>
      <c r="I37" s="9">
        <v>37.6</v>
      </c>
      <c r="J37" s="8"/>
      <c r="K37" s="8">
        <v>37.299999999999997</v>
      </c>
      <c r="L37" s="9"/>
      <c r="M37" s="9">
        <v>37</v>
      </c>
      <c r="N37" s="8"/>
      <c r="O37" s="8">
        <v>36.200000000000003</v>
      </c>
      <c r="P37" s="9"/>
      <c r="Q37" s="9">
        <v>37.200000000000003</v>
      </c>
    </row>
    <row r="38" spans="2:17" ht="20.100000000000001" customHeight="1">
      <c r="B38" s="103"/>
      <c r="C38" s="12" t="s">
        <v>74</v>
      </c>
      <c r="D38" s="7" t="s">
        <v>42</v>
      </c>
      <c r="E38" s="7" t="s">
        <v>101</v>
      </c>
      <c r="F38" s="15">
        <f>F37-F41</f>
        <v>0</v>
      </c>
      <c r="G38" s="15">
        <f>G37-G41</f>
        <v>2.6999999999999957</v>
      </c>
      <c r="H38" s="15">
        <f t="shared" ref="H38:Q38" si="3">H37-H41</f>
        <v>0</v>
      </c>
      <c r="I38" s="15">
        <f t="shared" si="3"/>
        <v>4</v>
      </c>
      <c r="J38" s="15">
        <f t="shared" si="3"/>
        <v>0</v>
      </c>
      <c r="K38" s="15">
        <f t="shared" si="3"/>
        <v>3.1999999999999957</v>
      </c>
      <c r="L38" s="15">
        <f>L37-L41</f>
        <v>0</v>
      </c>
      <c r="M38" s="15">
        <f>M37-M41</f>
        <v>3.2000000000000028</v>
      </c>
      <c r="N38" s="15">
        <f>N37-N41</f>
        <v>0</v>
      </c>
      <c r="O38" s="15">
        <f>O37-O41</f>
        <v>2.4000000000000057</v>
      </c>
      <c r="P38" s="15">
        <f t="shared" si="3"/>
        <v>0</v>
      </c>
      <c r="Q38" s="15">
        <f t="shared" si="3"/>
        <v>3.2000000000000028</v>
      </c>
    </row>
    <row r="39" spans="2:17" ht="20.100000000000001" customHeight="1">
      <c r="B39" s="103"/>
      <c r="C39" s="10" t="s">
        <v>75</v>
      </c>
      <c r="D39" s="7" t="s">
        <v>76</v>
      </c>
      <c r="E39" s="7"/>
      <c r="F39" s="8"/>
      <c r="G39" s="8"/>
      <c r="H39" s="9"/>
      <c r="I39" s="9"/>
      <c r="J39" s="8"/>
      <c r="K39" s="8"/>
      <c r="L39" s="9"/>
      <c r="M39" s="9"/>
      <c r="N39" s="8"/>
      <c r="O39" s="8"/>
      <c r="P39" s="9"/>
      <c r="Q39" s="9"/>
    </row>
    <row r="40" spans="2:17" ht="20.100000000000001" customHeight="1">
      <c r="B40" s="103"/>
      <c r="C40" s="10" t="s">
        <v>77</v>
      </c>
      <c r="D40" s="7" t="s">
        <v>42</v>
      </c>
      <c r="E40" s="7">
        <v>30.8</v>
      </c>
      <c r="F40" s="8"/>
      <c r="G40" s="8">
        <v>28.4</v>
      </c>
      <c r="H40" s="9"/>
      <c r="I40" s="9">
        <v>28.3</v>
      </c>
      <c r="J40" s="8"/>
      <c r="K40" s="8">
        <v>28.4</v>
      </c>
      <c r="L40" s="9"/>
      <c r="M40" s="9">
        <v>28.2</v>
      </c>
      <c r="N40" s="8"/>
      <c r="O40" s="8">
        <v>28.3</v>
      </c>
      <c r="P40" s="9"/>
      <c r="Q40" s="9">
        <v>28.5</v>
      </c>
    </row>
    <row r="41" spans="2:17" ht="20.100000000000001" customHeight="1">
      <c r="B41" s="103"/>
      <c r="C41" s="10" t="s">
        <v>78</v>
      </c>
      <c r="D41" s="7" t="s">
        <v>42</v>
      </c>
      <c r="E41" s="7">
        <v>36.4</v>
      </c>
      <c r="F41" s="8"/>
      <c r="G41" s="8">
        <v>34.1</v>
      </c>
      <c r="H41" s="9"/>
      <c r="I41" s="9">
        <v>33.6</v>
      </c>
      <c r="J41" s="8"/>
      <c r="K41" s="8">
        <v>34.1</v>
      </c>
      <c r="L41" s="9"/>
      <c r="M41" s="9">
        <v>33.799999999999997</v>
      </c>
      <c r="N41" s="8"/>
      <c r="O41" s="8">
        <v>33.799999999999997</v>
      </c>
      <c r="P41" s="9"/>
      <c r="Q41" s="9">
        <v>34</v>
      </c>
    </row>
    <row r="42" spans="2:17" ht="20.100000000000001" customHeight="1">
      <c r="B42" s="103"/>
      <c r="C42" s="10" t="s">
        <v>79</v>
      </c>
      <c r="D42" s="7" t="s">
        <v>42</v>
      </c>
      <c r="E42" s="7">
        <v>5.6</v>
      </c>
      <c r="F42" s="15">
        <f>F41-F40</f>
        <v>0</v>
      </c>
      <c r="G42" s="15">
        <f>G41-G40</f>
        <v>5.7000000000000028</v>
      </c>
      <c r="H42" s="15">
        <f t="shared" ref="H42:Q42" si="4">H41-H40</f>
        <v>0</v>
      </c>
      <c r="I42" s="15">
        <f t="shared" si="4"/>
        <v>5.3000000000000007</v>
      </c>
      <c r="J42" s="15">
        <f t="shared" si="4"/>
        <v>0</v>
      </c>
      <c r="K42" s="15">
        <f t="shared" si="4"/>
        <v>5.7000000000000028</v>
      </c>
      <c r="L42" s="15">
        <f>L41-L40</f>
        <v>0</v>
      </c>
      <c r="M42" s="15">
        <f>M41-M40</f>
        <v>5.5999999999999979</v>
      </c>
      <c r="N42" s="15">
        <f>N41-N40</f>
        <v>0</v>
      </c>
      <c r="O42" s="15">
        <f>O41-O40</f>
        <v>5.4999999999999964</v>
      </c>
      <c r="P42" s="15">
        <f t="shared" si="4"/>
        <v>0</v>
      </c>
      <c r="Q42" s="15">
        <f t="shared" si="4"/>
        <v>5.5</v>
      </c>
    </row>
    <row r="43" spans="2:17" ht="20.100000000000001" customHeight="1">
      <c r="B43" s="103"/>
      <c r="C43" s="10" t="s">
        <v>80</v>
      </c>
      <c r="D43" s="7" t="s">
        <v>61</v>
      </c>
      <c r="E43" s="7">
        <v>1273.0999999999999</v>
      </c>
      <c r="F43" s="8"/>
      <c r="G43" s="8">
        <v>1153.46</v>
      </c>
      <c r="H43" s="9"/>
      <c r="I43" s="9">
        <v>1150.3800000000001</v>
      </c>
      <c r="J43" s="8"/>
      <c r="K43" s="8">
        <v>1170.96</v>
      </c>
      <c r="L43" s="9"/>
      <c r="M43" s="8">
        <v>1152.6199999999999</v>
      </c>
      <c r="N43" s="8"/>
      <c r="O43" s="8">
        <v>1131.3399999999999</v>
      </c>
      <c r="P43" s="9"/>
      <c r="Q43" s="9">
        <v>1160.5999999999999</v>
      </c>
    </row>
    <row r="44" spans="2:17" ht="20.100000000000001" customHeight="1">
      <c r="B44" s="103"/>
      <c r="C44" s="10" t="s">
        <v>81</v>
      </c>
      <c r="D44" s="7" t="s">
        <v>67</v>
      </c>
      <c r="E44" s="7">
        <v>8226.9</v>
      </c>
      <c r="F44" s="16">
        <f>F42*F43/0.866</f>
        <v>0</v>
      </c>
      <c r="G44" s="16">
        <f>G42*G43/0.866</f>
        <v>7592.0577367205578</v>
      </c>
      <c r="H44" s="16">
        <f t="shared" ref="H44:Q44" si="5">H42*H43/0.866</f>
        <v>0</v>
      </c>
      <c r="I44" s="16">
        <f t="shared" si="5"/>
        <v>7040.4318706697468</v>
      </c>
      <c r="J44" s="16">
        <f t="shared" si="5"/>
        <v>0</v>
      </c>
      <c r="K44" s="16">
        <f t="shared" si="5"/>
        <v>7707.2424942263324</v>
      </c>
      <c r="L44" s="16">
        <f>L42*L43/0.866</f>
        <v>0</v>
      </c>
      <c r="M44" s="16">
        <f>M42*M43/0.866</f>
        <v>7453.4318706697422</v>
      </c>
      <c r="N44" s="16">
        <f>N42*N43/0.866</f>
        <v>0</v>
      </c>
      <c r="O44" s="16">
        <f>O42*O43/0.866</f>
        <v>7185.1847575057682</v>
      </c>
      <c r="P44" s="16">
        <f t="shared" si="5"/>
        <v>0</v>
      </c>
      <c r="Q44" s="16">
        <f t="shared" si="5"/>
        <v>7371.0161662817545</v>
      </c>
    </row>
    <row r="45" spans="2:17" ht="20.100000000000001" customHeight="1">
      <c r="B45" s="103" t="s">
        <v>82</v>
      </c>
      <c r="C45" s="10" t="s">
        <v>83</v>
      </c>
      <c r="D45" s="7" t="s">
        <v>49</v>
      </c>
      <c r="E45" s="7" t="s">
        <v>84</v>
      </c>
      <c r="F45" s="8"/>
      <c r="G45" s="8">
        <v>0.47</v>
      </c>
      <c r="H45" s="9"/>
      <c r="I45" s="9">
        <v>0.46</v>
      </c>
      <c r="J45" s="8"/>
      <c r="K45" s="8">
        <v>0.46</v>
      </c>
      <c r="L45" s="9"/>
      <c r="M45" s="9">
        <v>0.47</v>
      </c>
      <c r="N45" s="8"/>
      <c r="O45" s="8">
        <v>0.46</v>
      </c>
      <c r="P45" s="9"/>
      <c r="Q45" s="9">
        <v>0.47</v>
      </c>
    </row>
    <row r="46" spans="2:17" ht="20.100000000000001" customHeight="1">
      <c r="B46" s="103"/>
      <c r="C46" s="10" t="s">
        <v>85</v>
      </c>
      <c r="D46" s="7" t="s">
        <v>42</v>
      </c>
      <c r="E46" s="7" t="s">
        <v>43</v>
      </c>
      <c r="F46" s="8"/>
      <c r="G46" s="8">
        <v>20</v>
      </c>
      <c r="H46" s="9"/>
      <c r="I46" s="9">
        <v>19.5</v>
      </c>
      <c r="J46" s="8"/>
      <c r="K46" s="8">
        <v>19.899999999999999</v>
      </c>
      <c r="L46" s="9"/>
      <c r="M46" s="9">
        <v>19.899999999999999</v>
      </c>
      <c r="N46" s="8"/>
      <c r="O46" s="8">
        <v>19.899999999999999</v>
      </c>
      <c r="P46" s="9"/>
      <c r="Q46" s="9">
        <v>20.3</v>
      </c>
    </row>
    <row r="47" spans="2:17" ht="20.100000000000001" customHeight="1">
      <c r="B47" s="103"/>
      <c r="C47" s="10" t="s">
        <v>86</v>
      </c>
      <c r="D47" s="7" t="s">
        <v>76</v>
      </c>
      <c r="E47" s="7" t="s">
        <v>76</v>
      </c>
      <c r="F47" s="8"/>
      <c r="G47" s="8">
        <v>200.8</v>
      </c>
      <c r="H47" s="9"/>
      <c r="I47" s="9">
        <v>124.3</v>
      </c>
      <c r="J47" s="8"/>
      <c r="K47" s="8">
        <v>207.6</v>
      </c>
      <c r="L47" s="9"/>
      <c r="M47" s="9">
        <v>220.1</v>
      </c>
      <c r="N47" s="8"/>
      <c r="O47" s="8">
        <v>158.30000000000001</v>
      </c>
      <c r="P47" s="9"/>
      <c r="Q47" s="9">
        <v>201.6</v>
      </c>
    </row>
    <row r="48" spans="2:17" ht="20.100000000000001" customHeight="1">
      <c r="B48" s="97" t="s">
        <v>87</v>
      </c>
      <c r="C48" s="97"/>
      <c r="D48" s="97"/>
      <c r="E48" s="17" t="s">
        <v>88</v>
      </c>
      <c r="F48" s="8"/>
      <c r="G48" s="8"/>
      <c r="H48" s="9"/>
      <c r="I48" s="9"/>
      <c r="J48" s="8"/>
      <c r="K48" s="8"/>
      <c r="L48" s="9"/>
      <c r="M48" s="9"/>
      <c r="N48" s="8"/>
      <c r="O48" s="8"/>
      <c r="P48" s="9"/>
      <c r="Q48" s="9"/>
    </row>
    <row r="49" spans="2:17" ht="20.100000000000001" customHeight="1">
      <c r="B49" s="97" t="s">
        <v>89</v>
      </c>
      <c r="C49" s="97"/>
      <c r="D49" s="97"/>
      <c r="E49" s="69">
        <v>5.89</v>
      </c>
      <c r="F49" s="8"/>
      <c r="G49" s="8">
        <v>5.86</v>
      </c>
      <c r="H49" s="9"/>
      <c r="I49" s="9">
        <v>5.4</v>
      </c>
      <c r="J49" s="8"/>
      <c r="K49" s="8">
        <v>5.61</v>
      </c>
      <c r="L49" s="9"/>
      <c r="M49" s="9">
        <v>5.6</v>
      </c>
      <c r="N49" s="8"/>
      <c r="O49" s="8">
        <v>5.51</v>
      </c>
      <c r="P49" s="9"/>
      <c r="Q49" s="9">
        <v>5.14</v>
      </c>
    </row>
    <row r="50" spans="2:17" ht="20.100000000000001" customHeight="1">
      <c r="B50" s="97" t="s">
        <v>90</v>
      </c>
      <c r="C50" s="97"/>
      <c r="D50" s="97"/>
      <c r="E50" s="69"/>
      <c r="F50" s="8"/>
      <c r="G50" s="8"/>
      <c r="H50" s="9"/>
      <c r="I50" s="9"/>
      <c r="J50" s="8"/>
      <c r="K50" s="8"/>
      <c r="L50" s="9"/>
      <c r="M50" s="9"/>
      <c r="N50" s="8"/>
      <c r="O50" s="8"/>
      <c r="P50" s="9"/>
      <c r="Q50" s="9"/>
    </row>
    <row r="51" spans="2:17" ht="20.100000000000001" customHeight="1" thickBot="1">
      <c r="B51" s="97" t="s">
        <v>91</v>
      </c>
      <c r="C51" s="97"/>
      <c r="D51" s="97"/>
      <c r="E51" s="68"/>
      <c r="F51" s="8"/>
      <c r="G51" s="8"/>
      <c r="H51" s="9"/>
      <c r="I51" s="9"/>
      <c r="J51" s="8"/>
      <c r="K51" s="8"/>
      <c r="L51" s="9"/>
      <c r="M51" s="9"/>
      <c r="N51" s="8"/>
      <c r="O51" s="8"/>
      <c r="P51" s="9"/>
      <c r="Q51" s="9"/>
    </row>
    <row r="52" spans="2:17">
      <c r="B52" t="s">
        <v>92</v>
      </c>
      <c r="C52" s="18" t="s">
        <v>93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28"/>
    </row>
    <row r="53" spans="2:17">
      <c r="C53" s="20" t="s">
        <v>94</v>
      </c>
      <c r="Q53" s="31"/>
    </row>
    <row r="54" spans="2:17">
      <c r="C54" s="20" t="s">
        <v>95</v>
      </c>
      <c r="Q54" s="31"/>
    </row>
    <row r="55" spans="2:17">
      <c r="C55" s="20"/>
      <c r="Q55" s="31"/>
    </row>
    <row r="56" spans="2:17">
      <c r="C56" s="20"/>
      <c r="Q56" s="31"/>
    </row>
    <row r="57" spans="2:17">
      <c r="C57" s="20" t="s">
        <v>96</v>
      </c>
      <c r="F57" s="21" t="b">
        <v>0</v>
      </c>
      <c r="G57" s="22" t="s">
        <v>97</v>
      </c>
      <c r="Q57" s="31"/>
    </row>
    <row r="58" spans="2:17">
      <c r="C58" s="20" t="s">
        <v>96</v>
      </c>
      <c r="F58" s="8" t="s">
        <v>98</v>
      </c>
      <c r="G58" s="23" t="s">
        <v>99</v>
      </c>
      <c r="Q58" s="31"/>
    </row>
    <row r="59" spans="2:17" ht="15.75" thickBot="1"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30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10AC8-1A8E-4B25-8810-6BEC13C2B95F}">
  <dimension ref="B1:Q59"/>
  <sheetViews>
    <sheetView view="pageBreakPreview" topLeftCell="A4" zoomScale="85" zoomScaleNormal="60" workbookViewId="0">
      <selection activeCell="N34" sqref="N34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107"/>
      <c r="C2" s="110" t="s">
        <v>0</v>
      </c>
      <c r="D2" s="111"/>
      <c r="E2" s="111"/>
      <c r="F2" s="111"/>
      <c r="G2" s="111"/>
      <c r="H2" s="111"/>
      <c r="I2" s="111"/>
      <c r="J2" s="111"/>
      <c r="K2" s="111"/>
      <c r="L2" s="111"/>
      <c r="M2" s="112"/>
      <c r="N2" s="18" t="s">
        <v>1</v>
      </c>
      <c r="O2" s="19"/>
      <c r="P2" s="19"/>
      <c r="Q2" s="28"/>
    </row>
    <row r="3" spans="2:17" ht="15.75" thickBot="1">
      <c r="B3" s="108"/>
      <c r="C3" s="113"/>
      <c r="D3" s="114"/>
      <c r="E3" s="114"/>
      <c r="F3" s="114"/>
      <c r="G3" s="114"/>
      <c r="H3" s="114"/>
      <c r="I3" s="114"/>
      <c r="J3" s="114"/>
      <c r="K3" s="114"/>
      <c r="L3" s="114"/>
      <c r="M3" s="115"/>
      <c r="N3" s="26" t="s">
        <v>2</v>
      </c>
      <c r="O3" s="27" t="s">
        <v>3</v>
      </c>
      <c r="P3" s="27"/>
      <c r="Q3" s="29"/>
    </row>
    <row r="4" spans="2:17" ht="15.75" thickBot="1">
      <c r="B4" s="108"/>
      <c r="C4" s="113"/>
      <c r="D4" s="114"/>
      <c r="E4" s="114"/>
      <c r="F4" s="114"/>
      <c r="G4" s="114"/>
      <c r="H4" s="114"/>
      <c r="I4" s="114"/>
      <c r="J4" s="114"/>
      <c r="K4" s="114"/>
      <c r="L4" s="114"/>
      <c r="M4" s="115"/>
      <c r="N4" s="26" t="s">
        <v>4</v>
      </c>
      <c r="O4" s="27"/>
      <c r="P4" s="27"/>
      <c r="Q4" s="29"/>
    </row>
    <row r="5" spans="2:17" ht="15.75" thickBot="1">
      <c r="B5" s="109"/>
      <c r="C5" s="116"/>
      <c r="D5" s="117"/>
      <c r="E5" s="117"/>
      <c r="F5" s="117"/>
      <c r="G5" s="117"/>
      <c r="H5" s="117"/>
      <c r="I5" s="117"/>
      <c r="J5" s="117"/>
      <c r="K5" s="117"/>
      <c r="L5" s="117"/>
      <c r="M5" s="118"/>
      <c r="N5" s="24" t="s">
        <v>5</v>
      </c>
      <c r="O5" s="25"/>
      <c r="P5" s="25"/>
      <c r="Q5" s="30"/>
    </row>
    <row r="7" spans="2:17">
      <c r="B7" s="98" t="s">
        <v>6</v>
      </c>
      <c r="C7" s="99"/>
      <c r="D7" s="100">
        <v>45735</v>
      </c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2"/>
    </row>
    <row r="8" spans="2:17">
      <c r="B8" s="97" t="s">
        <v>7</v>
      </c>
      <c r="C8" s="97"/>
      <c r="D8" s="97"/>
      <c r="E8" s="105" t="s">
        <v>8</v>
      </c>
      <c r="F8" s="103" t="s">
        <v>9</v>
      </c>
      <c r="G8" s="103"/>
      <c r="H8" s="104" t="s">
        <v>10</v>
      </c>
      <c r="I8" s="104"/>
      <c r="J8" s="103" t="s">
        <v>11</v>
      </c>
      <c r="K8" s="103"/>
      <c r="L8" s="104" t="s">
        <v>12</v>
      </c>
      <c r="M8" s="104"/>
      <c r="N8" s="103" t="s">
        <v>13</v>
      </c>
      <c r="O8" s="103"/>
      <c r="P8" s="104" t="s">
        <v>14</v>
      </c>
      <c r="Q8" s="104"/>
    </row>
    <row r="9" spans="2:17">
      <c r="B9" s="98" t="s">
        <v>15</v>
      </c>
      <c r="C9" s="119"/>
      <c r="D9" s="99"/>
      <c r="E9" s="106"/>
      <c r="F9" s="3">
        <v>0.375</v>
      </c>
      <c r="G9" s="32" t="s">
        <v>16</v>
      </c>
      <c r="H9" s="4">
        <v>0.375</v>
      </c>
      <c r="I9" s="33" t="s">
        <v>16</v>
      </c>
      <c r="J9" s="3">
        <v>0.375</v>
      </c>
      <c r="K9" s="32" t="s">
        <v>16</v>
      </c>
      <c r="L9" s="4">
        <v>0.375</v>
      </c>
      <c r="M9" s="33" t="s">
        <v>16</v>
      </c>
      <c r="N9" s="3">
        <v>0.375</v>
      </c>
      <c r="O9" s="32" t="s">
        <v>16</v>
      </c>
      <c r="P9" s="4">
        <v>0.375</v>
      </c>
      <c r="Q9" s="33" t="s">
        <v>16</v>
      </c>
    </row>
    <row r="10" spans="2:17" ht="26.25" customHeight="1">
      <c r="B10" s="120" t="s">
        <v>17</v>
      </c>
      <c r="C10" s="121"/>
      <c r="D10" s="71" t="s">
        <v>18</v>
      </c>
      <c r="E10" s="5"/>
      <c r="F10" s="6"/>
      <c r="G10" s="34" t="s">
        <v>19</v>
      </c>
      <c r="H10" s="35" t="s">
        <v>19</v>
      </c>
      <c r="I10" s="35" t="s">
        <v>19</v>
      </c>
      <c r="J10" s="34"/>
      <c r="K10" s="34" t="s">
        <v>19</v>
      </c>
      <c r="L10" s="35"/>
      <c r="M10" s="35" t="s">
        <v>19</v>
      </c>
      <c r="N10" s="6" t="s">
        <v>19</v>
      </c>
      <c r="O10" s="34" t="s">
        <v>19</v>
      </c>
      <c r="P10" s="35"/>
      <c r="Q10" s="35" t="s">
        <v>19</v>
      </c>
    </row>
    <row r="11" spans="2:17" ht="20.100000000000001" customHeight="1">
      <c r="B11" s="97" t="s">
        <v>20</v>
      </c>
      <c r="C11" s="97"/>
      <c r="D11" s="7" t="s">
        <v>21</v>
      </c>
      <c r="E11" s="7" t="s">
        <v>22</v>
      </c>
      <c r="F11" s="8"/>
      <c r="G11" s="8">
        <v>71.3</v>
      </c>
      <c r="H11" s="9">
        <v>80.400000000000006</v>
      </c>
      <c r="I11" s="9">
        <v>80.5</v>
      </c>
      <c r="J11" s="8"/>
      <c r="K11" s="8">
        <v>75.5</v>
      </c>
      <c r="L11" s="9"/>
      <c r="M11" s="9">
        <v>73.5</v>
      </c>
      <c r="N11" s="8">
        <v>77.3</v>
      </c>
      <c r="O11" s="8">
        <v>76.7</v>
      </c>
      <c r="P11" s="9"/>
      <c r="Q11" s="9">
        <v>74.3</v>
      </c>
    </row>
    <row r="12" spans="2:17" ht="20.100000000000001" customHeight="1">
      <c r="B12" s="97" t="s">
        <v>23</v>
      </c>
      <c r="C12" s="97"/>
      <c r="D12" s="7" t="s">
        <v>21</v>
      </c>
      <c r="E12" s="7" t="s">
        <v>22</v>
      </c>
      <c r="F12" s="8"/>
      <c r="G12" s="8">
        <v>0.6</v>
      </c>
      <c r="H12" s="9">
        <v>0</v>
      </c>
      <c r="I12" s="9">
        <v>0</v>
      </c>
      <c r="J12" s="8"/>
      <c r="K12" s="8">
        <v>0</v>
      </c>
      <c r="L12" s="9"/>
      <c r="M12" s="9">
        <v>0</v>
      </c>
      <c r="N12" s="8">
        <v>0</v>
      </c>
      <c r="O12" s="8">
        <v>0</v>
      </c>
      <c r="P12" s="9"/>
      <c r="Q12" s="9">
        <v>0</v>
      </c>
    </row>
    <row r="13" spans="2:17" ht="20.100000000000001" customHeight="1">
      <c r="B13" s="97" t="s">
        <v>24</v>
      </c>
      <c r="C13" s="97"/>
      <c r="D13" s="7" t="s">
        <v>21</v>
      </c>
      <c r="E13" s="7" t="s">
        <v>22</v>
      </c>
      <c r="F13" s="8"/>
      <c r="G13" s="8">
        <v>65.8</v>
      </c>
      <c r="H13" s="9">
        <v>76.400000000000006</v>
      </c>
      <c r="I13" s="9">
        <v>76.900000000000006</v>
      </c>
      <c r="J13" s="8"/>
      <c r="K13" s="8">
        <v>69.8</v>
      </c>
      <c r="L13" s="9"/>
      <c r="M13" s="9">
        <v>68.5</v>
      </c>
      <c r="N13" s="8">
        <v>72.099999999999994</v>
      </c>
      <c r="O13" s="8">
        <v>71.900000000000006</v>
      </c>
      <c r="P13" s="9"/>
      <c r="Q13" s="9">
        <v>69.099999999999994</v>
      </c>
    </row>
    <row r="14" spans="2:17" ht="20.100000000000001" customHeight="1">
      <c r="B14" s="97" t="s">
        <v>25</v>
      </c>
      <c r="C14" s="97"/>
      <c r="D14" s="7" t="s">
        <v>21</v>
      </c>
      <c r="E14" s="7" t="s">
        <v>22</v>
      </c>
      <c r="F14" s="8"/>
      <c r="G14" s="8">
        <v>66.900000000000006</v>
      </c>
      <c r="H14" s="9">
        <v>68</v>
      </c>
      <c r="I14" s="9">
        <v>69.900000000000006</v>
      </c>
      <c r="J14" s="8"/>
      <c r="K14" s="8">
        <v>64.8</v>
      </c>
      <c r="L14" s="9"/>
      <c r="M14" s="9">
        <v>66.2</v>
      </c>
      <c r="N14" s="8">
        <v>72.2</v>
      </c>
      <c r="O14" s="8">
        <v>74.400000000000006</v>
      </c>
      <c r="P14" s="9"/>
      <c r="Q14" s="9">
        <v>73.3</v>
      </c>
    </row>
    <row r="15" spans="2:17" ht="20.100000000000001" customHeight="1">
      <c r="B15" s="97" t="s">
        <v>26</v>
      </c>
      <c r="C15" s="97"/>
      <c r="D15" s="7" t="s">
        <v>21</v>
      </c>
      <c r="E15" s="7" t="s">
        <v>22</v>
      </c>
      <c r="F15" s="8"/>
      <c r="G15" s="8">
        <v>37.4</v>
      </c>
      <c r="H15" s="9">
        <v>51.8</v>
      </c>
      <c r="I15" s="9">
        <v>52.6</v>
      </c>
      <c r="J15" s="8"/>
      <c r="K15" s="8">
        <v>41.1</v>
      </c>
      <c r="L15" s="9"/>
      <c r="M15" s="9">
        <v>34.9</v>
      </c>
      <c r="N15" s="8">
        <v>53.7</v>
      </c>
      <c r="O15" s="8">
        <v>65.3</v>
      </c>
      <c r="P15" s="9"/>
      <c r="Q15" s="9">
        <v>45.4</v>
      </c>
    </row>
    <row r="16" spans="2:17" ht="20.100000000000001" customHeight="1">
      <c r="B16" s="103" t="s">
        <v>27</v>
      </c>
      <c r="C16" s="10" t="s">
        <v>28</v>
      </c>
      <c r="D16" s="7" t="s">
        <v>29</v>
      </c>
      <c r="E16" s="7" t="s">
        <v>30</v>
      </c>
      <c r="F16" s="8"/>
      <c r="G16" s="8">
        <v>6.6</v>
      </c>
      <c r="H16" s="9">
        <v>6.6</v>
      </c>
      <c r="I16" s="9">
        <v>6.6</v>
      </c>
      <c r="J16" s="8"/>
      <c r="K16" s="8">
        <v>6.6</v>
      </c>
      <c r="L16" s="9"/>
      <c r="M16" s="9">
        <v>6.6</v>
      </c>
      <c r="N16" s="8">
        <v>6.6</v>
      </c>
      <c r="O16" s="8">
        <v>6.6</v>
      </c>
      <c r="P16" s="9"/>
      <c r="Q16" s="9">
        <v>6.6</v>
      </c>
    </row>
    <row r="17" spans="2:17" ht="20.100000000000001" customHeight="1">
      <c r="B17" s="103"/>
      <c r="C17" s="10" t="s">
        <v>31</v>
      </c>
      <c r="D17" s="7" t="s">
        <v>32</v>
      </c>
      <c r="E17" s="7" t="s">
        <v>33</v>
      </c>
      <c r="F17" s="8"/>
      <c r="G17" s="8">
        <v>116.2</v>
      </c>
      <c r="H17" s="9">
        <v>117.2</v>
      </c>
      <c r="I17" s="9">
        <v>117.2</v>
      </c>
      <c r="J17" s="8"/>
      <c r="K17" s="8">
        <v>115.8</v>
      </c>
      <c r="L17" s="9"/>
      <c r="M17" s="9">
        <v>114.2</v>
      </c>
      <c r="N17" s="8">
        <v>118.8</v>
      </c>
      <c r="O17" s="8">
        <v>112.5</v>
      </c>
      <c r="P17" s="9"/>
      <c r="Q17" s="9">
        <v>117.3</v>
      </c>
    </row>
    <row r="18" spans="2:17" ht="20.100000000000001" customHeight="1">
      <c r="B18" s="103"/>
      <c r="C18" s="10" t="s">
        <v>34</v>
      </c>
      <c r="D18" s="7" t="s">
        <v>35</v>
      </c>
      <c r="E18" s="7" t="s">
        <v>36</v>
      </c>
      <c r="F18" s="8"/>
      <c r="G18" s="8">
        <v>1137</v>
      </c>
      <c r="H18" s="9">
        <v>1190</v>
      </c>
      <c r="I18" s="9">
        <v>1192</v>
      </c>
      <c r="J18" s="8"/>
      <c r="K18" s="8">
        <v>1180</v>
      </c>
      <c r="L18" s="9"/>
      <c r="M18" s="9">
        <v>1161</v>
      </c>
      <c r="N18" s="8">
        <v>1209</v>
      </c>
      <c r="O18" s="8">
        <v>1200</v>
      </c>
      <c r="P18" s="9"/>
      <c r="Q18" s="9">
        <v>1193</v>
      </c>
    </row>
    <row r="19" spans="2:17" ht="20.100000000000001" customHeight="1">
      <c r="B19" s="103" t="s">
        <v>37</v>
      </c>
      <c r="C19" s="10" t="s">
        <v>38</v>
      </c>
      <c r="D19" s="7" t="s">
        <v>39</v>
      </c>
      <c r="E19" s="11" t="s">
        <v>40</v>
      </c>
      <c r="F19" s="8"/>
      <c r="G19" s="8">
        <v>49580.1</v>
      </c>
      <c r="H19" s="9">
        <v>50829.8</v>
      </c>
      <c r="I19" s="9">
        <v>50820</v>
      </c>
      <c r="J19" s="8"/>
      <c r="K19" s="8">
        <v>48467.199999999997</v>
      </c>
      <c r="L19" s="9"/>
      <c r="M19" s="9">
        <v>50854.1</v>
      </c>
      <c r="N19" s="8">
        <v>50044.800000000003</v>
      </c>
      <c r="O19" s="8">
        <v>50034.9</v>
      </c>
      <c r="P19" s="9"/>
      <c r="Q19" s="9">
        <v>50186.8</v>
      </c>
    </row>
    <row r="20" spans="2:17" ht="20.100000000000001" customHeight="1">
      <c r="B20" s="103"/>
      <c r="C20" s="10" t="s">
        <v>41</v>
      </c>
      <c r="D20" s="7" t="s">
        <v>42</v>
      </c>
      <c r="E20" s="7" t="s">
        <v>43</v>
      </c>
      <c r="F20" s="8"/>
      <c r="G20" s="8"/>
      <c r="H20" s="9"/>
      <c r="I20" s="9"/>
      <c r="J20" s="8"/>
      <c r="K20" s="8"/>
      <c r="L20" s="9"/>
      <c r="M20" s="9"/>
      <c r="N20" s="8"/>
      <c r="O20" s="8"/>
      <c r="P20" s="9"/>
      <c r="Q20" s="9"/>
    </row>
    <row r="21" spans="2:17" ht="20.100000000000001" customHeight="1">
      <c r="B21" s="103"/>
      <c r="C21" s="10" t="s">
        <v>44</v>
      </c>
      <c r="D21" s="7" t="s">
        <v>42</v>
      </c>
      <c r="E21" s="7" t="s">
        <v>45</v>
      </c>
      <c r="F21" s="8"/>
      <c r="G21" s="8"/>
      <c r="H21" s="9"/>
      <c r="I21" s="9"/>
      <c r="J21" s="8"/>
      <c r="K21" s="8"/>
      <c r="L21" s="9"/>
      <c r="M21" s="9"/>
      <c r="N21" s="8"/>
      <c r="O21" s="8"/>
      <c r="P21" s="9"/>
      <c r="Q21" s="9"/>
    </row>
    <row r="22" spans="2:17" ht="20.100000000000001" customHeight="1">
      <c r="B22" s="103"/>
      <c r="C22" s="10" t="s">
        <v>46</v>
      </c>
      <c r="D22" s="7" t="s">
        <v>42</v>
      </c>
      <c r="E22" s="7" t="s">
        <v>47</v>
      </c>
      <c r="F22" s="8"/>
      <c r="G22" s="8">
        <v>58.2</v>
      </c>
      <c r="H22" s="9">
        <v>59.2</v>
      </c>
      <c r="I22" s="9">
        <v>59.3</v>
      </c>
      <c r="J22" s="8"/>
      <c r="K22" s="8">
        <v>57.7</v>
      </c>
      <c r="L22" s="9"/>
      <c r="M22" s="9">
        <v>57.2</v>
      </c>
      <c r="N22" s="8">
        <v>58.6</v>
      </c>
      <c r="O22" s="8">
        <v>58.6</v>
      </c>
      <c r="P22" s="9"/>
      <c r="Q22" s="9">
        <v>58.9</v>
      </c>
    </row>
    <row r="23" spans="2:17" ht="60">
      <c r="B23" s="103"/>
      <c r="C23" s="12" t="s">
        <v>48</v>
      </c>
      <c r="D23" s="8" t="s">
        <v>49</v>
      </c>
      <c r="E23" s="13" t="s">
        <v>50</v>
      </c>
      <c r="F23" s="8"/>
      <c r="G23" s="8">
        <v>0.53</v>
      </c>
      <c r="H23" s="9">
        <v>0.49</v>
      </c>
      <c r="I23" s="9">
        <v>0.48</v>
      </c>
      <c r="J23" s="8"/>
      <c r="K23" s="8">
        <v>0.59</v>
      </c>
      <c r="L23" s="9"/>
      <c r="M23" s="9">
        <v>0.44</v>
      </c>
      <c r="N23" s="8">
        <v>0.45</v>
      </c>
      <c r="O23" s="8">
        <v>0.48</v>
      </c>
      <c r="P23" s="9"/>
      <c r="Q23" s="9">
        <v>0.5</v>
      </c>
    </row>
    <row r="24" spans="2:17" ht="39.75" customHeight="1">
      <c r="B24" s="103"/>
      <c r="C24" s="12" t="s">
        <v>51</v>
      </c>
      <c r="D24" s="7"/>
      <c r="E24" s="7"/>
      <c r="F24" s="8"/>
      <c r="G24" s="8"/>
      <c r="H24" s="9"/>
      <c r="I24" s="9"/>
      <c r="J24" s="8"/>
      <c r="K24" s="8"/>
      <c r="L24" s="8"/>
      <c r="M24" s="9"/>
      <c r="N24" s="8"/>
      <c r="O24" s="8"/>
      <c r="P24" s="9"/>
      <c r="Q24" s="9"/>
    </row>
    <row r="25" spans="2:17" ht="20.100000000000001" customHeight="1">
      <c r="B25" s="103"/>
      <c r="C25" s="10" t="s">
        <v>52</v>
      </c>
      <c r="D25" s="7" t="s">
        <v>42</v>
      </c>
      <c r="E25" s="7" t="s">
        <v>53</v>
      </c>
      <c r="F25" s="8"/>
      <c r="G25" s="8">
        <v>45.7</v>
      </c>
      <c r="H25" s="9">
        <v>44.9</v>
      </c>
      <c r="I25" s="9">
        <v>44.7</v>
      </c>
      <c r="J25" s="8"/>
      <c r="K25" s="8">
        <v>44.9</v>
      </c>
      <c r="L25" s="9"/>
      <c r="M25" s="9">
        <v>44.8</v>
      </c>
      <c r="N25" s="8">
        <v>44.9</v>
      </c>
      <c r="O25" s="8">
        <v>44.9</v>
      </c>
      <c r="P25" s="9"/>
      <c r="Q25" s="9">
        <v>44.9</v>
      </c>
    </row>
    <row r="26" spans="2:17" ht="20.100000000000001" customHeight="1">
      <c r="B26" s="103" t="s">
        <v>54</v>
      </c>
      <c r="C26" s="10" t="s">
        <v>55</v>
      </c>
      <c r="D26" s="7" t="s">
        <v>49</v>
      </c>
      <c r="E26" s="14" t="s">
        <v>56</v>
      </c>
      <c r="F26" s="8"/>
      <c r="G26" s="8">
        <v>0.23</v>
      </c>
      <c r="H26" s="9">
        <v>0.21</v>
      </c>
      <c r="I26" s="9">
        <v>0.22</v>
      </c>
      <c r="J26" s="8"/>
      <c r="K26" s="8">
        <v>0.23</v>
      </c>
      <c r="L26" s="9"/>
      <c r="M26" s="9">
        <v>0.22</v>
      </c>
      <c r="N26" s="8">
        <v>0.23</v>
      </c>
      <c r="O26" s="8">
        <v>0.23</v>
      </c>
      <c r="P26" s="9"/>
      <c r="Q26" s="9">
        <v>0.23</v>
      </c>
    </row>
    <row r="27" spans="2:17" ht="20.100000000000001" customHeight="1">
      <c r="B27" s="103"/>
      <c r="C27" s="10" t="s">
        <v>57</v>
      </c>
      <c r="D27" s="7" t="s">
        <v>42</v>
      </c>
      <c r="E27" s="7" t="s">
        <v>43</v>
      </c>
      <c r="F27" s="8"/>
      <c r="G27" s="8">
        <v>4.0999999999999996</v>
      </c>
      <c r="H27" s="9">
        <v>3.1</v>
      </c>
      <c r="I27" s="9">
        <v>3.3</v>
      </c>
      <c r="J27" s="8"/>
      <c r="K27" s="8">
        <v>4.0999999999999996</v>
      </c>
      <c r="L27" s="9"/>
      <c r="M27" s="9">
        <v>3.6</v>
      </c>
      <c r="N27" s="8">
        <v>4.2</v>
      </c>
      <c r="O27" s="8">
        <v>4.4000000000000004</v>
      </c>
      <c r="P27" s="9"/>
      <c r="Q27" s="9">
        <v>4.8</v>
      </c>
    </row>
    <row r="28" spans="2:17" ht="20.100000000000001" customHeight="1">
      <c r="B28" s="103"/>
      <c r="C28" s="10" t="s">
        <v>58</v>
      </c>
      <c r="D28" s="7" t="s">
        <v>42</v>
      </c>
      <c r="E28" s="7" t="s">
        <v>43</v>
      </c>
      <c r="F28" s="8"/>
      <c r="G28" s="8">
        <v>3.8</v>
      </c>
      <c r="H28" s="9">
        <v>2.1</v>
      </c>
      <c r="I28" s="9">
        <v>2.2999999999999998</v>
      </c>
      <c r="J28" s="8"/>
      <c r="K28" s="8">
        <v>3.2</v>
      </c>
      <c r="L28" s="9"/>
      <c r="M28" s="9">
        <v>2.7</v>
      </c>
      <c r="N28" s="8">
        <v>3.3</v>
      </c>
      <c r="O28" s="8">
        <v>3.3</v>
      </c>
      <c r="P28" s="9"/>
      <c r="Q28" s="9">
        <v>3.6</v>
      </c>
    </row>
    <row r="29" spans="2:17" ht="20.100000000000001" customHeight="1">
      <c r="B29" s="103"/>
      <c r="C29" s="10" t="s">
        <v>59</v>
      </c>
      <c r="D29" s="7" t="s">
        <v>42</v>
      </c>
      <c r="E29" s="7" t="s">
        <v>43</v>
      </c>
      <c r="F29" s="15"/>
      <c r="G29" s="15">
        <f t="shared" ref="G29:Q29" si="0">G32-G28</f>
        <v>0.79999999999999982</v>
      </c>
      <c r="H29" s="15">
        <f t="shared" si="0"/>
        <v>2.6999999999999997</v>
      </c>
      <c r="I29" s="15">
        <f t="shared" si="0"/>
        <v>1.9000000000000004</v>
      </c>
      <c r="J29" s="15">
        <f t="shared" si="0"/>
        <v>0</v>
      </c>
      <c r="K29" s="15">
        <f t="shared" si="0"/>
        <v>1.2999999999999998</v>
      </c>
      <c r="L29" s="15">
        <f t="shared" si="0"/>
        <v>0</v>
      </c>
      <c r="M29" s="15">
        <f t="shared" si="0"/>
        <v>1.0999999999999996</v>
      </c>
      <c r="N29" s="15">
        <f>N32-N28</f>
        <v>1.1000000000000005</v>
      </c>
      <c r="O29" s="15">
        <f>O32-O28</f>
        <v>0.79999999999999982</v>
      </c>
      <c r="P29" s="15">
        <f t="shared" si="0"/>
        <v>0</v>
      </c>
      <c r="Q29" s="15">
        <f t="shared" si="0"/>
        <v>0.69999999999999973</v>
      </c>
    </row>
    <row r="30" spans="2:17" ht="20.100000000000001" customHeight="1">
      <c r="B30" s="103"/>
      <c r="C30" s="10" t="s">
        <v>60</v>
      </c>
      <c r="D30" s="7" t="s">
        <v>61</v>
      </c>
      <c r="E30" s="7" t="s">
        <v>62</v>
      </c>
      <c r="F30" s="8"/>
      <c r="G30" s="8">
        <v>649.76</v>
      </c>
      <c r="H30" s="9">
        <v>677.4</v>
      </c>
      <c r="I30" s="9">
        <v>639.67999999999995</v>
      </c>
      <c r="J30" s="8"/>
      <c r="K30" s="8">
        <v>640.55999999999995</v>
      </c>
      <c r="L30" s="9"/>
      <c r="M30" s="9">
        <v>625.36</v>
      </c>
      <c r="N30" s="8">
        <v>689.7</v>
      </c>
      <c r="O30" s="8">
        <v>635.6</v>
      </c>
      <c r="P30" s="9"/>
      <c r="Q30" s="9">
        <v>638</v>
      </c>
    </row>
    <row r="31" spans="2:17" ht="20.100000000000001" customHeight="1">
      <c r="B31" s="103"/>
      <c r="C31" s="10" t="s">
        <v>63</v>
      </c>
      <c r="D31" s="7" t="s">
        <v>42</v>
      </c>
      <c r="E31" s="7">
        <v>13.5</v>
      </c>
      <c r="F31" s="8"/>
      <c r="G31" s="8">
        <v>13.1</v>
      </c>
      <c r="H31" s="9">
        <v>13</v>
      </c>
      <c r="I31" s="9">
        <v>12.6</v>
      </c>
      <c r="J31" s="8"/>
      <c r="K31" s="8">
        <v>13.3</v>
      </c>
      <c r="L31" s="9"/>
      <c r="M31" s="9">
        <v>13.2</v>
      </c>
      <c r="N31" s="8">
        <v>13</v>
      </c>
      <c r="O31" s="8">
        <v>12.9</v>
      </c>
      <c r="P31" s="9"/>
      <c r="Q31" s="9">
        <v>12.8</v>
      </c>
    </row>
    <row r="32" spans="2:17" ht="20.100000000000001" customHeight="1">
      <c r="B32" s="103"/>
      <c r="C32" s="10" t="s">
        <v>64</v>
      </c>
      <c r="D32" s="7" t="s">
        <v>42</v>
      </c>
      <c r="E32" s="7">
        <v>4</v>
      </c>
      <c r="F32" s="8"/>
      <c r="G32" s="8">
        <v>4.5999999999999996</v>
      </c>
      <c r="H32" s="9">
        <v>4.8</v>
      </c>
      <c r="I32" s="9">
        <v>4.2</v>
      </c>
      <c r="J32" s="8"/>
      <c r="K32" s="8">
        <v>4.5</v>
      </c>
      <c r="L32" s="9"/>
      <c r="M32" s="9">
        <v>3.8</v>
      </c>
      <c r="N32" s="8">
        <v>4.4000000000000004</v>
      </c>
      <c r="O32" s="8">
        <v>4.0999999999999996</v>
      </c>
      <c r="P32" s="9"/>
      <c r="Q32" s="9">
        <v>4.3</v>
      </c>
    </row>
    <row r="33" spans="2:17" ht="20.100000000000001" customHeight="1">
      <c r="B33" s="103"/>
      <c r="C33" s="10" t="s">
        <v>65</v>
      </c>
      <c r="D33" s="7" t="s">
        <v>42</v>
      </c>
      <c r="E33" s="7">
        <v>9.5</v>
      </c>
      <c r="F33" s="15"/>
      <c r="G33" s="15">
        <f t="shared" ref="G33:Q33" si="1">G31-G32</f>
        <v>8.5</v>
      </c>
      <c r="H33" s="15">
        <f t="shared" si="1"/>
        <v>8.1999999999999993</v>
      </c>
      <c r="I33" s="15">
        <f t="shared" si="1"/>
        <v>8.3999999999999986</v>
      </c>
      <c r="J33" s="15">
        <f t="shared" si="1"/>
        <v>0</v>
      </c>
      <c r="K33" s="15">
        <f t="shared" si="1"/>
        <v>8.8000000000000007</v>
      </c>
      <c r="L33" s="15">
        <f t="shared" si="1"/>
        <v>0</v>
      </c>
      <c r="M33" s="15">
        <f t="shared" si="1"/>
        <v>9.3999999999999986</v>
      </c>
      <c r="N33" s="15">
        <f>N31-N32</f>
        <v>8.6</v>
      </c>
      <c r="O33" s="15">
        <f>O31-O32</f>
        <v>8.8000000000000007</v>
      </c>
      <c r="P33" s="15">
        <f t="shared" si="1"/>
        <v>0</v>
      </c>
      <c r="Q33" s="15">
        <f t="shared" si="1"/>
        <v>8.5</v>
      </c>
    </row>
    <row r="34" spans="2:17" ht="20.100000000000001" customHeight="1">
      <c r="B34" s="103"/>
      <c r="C34" s="10" t="s">
        <v>66</v>
      </c>
      <c r="D34" s="7" t="s">
        <v>67</v>
      </c>
      <c r="E34" s="7" t="s">
        <v>68</v>
      </c>
      <c r="F34" s="16"/>
      <c r="G34" s="16">
        <f t="shared" ref="G34:Q34" si="2">(G33*G30)/0.866</f>
        <v>6377.5519630484987</v>
      </c>
      <c r="H34" s="16">
        <f t="shared" si="2"/>
        <v>6414.1801385681283</v>
      </c>
      <c r="I34" s="16">
        <f t="shared" si="2"/>
        <v>6204.7482678983824</v>
      </c>
      <c r="J34" s="16">
        <f t="shared" si="2"/>
        <v>0</v>
      </c>
      <c r="K34" s="16">
        <f t="shared" si="2"/>
        <v>6509.154734411085</v>
      </c>
      <c r="L34" s="16">
        <f t="shared" si="2"/>
        <v>0</v>
      </c>
      <c r="M34" s="16">
        <f t="shared" si="2"/>
        <v>6787.9722863741326</v>
      </c>
      <c r="N34" s="16">
        <f>(N30*M33)/0.866</f>
        <v>7486.3510392609696</v>
      </c>
      <c r="O34" s="16">
        <f>(O33*O30)/0.866</f>
        <v>6458.7528868360287</v>
      </c>
      <c r="P34" s="16">
        <f t="shared" si="2"/>
        <v>0</v>
      </c>
      <c r="Q34" s="16">
        <f t="shared" si="2"/>
        <v>6262.1247113163972</v>
      </c>
    </row>
    <row r="35" spans="2:17" ht="20.100000000000001" customHeight="1">
      <c r="B35" s="103" t="s">
        <v>69</v>
      </c>
      <c r="C35" s="10" t="s">
        <v>70</v>
      </c>
      <c r="D35" s="7" t="s">
        <v>49</v>
      </c>
      <c r="E35" s="7" t="s">
        <v>71</v>
      </c>
      <c r="F35" s="8"/>
      <c r="G35" s="8">
        <v>0.83</v>
      </c>
      <c r="H35" s="9">
        <v>0.84</v>
      </c>
      <c r="I35" s="9">
        <v>0.85</v>
      </c>
      <c r="J35" s="8"/>
      <c r="K35" s="8">
        <v>0.84</v>
      </c>
      <c r="L35" s="9"/>
      <c r="M35" s="9">
        <v>0.84</v>
      </c>
      <c r="N35" s="8">
        <v>8.1999999999999993</v>
      </c>
      <c r="O35" s="8">
        <v>0.82</v>
      </c>
      <c r="P35" s="9"/>
      <c r="Q35" s="9">
        <v>0.85</v>
      </c>
    </row>
    <row r="36" spans="2:17" ht="20.100000000000001" customHeight="1">
      <c r="B36" s="103"/>
      <c r="C36" s="10" t="s">
        <v>72</v>
      </c>
      <c r="D36" s="7" t="s">
        <v>42</v>
      </c>
      <c r="E36" s="7" t="s">
        <v>43</v>
      </c>
      <c r="F36" s="8"/>
      <c r="G36" s="8">
        <v>35.299999999999997</v>
      </c>
      <c r="H36" s="9">
        <v>36.5</v>
      </c>
      <c r="I36" s="9">
        <v>36</v>
      </c>
      <c r="J36" s="8"/>
      <c r="K36" s="8">
        <v>35.6</v>
      </c>
      <c r="L36" s="9"/>
      <c r="M36" s="9">
        <v>35.5</v>
      </c>
      <c r="N36" s="8">
        <v>35.299999999999997</v>
      </c>
      <c r="O36" s="8">
        <v>36.200000000000003</v>
      </c>
      <c r="P36" s="9"/>
      <c r="Q36" s="9">
        <v>35.799999999999997</v>
      </c>
    </row>
    <row r="37" spans="2:17" ht="20.100000000000001" customHeight="1">
      <c r="B37" s="103"/>
      <c r="C37" s="10" t="s">
        <v>73</v>
      </c>
      <c r="D37" s="7" t="s">
        <v>42</v>
      </c>
      <c r="E37" s="7" t="s">
        <v>43</v>
      </c>
      <c r="F37" s="8"/>
      <c r="G37" s="8">
        <v>36.9</v>
      </c>
      <c r="H37" s="9">
        <v>37.4</v>
      </c>
      <c r="I37" s="9">
        <v>37.700000000000003</v>
      </c>
      <c r="J37" s="8"/>
      <c r="K37" s="8">
        <v>37.299999999999997</v>
      </c>
      <c r="L37" s="9"/>
      <c r="M37" s="9">
        <v>37.1</v>
      </c>
      <c r="N37" s="8">
        <v>35.700000000000003</v>
      </c>
      <c r="O37" s="8">
        <v>35.4</v>
      </c>
      <c r="P37" s="9"/>
      <c r="Q37" s="9">
        <v>37.5</v>
      </c>
    </row>
    <row r="38" spans="2:17" ht="20.100000000000001" customHeight="1">
      <c r="B38" s="103"/>
      <c r="C38" s="12" t="s">
        <v>74</v>
      </c>
      <c r="D38" s="7" t="s">
        <v>42</v>
      </c>
      <c r="E38" s="7" t="s">
        <v>101</v>
      </c>
      <c r="F38" s="15"/>
      <c r="G38" s="15">
        <f t="shared" ref="G38:Q38" si="3">G37-G41</f>
        <v>2.7999999999999972</v>
      </c>
      <c r="H38" s="15">
        <f t="shared" si="3"/>
        <v>3.6999999999999957</v>
      </c>
      <c r="I38" s="15">
        <f t="shared" si="3"/>
        <v>4.1000000000000014</v>
      </c>
      <c r="J38" s="15">
        <f t="shared" si="3"/>
        <v>0</v>
      </c>
      <c r="K38" s="15">
        <f t="shared" si="3"/>
        <v>3.1999999999999957</v>
      </c>
      <c r="L38" s="15">
        <f t="shared" si="3"/>
        <v>0</v>
      </c>
      <c r="M38" s="15">
        <f t="shared" si="3"/>
        <v>3.3000000000000043</v>
      </c>
      <c r="N38" s="15">
        <f>N37-N41</f>
        <v>1.7000000000000028</v>
      </c>
      <c r="O38" s="15">
        <f>O37-O41</f>
        <v>1.6000000000000014</v>
      </c>
      <c r="P38" s="15">
        <f t="shared" si="3"/>
        <v>0</v>
      </c>
      <c r="Q38" s="15">
        <f t="shared" si="3"/>
        <v>3.3999999999999986</v>
      </c>
    </row>
    <row r="39" spans="2:17" ht="20.100000000000001" customHeight="1">
      <c r="B39" s="103"/>
      <c r="C39" s="10" t="s">
        <v>75</v>
      </c>
      <c r="D39" s="7" t="s">
        <v>76</v>
      </c>
      <c r="E39" s="7"/>
      <c r="F39" s="8"/>
      <c r="G39" s="8"/>
      <c r="H39" s="9"/>
      <c r="I39" s="9"/>
      <c r="J39" s="8"/>
      <c r="K39" s="8"/>
      <c r="L39" s="9"/>
      <c r="M39" s="9"/>
      <c r="N39" s="8"/>
      <c r="O39" s="8"/>
      <c r="P39" s="9"/>
      <c r="Q39" s="9"/>
    </row>
    <row r="40" spans="2:17" ht="20.100000000000001" customHeight="1">
      <c r="B40" s="103"/>
      <c r="C40" s="10" t="s">
        <v>77</v>
      </c>
      <c r="D40" s="7" t="s">
        <v>42</v>
      </c>
      <c r="E40" s="7">
        <v>30.8</v>
      </c>
      <c r="F40" s="8"/>
      <c r="G40" s="8">
        <v>28.3</v>
      </c>
      <c r="H40" s="9">
        <v>28.8</v>
      </c>
      <c r="I40" s="9">
        <v>28.2</v>
      </c>
      <c r="J40" s="8"/>
      <c r="K40" s="8">
        <v>28.3</v>
      </c>
      <c r="L40" s="9"/>
      <c r="M40" s="9">
        <v>28.1</v>
      </c>
      <c r="N40" s="8">
        <v>28.5</v>
      </c>
      <c r="O40" s="8">
        <v>28.3</v>
      </c>
      <c r="P40" s="9"/>
      <c r="Q40" s="9">
        <v>28.5</v>
      </c>
    </row>
    <row r="41" spans="2:17" ht="20.100000000000001" customHeight="1">
      <c r="B41" s="103"/>
      <c r="C41" s="10" t="s">
        <v>78</v>
      </c>
      <c r="D41" s="7" t="s">
        <v>42</v>
      </c>
      <c r="E41" s="7">
        <v>36.4</v>
      </c>
      <c r="F41" s="8"/>
      <c r="G41" s="8">
        <v>34.1</v>
      </c>
      <c r="H41" s="9">
        <v>33.700000000000003</v>
      </c>
      <c r="I41" s="9">
        <v>33.6</v>
      </c>
      <c r="J41" s="8"/>
      <c r="K41" s="8">
        <v>34.1</v>
      </c>
      <c r="L41" s="9"/>
      <c r="M41" s="9">
        <v>33.799999999999997</v>
      </c>
      <c r="N41" s="8">
        <v>34</v>
      </c>
      <c r="O41" s="8">
        <v>33.799999999999997</v>
      </c>
      <c r="P41" s="9"/>
      <c r="Q41" s="9">
        <v>34.1</v>
      </c>
    </row>
    <row r="42" spans="2:17" ht="20.100000000000001" customHeight="1">
      <c r="B42" s="103"/>
      <c r="C42" s="10" t="s">
        <v>79</v>
      </c>
      <c r="D42" s="7" t="s">
        <v>42</v>
      </c>
      <c r="E42" s="7">
        <v>5.6</v>
      </c>
      <c r="F42" s="15"/>
      <c r="G42" s="15">
        <f t="shared" ref="G42:Q42" si="4">G41-G40</f>
        <v>5.8000000000000007</v>
      </c>
      <c r="H42" s="15">
        <f t="shared" si="4"/>
        <v>4.9000000000000021</v>
      </c>
      <c r="I42" s="15">
        <f t="shared" si="4"/>
        <v>5.4000000000000021</v>
      </c>
      <c r="J42" s="15">
        <f t="shared" si="4"/>
        <v>0</v>
      </c>
      <c r="K42" s="15">
        <f t="shared" si="4"/>
        <v>5.8000000000000007</v>
      </c>
      <c r="L42" s="15">
        <f t="shared" si="4"/>
        <v>0</v>
      </c>
      <c r="M42" s="15">
        <f t="shared" si="4"/>
        <v>5.6999999999999957</v>
      </c>
      <c r="N42" s="15">
        <f>N41-N40</f>
        <v>5.5</v>
      </c>
      <c r="O42" s="15">
        <f>O41-O40</f>
        <v>5.4999999999999964</v>
      </c>
      <c r="P42" s="15">
        <f t="shared" si="4"/>
        <v>0</v>
      </c>
      <c r="Q42" s="15">
        <f t="shared" si="4"/>
        <v>5.6000000000000014</v>
      </c>
    </row>
    <row r="43" spans="2:17" ht="20.100000000000001" customHeight="1">
      <c r="B43" s="103"/>
      <c r="C43" s="10" t="s">
        <v>80</v>
      </c>
      <c r="D43" s="7" t="s">
        <v>61</v>
      </c>
      <c r="E43" s="7">
        <v>1273.0999999999999</v>
      </c>
      <c r="F43" s="8"/>
      <c r="G43" s="8">
        <v>1115.6600000000001</v>
      </c>
      <c r="H43" s="9">
        <v>1285.2</v>
      </c>
      <c r="I43" s="9">
        <v>1155.42</v>
      </c>
      <c r="J43" s="8"/>
      <c r="K43" s="8">
        <v>1176.56</v>
      </c>
      <c r="L43" s="9"/>
      <c r="M43" s="8">
        <v>1155.98</v>
      </c>
      <c r="N43" s="8">
        <v>1279.2</v>
      </c>
      <c r="O43" s="8">
        <v>1137.08</v>
      </c>
      <c r="P43" s="9"/>
      <c r="Q43" s="9">
        <v>1169.56</v>
      </c>
    </row>
    <row r="44" spans="2:17" ht="20.100000000000001" customHeight="1">
      <c r="B44" s="103"/>
      <c r="C44" s="10" t="s">
        <v>81</v>
      </c>
      <c r="D44" s="7" t="s">
        <v>67</v>
      </c>
      <c r="E44" s="7">
        <v>8226.9</v>
      </c>
      <c r="F44" s="16"/>
      <c r="G44" s="16">
        <f t="shared" ref="G44:Q44" si="5">G42*G43/0.866</f>
        <v>7472.0877598152438</v>
      </c>
      <c r="H44" s="16">
        <f t="shared" si="5"/>
        <v>7271.9168591224052</v>
      </c>
      <c r="I44" s="16">
        <f t="shared" si="5"/>
        <v>7204.6974595842985</v>
      </c>
      <c r="J44" s="16">
        <f t="shared" si="5"/>
        <v>0</v>
      </c>
      <c r="K44" s="16">
        <f t="shared" si="5"/>
        <v>7879.9630484988465</v>
      </c>
      <c r="L44" s="16">
        <f t="shared" si="5"/>
        <v>0</v>
      </c>
      <c r="M44" s="16">
        <f t="shared" si="5"/>
        <v>7608.6443418013796</v>
      </c>
      <c r="N44" s="16">
        <f>(N43*N42)/0.866</f>
        <v>8124.2494226327954</v>
      </c>
      <c r="O44" s="16">
        <f>O42*O43/0.866</f>
        <v>7221.639722863737</v>
      </c>
      <c r="P44" s="16">
        <f t="shared" si="5"/>
        <v>0</v>
      </c>
      <c r="Q44" s="16">
        <f t="shared" si="5"/>
        <v>7562.9745958429576</v>
      </c>
    </row>
    <row r="45" spans="2:17" ht="20.100000000000001" customHeight="1">
      <c r="B45" s="103" t="s">
        <v>82</v>
      </c>
      <c r="C45" s="10" t="s">
        <v>83</v>
      </c>
      <c r="D45" s="7" t="s">
        <v>49</v>
      </c>
      <c r="E45" s="7" t="s">
        <v>84</v>
      </c>
      <c r="F45" s="8"/>
      <c r="G45" s="8">
        <v>0.45</v>
      </c>
      <c r="H45" s="9">
        <v>0.45</v>
      </c>
      <c r="I45" s="9">
        <v>0.45</v>
      </c>
      <c r="J45" s="8"/>
      <c r="K45" s="8">
        <v>0.46</v>
      </c>
      <c r="L45" s="9"/>
      <c r="M45" s="9">
        <v>0.46</v>
      </c>
      <c r="N45" s="8">
        <v>0.45</v>
      </c>
      <c r="O45" s="8">
        <v>0.45</v>
      </c>
      <c r="P45" s="9"/>
      <c r="Q45" s="9">
        <v>0.47</v>
      </c>
    </row>
    <row r="46" spans="2:17" ht="20.100000000000001" customHeight="1">
      <c r="B46" s="103"/>
      <c r="C46" s="10" t="s">
        <v>85</v>
      </c>
      <c r="D46" s="7" t="s">
        <v>42</v>
      </c>
      <c r="E46" s="7" t="s">
        <v>43</v>
      </c>
      <c r="F46" s="8"/>
      <c r="G46" s="8">
        <v>19.100000000000001</v>
      </c>
      <c r="H46" s="9">
        <v>19</v>
      </c>
      <c r="I46" s="9">
        <v>18.899999999999999</v>
      </c>
      <c r="J46" s="8"/>
      <c r="K46" s="8">
        <v>19.2</v>
      </c>
      <c r="L46" s="9"/>
      <c r="M46" s="9">
        <v>19.5</v>
      </c>
      <c r="N46" s="8">
        <v>18.899999999999999</v>
      </c>
      <c r="O46" s="8">
        <v>19.899999999999999</v>
      </c>
      <c r="P46" s="9"/>
      <c r="Q46" s="9">
        <v>19.8</v>
      </c>
    </row>
    <row r="47" spans="2:17" ht="20.100000000000001" customHeight="1">
      <c r="B47" s="103"/>
      <c r="C47" s="10" t="s">
        <v>86</v>
      </c>
      <c r="D47" s="7" t="s">
        <v>76</v>
      </c>
      <c r="E47" s="7" t="s">
        <v>76</v>
      </c>
      <c r="F47" s="8"/>
      <c r="G47" s="8">
        <v>199.6</v>
      </c>
      <c r="H47" s="9">
        <v>129.9</v>
      </c>
      <c r="I47" s="9">
        <v>126.4</v>
      </c>
      <c r="J47" s="8"/>
      <c r="K47" s="8">
        <v>206.6</v>
      </c>
      <c r="L47" s="9"/>
      <c r="M47" s="9">
        <v>209.6</v>
      </c>
      <c r="N47" s="8">
        <v>158.69999999999999</v>
      </c>
      <c r="O47" s="8">
        <v>163</v>
      </c>
      <c r="P47" s="9"/>
      <c r="Q47" s="9">
        <v>195.8</v>
      </c>
    </row>
    <row r="48" spans="2:17" ht="20.100000000000001" customHeight="1">
      <c r="B48" s="97" t="s">
        <v>87</v>
      </c>
      <c r="C48" s="97"/>
      <c r="D48" s="97"/>
      <c r="E48" s="17" t="s">
        <v>88</v>
      </c>
      <c r="F48" s="8"/>
      <c r="G48" s="8"/>
      <c r="H48" s="9"/>
      <c r="I48" s="9"/>
      <c r="J48" s="8"/>
      <c r="K48" s="8"/>
      <c r="L48" s="9"/>
      <c r="M48" s="9"/>
      <c r="N48" s="8"/>
      <c r="O48" s="8"/>
      <c r="P48" s="9"/>
      <c r="Q48" s="9"/>
    </row>
    <row r="49" spans="2:17" ht="20.100000000000001" customHeight="1">
      <c r="B49" s="97" t="s">
        <v>89</v>
      </c>
      <c r="C49" s="97"/>
      <c r="D49" s="97"/>
      <c r="E49" s="71">
        <v>5.89</v>
      </c>
      <c r="F49" s="8"/>
      <c r="G49" s="8">
        <v>5.87</v>
      </c>
      <c r="H49" s="9">
        <v>5.13</v>
      </c>
      <c r="I49" s="9">
        <v>5.4</v>
      </c>
      <c r="J49" s="8"/>
      <c r="K49" s="8">
        <v>5.73</v>
      </c>
      <c r="L49" s="9"/>
      <c r="M49" s="9">
        <v>5.89</v>
      </c>
      <c r="N49" s="8">
        <v>5.26</v>
      </c>
      <c r="O49" s="8">
        <v>5.65</v>
      </c>
      <c r="P49" s="9"/>
      <c r="Q49" s="9">
        <v>5.57</v>
      </c>
    </row>
    <row r="50" spans="2:17" ht="20.100000000000001" customHeight="1">
      <c r="B50" s="97" t="s">
        <v>90</v>
      </c>
      <c r="C50" s="97"/>
      <c r="D50" s="97"/>
      <c r="E50" s="71"/>
      <c r="F50" s="8"/>
      <c r="G50" s="8"/>
      <c r="H50" s="9"/>
      <c r="I50" s="9"/>
      <c r="J50" s="8"/>
      <c r="K50" s="8"/>
      <c r="L50" s="9"/>
      <c r="M50" s="9"/>
      <c r="N50" s="8"/>
      <c r="O50" s="8"/>
      <c r="P50" s="9"/>
      <c r="Q50" s="9"/>
    </row>
    <row r="51" spans="2:17" ht="20.100000000000001" customHeight="1" thickBot="1">
      <c r="B51" s="97" t="s">
        <v>91</v>
      </c>
      <c r="C51" s="97"/>
      <c r="D51" s="97"/>
      <c r="E51" s="70"/>
      <c r="F51" s="8"/>
      <c r="G51" s="8"/>
      <c r="H51" s="9"/>
      <c r="I51" s="9"/>
      <c r="J51" s="8"/>
      <c r="K51" s="8"/>
      <c r="L51" s="9"/>
      <c r="M51" s="9"/>
      <c r="N51" s="8"/>
      <c r="O51" s="8"/>
      <c r="P51" s="9"/>
      <c r="Q51" s="9"/>
    </row>
    <row r="52" spans="2:17">
      <c r="B52" t="s">
        <v>92</v>
      </c>
      <c r="C52" s="18" t="s">
        <v>93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28"/>
    </row>
    <row r="53" spans="2:17">
      <c r="C53" s="20" t="s">
        <v>94</v>
      </c>
      <c r="Q53" s="31"/>
    </row>
    <row r="54" spans="2:17">
      <c r="C54" s="20" t="s">
        <v>95</v>
      </c>
      <c r="Q54" s="31"/>
    </row>
    <row r="55" spans="2:17">
      <c r="C55" s="20"/>
      <c r="Q55" s="31"/>
    </row>
    <row r="56" spans="2:17">
      <c r="C56" s="20"/>
      <c r="Q56" s="31"/>
    </row>
    <row r="57" spans="2:17">
      <c r="C57" s="20" t="s">
        <v>96</v>
      </c>
      <c r="F57" s="21" t="b">
        <v>0</v>
      </c>
      <c r="G57" s="22" t="s">
        <v>97</v>
      </c>
      <c r="Q57" s="31"/>
    </row>
    <row r="58" spans="2:17">
      <c r="C58" s="20" t="s">
        <v>96</v>
      </c>
      <c r="F58" s="8" t="s">
        <v>98</v>
      </c>
      <c r="G58" s="23" t="s">
        <v>99</v>
      </c>
      <c r="Q58" s="31"/>
    </row>
    <row r="59" spans="2:17" ht="15.75" thickBot="1"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30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BBA3E-7BAF-405D-9665-B44A234A582D}">
  <dimension ref="B1:Q59"/>
  <sheetViews>
    <sheetView view="pageBreakPreview" topLeftCell="A19" zoomScale="85" zoomScaleNormal="60" workbookViewId="0">
      <selection activeCell="J34" sqref="J34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107"/>
      <c r="C2" s="110" t="s">
        <v>0</v>
      </c>
      <c r="D2" s="111"/>
      <c r="E2" s="111"/>
      <c r="F2" s="111"/>
      <c r="G2" s="111"/>
      <c r="H2" s="111"/>
      <c r="I2" s="111"/>
      <c r="J2" s="111"/>
      <c r="K2" s="111"/>
      <c r="L2" s="111"/>
      <c r="M2" s="112"/>
      <c r="N2" s="18" t="s">
        <v>1</v>
      </c>
      <c r="O2" s="19"/>
      <c r="P2" s="19"/>
      <c r="Q2" s="28"/>
    </row>
    <row r="3" spans="2:17" ht="15.75" thickBot="1">
      <c r="B3" s="108"/>
      <c r="C3" s="113"/>
      <c r="D3" s="114"/>
      <c r="E3" s="114"/>
      <c r="F3" s="114"/>
      <c r="G3" s="114"/>
      <c r="H3" s="114"/>
      <c r="I3" s="114"/>
      <c r="J3" s="114"/>
      <c r="K3" s="114"/>
      <c r="L3" s="114"/>
      <c r="M3" s="115"/>
      <c r="N3" s="26" t="s">
        <v>2</v>
      </c>
      <c r="O3" s="27" t="s">
        <v>3</v>
      </c>
      <c r="P3" s="27"/>
      <c r="Q3" s="29"/>
    </row>
    <row r="4" spans="2:17" ht="15.75" thickBot="1">
      <c r="B4" s="108"/>
      <c r="C4" s="113"/>
      <c r="D4" s="114"/>
      <c r="E4" s="114"/>
      <c r="F4" s="114"/>
      <c r="G4" s="114"/>
      <c r="H4" s="114"/>
      <c r="I4" s="114"/>
      <c r="J4" s="114"/>
      <c r="K4" s="114"/>
      <c r="L4" s="114"/>
      <c r="M4" s="115"/>
      <c r="N4" s="26" t="s">
        <v>4</v>
      </c>
      <c r="O4" s="27"/>
      <c r="P4" s="27"/>
      <c r="Q4" s="29"/>
    </row>
    <row r="5" spans="2:17" ht="15.75" thickBot="1">
      <c r="B5" s="109"/>
      <c r="C5" s="116"/>
      <c r="D5" s="117"/>
      <c r="E5" s="117"/>
      <c r="F5" s="117"/>
      <c r="G5" s="117"/>
      <c r="H5" s="117"/>
      <c r="I5" s="117"/>
      <c r="J5" s="117"/>
      <c r="K5" s="117"/>
      <c r="L5" s="117"/>
      <c r="M5" s="118"/>
      <c r="N5" s="24" t="s">
        <v>5</v>
      </c>
      <c r="O5" s="25"/>
      <c r="P5" s="25"/>
      <c r="Q5" s="30"/>
    </row>
    <row r="7" spans="2:17">
      <c r="B7" s="98" t="s">
        <v>6</v>
      </c>
      <c r="C7" s="99"/>
      <c r="D7" s="100">
        <v>45736</v>
      </c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2"/>
    </row>
    <row r="8" spans="2:17">
      <c r="B8" s="97" t="s">
        <v>7</v>
      </c>
      <c r="C8" s="97"/>
      <c r="D8" s="97"/>
      <c r="E8" s="105" t="s">
        <v>8</v>
      </c>
      <c r="F8" s="103" t="s">
        <v>9</v>
      </c>
      <c r="G8" s="103"/>
      <c r="H8" s="104" t="s">
        <v>10</v>
      </c>
      <c r="I8" s="104"/>
      <c r="J8" s="103" t="s">
        <v>11</v>
      </c>
      <c r="K8" s="103"/>
      <c r="L8" s="104" t="s">
        <v>12</v>
      </c>
      <c r="M8" s="104"/>
      <c r="N8" s="103" t="s">
        <v>13</v>
      </c>
      <c r="O8" s="103"/>
      <c r="P8" s="104" t="s">
        <v>14</v>
      </c>
      <c r="Q8" s="104"/>
    </row>
    <row r="9" spans="2:17">
      <c r="B9" s="98" t="s">
        <v>15</v>
      </c>
      <c r="C9" s="119"/>
      <c r="D9" s="99"/>
      <c r="E9" s="106"/>
      <c r="F9" s="3">
        <v>0.375</v>
      </c>
      <c r="G9" s="32" t="s">
        <v>16</v>
      </c>
      <c r="H9" s="4">
        <v>0.375</v>
      </c>
      <c r="I9" s="33" t="s">
        <v>16</v>
      </c>
      <c r="J9" s="3">
        <v>0.375</v>
      </c>
      <c r="K9" s="32" t="s">
        <v>16</v>
      </c>
      <c r="L9" s="4">
        <v>0.375</v>
      </c>
      <c r="M9" s="33" t="s">
        <v>16</v>
      </c>
      <c r="N9" s="3">
        <v>0.375</v>
      </c>
      <c r="O9" s="32" t="s">
        <v>16</v>
      </c>
      <c r="P9" s="4">
        <v>0.375</v>
      </c>
      <c r="Q9" s="33" t="s">
        <v>16</v>
      </c>
    </row>
    <row r="10" spans="2:17" ht="26.25" customHeight="1">
      <c r="B10" s="120" t="s">
        <v>17</v>
      </c>
      <c r="C10" s="121"/>
      <c r="D10" s="73" t="s">
        <v>18</v>
      </c>
      <c r="E10" s="5"/>
      <c r="F10" s="6"/>
      <c r="G10" s="34" t="s">
        <v>19</v>
      </c>
      <c r="H10" s="35"/>
      <c r="I10" s="35" t="s">
        <v>19</v>
      </c>
      <c r="J10" s="34" t="s">
        <v>19</v>
      </c>
      <c r="K10" s="34" t="s">
        <v>19</v>
      </c>
      <c r="L10" s="35"/>
      <c r="M10" s="35" t="s">
        <v>19</v>
      </c>
      <c r="N10" s="6"/>
      <c r="O10" s="34" t="s">
        <v>19</v>
      </c>
      <c r="P10" s="35" t="s">
        <v>19</v>
      </c>
      <c r="Q10" s="35" t="s">
        <v>19</v>
      </c>
    </row>
    <row r="11" spans="2:17" ht="20.100000000000001" customHeight="1">
      <c r="B11" s="97" t="s">
        <v>20</v>
      </c>
      <c r="C11" s="97"/>
      <c r="D11" s="7" t="s">
        <v>21</v>
      </c>
      <c r="E11" s="7" t="s">
        <v>22</v>
      </c>
      <c r="F11" s="8"/>
      <c r="G11" s="8">
        <v>71</v>
      </c>
      <c r="H11" s="9"/>
      <c r="I11" s="9">
        <v>80.3</v>
      </c>
      <c r="J11" s="8">
        <v>74.900000000000006</v>
      </c>
      <c r="K11" s="8">
        <v>70.8</v>
      </c>
      <c r="L11" s="9"/>
      <c r="M11" s="9">
        <v>74.599999999999994</v>
      </c>
      <c r="N11" s="8"/>
      <c r="O11" s="8">
        <v>75.2</v>
      </c>
      <c r="P11" s="9">
        <v>73.7</v>
      </c>
      <c r="Q11" s="9">
        <v>74</v>
      </c>
    </row>
    <row r="12" spans="2:17" ht="20.100000000000001" customHeight="1">
      <c r="B12" s="97" t="s">
        <v>23</v>
      </c>
      <c r="C12" s="97"/>
      <c r="D12" s="7" t="s">
        <v>21</v>
      </c>
      <c r="E12" s="7" t="s">
        <v>22</v>
      </c>
      <c r="F12" s="8"/>
      <c r="G12" s="8">
        <v>0.1</v>
      </c>
      <c r="H12" s="9"/>
      <c r="I12" s="9">
        <v>0</v>
      </c>
      <c r="J12" s="8">
        <v>0</v>
      </c>
      <c r="K12" s="8">
        <v>0</v>
      </c>
      <c r="L12" s="9"/>
      <c r="M12" s="9">
        <v>0.1</v>
      </c>
      <c r="N12" s="8"/>
      <c r="O12" s="8">
        <v>0</v>
      </c>
      <c r="P12" s="9">
        <v>0</v>
      </c>
      <c r="Q12" s="9">
        <v>0</v>
      </c>
    </row>
    <row r="13" spans="2:17" ht="20.100000000000001" customHeight="1">
      <c r="B13" s="97" t="s">
        <v>24</v>
      </c>
      <c r="C13" s="97"/>
      <c r="D13" s="7" t="s">
        <v>21</v>
      </c>
      <c r="E13" s="7" t="s">
        <v>22</v>
      </c>
      <c r="F13" s="8"/>
      <c r="G13" s="8">
        <v>65.2</v>
      </c>
      <c r="H13" s="9"/>
      <c r="I13" s="9">
        <v>76.3</v>
      </c>
      <c r="J13" s="8">
        <v>70.400000000000006</v>
      </c>
      <c r="K13" s="8">
        <v>67.099999999999994</v>
      </c>
      <c r="L13" s="9"/>
      <c r="M13" s="9">
        <v>69.900000000000006</v>
      </c>
      <c r="N13" s="8"/>
      <c r="O13" s="8">
        <v>70.5</v>
      </c>
      <c r="P13" s="9">
        <v>71.2</v>
      </c>
      <c r="Q13" s="9">
        <v>69.400000000000006</v>
      </c>
    </row>
    <row r="14" spans="2:17" ht="20.100000000000001" customHeight="1">
      <c r="B14" s="97" t="s">
        <v>25</v>
      </c>
      <c r="C14" s="97"/>
      <c r="D14" s="7" t="s">
        <v>21</v>
      </c>
      <c r="E14" s="7" t="s">
        <v>22</v>
      </c>
      <c r="F14" s="8"/>
      <c r="G14" s="8">
        <v>66.599999999999994</v>
      </c>
      <c r="H14" s="9"/>
      <c r="I14" s="9">
        <v>65.5</v>
      </c>
      <c r="J14" s="8">
        <v>64.099999999999994</v>
      </c>
      <c r="K14" s="8">
        <v>62.6</v>
      </c>
      <c r="L14" s="9"/>
      <c r="M14" s="9">
        <v>65.900000000000006</v>
      </c>
      <c r="N14" s="8"/>
      <c r="O14" s="8">
        <v>71.8</v>
      </c>
      <c r="P14" s="9">
        <v>72.7</v>
      </c>
      <c r="Q14" s="9">
        <v>68.7</v>
      </c>
    </row>
    <row r="15" spans="2:17" ht="20.100000000000001" customHeight="1">
      <c r="B15" s="97" t="s">
        <v>26</v>
      </c>
      <c r="C15" s="97"/>
      <c r="D15" s="7" t="s">
        <v>21</v>
      </c>
      <c r="E15" s="7" t="s">
        <v>22</v>
      </c>
      <c r="F15" s="8"/>
      <c r="G15" s="8">
        <v>37.9</v>
      </c>
      <c r="H15" s="9"/>
      <c r="I15" s="9">
        <v>50.1</v>
      </c>
      <c r="J15" s="8">
        <v>40.9</v>
      </c>
      <c r="K15" s="8">
        <v>36.9</v>
      </c>
      <c r="L15" s="9"/>
      <c r="M15" s="9">
        <v>32.799999999999997</v>
      </c>
      <c r="N15" s="8"/>
      <c r="O15" s="8">
        <v>52.5</v>
      </c>
      <c r="P15" s="9">
        <v>41.4</v>
      </c>
      <c r="Q15" s="9">
        <v>38.9</v>
      </c>
    </row>
    <row r="16" spans="2:17" ht="20.100000000000001" customHeight="1">
      <c r="B16" s="103" t="s">
        <v>27</v>
      </c>
      <c r="C16" s="10" t="s">
        <v>28</v>
      </c>
      <c r="D16" s="7" t="s">
        <v>29</v>
      </c>
      <c r="E16" s="7" t="s">
        <v>30</v>
      </c>
      <c r="F16" s="8"/>
      <c r="G16" s="8">
        <v>6.6</v>
      </c>
      <c r="H16" s="9"/>
      <c r="I16" s="9">
        <v>6.6</v>
      </c>
      <c r="J16" s="8">
        <v>6.6</v>
      </c>
      <c r="K16" s="8">
        <v>6.6</v>
      </c>
      <c r="L16" s="9"/>
      <c r="M16" s="9">
        <v>6.6</v>
      </c>
      <c r="N16" s="8"/>
      <c r="O16" s="8">
        <v>6.6</v>
      </c>
      <c r="P16" s="9">
        <v>6.6</v>
      </c>
      <c r="Q16" s="9">
        <v>6.6</v>
      </c>
    </row>
    <row r="17" spans="2:17" ht="20.100000000000001" customHeight="1">
      <c r="B17" s="103"/>
      <c r="C17" s="10" t="s">
        <v>31</v>
      </c>
      <c r="D17" s="7" t="s">
        <v>32</v>
      </c>
      <c r="E17" s="7" t="s">
        <v>33</v>
      </c>
      <c r="F17" s="8"/>
      <c r="G17" s="8">
        <v>116.1</v>
      </c>
      <c r="H17" s="9"/>
      <c r="I17" s="9">
        <v>115.6</v>
      </c>
      <c r="J17" s="8">
        <v>117.5</v>
      </c>
      <c r="K17" s="8">
        <v>114.3</v>
      </c>
      <c r="L17" s="9"/>
      <c r="M17" s="9">
        <v>116.3</v>
      </c>
      <c r="N17" s="8"/>
      <c r="O17" s="8">
        <v>116.9</v>
      </c>
      <c r="P17" s="9">
        <v>119.6</v>
      </c>
      <c r="Q17" s="9">
        <v>116.9</v>
      </c>
    </row>
    <row r="18" spans="2:17" ht="20.100000000000001" customHeight="1">
      <c r="B18" s="103"/>
      <c r="C18" s="10" t="s">
        <v>34</v>
      </c>
      <c r="D18" s="7" t="s">
        <v>35</v>
      </c>
      <c r="E18" s="7" t="s">
        <v>36</v>
      </c>
      <c r="F18" s="8"/>
      <c r="G18" s="8">
        <v>1150</v>
      </c>
      <c r="H18" s="9"/>
      <c r="I18" s="9">
        <v>1171</v>
      </c>
      <c r="J18" s="8">
        <v>1186</v>
      </c>
      <c r="K18" s="8">
        <v>1173</v>
      </c>
      <c r="L18" s="9"/>
      <c r="M18" s="9">
        <v>1181</v>
      </c>
      <c r="N18" s="8"/>
      <c r="O18" s="8">
        <v>1186</v>
      </c>
      <c r="P18" s="9">
        <v>1205</v>
      </c>
      <c r="Q18" s="9">
        <v>1186</v>
      </c>
    </row>
    <row r="19" spans="2:17" ht="20.100000000000001" customHeight="1">
      <c r="B19" s="103" t="s">
        <v>37</v>
      </c>
      <c r="C19" s="10" t="s">
        <v>38</v>
      </c>
      <c r="D19" s="7" t="s">
        <v>39</v>
      </c>
      <c r="E19" s="11" t="s">
        <v>40</v>
      </c>
      <c r="F19" s="8"/>
      <c r="G19" s="8">
        <v>49589.8</v>
      </c>
      <c r="H19" s="9"/>
      <c r="I19" s="9">
        <v>50844.5</v>
      </c>
      <c r="J19" s="8">
        <v>48485.599999999999</v>
      </c>
      <c r="K19" s="8">
        <v>48477.2</v>
      </c>
      <c r="L19" s="9"/>
      <c r="M19" s="9">
        <v>50864.2</v>
      </c>
      <c r="N19" s="8"/>
      <c r="O19" s="8">
        <v>50053.5</v>
      </c>
      <c r="P19" s="9">
        <v>50205.2</v>
      </c>
      <c r="Q19" s="9">
        <v>50196.7</v>
      </c>
    </row>
    <row r="20" spans="2:17" ht="20.100000000000001" customHeight="1">
      <c r="B20" s="103"/>
      <c r="C20" s="10" t="s">
        <v>41</v>
      </c>
      <c r="D20" s="7" t="s">
        <v>42</v>
      </c>
      <c r="E20" s="7" t="s">
        <v>43</v>
      </c>
      <c r="F20" s="8"/>
      <c r="G20" s="8"/>
      <c r="H20" s="9"/>
      <c r="I20" s="9"/>
      <c r="J20" s="8"/>
      <c r="K20" s="8"/>
      <c r="L20" s="9"/>
      <c r="M20" s="9"/>
      <c r="N20" s="8"/>
      <c r="O20" s="8"/>
      <c r="P20" s="9"/>
      <c r="Q20" s="9"/>
    </row>
    <row r="21" spans="2:17" ht="20.100000000000001" customHeight="1">
      <c r="B21" s="103"/>
      <c r="C21" s="10" t="s">
        <v>44</v>
      </c>
      <c r="D21" s="7" t="s">
        <v>42</v>
      </c>
      <c r="E21" s="7" t="s">
        <v>45</v>
      </c>
      <c r="F21" s="8"/>
      <c r="G21" s="8"/>
      <c r="H21" s="9"/>
      <c r="I21" s="9"/>
      <c r="J21" s="8"/>
      <c r="K21" s="8"/>
      <c r="L21" s="9"/>
      <c r="M21" s="9"/>
      <c r="N21" s="8"/>
      <c r="O21" s="8"/>
      <c r="P21" s="9"/>
      <c r="Q21" s="9"/>
    </row>
    <row r="22" spans="2:17" ht="20.100000000000001" customHeight="1">
      <c r="B22" s="103"/>
      <c r="C22" s="10" t="s">
        <v>46</v>
      </c>
      <c r="D22" s="7" t="s">
        <v>42</v>
      </c>
      <c r="E22" s="7" t="s">
        <v>47</v>
      </c>
      <c r="F22" s="8"/>
      <c r="G22" s="8">
        <v>58.2</v>
      </c>
      <c r="H22" s="9"/>
      <c r="I22" s="9">
        <v>59.1</v>
      </c>
      <c r="J22" s="8">
        <v>57.4</v>
      </c>
      <c r="K22" s="8">
        <v>57.7</v>
      </c>
      <c r="L22" s="9"/>
      <c r="M22" s="9">
        <v>57.2</v>
      </c>
      <c r="N22" s="8"/>
      <c r="O22" s="8">
        <v>58.5</v>
      </c>
      <c r="P22" s="9">
        <v>59</v>
      </c>
      <c r="Q22" s="9">
        <v>59.1</v>
      </c>
    </row>
    <row r="23" spans="2:17" ht="60">
      <c r="B23" s="103"/>
      <c r="C23" s="12" t="s">
        <v>48</v>
      </c>
      <c r="D23" s="8" t="s">
        <v>49</v>
      </c>
      <c r="E23" s="13" t="s">
        <v>50</v>
      </c>
      <c r="F23" s="8"/>
      <c r="G23" s="8">
        <v>0.52</v>
      </c>
      <c r="H23" s="9"/>
      <c r="I23" s="9">
        <v>0.48</v>
      </c>
      <c r="J23" s="8">
        <v>0.59</v>
      </c>
      <c r="K23" s="8">
        <v>0.59</v>
      </c>
      <c r="L23" s="9"/>
      <c r="M23" s="9">
        <v>0.52</v>
      </c>
      <c r="N23" s="8"/>
      <c r="O23" s="8">
        <v>0.56999999999999995</v>
      </c>
      <c r="P23" s="9">
        <v>0.5</v>
      </c>
      <c r="Q23" s="9">
        <v>0.49</v>
      </c>
    </row>
    <row r="24" spans="2:17" ht="39.75" customHeight="1">
      <c r="B24" s="103"/>
      <c r="C24" s="12" t="s">
        <v>51</v>
      </c>
      <c r="D24" s="7"/>
      <c r="E24" s="7"/>
      <c r="F24" s="8"/>
      <c r="G24" s="8"/>
      <c r="H24" s="9"/>
      <c r="I24" s="9"/>
      <c r="J24" s="8"/>
      <c r="K24" s="8"/>
      <c r="L24" s="8"/>
      <c r="M24" s="9"/>
      <c r="N24" s="8"/>
      <c r="O24" s="8"/>
      <c r="P24" s="9"/>
      <c r="Q24" s="9"/>
    </row>
    <row r="25" spans="2:17" ht="20.100000000000001" customHeight="1">
      <c r="B25" s="103"/>
      <c r="C25" s="10" t="s">
        <v>52</v>
      </c>
      <c r="D25" s="7" t="s">
        <v>42</v>
      </c>
      <c r="E25" s="7" t="s">
        <v>53</v>
      </c>
      <c r="F25" s="8"/>
      <c r="G25" s="8">
        <v>45</v>
      </c>
      <c r="H25" s="9"/>
      <c r="I25" s="9">
        <v>44.9</v>
      </c>
      <c r="J25" s="8">
        <v>44.9</v>
      </c>
      <c r="K25" s="8">
        <v>44.9</v>
      </c>
      <c r="L25" s="9"/>
      <c r="M25" s="9">
        <v>44.9</v>
      </c>
      <c r="N25" s="8"/>
      <c r="O25" s="8">
        <v>45.1</v>
      </c>
      <c r="P25" s="9">
        <v>45.2</v>
      </c>
      <c r="Q25" s="9">
        <v>45.1</v>
      </c>
    </row>
    <row r="26" spans="2:17" ht="20.100000000000001" customHeight="1">
      <c r="B26" s="103" t="s">
        <v>54</v>
      </c>
      <c r="C26" s="10" t="s">
        <v>55</v>
      </c>
      <c r="D26" s="7" t="s">
        <v>49</v>
      </c>
      <c r="E26" s="14" t="s">
        <v>56</v>
      </c>
      <c r="F26" s="8"/>
      <c r="G26" s="8">
        <v>0.25</v>
      </c>
      <c r="H26" s="9"/>
      <c r="I26" s="9">
        <v>0.2</v>
      </c>
      <c r="J26" s="8">
        <v>0.23</v>
      </c>
      <c r="K26" s="8">
        <v>0.22</v>
      </c>
      <c r="L26" s="9"/>
      <c r="M26" s="9">
        <v>0.22</v>
      </c>
      <c r="N26" s="8"/>
      <c r="O26" s="8">
        <v>0.22</v>
      </c>
      <c r="P26" s="9">
        <v>0.23</v>
      </c>
      <c r="Q26" s="9">
        <v>0.22</v>
      </c>
    </row>
    <row r="27" spans="2:17" ht="20.100000000000001" customHeight="1">
      <c r="B27" s="103"/>
      <c r="C27" s="10" t="s">
        <v>57</v>
      </c>
      <c r="D27" s="7" t="s">
        <v>42</v>
      </c>
      <c r="E27" s="7" t="s">
        <v>43</v>
      </c>
      <c r="F27" s="8"/>
      <c r="G27" s="8">
        <v>4</v>
      </c>
      <c r="H27" s="9"/>
      <c r="I27" s="9">
        <v>2.5</v>
      </c>
      <c r="J27" s="8">
        <v>4</v>
      </c>
      <c r="K27" s="8">
        <v>4.2</v>
      </c>
      <c r="L27" s="9"/>
      <c r="M27" s="9">
        <v>3.7</v>
      </c>
      <c r="N27" s="8"/>
      <c r="O27" s="8">
        <v>3.8</v>
      </c>
      <c r="P27" s="9">
        <v>4.7</v>
      </c>
      <c r="Q27" s="9">
        <v>4</v>
      </c>
    </row>
    <row r="28" spans="2:17" ht="20.100000000000001" customHeight="1">
      <c r="B28" s="103"/>
      <c r="C28" s="10" t="s">
        <v>58</v>
      </c>
      <c r="D28" s="7" t="s">
        <v>42</v>
      </c>
      <c r="E28" s="7" t="s">
        <v>43</v>
      </c>
      <c r="F28" s="8"/>
      <c r="G28" s="8">
        <v>3.3</v>
      </c>
      <c r="H28" s="9"/>
      <c r="I28" s="9">
        <v>1.6</v>
      </c>
      <c r="J28" s="8">
        <v>3.3</v>
      </c>
      <c r="K28" s="8">
        <v>3.2</v>
      </c>
      <c r="L28" s="9"/>
      <c r="M28" s="9">
        <v>2.7</v>
      </c>
      <c r="N28" s="8"/>
      <c r="O28" s="8">
        <v>2.7</v>
      </c>
      <c r="P28" s="9">
        <v>3.8</v>
      </c>
      <c r="Q28" s="9">
        <v>3</v>
      </c>
    </row>
    <row r="29" spans="2:17" ht="20.100000000000001" customHeight="1">
      <c r="B29" s="103"/>
      <c r="C29" s="10" t="s">
        <v>59</v>
      </c>
      <c r="D29" s="7" t="s">
        <v>42</v>
      </c>
      <c r="E29" s="7" t="s">
        <v>43</v>
      </c>
      <c r="F29" s="15"/>
      <c r="G29" s="15">
        <f t="shared" ref="G29:Q29" si="0">G32-G28</f>
        <v>1</v>
      </c>
      <c r="H29" s="15">
        <f t="shared" si="0"/>
        <v>0</v>
      </c>
      <c r="I29" s="15">
        <f t="shared" si="0"/>
        <v>2.4</v>
      </c>
      <c r="J29" s="15">
        <f t="shared" si="0"/>
        <v>1.2999999999999998</v>
      </c>
      <c r="K29" s="15">
        <f t="shared" si="0"/>
        <v>1.2000000000000002</v>
      </c>
      <c r="L29" s="15">
        <f t="shared" si="0"/>
        <v>0</v>
      </c>
      <c r="M29" s="15">
        <f t="shared" si="0"/>
        <v>0.89999999999999991</v>
      </c>
      <c r="N29" s="15">
        <f>N32-N28</f>
        <v>0</v>
      </c>
      <c r="O29" s="15">
        <f>O32-O28</f>
        <v>1.1999999999999997</v>
      </c>
      <c r="P29" s="15">
        <f t="shared" si="0"/>
        <v>1</v>
      </c>
      <c r="Q29" s="15">
        <f t="shared" si="0"/>
        <v>1.0999999999999996</v>
      </c>
    </row>
    <row r="30" spans="2:17" ht="20.100000000000001" customHeight="1">
      <c r="B30" s="103"/>
      <c r="C30" s="10" t="s">
        <v>60</v>
      </c>
      <c r="D30" s="7" t="s">
        <v>61</v>
      </c>
      <c r="E30" s="7" t="s">
        <v>62</v>
      </c>
      <c r="F30" s="8"/>
      <c r="G30" s="8">
        <v>661.4</v>
      </c>
      <c r="H30" s="9"/>
      <c r="I30" s="9">
        <v>646.4</v>
      </c>
      <c r="J30" s="8">
        <v>639.36</v>
      </c>
      <c r="K30" s="8">
        <v>647.20000000000005</v>
      </c>
      <c r="L30" s="9"/>
      <c r="M30" s="9">
        <v>630.4</v>
      </c>
      <c r="N30" s="8"/>
      <c r="O30" s="8">
        <v>639.9</v>
      </c>
      <c r="P30" s="9">
        <v>636.08000000000004</v>
      </c>
      <c r="Q30" s="9">
        <v>644.29999999999995</v>
      </c>
    </row>
    <row r="31" spans="2:17" ht="20.100000000000001" customHeight="1">
      <c r="B31" s="103"/>
      <c r="C31" s="10" t="s">
        <v>63</v>
      </c>
      <c r="D31" s="7" t="s">
        <v>42</v>
      </c>
      <c r="E31" s="7">
        <v>13.5</v>
      </c>
      <c r="F31" s="8"/>
      <c r="G31" s="8">
        <v>12.8</v>
      </c>
      <c r="H31" s="9"/>
      <c r="I31" s="9">
        <v>12.4</v>
      </c>
      <c r="J31" s="8">
        <v>13.4</v>
      </c>
      <c r="K31" s="8">
        <v>13.2</v>
      </c>
      <c r="L31" s="9"/>
      <c r="M31" s="9">
        <v>13</v>
      </c>
      <c r="N31" s="8"/>
      <c r="O31" s="8">
        <v>12.8</v>
      </c>
      <c r="P31" s="9">
        <v>13.6</v>
      </c>
      <c r="Q31" s="9">
        <v>12.6</v>
      </c>
    </row>
    <row r="32" spans="2:17" ht="20.100000000000001" customHeight="1">
      <c r="B32" s="103"/>
      <c r="C32" s="10" t="s">
        <v>64</v>
      </c>
      <c r="D32" s="7" t="s">
        <v>42</v>
      </c>
      <c r="E32" s="7">
        <v>4</v>
      </c>
      <c r="F32" s="8"/>
      <c r="G32" s="8">
        <v>4.3</v>
      </c>
      <c r="H32" s="9"/>
      <c r="I32" s="9">
        <v>4</v>
      </c>
      <c r="J32" s="8">
        <v>4.5999999999999996</v>
      </c>
      <c r="K32" s="8">
        <v>4.4000000000000004</v>
      </c>
      <c r="L32" s="9"/>
      <c r="M32" s="9">
        <v>3.6</v>
      </c>
      <c r="N32" s="8"/>
      <c r="O32" s="8">
        <v>3.9</v>
      </c>
      <c r="P32" s="9">
        <v>4.8</v>
      </c>
      <c r="Q32" s="9">
        <v>4.0999999999999996</v>
      </c>
    </row>
    <row r="33" spans="2:17" ht="20.100000000000001" customHeight="1">
      <c r="B33" s="103"/>
      <c r="C33" s="10" t="s">
        <v>65</v>
      </c>
      <c r="D33" s="7" t="s">
        <v>42</v>
      </c>
      <c r="E33" s="7">
        <v>9.5</v>
      </c>
      <c r="F33" s="15"/>
      <c r="G33" s="15">
        <f t="shared" ref="G33:Q33" si="1">G31-G32</f>
        <v>8.5</v>
      </c>
      <c r="H33" s="15">
        <f t="shared" si="1"/>
        <v>0</v>
      </c>
      <c r="I33" s="15">
        <f t="shared" si="1"/>
        <v>8.4</v>
      </c>
      <c r="J33" s="15">
        <f t="shared" si="1"/>
        <v>8.8000000000000007</v>
      </c>
      <c r="K33" s="15">
        <f t="shared" si="1"/>
        <v>8.7999999999999989</v>
      </c>
      <c r="L33" s="15">
        <f t="shared" si="1"/>
        <v>0</v>
      </c>
      <c r="M33" s="15">
        <f>M32</f>
        <v>3.6</v>
      </c>
      <c r="N33" s="15">
        <f>N31-N32</f>
        <v>0</v>
      </c>
      <c r="O33" s="15">
        <f>O31-O32</f>
        <v>8.9</v>
      </c>
      <c r="P33" s="15">
        <f t="shared" si="1"/>
        <v>8.8000000000000007</v>
      </c>
      <c r="Q33" s="15">
        <f t="shared" si="1"/>
        <v>8.5</v>
      </c>
    </row>
    <row r="34" spans="2:17" ht="20.100000000000001" customHeight="1">
      <c r="B34" s="103"/>
      <c r="C34" s="10" t="s">
        <v>66</v>
      </c>
      <c r="D34" s="7" t="s">
        <v>67</v>
      </c>
      <c r="E34" s="7" t="s">
        <v>68</v>
      </c>
      <c r="F34" s="16"/>
      <c r="G34" s="16">
        <f t="shared" ref="G34:Q34" si="2">(G33*G30)/0.866</f>
        <v>6491.8013856812931</v>
      </c>
      <c r="H34" s="16">
        <f t="shared" si="2"/>
        <v>0</v>
      </c>
      <c r="I34" s="16">
        <f t="shared" si="2"/>
        <v>6269.9307159353348</v>
      </c>
      <c r="J34" s="16">
        <f t="shared" si="2"/>
        <v>6496.9607390300234</v>
      </c>
      <c r="K34" s="16">
        <f t="shared" si="2"/>
        <v>6576.6281755196305</v>
      </c>
      <c r="L34" s="16">
        <f t="shared" si="2"/>
        <v>0</v>
      </c>
      <c r="M34" s="16">
        <f t="shared" si="2"/>
        <v>2620.6004618937645</v>
      </c>
      <c r="N34" s="16">
        <f>(N30*M33)/0.866</f>
        <v>0</v>
      </c>
      <c r="O34" s="16">
        <f>(O33*O30)/0.866</f>
        <v>6576.3394919168586</v>
      </c>
      <c r="P34" s="16">
        <f t="shared" si="2"/>
        <v>6463.6304849884536</v>
      </c>
      <c r="Q34" s="16">
        <f t="shared" si="2"/>
        <v>6323.9607390300225</v>
      </c>
    </row>
    <row r="35" spans="2:17" ht="20.100000000000001" customHeight="1">
      <c r="B35" s="103" t="s">
        <v>69</v>
      </c>
      <c r="C35" s="10" t="s">
        <v>70</v>
      </c>
      <c r="D35" s="7" t="s">
        <v>49</v>
      </c>
      <c r="E35" s="7" t="s">
        <v>71</v>
      </c>
      <c r="F35" s="8"/>
      <c r="G35" s="8">
        <v>0.82</v>
      </c>
      <c r="H35" s="9"/>
      <c r="I35" s="9">
        <v>0.84</v>
      </c>
      <c r="J35" s="8">
        <v>0.83</v>
      </c>
      <c r="K35" s="8">
        <v>0.82</v>
      </c>
      <c r="L35" s="9"/>
      <c r="M35" s="9">
        <v>0.82</v>
      </c>
      <c r="N35" s="8"/>
      <c r="O35" s="8">
        <v>0.86</v>
      </c>
      <c r="P35" s="9">
        <v>0.84</v>
      </c>
      <c r="Q35" s="9">
        <v>0.83</v>
      </c>
    </row>
    <row r="36" spans="2:17" ht="20.100000000000001" customHeight="1">
      <c r="B36" s="103"/>
      <c r="C36" s="10" t="s">
        <v>72</v>
      </c>
      <c r="D36" s="7" t="s">
        <v>42</v>
      </c>
      <c r="E36" s="7" t="s">
        <v>43</v>
      </c>
      <c r="F36" s="8"/>
      <c r="G36" s="8">
        <v>34</v>
      </c>
      <c r="H36" s="9"/>
      <c r="I36" s="9">
        <v>36.299999999999997</v>
      </c>
      <c r="J36" s="8">
        <v>36</v>
      </c>
      <c r="K36" s="8">
        <v>36</v>
      </c>
      <c r="L36" s="9"/>
      <c r="M36" s="9">
        <v>36.200000000000003</v>
      </c>
      <c r="N36" s="8"/>
      <c r="O36" s="8">
        <v>35.299999999999997</v>
      </c>
      <c r="P36" s="9">
        <v>36.1</v>
      </c>
      <c r="Q36" s="9">
        <v>36.200000000000003</v>
      </c>
    </row>
    <row r="37" spans="2:17" ht="20.100000000000001" customHeight="1">
      <c r="B37" s="103"/>
      <c r="C37" s="10" t="s">
        <v>73</v>
      </c>
      <c r="D37" s="7" t="s">
        <v>42</v>
      </c>
      <c r="E37" s="7" t="s">
        <v>43</v>
      </c>
      <c r="F37" s="8"/>
      <c r="G37" s="8">
        <v>36.4</v>
      </c>
      <c r="H37" s="9"/>
      <c r="I37" s="9">
        <v>37.200000000000003</v>
      </c>
      <c r="J37" s="8">
        <v>36.799999999999997</v>
      </c>
      <c r="K37" s="8">
        <v>36.700000000000003</v>
      </c>
      <c r="L37" s="9"/>
      <c r="M37" s="9">
        <v>36.6</v>
      </c>
      <c r="N37" s="8"/>
      <c r="O37" s="8">
        <v>35.700000000000003</v>
      </c>
      <c r="P37" s="9">
        <v>37</v>
      </c>
      <c r="Q37" s="9">
        <v>37</v>
      </c>
    </row>
    <row r="38" spans="2:17" ht="20.100000000000001" customHeight="1">
      <c r="B38" s="103"/>
      <c r="C38" s="12" t="s">
        <v>74</v>
      </c>
      <c r="D38" s="7" t="s">
        <v>42</v>
      </c>
      <c r="E38" s="7" t="s">
        <v>101</v>
      </c>
      <c r="F38" s="15"/>
      <c r="G38" s="15">
        <f t="shared" ref="G38:Q38" si="3">G37-G41</f>
        <v>2.1000000000000014</v>
      </c>
      <c r="H38" s="15">
        <f t="shared" si="3"/>
        <v>0</v>
      </c>
      <c r="I38" s="15">
        <f t="shared" si="3"/>
        <v>3.6000000000000014</v>
      </c>
      <c r="J38" s="15">
        <f t="shared" si="3"/>
        <v>3.1999999999999957</v>
      </c>
      <c r="K38" s="15">
        <f t="shared" si="3"/>
        <v>2.4000000000000057</v>
      </c>
      <c r="L38" s="15">
        <f t="shared" si="3"/>
        <v>0</v>
      </c>
      <c r="M38" s="15">
        <f t="shared" si="3"/>
        <v>2.6000000000000014</v>
      </c>
      <c r="N38" s="15">
        <f>N37-N41</f>
        <v>0</v>
      </c>
      <c r="O38" s="15">
        <f>O37-O41</f>
        <v>1.6000000000000014</v>
      </c>
      <c r="P38" s="15">
        <f t="shared" si="3"/>
        <v>3.3999999999999986</v>
      </c>
      <c r="Q38" s="15">
        <f t="shared" si="3"/>
        <v>3.1000000000000014</v>
      </c>
    </row>
    <row r="39" spans="2:17" ht="20.100000000000001" customHeight="1">
      <c r="B39" s="103"/>
      <c r="C39" s="10" t="s">
        <v>75</v>
      </c>
      <c r="D39" s="7" t="s">
        <v>76</v>
      </c>
      <c r="E39" s="7"/>
      <c r="F39" s="8"/>
      <c r="G39" s="8"/>
      <c r="H39" s="9"/>
      <c r="I39" s="9"/>
      <c r="J39" s="8"/>
      <c r="K39" s="8"/>
      <c r="L39" s="9"/>
      <c r="M39" s="9"/>
      <c r="N39" s="8"/>
      <c r="O39" s="8"/>
      <c r="P39" s="9"/>
      <c r="Q39" s="9"/>
    </row>
    <row r="40" spans="2:17" ht="20.100000000000001" customHeight="1">
      <c r="B40" s="103"/>
      <c r="C40" s="10" t="s">
        <v>77</v>
      </c>
      <c r="D40" s="7" t="s">
        <v>42</v>
      </c>
      <c r="E40" s="7">
        <v>30.8</v>
      </c>
      <c r="F40" s="8"/>
      <c r="G40" s="8">
        <v>28.3</v>
      </c>
      <c r="H40" s="9"/>
      <c r="I40" s="9">
        <v>28.5</v>
      </c>
      <c r="J40" s="8">
        <v>28.2</v>
      </c>
      <c r="K40" s="8">
        <v>28.4</v>
      </c>
      <c r="L40" s="9"/>
      <c r="M40" s="9">
        <v>28.3</v>
      </c>
      <c r="N40" s="8"/>
      <c r="O40" s="8">
        <v>28.1</v>
      </c>
      <c r="P40" s="9">
        <v>28.2</v>
      </c>
      <c r="Q40" s="9">
        <v>28.1</v>
      </c>
    </row>
    <row r="41" spans="2:17" ht="20.100000000000001" customHeight="1">
      <c r="B41" s="103"/>
      <c r="C41" s="10" t="s">
        <v>78</v>
      </c>
      <c r="D41" s="7" t="s">
        <v>42</v>
      </c>
      <c r="E41" s="7">
        <v>36.4</v>
      </c>
      <c r="F41" s="8"/>
      <c r="G41" s="8">
        <v>34.299999999999997</v>
      </c>
      <c r="H41" s="9"/>
      <c r="I41" s="9">
        <v>33.6</v>
      </c>
      <c r="J41" s="8">
        <v>33.6</v>
      </c>
      <c r="K41" s="8">
        <v>34.299999999999997</v>
      </c>
      <c r="L41" s="9"/>
      <c r="M41" s="9">
        <v>34</v>
      </c>
      <c r="N41" s="8"/>
      <c r="O41" s="8">
        <v>34.1</v>
      </c>
      <c r="P41" s="9">
        <v>33.6</v>
      </c>
      <c r="Q41" s="9">
        <v>33.9</v>
      </c>
    </row>
    <row r="42" spans="2:17" ht="20.100000000000001" customHeight="1">
      <c r="B42" s="103"/>
      <c r="C42" s="10" t="s">
        <v>79</v>
      </c>
      <c r="D42" s="7" t="s">
        <v>42</v>
      </c>
      <c r="E42" s="7">
        <v>5.6</v>
      </c>
      <c r="F42" s="15"/>
      <c r="G42" s="15">
        <f t="shared" ref="G42:Q42" si="4">G41-G40</f>
        <v>5.9999999999999964</v>
      </c>
      <c r="H42" s="15">
        <f t="shared" si="4"/>
        <v>0</v>
      </c>
      <c r="I42" s="15">
        <f t="shared" si="4"/>
        <v>5.1000000000000014</v>
      </c>
      <c r="J42" s="15">
        <f t="shared" si="4"/>
        <v>5.4000000000000021</v>
      </c>
      <c r="K42" s="15">
        <f t="shared" si="4"/>
        <v>5.8999999999999986</v>
      </c>
      <c r="L42" s="15">
        <f t="shared" si="4"/>
        <v>0</v>
      </c>
      <c r="M42" s="15">
        <f t="shared" si="4"/>
        <v>5.6999999999999993</v>
      </c>
      <c r="N42" s="15">
        <f>N41-N40</f>
        <v>0</v>
      </c>
      <c r="O42" s="15">
        <f>O41-O40</f>
        <v>6</v>
      </c>
      <c r="P42" s="15">
        <f t="shared" si="4"/>
        <v>5.4000000000000021</v>
      </c>
      <c r="Q42" s="15">
        <f t="shared" si="4"/>
        <v>5.7999999999999972</v>
      </c>
    </row>
    <row r="43" spans="2:17" ht="20.100000000000001" customHeight="1">
      <c r="B43" s="103"/>
      <c r="C43" s="10" t="s">
        <v>80</v>
      </c>
      <c r="D43" s="7" t="s">
        <v>61</v>
      </c>
      <c r="E43" s="7">
        <v>1273.0999999999999</v>
      </c>
      <c r="F43" s="8"/>
      <c r="G43" s="8">
        <v>1150.0999999999999</v>
      </c>
      <c r="H43" s="9"/>
      <c r="I43" s="9">
        <v>1142.5</v>
      </c>
      <c r="J43" s="8">
        <v>1289.1199999999999</v>
      </c>
      <c r="K43" s="8">
        <v>1169.7</v>
      </c>
      <c r="L43" s="9"/>
      <c r="M43" s="8">
        <v>1150.5999999999999</v>
      </c>
      <c r="N43" s="8"/>
      <c r="O43" s="8">
        <v>1132.8</v>
      </c>
      <c r="P43" s="9">
        <v>1279.32</v>
      </c>
      <c r="Q43" s="9">
        <v>1160</v>
      </c>
    </row>
    <row r="44" spans="2:17" ht="20.100000000000001" customHeight="1">
      <c r="B44" s="103"/>
      <c r="C44" s="10" t="s">
        <v>81</v>
      </c>
      <c r="D44" s="7" t="s">
        <v>67</v>
      </c>
      <c r="E44" s="7">
        <v>8226.9</v>
      </c>
      <c r="F44" s="16"/>
      <c r="G44" s="16">
        <f t="shared" ref="G44:Q44" si="5">G42*G43/0.866</f>
        <v>7968.3602771362539</v>
      </c>
      <c r="H44" s="16">
        <f t="shared" si="5"/>
        <v>0</v>
      </c>
      <c r="I44" s="16">
        <f t="shared" si="5"/>
        <v>6728.3487297921502</v>
      </c>
      <c r="J44" s="16">
        <f t="shared" si="5"/>
        <v>8038.392609699772</v>
      </c>
      <c r="K44" s="16">
        <f t="shared" si="5"/>
        <v>7969.087759815241</v>
      </c>
      <c r="L44" s="16">
        <f t="shared" si="5"/>
        <v>0</v>
      </c>
      <c r="M44" s="16">
        <f t="shared" si="5"/>
        <v>7573.2332563510372</v>
      </c>
      <c r="N44" s="16">
        <f>(N43*N42)/0.866</f>
        <v>0</v>
      </c>
      <c r="O44" s="16">
        <f>O42*O43/0.866</f>
        <v>7848.498845265588</v>
      </c>
      <c r="P44" s="16">
        <f t="shared" si="5"/>
        <v>7977.2840646651293</v>
      </c>
      <c r="Q44" s="16">
        <f t="shared" si="5"/>
        <v>7769.0531177829062</v>
      </c>
    </row>
    <row r="45" spans="2:17" ht="20.100000000000001" customHeight="1">
      <c r="B45" s="103" t="s">
        <v>82</v>
      </c>
      <c r="C45" s="10" t="s">
        <v>83</v>
      </c>
      <c r="D45" s="7" t="s">
        <v>49</v>
      </c>
      <c r="E45" s="7" t="s">
        <v>84</v>
      </c>
      <c r="F45" s="8"/>
      <c r="G45" s="8">
        <v>0.46</v>
      </c>
      <c r="H45" s="9"/>
      <c r="I45" s="9">
        <v>0.45</v>
      </c>
      <c r="J45" s="8">
        <v>0.46</v>
      </c>
      <c r="K45" s="8">
        <v>0.46</v>
      </c>
      <c r="L45" s="9"/>
      <c r="M45" s="9">
        <v>0.46</v>
      </c>
      <c r="N45" s="8"/>
      <c r="O45" s="8">
        <v>0.45</v>
      </c>
      <c r="P45" s="9">
        <v>0.47</v>
      </c>
      <c r="Q45" s="9">
        <v>0.46</v>
      </c>
    </row>
    <row r="46" spans="2:17" ht="20.100000000000001" customHeight="1">
      <c r="B46" s="103"/>
      <c r="C46" s="10" t="s">
        <v>85</v>
      </c>
      <c r="D46" s="7" t="s">
        <v>42</v>
      </c>
      <c r="E46" s="7" t="s">
        <v>43</v>
      </c>
      <c r="F46" s="8"/>
      <c r="G46" s="8">
        <v>19.7</v>
      </c>
      <c r="H46" s="9"/>
      <c r="I46" s="9">
        <v>18.899999999999999</v>
      </c>
      <c r="J46" s="8">
        <v>19.399999999999999</v>
      </c>
      <c r="K46" s="8">
        <v>19.5</v>
      </c>
      <c r="L46" s="9"/>
      <c r="M46" s="9">
        <v>19.600000000000001</v>
      </c>
      <c r="N46" s="8"/>
      <c r="O46" s="8">
        <v>18.2</v>
      </c>
      <c r="P46" s="9">
        <v>19.7</v>
      </c>
      <c r="Q46" s="9">
        <v>19.7</v>
      </c>
    </row>
    <row r="47" spans="2:17" ht="20.100000000000001" customHeight="1">
      <c r="B47" s="103"/>
      <c r="C47" s="10" t="s">
        <v>86</v>
      </c>
      <c r="D47" s="7" t="s">
        <v>76</v>
      </c>
      <c r="E47" s="7" t="s">
        <v>76</v>
      </c>
      <c r="F47" s="8"/>
      <c r="G47" s="8">
        <v>201.7</v>
      </c>
      <c r="H47" s="9"/>
      <c r="I47" s="9">
        <v>129.4</v>
      </c>
      <c r="J47" s="8">
        <v>190.7</v>
      </c>
      <c r="K47" s="8">
        <v>207.9</v>
      </c>
      <c r="L47" s="9"/>
      <c r="M47" s="9">
        <v>220.7</v>
      </c>
      <c r="N47" s="8"/>
      <c r="O47" s="8">
        <v>170.1</v>
      </c>
      <c r="P47" s="9">
        <v>196.1</v>
      </c>
      <c r="Q47" s="9">
        <v>195.8</v>
      </c>
    </row>
    <row r="48" spans="2:17" ht="20.100000000000001" customHeight="1">
      <c r="B48" s="97" t="s">
        <v>87</v>
      </c>
      <c r="C48" s="97"/>
      <c r="D48" s="97"/>
      <c r="E48" s="17" t="s">
        <v>88</v>
      </c>
      <c r="F48" s="8"/>
      <c r="G48" s="8"/>
      <c r="H48" s="9"/>
      <c r="I48" s="9"/>
      <c r="J48" s="8"/>
      <c r="K48" s="8"/>
      <c r="L48" s="9"/>
      <c r="M48" s="9"/>
      <c r="N48" s="8"/>
      <c r="O48" s="8"/>
      <c r="P48" s="9"/>
      <c r="Q48" s="9"/>
    </row>
    <row r="49" spans="2:17" ht="20.100000000000001" customHeight="1">
      <c r="B49" s="97" t="s">
        <v>89</v>
      </c>
      <c r="C49" s="97"/>
      <c r="D49" s="97"/>
      <c r="E49" s="73">
        <v>5.89</v>
      </c>
      <c r="F49" s="8"/>
      <c r="G49" s="8">
        <v>5.72</v>
      </c>
      <c r="H49" s="9"/>
      <c r="I49" s="9">
        <v>5.36</v>
      </c>
      <c r="J49" s="8">
        <v>5.71</v>
      </c>
      <c r="K49" s="8">
        <v>5.59</v>
      </c>
      <c r="L49" s="9"/>
      <c r="M49" s="9">
        <v>5.83</v>
      </c>
      <c r="N49" s="8"/>
      <c r="O49" s="8">
        <v>5.69</v>
      </c>
      <c r="P49" s="9">
        <v>5.39</v>
      </c>
      <c r="Q49" s="9">
        <v>5.19</v>
      </c>
    </row>
    <row r="50" spans="2:17" ht="20.100000000000001" customHeight="1">
      <c r="B50" s="97" t="s">
        <v>90</v>
      </c>
      <c r="C50" s="97"/>
      <c r="D50" s="97"/>
      <c r="E50" s="73"/>
      <c r="F50" s="8"/>
      <c r="G50" s="8"/>
      <c r="H50" s="9"/>
      <c r="I50" s="9"/>
      <c r="J50" s="8"/>
      <c r="K50" s="8"/>
      <c r="L50" s="9"/>
      <c r="M50" s="9"/>
      <c r="N50" s="8"/>
      <c r="O50" s="8"/>
      <c r="P50" s="9"/>
      <c r="Q50" s="9"/>
    </row>
    <row r="51" spans="2:17" ht="20.100000000000001" customHeight="1" thickBot="1">
      <c r="B51" s="97" t="s">
        <v>91</v>
      </c>
      <c r="C51" s="97"/>
      <c r="D51" s="97"/>
      <c r="E51" s="72"/>
      <c r="F51" s="8"/>
      <c r="G51" s="8"/>
      <c r="H51" s="9"/>
      <c r="I51" s="9"/>
      <c r="J51" s="8"/>
      <c r="K51" s="8"/>
      <c r="L51" s="9"/>
      <c r="M51" s="9"/>
      <c r="N51" s="8"/>
      <c r="O51" s="8"/>
      <c r="P51" s="9"/>
      <c r="Q51" s="9"/>
    </row>
    <row r="52" spans="2:17">
      <c r="B52" t="s">
        <v>92</v>
      </c>
      <c r="C52" s="18" t="s">
        <v>93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28"/>
    </row>
    <row r="53" spans="2:17">
      <c r="C53" s="20" t="s">
        <v>94</v>
      </c>
      <c r="Q53" s="31"/>
    </row>
    <row r="54" spans="2:17">
      <c r="C54" s="20" t="s">
        <v>95</v>
      </c>
      <c r="Q54" s="31"/>
    </row>
    <row r="55" spans="2:17">
      <c r="C55" s="20"/>
      <c r="Q55" s="31"/>
    </row>
    <row r="56" spans="2:17">
      <c r="C56" s="20"/>
      <c r="Q56" s="31"/>
    </row>
    <row r="57" spans="2:17">
      <c r="C57" s="20" t="s">
        <v>96</v>
      </c>
      <c r="F57" s="21" t="b">
        <v>0</v>
      </c>
      <c r="G57" s="22" t="s">
        <v>97</v>
      </c>
      <c r="Q57" s="31"/>
    </row>
    <row r="58" spans="2:17">
      <c r="C58" s="20" t="s">
        <v>96</v>
      </c>
      <c r="F58" s="8" t="s">
        <v>98</v>
      </c>
      <c r="G58" s="23" t="s">
        <v>99</v>
      </c>
      <c r="Q58" s="31"/>
    </row>
    <row r="59" spans="2:17" ht="15.75" thickBot="1"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30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32E0D-F366-4EB7-9213-D9F6B49827A3}">
  <dimension ref="B1:Q59"/>
  <sheetViews>
    <sheetView view="pageBreakPreview" zoomScale="85" zoomScaleNormal="60" workbookViewId="0">
      <selection activeCell="N47" sqref="N47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107"/>
      <c r="C2" s="110" t="s">
        <v>0</v>
      </c>
      <c r="D2" s="111"/>
      <c r="E2" s="111"/>
      <c r="F2" s="111"/>
      <c r="G2" s="111"/>
      <c r="H2" s="111"/>
      <c r="I2" s="111"/>
      <c r="J2" s="111"/>
      <c r="K2" s="111"/>
      <c r="L2" s="111"/>
      <c r="M2" s="112"/>
      <c r="N2" s="18" t="s">
        <v>1</v>
      </c>
      <c r="O2" s="19"/>
      <c r="P2" s="19"/>
      <c r="Q2" s="28"/>
    </row>
    <row r="3" spans="2:17" ht="15.75" thickBot="1">
      <c r="B3" s="108"/>
      <c r="C3" s="113"/>
      <c r="D3" s="114"/>
      <c r="E3" s="114"/>
      <c r="F3" s="114"/>
      <c r="G3" s="114"/>
      <c r="H3" s="114"/>
      <c r="I3" s="114"/>
      <c r="J3" s="114"/>
      <c r="K3" s="114"/>
      <c r="L3" s="114"/>
      <c r="M3" s="115"/>
      <c r="N3" s="26" t="s">
        <v>2</v>
      </c>
      <c r="O3" s="27" t="s">
        <v>3</v>
      </c>
      <c r="P3" s="27"/>
      <c r="Q3" s="29"/>
    </row>
    <row r="4" spans="2:17" ht="15.75" thickBot="1">
      <c r="B4" s="108"/>
      <c r="C4" s="113"/>
      <c r="D4" s="114"/>
      <c r="E4" s="114"/>
      <c r="F4" s="114"/>
      <c r="G4" s="114"/>
      <c r="H4" s="114"/>
      <c r="I4" s="114"/>
      <c r="J4" s="114"/>
      <c r="K4" s="114"/>
      <c r="L4" s="114"/>
      <c r="M4" s="115"/>
      <c r="N4" s="26" t="s">
        <v>4</v>
      </c>
      <c r="O4" s="27"/>
      <c r="P4" s="27"/>
      <c r="Q4" s="29"/>
    </row>
    <row r="5" spans="2:17" ht="15.75" thickBot="1">
      <c r="B5" s="109"/>
      <c r="C5" s="116"/>
      <c r="D5" s="117"/>
      <c r="E5" s="117"/>
      <c r="F5" s="117"/>
      <c r="G5" s="117"/>
      <c r="H5" s="117"/>
      <c r="I5" s="117"/>
      <c r="J5" s="117"/>
      <c r="K5" s="117"/>
      <c r="L5" s="117"/>
      <c r="M5" s="118"/>
      <c r="N5" s="24" t="s">
        <v>5</v>
      </c>
      <c r="O5" s="25"/>
      <c r="P5" s="25"/>
      <c r="Q5" s="30"/>
    </row>
    <row r="7" spans="2:17">
      <c r="B7" s="98" t="s">
        <v>6</v>
      </c>
      <c r="C7" s="99"/>
      <c r="D7" s="100">
        <v>45737</v>
      </c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2"/>
    </row>
    <row r="8" spans="2:17">
      <c r="B8" s="97" t="s">
        <v>7</v>
      </c>
      <c r="C8" s="97"/>
      <c r="D8" s="97"/>
      <c r="E8" s="105" t="s">
        <v>8</v>
      </c>
      <c r="F8" s="103" t="s">
        <v>9</v>
      </c>
      <c r="G8" s="103"/>
      <c r="H8" s="104" t="s">
        <v>10</v>
      </c>
      <c r="I8" s="104"/>
      <c r="J8" s="103" t="s">
        <v>11</v>
      </c>
      <c r="K8" s="103"/>
      <c r="L8" s="104" t="s">
        <v>12</v>
      </c>
      <c r="M8" s="104"/>
      <c r="N8" s="103" t="s">
        <v>13</v>
      </c>
      <c r="O8" s="103"/>
      <c r="P8" s="104" t="s">
        <v>14</v>
      </c>
      <c r="Q8" s="104"/>
    </row>
    <row r="9" spans="2:17">
      <c r="B9" s="98" t="s">
        <v>15</v>
      </c>
      <c r="C9" s="119"/>
      <c r="D9" s="99"/>
      <c r="E9" s="106"/>
      <c r="F9" s="3">
        <v>0.375</v>
      </c>
      <c r="G9" s="32" t="s">
        <v>16</v>
      </c>
      <c r="H9" s="4">
        <v>0.375</v>
      </c>
      <c r="I9" s="33" t="s">
        <v>16</v>
      </c>
      <c r="J9" s="3">
        <v>0.375</v>
      </c>
      <c r="K9" s="32" t="s">
        <v>16</v>
      </c>
      <c r="L9" s="4">
        <v>0.375</v>
      </c>
      <c r="M9" s="33" t="s">
        <v>16</v>
      </c>
      <c r="N9" s="3">
        <v>0.375</v>
      </c>
      <c r="O9" s="32" t="s">
        <v>16</v>
      </c>
      <c r="P9" s="4">
        <v>0.375</v>
      </c>
      <c r="Q9" s="33" t="s">
        <v>16</v>
      </c>
    </row>
    <row r="10" spans="2:17" ht="26.25" customHeight="1">
      <c r="B10" s="120" t="s">
        <v>17</v>
      </c>
      <c r="C10" s="121"/>
      <c r="D10" s="75" t="s">
        <v>18</v>
      </c>
      <c r="E10" s="5"/>
      <c r="F10" s="6" t="s">
        <v>19</v>
      </c>
      <c r="G10" s="34" t="s">
        <v>19</v>
      </c>
      <c r="H10" s="35" t="s">
        <v>19</v>
      </c>
      <c r="I10" s="35" t="s">
        <v>19</v>
      </c>
      <c r="J10" s="34"/>
      <c r="K10" s="34" t="s">
        <v>19</v>
      </c>
      <c r="L10" s="35" t="s">
        <v>19</v>
      </c>
      <c r="M10" s="35" t="s">
        <v>19</v>
      </c>
      <c r="N10" s="6" t="s">
        <v>19</v>
      </c>
      <c r="O10" s="34" t="s">
        <v>19</v>
      </c>
      <c r="P10" s="35"/>
      <c r="Q10" s="35" t="s">
        <v>19</v>
      </c>
    </row>
    <row r="11" spans="2:17" ht="20.100000000000001" customHeight="1">
      <c r="B11" s="97" t="s">
        <v>20</v>
      </c>
      <c r="C11" s="97"/>
      <c r="D11" s="7" t="s">
        <v>21</v>
      </c>
      <c r="E11" s="7" t="s">
        <v>22</v>
      </c>
      <c r="F11" s="8"/>
      <c r="G11" s="8">
        <v>70.400000000000006</v>
      </c>
      <c r="H11" s="9">
        <v>68.099999999999994</v>
      </c>
      <c r="I11" s="9">
        <v>79.099999999999994</v>
      </c>
      <c r="J11" s="8"/>
      <c r="K11" s="8">
        <v>65</v>
      </c>
      <c r="L11" s="9">
        <v>70</v>
      </c>
      <c r="M11" s="9">
        <v>70.5</v>
      </c>
      <c r="N11" s="8"/>
      <c r="O11" s="8">
        <v>69.599999999999994</v>
      </c>
      <c r="P11" s="9"/>
      <c r="Q11" s="9">
        <v>72.900000000000006</v>
      </c>
    </row>
    <row r="12" spans="2:17" ht="20.100000000000001" customHeight="1">
      <c r="B12" s="97" t="s">
        <v>23</v>
      </c>
      <c r="C12" s="97"/>
      <c r="D12" s="7" t="s">
        <v>21</v>
      </c>
      <c r="E12" s="7" t="s">
        <v>22</v>
      </c>
      <c r="F12" s="8"/>
      <c r="G12" s="8">
        <v>0.6</v>
      </c>
      <c r="H12" s="9">
        <v>0</v>
      </c>
      <c r="I12" s="9">
        <v>0</v>
      </c>
      <c r="J12" s="8"/>
      <c r="K12" s="8">
        <v>0</v>
      </c>
      <c r="L12" s="9">
        <v>0</v>
      </c>
      <c r="M12" s="9">
        <v>0</v>
      </c>
      <c r="N12" s="8"/>
      <c r="O12" s="8">
        <v>0</v>
      </c>
      <c r="P12" s="9"/>
      <c r="Q12" s="9">
        <v>0</v>
      </c>
    </row>
    <row r="13" spans="2:17" ht="20.100000000000001" customHeight="1">
      <c r="B13" s="97" t="s">
        <v>24</v>
      </c>
      <c r="C13" s="97"/>
      <c r="D13" s="7" t="s">
        <v>21</v>
      </c>
      <c r="E13" s="7" t="s">
        <v>22</v>
      </c>
      <c r="F13" s="8"/>
      <c r="G13" s="8">
        <v>64</v>
      </c>
      <c r="H13" s="9">
        <v>63.8</v>
      </c>
      <c r="I13" s="9">
        <v>74.599999999999994</v>
      </c>
      <c r="J13" s="8"/>
      <c r="K13" s="8">
        <v>60.8</v>
      </c>
      <c r="L13" s="9">
        <v>66.2</v>
      </c>
      <c r="M13" s="9">
        <v>65</v>
      </c>
      <c r="N13" s="8"/>
      <c r="O13" s="8">
        <v>66</v>
      </c>
      <c r="P13" s="9"/>
      <c r="Q13" s="9">
        <v>67.599999999999994</v>
      </c>
    </row>
    <row r="14" spans="2:17" ht="20.100000000000001" customHeight="1">
      <c r="B14" s="97" t="s">
        <v>25</v>
      </c>
      <c r="C14" s="97"/>
      <c r="D14" s="7" t="s">
        <v>21</v>
      </c>
      <c r="E14" s="7" t="s">
        <v>22</v>
      </c>
      <c r="F14" s="8"/>
      <c r="G14" s="8">
        <v>66.599999999999994</v>
      </c>
      <c r="H14" s="9">
        <v>70.099999999999994</v>
      </c>
      <c r="I14" s="9">
        <v>65.900000000000006</v>
      </c>
      <c r="J14" s="8"/>
      <c r="K14" s="8">
        <v>63.3</v>
      </c>
      <c r="L14" s="9">
        <v>66.2</v>
      </c>
      <c r="M14" s="9">
        <v>66.2</v>
      </c>
      <c r="N14" s="8"/>
      <c r="O14" s="8">
        <v>70.8</v>
      </c>
      <c r="P14" s="9"/>
      <c r="Q14" s="9">
        <v>68.099999999999994</v>
      </c>
    </row>
    <row r="15" spans="2:17" ht="20.100000000000001" customHeight="1">
      <c r="B15" s="97" t="s">
        <v>26</v>
      </c>
      <c r="C15" s="97"/>
      <c r="D15" s="7" t="s">
        <v>21</v>
      </c>
      <c r="E15" s="7" t="s">
        <v>22</v>
      </c>
      <c r="F15" s="8"/>
      <c r="G15" s="8">
        <v>37.200000000000003</v>
      </c>
      <c r="H15" s="9">
        <v>58.4</v>
      </c>
      <c r="I15" s="9">
        <v>56.9</v>
      </c>
      <c r="J15" s="8"/>
      <c r="K15" s="8">
        <v>37.4</v>
      </c>
      <c r="L15" s="9">
        <v>32.799999999999997</v>
      </c>
      <c r="M15" s="9">
        <v>31.5</v>
      </c>
      <c r="N15" s="8"/>
      <c r="O15" s="8">
        <v>53.3</v>
      </c>
      <c r="P15" s="9"/>
      <c r="Q15" s="9">
        <v>40</v>
      </c>
    </row>
    <row r="16" spans="2:17" ht="20.100000000000001" customHeight="1">
      <c r="B16" s="103" t="s">
        <v>27</v>
      </c>
      <c r="C16" s="10" t="s">
        <v>28</v>
      </c>
      <c r="D16" s="7" t="s">
        <v>29</v>
      </c>
      <c r="E16" s="7" t="s">
        <v>30</v>
      </c>
      <c r="F16" s="8"/>
      <c r="G16" s="8">
        <v>6.6</v>
      </c>
      <c r="H16" s="8">
        <v>6.6</v>
      </c>
      <c r="I16" s="8">
        <v>6.6</v>
      </c>
      <c r="J16" s="8"/>
      <c r="K16" s="8">
        <v>6.6</v>
      </c>
      <c r="L16" s="8">
        <v>6.6</v>
      </c>
      <c r="M16" s="8">
        <v>6.6</v>
      </c>
      <c r="N16" s="8"/>
      <c r="O16" s="8">
        <v>6.6</v>
      </c>
      <c r="P16" s="8"/>
      <c r="Q16" s="8">
        <v>6.6</v>
      </c>
    </row>
    <row r="17" spans="2:17" ht="20.100000000000001" customHeight="1">
      <c r="B17" s="103"/>
      <c r="C17" s="10" t="s">
        <v>31</v>
      </c>
      <c r="D17" s="7" t="s">
        <v>32</v>
      </c>
      <c r="E17" s="7" t="s">
        <v>33</v>
      </c>
      <c r="F17" s="8"/>
      <c r="G17" s="8">
        <v>115</v>
      </c>
      <c r="H17" s="9">
        <v>109.8</v>
      </c>
      <c r="I17" s="9">
        <v>115.3</v>
      </c>
      <c r="J17" s="8"/>
      <c r="K17" s="8">
        <v>109.1</v>
      </c>
      <c r="L17" s="9">
        <v>111.5</v>
      </c>
      <c r="M17" s="9">
        <v>112.3</v>
      </c>
      <c r="N17" s="8"/>
      <c r="O17" s="8">
        <v>112.4</v>
      </c>
      <c r="P17" s="9"/>
      <c r="Q17" s="9">
        <v>115</v>
      </c>
    </row>
    <row r="18" spans="2:17" ht="20.100000000000001" customHeight="1">
      <c r="B18" s="103"/>
      <c r="C18" s="10" t="s">
        <v>34</v>
      </c>
      <c r="D18" s="7" t="s">
        <v>35</v>
      </c>
      <c r="E18" s="7" t="s">
        <v>36</v>
      </c>
      <c r="F18" s="8"/>
      <c r="G18" s="8">
        <v>1119</v>
      </c>
      <c r="H18" s="9">
        <v>1109</v>
      </c>
      <c r="I18" s="9">
        <v>1164</v>
      </c>
      <c r="J18" s="8"/>
      <c r="K18" s="8">
        <v>1108</v>
      </c>
      <c r="L18" s="9">
        <v>1131</v>
      </c>
      <c r="M18" s="9">
        <v>1140</v>
      </c>
      <c r="N18" s="8"/>
      <c r="O18" s="8">
        <v>1137</v>
      </c>
      <c r="P18" s="9"/>
      <c r="Q18" s="9">
        <v>1160</v>
      </c>
    </row>
    <row r="19" spans="2:17" ht="20.100000000000001" customHeight="1">
      <c r="B19" s="103" t="s">
        <v>37</v>
      </c>
      <c r="C19" s="10" t="s">
        <v>38</v>
      </c>
      <c r="D19" s="7" t="s">
        <v>39</v>
      </c>
      <c r="E19" s="11" t="s">
        <v>40</v>
      </c>
      <c r="F19" s="8"/>
      <c r="G19" s="8">
        <v>49598.9</v>
      </c>
      <c r="H19" s="9">
        <v>50862.8</v>
      </c>
      <c r="I19" s="9">
        <v>50854.1</v>
      </c>
      <c r="J19" s="8"/>
      <c r="K19" s="8">
        <v>48499.8</v>
      </c>
      <c r="L19" s="9">
        <v>50882.6</v>
      </c>
      <c r="M19" s="9">
        <v>50874</v>
      </c>
      <c r="N19" s="8"/>
      <c r="O19" s="8">
        <v>50063.1</v>
      </c>
      <c r="P19" s="9"/>
      <c r="Q19" s="9">
        <v>50215</v>
      </c>
    </row>
    <row r="20" spans="2:17" ht="20.100000000000001" customHeight="1">
      <c r="B20" s="103"/>
      <c r="C20" s="10" t="s">
        <v>41</v>
      </c>
      <c r="D20" s="7" t="s">
        <v>42</v>
      </c>
      <c r="E20" s="7" t="s">
        <v>43</v>
      </c>
      <c r="F20" s="8"/>
      <c r="G20" s="8"/>
      <c r="H20" s="9"/>
      <c r="I20" s="9"/>
      <c r="J20" s="8"/>
      <c r="K20" s="8"/>
      <c r="L20" s="9"/>
      <c r="M20" s="9"/>
      <c r="N20" s="8"/>
      <c r="O20" s="8"/>
      <c r="P20" s="9"/>
      <c r="Q20" s="9"/>
    </row>
    <row r="21" spans="2:17" ht="20.100000000000001" customHeight="1">
      <c r="B21" s="103"/>
      <c r="C21" s="10" t="s">
        <v>44</v>
      </c>
      <c r="D21" s="7" t="s">
        <v>42</v>
      </c>
      <c r="E21" s="7" t="s">
        <v>45</v>
      </c>
      <c r="F21" s="8"/>
      <c r="G21" s="8"/>
      <c r="H21" s="9"/>
      <c r="I21" s="9"/>
      <c r="J21" s="8"/>
      <c r="K21" s="8"/>
      <c r="L21" s="9"/>
      <c r="M21" s="9"/>
      <c r="N21" s="8"/>
      <c r="O21" s="8"/>
      <c r="P21" s="9"/>
      <c r="Q21" s="9"/>
    </row>
    <row r="22" spans="2:17" ht="20.100000000000001" customHeight="1">
      <c r="B22" s="103"/>
      <c r="C22" s="10" t="s">
        <v>46</v>
      </c>
      <c r="D22" s="7" t="s">
        <v>42</v>
      </c>
      <c r="E22" s="7" t="s">
        <v>47</v>
      </c>
      <c r="F22" s="8"/>
      <c r="G22" s="8">
        <v>58.2</v>
      </c>
      <c r="H22" s="9">
        <v>58.9</v>
      </c>
      <c r="I22" s="9">
        <v>58.8</v>
      </c>
      <c r="J22" s="8"/>
      <c r="K22" s="8">
        <v>58.1</v>
      </c>
      <c r="L22" s="9">
        <v>57.2</v>
      </c>
      <c r="M22" s="9">
        <v>57.3</v>
      </c>
      <c r="N22" s="8"/>
      <c r="O22" s="8">
        <v>58.5</v>
      </c>
      <c r="P22" s="9"/>
      <c r="Q22" s="9">
        <v>59.1</v>
      </c>
    </row>
    <row r="23" spans="2:17" ht="60">
      <c r="B23" s="103"/>
      <c r="C23" s="12" t="s">
        <v>48</v>
      </c>
      <c r="D23" s="8" t="s">
        <v>49</v>
      </c>
      <c r="E23" s="13" t="s">
        <v>50</v>
      </c>
      <c r="F23" s="8"/>
      <c r="G23" s="8">
        <v>0.52</v>
      </c>
      <c r="H23" s="9">
        <v>0.49</v>
      </c>
      <c r="I23" s="9">
        <v>0.48</v>
      </c>
      <c r="J23" s="8"/>
      <c r="K23" s="8">
        <v>0.57999999999999996</v>
      </c>
      <c r="L23" s="9">
        <v>0.54</v>
      </c>
      <c r="M23" s="9">
        <v>0.52</v>
      </c>
      <c r="N23" s="8"/>
      <c r="O23" s="8">
        <v>0.47</v>
      </c>
      <c r="P23" s="9"/>
      <c r="Q23" s="9">
        <v>0.49</v>
      </c>
    </row>
    <row r="24" spans="2:17" ht="39.75" customHeight="1">
      <c r="B24" s="103"/>
      <c r="C24" s="12" t="s">
        <v>51</v>
      </c>
      <c r="D24" s="7"/>
      <c r="E24" s="7"/>
      <c r="F24" s="8"/>
      <c r="G24" s="8"/>
      <c r="H24" s="9"/>
      <c r="I24" s="9"/>
      <c r="J24" s="8"/>
      <c r="K24" s="8"/>
      <c r="L24" s="8"/>
      <c r="M24" s="9"/>
      <c r="N24" s="8"/>
      <c r="O24" s="8"/>
      <c r="P24" s="9"/>
      <c r="Q24" s="9"/>
    </row>
    <row r="25" spans="2:17" ht="20.100000000000001" customHeight="1">
      <c r="B25" s="103"/>
      <c r="C25" s="10" t="s">
        <v>52</v>
      </c>
      <c r="D25" s="7" t="s">
        <v>42</v>
      </c>
      <c r="E25" s="7" t="s">
        <v>53</v>
      </c>
      <c r="F25" s="8"/>
      <c r="G25" s="8">
        <v>44.9</v>
      </c>
      <c r="H25" s="9">
        <v>45</v>
      </c>
      <c r="I25" s="9">
        <v>44.8</v>
      </c>
      <c r="J25" s="8"/>
      <c r="K25" s="8">
        <v>45.7</v>
      </c>
      <c r="L25" s="9">
        <v>45.2</v>
      </c>
      <c r="M25" s="9">
        <v>45.1</v>
      </c>
      <c r="N25" s="8"/>
      <c r="O25" s="8">
        <v>44.9</v>
      </c>
      <c r="P25" s="9"/>
      <c r="Q25" s="9">
        <v>45</v>
      </c>
    </row>
    <row r="26" spans="2:17" ht="20.100000000000001" customHeight="1">
      <c r="B26" s="103" t="s">
        <v>54</v>
      </c>
      <c r="C26" s="10" t="s">
        <v>55</v>
      </c>
      <c r="D26" s="7" t="s">
        <v>49</v>
      </c>
      <c r="E26" s="14" t="s">
        <v>56</v>
      </c>
      <c r="F26" s="8"/>
      <c r="G26" s="8">
        <v>0.22</v>
      </c>
      <c r="H26" s="9">
        <v>0.22</v>
      </c>
      <c r="I26" s="9">
        <v>0.21</v>
      </c>
      <c r="J26" s="8"/>
      <c r="K26" s="8">
        <v>0.22</v>
      </c>
      <c r="L26" s="9">
        <v>0.23</v>
      </c>
      <c r="M26" s="9">
        <v>0.22</v>
      </c>
      <c r="N26" s="8"/>
      <c r="O26" s="8">
        <v>0.22</v>
      </c>
      <c r="P26" s="9"/>
      <c r="Q26" s="9">
        <v>0.22</v>
      </c>
    </row>
    <row r="27" spans="2:17" ht="20.100000000000001" customHeight="1">
      <c r="B27" s="103"/>
      <c r="C27" s="10" t="s">
        <v>57</v>
      </c>
      <c r="D27" s="7" t="s">
        <v>42</v>
      </c>
      <c r="E27" s="7" t="s">
        <v>43</v>
      </c>
      <c r="F27" s="8"/>
      <c r="G27" s="8">
        <v>3.8</v>
      </c>
      <c r="H27" s="9">
        <v>3.8</v>
      </c>
      <c r="I27" s="9">
        <v>2.8</v>
      </c>
      <c r="J27" s="8"/>
      <c r="K27" s="8">
        <v>4.2</v>
      </c>
      <c r="L27" s="9">
        <v>3.6</v>
      </c>
      <c r="M27" s="9">
        <v>3.7</v>
      </c>
      <c r="N27" s="8"/>
      <c r="O27" s="8">
        <v>3.9</v>
      </c>
      <c r="P27" s="9"/>
      <c r="Q27" s="9">
        <v>4</v>
      </c>
    </row>
    <row r="28" spans="2:17" ht="20.100000000000001" customHeight="1">
      <c r="B28" s="103"/>
      <c r="C28" s="10" t="s">
        <v>58</v>
      </c>
      <c r="D28" s="7" t="s">
        <v>42</v>
      </c>
      <c r="E28" s="7" t="s">
        <v>43</v>
      </c>
      <c r="F28" s="8"/>
      <c r="G28" s="8">
        <v>3.2</v>
      </c>
      <c r="H28" s="9">
        <v>2.9</v>
      </c>
      <c r="I28" s="9">
        <v>1.9</v>
      </c>
      <c r="J28" s="8"/>
      <c r="K28" s="8">
        <v>3.3</v>
      </c>
      <c r="L28" s="9">
        <v>2.2999999999999998</v>
      </c>
      <c r="M28" s="9">
        <v>2.2999999999999998</v>
      </c>
      <c r="N28" s="8"/>
      <c r="O28" s="8">
        <v>2.2999999999999998</v>
      </c>
      <c r="P28" s="9"/>
      <c r="Q28" s="9">
        <v>2.9</v>
      </c>
    </row>
    <row r="29" spans="2:17" ht="20.100000000000001" customHeight="1">
      <c r="B29" s="103"/>
      <c r="C29" s="10" t="s">
        <v>59</v>
      </c>
      <c r="D29" s="7" t="s">
        <v>42</v>
      </c>
      <c r="E29" s="7" t="s">
        <v>43</v>
      </c>
      <c r="F29" s="15">
        <f>F32-F28</f>
        <v>0</v>
      </c>
      <c r="G29" s="15">
        <f>G32-G28</f>
        <v>1</v>
      </c>
      <c r="H29" s="15">
        <f t="shared" ref="H29:Q29" si="0">H32-H28</f>
        <v>2.5000000000000004</v>
      </c>
      <c r="I29" s="15">
        <f t="shared" si="0"/>
        <v>2.1</v>
      </c>
      <c r="J29" s="15">
        <f t="shared" si="0"/>
        <v>0</v>
      </c>
      <c r="K29" s="15">
        <f t="shared" si="0"/>
        <v>0.70000000000000018</v>
      </c>
      <c r="L29" s="15">
        <f>L32-L28</f>
        <v>1.6</v>
      </c>
      <c r="M29" s="15">
        <f>M32-M28</f>
        <v>1.7999999999999998</v>
      </c>
      <c r="N29" s="15">
        <f>N32-N28</f>
        <v>0</v>
      </c>
      <c r="O29" s="15">
        <f>O32-O28</f>
        <v>2.1000000000000005</v>
      </c>
      <c r="P29" s="15">
        <f t="shared" si="0"/>
        <v>0</v>
      </c>
      <c r="Q29" s="15">
        <f t="shared" si="0"/>
        <v>1</v>
      </c>
    </row>
    <row r="30" spans="2:17" ht="20.100000000000001" customHeight="1">
      <c r="B30" s="103"/>
      <c r="C30" s="10" t="s">
        <v>60</v>
      </c>
      <c r="D30" s="7" t="s">
        <v>61</v>
      </c>
      <c r="E30" s="7" t="s">
        <v>62</v>
      </c>
      <c r="F30" s="8"/>
      <c r="G30" s="8">
        <v>646.6</v>
      </c>
      <c r="H30" s="9">
        <v>671.36</v>
      </c>
      <c r="I30" s="9">
        <v>643.4</v>
      </c>
      <c r="J30" s="8"/>
      <c r="K30" s="8">
        <v>640.63</v>
      </c>
      <c r="L30" s="9">
        <v>636</v>
      </c>
      <c r="M30" s="9">
        <v>641.79999999999995</v>
      </c>
      <c r="N30" s="8"/>
      <c r="O30" s="8">
        <v>636.79999999999995</v>
      </c>
      <c r="P30" s="9"/>
      <c r="Q30" s="9">
        <v>641.1</v>
      </c>
    </row>
    <row r="31" spans="2:17" ht="20.100000000000001" customHeight="1">
      <c r="B31" s="103"/>
      <c r="C31" s="10" t="s">
        <v>63</v>
      </c>
      <c r="D31" s="7" t="s">
        <v>42</v>
      </c>
      <c r="E31" s="7">
        <v>13.5</v>
      </c>
      <c r="F31" s="8"/>
      <c r="G31" s="8">
        <v>13.1</v>
      </c>
      <c r="H31" s="9">
        <v>13.3</v>
      </c>
      <c r="I31" s="9">
        <v>12.5</v>
      </c>
      <c r="J31" s="8"/>
      <c r="K31" s="8">
        <v>12.6</v>
      </c>
      <c r="L31" s="9">
        <v>13.2</v>
      </c>
      <c r="M31" s="9">
        <v>12.9</v>
      </c>
      <c r="N31" s="8"/>
      <c r="O31" s="8">
        <v>12.8</v>
      </c>
      <c r="P31" s="9"/>
      <c r="Q31" s="9">
        <v>12.4</v>
      </c>
    </row>
    <row r="32" spans="2:17" ht="20.100000000000001" customHeight="1">
      <c r="B32" s="103"/>
      <c r="C32" s="10" t="s">
        <v>64</v>
      </c>
      <c r="D32" s="7" t="s">
        <v>42</v>
      </c>
      <c r="E32" s="7">
        <v>4</v>
      </c>
      <c r="F32" s="8"/>
      <c r="G32" s="8">
        <v>4.2</v>
      </c>
      <c r="H32" s="9">
        <v>5.4</v>
      </c>
      <c r="I32" s="9">
        <v>4</v>
      </c>
      <c r="J32" s="8"/>
      <c r="K32" s="8">
        <v>4</v>
      </c>
      <c r="L32" s="9">
        <v>3.9</v>
      </c>
      <c r="M32" s="9">
        <v>4.0999999999999996</v>
      </c>
      <c r="N32" s="8"/>
      <c r="O32" s="8">
        <v>4.4000000000000004</v>
      </c>
      <c r="P32" s="9"/>
      <c r="Q32" s="9">
        <v>3.9</v>
      </c>
    </row>
    <row r="33" spans="2:17" ht="20.100000000000001" customHeight="1">
      <c r="B33" s="103"/>
      <c r="C33" s="10" t="s">
        <v>65</v>
      </c>
      <c r="D33" s="7" t="s">
        <v>42</v>
      </c>
      <c r="E33" s="7">
        <v>9.5</v>
      </c>
      <c r="F33" s="15">
        <f>F31-F32</f>
        <v>0</v>
      </c>
      <c r="G33" s="15">
        <f>G31-G32</f>
        <v>8.8999999999999986</v>
      </c>
      <c r="H33" s="15">
        <f t="shared" ref="H33:Q33" si="1">H31-H32</f>
        <v>7.9</v>
      </c>
      <c r="I33" s="15">
        <f t="shared" si="1"/>
        <v>8.5</v>
      </c>
      <c r="J33" s="15">
        <f t="shared" si="1"/>
        <v>0</v>
      </c>
      <c r="K33" s="15">
        <f t="shared" si="1"/>
        <v>8.6</v>
      </c>
      <c r="L33" s="15">
        <f>L31-L32</f>
        <v>9.2999999999999989</v>
      </c>
      <c r="M33" s="15">
        <f>M31-M32</f>
        <v>8.8000000000000007</v>
      </c>
      <c r="N33" s="15">
        <f>N31-N32</f>
        <v>0</v>
      </c>
      <c r="O33" s="15">
        <f>O31-O32</f>
        <v>8.4</v>
      </c>
      <c r="P33" s="15">
        <f t="shared" si="1"/>
        <v>0</v>
      </c>
      <c r="Q33" s="15">
        <f t="shared" si="1"/>
        <v>8.5</v>
      </c>
    </row>
    <row r="34" spans="2:17" ht="20.100000000000001" customHeight="1">
      <c r="B34" s="103"/>
      <c r="C34" s="10" t="s">
        <v>66</v>
      </c>
      <c r="D34" s="7" t="s">
        <v>67</v>
      </c>
      <c r="E34" s="7" t="s">
        <v>68</v>
      </c>
      <c r="F34" s="16">
        <f>(F33*F30)/0.866</f>
        <v>0</v>
      </c>
      <c r="G34" s="16">
        <f>(G33*G30)/0.866</f>
        <v>6645.1963048498828</v>
      </c>
      <c r="H34" s="16">
        <f t="shared" ref="H34:Q34" si="2">(H33*H30)/0.866</f>
        <v>6124.4157043879914</v>
      </c>
      <c r="I34" s="16">
        <f t="shared" si="2"/>
        <v>6315.1270207852194</v>
      </c>
      <c r="J34" s="16">
        <f t="shared" si="2"/>
        <v>0</v>
      </c>
      <c r="K34" s="16">
        <f t="shared" si="2"/>
        <v>6361.9145496535793</v>
      </c>
      <c r="L34" s="16">
        <f>(L33*L30)/0.866</f>
        <v>6830.0230946882211</v>
      </c>
      <c r="M34" s="16">
        <f>(M33*M30)/0.866</f>
        <v>6521.75519630485</v>
      </c>
      <c r="N34" s="16">
        <f>(N33*N30)/0.866</f>
        <v>0</v>
      </c>
      <c r="O34" s="16">
        <f>(O33*O30)/0.866</f>
        <v>6176.8129330254042</v>
      </c>
      <c r="P34" s="16">
        <f t="shared" si="2"/>
        <v>0</v>
      </c>
      <c r="Q34" s="16">
        <f t="shared" si="2"/>
        <v>6292.5519630484996</v>
      </c>
    </row>
    <row r="35" spans="2:17" ht="20.100000000000001" customHeight="1">
      <c r="B35" s="103" t="s">
        <v>69</v>
      </c>
      <c r="C35" s="10" t="s">
        <v>70</v>
      </c>
      <c r="D35" s="7" t="s">
        <v>49</v>
      </c>
      <c r="E35" s="7" t="s">
        <v>71</v>
      </c>
      <c r="F35" s="8"/>
      <c r="G35" s="8">
        <v>0.8</v>
      </c>
      <c r="H35" s="9">
        <v>0.82</v>
      </c>
      <c r="I35" s="9">
        <v>0.82</v>
      </c>
      <c r="J35" s="8"/>
      <c r="K35" s="8">
        <v>0.8</v>
      </c>
      <c r="L35" s="9">
        <v>0.8</v>
      </c>
      <c r="M35" s="9">
        <v>0.8</v>
      </c>
      <c r="N35" s="8"/>
      <c r="O35" s="8">
        <v>0.76</v>
      </c>
      <c r="P35" s="9"/>
      <c r="Q35" s="9">
        <v>0.81</v>
      </c>
    </row>
    <row r="36" spans="2:17" ht="20.100000000000001" customHeight="1">
      <c r="B36" s="103"/>
      <c r="C36" s="10" t="s">
        <v>72</v>
      </c>
      <c r="D36" s="7" t="s">
        <v>42</v>
      </c>
      <c r="E36" s="7" t="s">
        <v>43</v>
      </c>
      <c r="F36" s="8"/>
      <c r="G36" s="8">
        <v>35.1</v>
      </c>
      <c r="H36" s="9">
        <v>35.299999999999997</v>
      </c>
      <c r="I36" s="9">
        <v>35.700000000000003</v>
      </c>
      <c r="J36" s="8"/>
      <c r="K36" s="8">
        <v>35.1</v>
      </c>
      <c r="L36" s="9">
        <v>35</v>
      </c>
      <c r="M36" s="9">
        <v>35.200000000000003</v>
      </c>
      <c r="N36" s="8"/>
      <c r="O36" s="8">
        <v>34.5</v>
      </c>
      <c r="P36" s="9"/>
      <c r="Q36" s="9">
        <v>35.6</v>
      </c>
    </row>
    <row r="37" spans="2:17" ht="20.100000000000001" customHeight="1">
      <c r="B37" s="103"/>
      <c r="C37" s="10" t="s">
        <v>73</v>
      </c>
      <c r="D37" s="7" t="s">
        <v>42</v>
      </c>
      <c r="E37" s="7" t="s">
        <v>43</v>
      </c>
      <c r="F37" s="8"/>
      <c r="G37" s="8">
        <v>35.6</v>
      </c>
      <c r="H37" s="9">
        <v>36.299999999999997</v>
      </c>
      <c r="I37" s="9">
        <v>36.5</v>
      </c>
      <c r="J37" s="8"/>
      <c r="K37" s="8">
        <v>35.700000000000003</v>
      </c>
      <c r="L37" s="9">
        <v>35.6</v>
      </c>
      <c r="M37" s="9">
        <v>35.700000000000003</v>
      </c>
      <c r="N37" s="8"/>
      <c r="O37" s="8">
        <v>34.799999999999997</v>
      </c>
      <c r="P37" s="9"/>
      <c r="Q37" s="9">
        <v>36.200000000000003</v>
      </c>
    </row>
    <row r="38" spans="2:17" ht="20.100000000000001" customHeight="1">
      <c r="B38" s="103"/>
      <c r="C38" s="12" t="s">
        <v>74</v>
      </c>
      <c r="D38" s="7" t="s">
        <v>42</v>
      </c>
      <c r="E38" s="7" t="s">
        <v>101</v>
      </c>
      <c r="F38" s="15">
        <f>F37-F41</f>
        <v>0</v>
      </c>
      <c r="G38" s="15">
        <f>G37-G41</f>
        <v>2.2000000000000028</v>
      </c>
      <c r="H38" s="15">
        <f t="shared" ref="H38:Q38" si="3">H37-H41</f>
        <v>4.2999999999999972</v>
      </c>
      <c r="I38" s="15">
        <f t="shared" si="3"/>
        <v>3.6000000000000014</v>
      </c>
      <c r="J38" s="15">
        <f t="shared" si="3"/>
        <v>0</v>
      </c>
      <c r="K38" s="15">
        <f t="shared" si="3"/>
        <v>2.4000000000000057</v>
      </c>
      <c r="L38" s="15">
        <f>L37-L41</f>
        <v>3.5</v>
      </c>
      <c r="M38" s="15">
        <f>M37-M41</f>
        <v>2.5</v>
      </c>
      <c r="N38" s="15">
        <f>N37-N41</f>
        <v>0</v>
      </c>
      <c r="O38" s="15">
        <f>O37-O41</f>
        <v>1.5999999999999943</v>
      </c>
      <c r="P38" s="15">
        <f t="shared" si="3"/>
        <v>0</v>
      </c>
      <c r="Q38" s="15">
        <f t="shared" si="3"/>
        <v>3.1000000000000014</v>
      </c>
    </row>
    <row r="39" spans="2:17" ht="20.100000000000001" customHeight="1">
      <c r="B39" s="103"/>
      <c r="C39" s="10" t="s">
        <v>75</v>
      </c>
      <c r="D39" s="7" t="s">
        <v>76</v>
      </c>
      <c r="E39" s="7"/>
      <c r="F39" s="8"/>
      <c r="G39" s="8"/>
      <c r="H39" s="9"/>
      <c r="I39" s="9"/>
      <c r="J39" s="8"/>
      <c r="K39" s="8"/>
      <c r="L39" s="9"/>
      <c r="M39" s="9"/>
      <c r="N39" s="8"/>
      <c r="O39" s="8"/>
      <c r="P39" s="9"/>
      <c r="Q39" s="9"/>
    </row>
    <row r="40" spans="2:17" ht="20.100000000000001" customHeight="1">
      <c r="B40" s="103"/>
      <c r="C40" s="10" t="s">
        <v>77</v>
      </c>
      <c r="D40" s="7" t="s">
        <v>42</v>
      </c>
      <c r="E40" s="7">
        <v>30.8</v>
      </c>
      <c r="F40" s="8"/>
      <c r="G40" s="8">
        <v>27.4</v>
      </c>
      <c r="H40" s="9">
        <v>27.1</v>
      </c>
      <c r="I40" s="9">
        <v>27.4</v>
      </c>
      <c r="J40" s="8"/>
      <c r="K40" s="8">
        <v>27.6</v>
      </c>
      <c r="L40" s="9">
        <v>27</v>
      </c>
      <c r="M40" s="9">
        <v>27.4</v>
      </c>
      <c r="N40" s="8"/>
      <c r="O40" s="8">
        <v>27.3</v>
      </c>
      <c r="P40" s="9"/>
      <c r="Q40" s="9">
        <v>27.4</v>
      </c>
    </row>
    <row r="41" spans="2:17" ht="20.100000000000001" customHeight="1">
      <c r="B41" s="103"/>
      <c r="C41" s="10" t="s">
        <v>78</v>
      </c>
      <c r="D41" s="7" t="s">
        <v>42</v>
      </c>
      <c r="E41" s="7">
        <v>36.4</v>
      </c>
      <c r="F41" s="8"/>
      <c r="G41" s="8">
        <v>33.4</v>
      </c>
      <c r="H41" s="9">
        <v>32</v>
      </c>
      <c r="I41" s="9">
        <v>32.9</v>
      </c>
      <c r="J41" s="8"/>
      <c r="K41" s="8">
        <v>33.299999999999997</v>
      </c>
      <c r="L41" s="9">
        <v>32.1</v>
      </c>
      <c r="M41" s="9">
        <v>33.200000000000003</v>
      </c>
      <c r="N41" s="8"/>
      <c r="O41" s="8">
        <v>33.200000000000003</v>
      </c>
      <c r="P41" s="9"/>
      <c r="Q41" s="9">
        <v>33.1</v>
      </c>
    </row>
    <row r="42" spans="2:17" ht="20.100000000000001" customHeight="1">
      <c r="B42" s="103"/>
      <c r="C42" s="10" t="s">
        <v>79</v>
      </c>
      <c r="D42" s="7" t="s">
        <v>42</v>
      </c>
      <c r="E42" s="7">
        <v>5.6</v>
      </c>
      <c r="F42" s="15">
        <f>F41-F40</f>
        <v>0</v>
      </c>
      <c r="G42" s="15">
        <f>G41-G40</f>
        <v>6</v>
      </c>
      <c r="H42" s="15">
        <f t="shared" ref="H42:Q42" si="4">H41-H40</f>
        <v>4.8999999999999986</v>
      </c>
      <c r="I42" s="15">
        <f t="shared" si="4"/>
        <v>5.5</v>
      </c>
      <c r="J42" s="15">
        <f t="shared" si="4"/>
        <v>0</v>
      </c>
      <c r="K42" s="15">
        <f t="shared" si="4"/>
        <v>5.6999999999999957</v>
      </c>
      <c r="L42" s="15">
        <f>L41-L40</f>
        <v>5.1000000000000014</v>
      </c>
      <c r="M42" s="15">
        <f>M41-M40</f>
        <v>5.8000000000000043</v>
      </c>
      <c r="N42" s="15">
        <f>N41-N40</f>
        <v>0</v>
      </c>
      <c r="O42" s="15">
        <f>O41-O40</f>
        <v>5.9000000000000021</v>
      </c>
      <c r="P42" s="15">
        <f t="shared" si="4"/>
        <v>0</v>
      </c>
      <c r="Q42" s="15">
        <f t="shared" si="4"/>
        <v>5.7000000000000028</v>
      </c>
    </row>
    <row r="43" spans="2:17" ht="20.100000000000001" customHeight="1">
      <c r="B43" s="103"/>
      <c r="C43" s="10" t="s">
        <v>80</v>
      </c>
      <c r="D43" s="7" t="s">
        <v>61</v>
      </c>
      <c r="E43" s="7">
        <v>1273.0999999999999</v>
      </c>
      <c r="F43" s="8"/>
      <c r="G43" s="8">
        <v>1157.0999999999999</v>
      </c>
      <c r="H43" s="9">
        <v>1295.28</v>
      </c>
      <c r="I43" s="9">
        <v>1147.4000000000001</v>
      </c>
      <c r="J43" s="8"/>
      <c r="K43" s="8">
        <v>1166.0999999999999</v>
      </c>
      <c r="L43" s="9">
        <v>1292.9000000000001</v>
      </c>
      <c r="M43" s="8">
        <v>1151.3</v>
      </c>
      <c r="N43" s="8"/>
      <c r="O43" s="8">
        <v>1138.0999999999999</v>
      </c>
      <c r="P43" s="9"/>
      <c r="Q43" s="9">
        <v>1158.0999999999999</v>
      </c>
    </row>
    <row r="44" spans="2:17" ht="20.100000000000001" customHeight="1">
      <c r="B44" s="103"/>
      <c r="C44" s="10" t="s">
        <v>81</v>
      </c>
      <c r="D44" s="7" t="s">
        <v>67</v>
      </c>
      <c r="E44" s="7">
        <v>8226.9</v>
      </c>
      <c r="F44" s="16">
        <f>F42*F43/0.866</f>
        <v>0</v>
      </c>
      <c r="G44" s="16">
        <f>G42*G43/0.866</f>
        <v>8016.8591224018473</v>
      </c>
      <c r="H44" s="16">
        <f t="shared" ref="H44:Q44" si="5">H42*H43/0.866</f>
        <v>7328.9515011547328</v>
      </c>
      <c r="I44" s="16">
        <f t="shared" si="5"/>
        <v>7287.1824480369523</v>
      </c>
      <c r="J44" s="16">
        <f t="shared" si="5"/>
        <v>0</v>
      </c>
      <c r="K44" s="16">
        <f t="shared" si="5"/>
        <v>7675.2540415704316</v>
      </c>
      <c r="L44" s="16">
        <f>L42*L43/0.866</f>
        <v>7614.0762124711346</v>
      </c>
      <c r="M44" s="16">
        <f>M42*M43/0.866</f>
        <v>7710.7852193995432</v>
      </c>
      <c r="N44" s="16">
        <f>N42*N43/0.866</f>
        <v>0</v>
      </c>
      <c r="O44" s="16">
        <f>O42*O43/0.866</f>
        <v>7753.7990762124737</v>
      </c>
      <c r="P44" s="16">
        <f t="shared" si="5"/>
        <v>0</v>
      </c>
      <c r="Q44" s="16">
        <f t="shared" si="5"/>
        <v>7622.5981524249455</v>
      </c>
    </row>
    <row r="45" spans="2:17" ht="20.100000000000001" customHeight="1">
      <c r="B45" s="103" t="s">
        <v>82</v>
      </c>
      <c r="C45" s="10" t="s">
        <v>83</v>
      </c>
      <c r="D45" s="7" t="s">
        <v>49</v>
      </c>
      <c r="E45" s="7" t="s">
        <v>84</v>
      </c>
      <c r="F45" s="8"/>
      <c r="G45" s="8">
        <v>0.46</v>
      </c>
      <c r="H45" s="9">
        <v>0.45</v>
      </c>
      <c r="I45" s="9">
        <v>0.44</v>
      </c>
      <c r="J45" s="8"/>
      <c r="K45" s="8">
        <v>0.46</v>
      </c>
      <c r="L45" s="9">
        <v>0.45</v>
      </c>
      <c r="M45" s="9">
        <v>0.46</v>
      </c>
      <c r="N45" s="8"/>
      <c r="O45" s="8">
        <v>0.44</v>
      </c>
      <c r="P45" s="9"/>
      <c r="Q45" s="9">
        <v>0.46</v>
      </c>
    </row>
    <row r="46" spans="2:17" ht="20.100000000000001" customHeight="1">
      <c r="B46" s="103"/>
      <c r="C46" s="10" t="s">
        <v>85</v>
      </c>
      <c r="D46" s="7" t="s">
        <v>42</v>
      </c>
      <c r="E46" s="7" t="s">
        <v>43</v>
      </c>
      <c r="F46" s="8"/>
      <c r="G46" s="8">
        <v>19.3</v>
      </c>
      <c r="H46" s="9">
        <v>19.3</v>
      </c>
      <c r="I46" s="9">
        <v>18.399999999999999</v>
      </c>
      <c r="J46" s="8"/>
      <c r="K46" s="8">
        <v>19.399999999999999</v>
      </c>
      <c r="L46" s="9">
        <v>19</v>
      </c>
      <c r="M46" s="9">
        <v>19.3</v>
      </c>
      <c r="N46" s="8"/>
      <c r="O46" s="8">
        <v>18.5</v>
      </c>
      <c r="P46" s="9"/>
      <c r="Q46" s="9">
        <v>19.3</v>
      </c>
    </row>
    <row r="47" spans="2:17" ht="20.100000000000001" customHeight="1">
      <c r="B47" s="103"/>
      <c r="C47" s="10" t="s">
        <v>86</v>
      </c>
      <c r="D47" s="7" t="s">
        <v>76</v>
      </c>
      <c r="E47" s="7" t="s">
        <v>76</v>
      </c>
      <c r="F47" s="8"/>
      <c r="G47" s="8">
        <v>203.4</v>
      </c>
      <c r="H47" s="9">
        <v>121.6</v>
      </c>
      <c r="I47" s="9">
        <v>128.6</v>
      </c>
      <c r="J47" s="8"/>
      <c r="K47" s="8">
        <v>205.5</v>
      </c>
      <c r="L47" s="9">
        <v>216.7</v>
      </c>
      <c r="M47" s="9">
        <v>209.6</v>
      </c>
      <c r="N47" s="8"/>
      <c r="O47" s="8">
        <v>158.19999999999999</v>
      </c>
      <c r="P47" s="9"/>
      <c r="Q47" s="9">
        <v>196.4</v>
      </c>
    </row>
    <row r="48" spans="2:17" ht="20.100000000000001" customHeight="1">
      <c r="B48" s="97" t="s">
        <v>87</v>
      </c>
      <c r="C48" s="97"/>
      <c r="D48" s="97"/>
      <c r="E48" s="17" t="s">
        <v>88</v>
      </c>
      <c r="F48" s="8"/>
      <c r="G48" s="8"/>
      <c r="H48" s="9"/>
      <c r="I48" s="9"/>
      <c r="J48" s="8"/>
      <c r="K48" s="8"/>
      <c r="L48" s="9"/>
      <c r="M48" s="9"/>
      <c r="N48" s="8"/>
      <c r="O48" s="8"/>
      <c r="P48" s="9"/>
      <c r="Q48" s="9"/>
    </row>
    <row r="49" spans="2:17" ht="20.100000000000001" customHeight="1">
      <c r="B49" s="97" t="s">
        <v>89</v>
      </c>
      <c r="C49" s="97"/>
      <c r="D49" s="97"/>
      <c r="E49" s="75">
        <v>5.89</v>
      </c>
      <c r="F49" s="8"/>
      <c r="G49" s="8">
        <v>5.6</v>
      </c>
      <c r="H49" s="9">
        <v>5.43</v>
      </c>
      <c r="I49" s="9">
        <v>5.41</v>
      </c>
      <c r="J49" s="8"/>
      <c r="K49" s="8">
        <v>5.76</v>
      </c>
      <c r="L49" s="9">
        <v>5.85</v>
      </c>
      <c r="M49" s="9">
        <v>5.69</v>
      </c>
      <c r="N49" s="8"/>
      <c r="O49" s="8">
        <v>5.72</v>
      </c>
      <c r="P49" s="9"/>
      <c r="Q49" s="9">
        <v>5.36</v>
      </c>
    </row>
    <row r="50" spans="2:17" ht="20.100000000000001" customHeight="1">
      <c r="B50" s="97" t="s">
        <v>90</v>
      </c>
      <c r="C50" s="97"/>
      <c r="D50" s="97"/>
      <c r="E50" s="75"/>
      <c r="F50" s="8"/>
      <c r="G50" s="8"/>
      <c r="H50" s="9"/>
      <c r="I50" s="9"/>
      <c r="J50" s="8"/>
      <c r="K50" s="8"/>
      <c r="L50" s="9"/>
      <c r="M50" s="9"/>
      <c r="N50" s="8"/>
      <c r="O50" s="8"/>
      <c r="P50" s="9"/>
      <c r="Q50" s="9"/>
    </row>
    <row r="51" spans="2:17" ht="20.100000000000001" customHeight="1" thickBot="1">
      <c r="B51" s="97" t="s">
        <v>91</v>
      </c>
      <c r="C51" s="97"/>
      <c r="D51" s="97"/>
      <c r="E51" s="74"/>
      <c r="F51" s="8"/>
      <c r="G51" s="8"/>
      <c r="H51" s="9"/>
      <c r="I51" s="9"/>
      <c r="J51" s="8"/>
      <c r="K51" s="8"/>
      <c r="L51" s="9"/>
      <c r="M51" s="9"/>
      <c r="N51" s="8"/>
      <c r="O51" s="8"/>
      <c r="P51" s="9"/>
      <c r="Q51" s="9"/>
    </row>
    <row r="52" spans="2:17">
      <c r="B52" t="s">
        <v>92</v>
      </c>
      <c r="C52" s="18" t="s">
        <v>93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28"/>
    </row>
    <row r="53" spans="2:17">
      <c r="C53" s="20" t="s">
        <v>94</v>
      </c>
      <c r="Q53" s="31"/>
    </row>
    <row r="54" spans="2:17">
      <c r="C54" s="20" t="s">
        <v>95</v>
      </c>
      <c r="Q54" s="31"/>
    </row>
    <row r="55" spans="2:17">
      <c r="C55" s="20"/>
      <c r="Q55" s="31"/>
    </row>
    <row r="56" spans="2:17">
      <c r="C56" s="20"/>
      <c r="Q56" s="31"/>
    </row>
    <row r="57" spans="2:17">
      <c r="C57" s="20" t="s">
        <v>96</v>
      </c>
      <c r="F57" s="21" t="b">
        <v>0</v>
      </c>
      <c r="G57" s="22" t="s">
        <v>97</v>
      </c>
      <c r="Q57" s="31"/>
    </row>
    <row r="58" spans="2:17">
      <c r="C58" s="20" t="s">
        <v>96</v>
      </c>
      <c r="F58" s="8" t="s">
        <v>98</v>
      </c>
      <c r="G58" s="23" t="s">
        <v>99</v>
      </c>
      <c r="Q58" s="31"/>
    </row>
    <row r="59" spans="2:17" ht="15.75" thickBot="1"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30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890FC-A5DA-478B-A487-1AAB98CAD526}">
  <dimension ref="B1:Q59"/>
  <sheetViews>
    <sheetView view="pageBreakPreview" zoomScale="85" zoomScaleNormal="60" workbookViewId="0">
      <selection activeCell="K26" sqref="K26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107"/>
      <c r="C2" s="110" t="s">
        <v>0</v>
      </c>
      <c r="D2" s="111"/>
      <c r="E2" s="111"/>
      <c r="F2" s="111"/>
      <c r="G2" s="111"/>
      <c r="H2" s="111"/>
      <c r="I2" s="111"/>
      <c r="J2" s="111"/>
      <c r="K2" s="111"/>
      <c r="L2" s="111"/>
      <c r="M2" s="112"/>
      <c r="N2" s="18" t="s">
        <v>1</v>
      </c>
      <c r="O2" s="19"/>
      <c r="P2" s="19"/>
      <c r="Q2" s="28"/>
    </row>
    <row r="3" spans="2:17" ht="15.75" thickBot="1">
      <c r="B3" s="108"/>
      <c r="C3" s="113"/>
      <c r="D3" s="114"/>
      <c r="E3" s="114"/>
      <c r="F3" s="114"/>
      <c r="G3" s="114"/>
      <c r="H3" s="114"/>
      <c r="I3" s="114"/>
      <c r="J3" s="114"/>
      <c r="K3" s="114"/>
      <c r="L3" s="114"/>
      <c r="M3" s="115"/>
      <c r="N3" s="26" t="s">
        <v>2</v>
      </c>
      <c r="O3" s="27" t="s">
        <v>3</v>
      </c>
      <c r="P3" s="27"/>
      <c r="Q3" s="29"/>
    </row>
    <row r="4" spans="2:17" ht="15.75" thickBot="1">
      <c r="B4" s="108"/>
      <c r="C4" s="113"/>
      <c r="D4" s="114"/>
      <c r="E4" s="114"/>
      <c r="F4" s="114"/>
      <c r="G4" s="114"/>
      <c r="H4" s="114"/>
      <c r="I4" s="114"/>
      <c r="J4" s="114"/>
      <c r="K4" s="114"/>
      <c r="L4" s="114"/>
      <c r="M4" s="115"/>
      <c r="N4" s="26" t="s">
        <v>4</v>
      </c>
      <c r="O4" s="27"/>
      <c r="P4" s="27"/>
      <c r="Q4" s="29"/>
    </row>
    <row r="5" spans="2:17" ht="15.75" thickBot="1">
      <c r="B5" s="109"/>
      <c r="C5" s="116"/>
      <c r="D5" s="117"/>
      <c r="E5" s="117"/>
      <c r="F5" s="117"/>
      <c r="G5" s="117"/>
      <c r="H5" s="117"/>
      <c r="I5" s="117"/>
      <c r="J5" s="117"/>
      <c r="K5" s="117"/>
      <c r="L5" s="117"/>
      <c r="M5" s="118"/>
      <c r="N5" s="24" t="s">
        <v>5</v>
      </c>
      <c r="O5" s="25"/>
      <c r="P5" s="25"/>
      <c r="Q5" s="30"/>
    </row>
    <row r="7" spans="2:17">
      <c r="B7" s="98" t="s">
        <v>6</v>
      </c>
      <c r="C7" s="99"/>
      <c r="D7" s="100">
        <v>45738</v>
      </c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2"/>
    </row>
    <row r="8" spans="2:17">
      <c r="B8" s="97" t="s">
        <v>7</v>
      </c>
      <c r="C8" s="97"/>
      <c r="D8" s="97"/>
      <c r="E8" s="105" t="s">
        <v>8</v>
      </c>
      <c r="F8" s="103" t="s">
        <v>9</v>
      </c>
      <c r="G8" s="103"/>
      <c r="H8" s="104" t="s">
        <v>10</v>
      </c>
      <c r="I8" s="104"/>
      <c r="J8" s="103" t="s">
        <v>11</v>
      </c>
      <c r="K8" s="103"/>
      <c r="L8" s="104" t="s">
        <v>12</v>
      </c>
      <c r="M8" s="104"/>
      <c r="N8" s="103" t="s">
        <v>13</v>
      </c>
      <c r="O8" s="103"/>
      <c r="P8" s="104" t="s">
        <v>14</v>
      </c>
      <c r="Q8" s="104"/>
    </row>
    <row r="9" spans="2:17">
      <c r="B9" s="98" t="s">
        <v>15</v>
      </c>
      <c r="C9" s="119"/>
      <c r="D9" s="99"/>
      <c r="E9" s="106"/>
      <c r="F9" s="3">
        <v>0.375</v>
      </c>
      <c r="G9" s="32" t="s">
        <v>16</v>
      </c>
      <c r="H9" s="4">
        <v>0.375</v>
      </c>
      <c r="I9" s="33" t="s">
        <v>16</v>
      </c>
      <c r="J9" s="3">
        <v>0.375</v>
      </c>
      <c r="K9" s="32" t="s">
        <v>16</v>
      </c>
      <c r="L9" s="4">
        <v>0.375</v>
      </c>
      <c r="M9" s="33" t="s">
        <v>16</v>
      </c>
      <c r="N9" s="3">
        <v>0.375</v>
      </c>
      <c r="O9" s="32" t="s">
        <v>16</v>
      </c>
      <c r="P9" s="4">
        <v>0.375</v>
      </c>
      <c r="Q9" s="33" t="s">
        <v>16</v>
      </c>
    </row>
    <row r="10" spans="2:17" ht="26.25" customHeight="1">
      <c r="B10" s="120" t="s">
        <v>17</v>
      </c>
      <c r="C10" s="121"/>
      <c r="D10" s="77" t="s">
        <v>18</v>
      </c>
      <c r="E10" s="5"/>
      <c r="F10" s="6" t="s">
        <v>19</v>
      </c>
      <c r="G10" s="34" t="s">
        <v>19</v>
      </c>
      <c r="H10" s="35" t="s">
        <v>19</v>
      </c>
      <c r="I10" s="35" t="s">
        <v>19</v>
      </c>
      <c r="J10" s="34"/>
      <c r="K10" s="34" t="s">
        <v>19</v>
      </c>
      <c r="L10" s="35" t="s">
        <v>19</v>
      </c>
      <c r="M10" s="35" t="s">
        <v>19</v>
      </c>
      <c r="N10" s="6" t="s">
        <v>19</v>
      </c>
      <c r="O10" s="34" t="s">
        <v>19</v>
      </c>
      <c r="P10" s="35"/>
      <c r="Q10" s="35" t="s">
        <v>19</v>
      </c>
    </row>
    <row r="11" spans="2:17" ht="20.100000000000001" customHeight="1">
      <c r="B11" s="97" t="s">
        <v>20</v>
      </c>
      <c r="C11" s="97"/>
      <c r="D11" s="7" t="s">
        <v>21</v>
      </c>
      <c r="E11" s="7" t="s">
        <v>22</v>
      </c>
      <c r="F11" s="8"/>
      <c r="G11" s="8">
        <v>67.599999999999994</v>
      </c>
      <c r="H11" s="9">
        <v>81.900000000000006</v>
      </c>
      <c r="I11" s="9">
        <v>74.2</v>
      </c>
      <c r="J11" s="8"/>
      <c r="K11" s="8">
        <v>72.900000000000006</v>
      </c>
      <c r="L11" s="9"/>
      <c r="M11" s="9">
        <v>73.400000000000006</v>
      </c>
      <c r="N11" s="8">
        <v>77.900000000000006</v>
      </c>
      <c r="O11" s="8">
        <v>74.3</v>
      </c>
      <c r="P11" s="9"/>
      <c r="Q11" s="9">
        <v>72.900000000000006</v>
      </c>
    </row>
    <row r="12" spans="2:17" ht="20.100000000000001" customHeight="1">
      <c r="B12" s="97" t="s">
        <v>23</v>
      </c>
      <c r="C12" s="97"/>
      <c r="D12" s="7" t="s">
        <v>21</v>
      </c>
      <c r="E12" s="7" t="s">
        <v>22</v>
      </c>
      <c r="F12" s="8"/>
      <c r="G12" s="8">
        <v>0.1</v>
      </c>
      <c r="H12" s="9">
        <v>0</v>
      </c>
      <c r="I12" s="9">
        <v>0</v>
      </c>
      <c r="J12" s="8"/>
      <c r="K12" s="8">
        <v>0</v>
      </c>
      <c r="L12" s="9"/>
      <c r="M12" s="9">
        <v>0.1</v>
      </c>
      <c r="N12" s="8">
        <v>0</v>
      </c>
      <c r="O12" s="8">
        <v>0</v>
      </c>
      <c r="P12" s="9"/>
      <c r="Q12" s="9">
        <v>0</v>
      </c>
    </row>
    <row r="13" spans="2:17" ht="20.100000000000001" customHeight="1">
      <c r="B13" s="97" t="s">
        <v>24</v>
      </c>
      <c r="C13" s="97"/>
      <c r="D13" s="7" t="s">
        <v>21</v>
      </c>
      <c r="E13" s="7" t="s">
        <v>22</v>
      </c>
      <c r="F13" s="8"/>
      <c r="G13" s="8">
        <v>61.2</v>
      </c>
      <c r="H13" s="9">
        <v>77.5</v>
      </c>
      <c r="I13" s="9">
        <v>68.400000000000006</v>
      </c>
      <c r="J13" s="8"/>
      <c r="K13" s="8">
        <v>66.8</v>
      </c>
      <c r="L13" s="9"/>
      <c r="M13" s="9">
        <v>71.2</v>
      </c>
      <c r="N13" s="8">
        <v>72.7</v>
      </c>
      <c r="O13" s="8">
        <v>73.5</v>
      </c>
      <c r="P13" s="9"/>
      <c r="Q13" s="9">
        <v>66.599999999999994</v>
      </c>
    </row>
    <row r="14" spans="2:17" ht="20.100000000000001" customHeight="1">
      <c r="B14" s="97" t="s">
        <v>25</v>
      </c>
      <c r="C14" s="97"/>
      <c r="D14" s="7" t="s">
        <v>21</v>
      </c>
      <c r="E14" s="7" t="s">
        <v>22</v>
      </c>
      <c r="F14" s="8"/>
      <c r="G14" s="8">
        <v>69</v>
      </c>
      <c r="H14" s="9">
        <v>70.599999999999994</v>
      </c>
      <c r="I14" s="9">
        <v>70.8</v>
      </c>
      <c r="J14" s="8"/>
      <c r="K14" s="8">
        <v>63.7</v>
      </c>
      <c r="L14" s="9"/>
      <c r="M14" s="9">
        <v>65.2</v>
      </c>
      <c r="N14" s="8">
        <v>74.5</v>
      </c>
      <c r="O14" s="8">
        <v>68.7</v>
      </c>
      <c r="P14" s="9"/>
      <c r="Q14" s="9">
        <v>73.900000000000006</v>
      </c>
    </row>
    <row r="15" spans="2:17" ht="20.100000000000001" customHeight="1">
      <c r="B15" s="97" t="s">
        <v>26</v>
      </c>
      <c r="C15" s="97"/>
      <c r="D15" s="7" t="s">
        <v>21</v>
      </c>
      <c r="E15" s="7" t="s">
        <v>22</v>
      </c>
      <c r="F15" s="8"/>
      <c r="G15" s="8">
        <v>34.6</v>
      </c>
      <c r="H15" s="9">
        <v>56.7</v>
      </c>
      <c r="I15" s="9">
        <v>51.3</v>
      </c>
      <c r="J15" s="8"/>
      <c r="K15" s="8">
        <v>38.5</v>
      </c>
      <c r="L15" s="9"/>
      <c r="M15" s="9">
        <v>32.5</v>
      </c>
      <c r="N15" s="8">
        <v>58.8</v>
      </c>
      <c r="O15" s="8">
        <v>52.1</v>
      </c>
      <c r="P15" s="9"/>
      <c r="Q15" s="9">
        <v>42</v>
      </c>
    </row>
    <row r="16" spans="2:17" ht="20.100000000000001" customHeight="1">
      <c r="B16" s="103" t="s">
        <v>27</v>
      </c>
      <c r="C16" s="10" t="s">
        <v>28</v>
      </c>
      <c r="D16" s="7" t="s">
        <v>29</v>
      </c>
      <c r="E16" s="7" t="s">
        <v>30</v>
      </c>
      <c r="F16" s="8"/>
      <c r="G16" s="8">
        <v>6.6</v>
      </c>
      <c r="H16" s="8">
        <v>6.6</v>
      </c>
      <c r="I16" s="8">
        <v>6.6</v>
      </c>
      <c r="J16" s="8"/>
      <c r="K16" s="8">
        <v>6.6</v>
      </c>
      <c r="L16" s="8"/>
      <c r="M16" s="8">
        <v>6.6</v>
      </c>
      <c r="N16" s="8">
        <v>6.6</v>
      </c>
      <c r="O16" s="8">
        <v>6.6</v>
      </c>
      <c r="P16" s="8"/>
      <c r="Q16" s="8">
        <v>6.6</v>
      </c>
    </row>
    <row r="17" spans="2:17" ht="20.100000000000001" customHeight="1">
      <c r="B17" s="103"/>
      <c r="C17" s="10" t="s">
        <v>31</v>
      </c>
      <c r="D17" s="7" t="s">
        <v>32</v>
      </c>
      <c r="E17" s="7" t="s">
        <v>33</v>
      </c>
      <c r="F17" s="8"/>
      <c r="G17" s="8">
        <v>115.1</v>
      </c>
      <c r="H17" s="9">
        <v>116.5</v>
      </c>
      <c r="I17" s="9">
        <v>115.5</v>
      </c>
      <c r="J17" s="8"/>
      <c r="K17" s="8">
        <v>115.6</v>
      </c>
      <c r="L17" s="9"/>
      <c r="M17" s="9">
        <v>116.3</v>
      </c>
      <c r="N17" s="8">
        <v>117.3</v>
      </c>
      <c r="O17" s="8">
        <v>117.2</v>
      </c>
      <c r="P17" s="9"/>
      <c r="Q17" s="9">
        <v>118</v>
      </c>
    </row>
    <row r="18" spans="2:17" ht="20.100000000000001" customHeight="1">
      <c r="B18" s="103"/>
      <c r="C18" s="10" t="s">
        <v>34</v>
      </c>
      <c r="D18" s="7" t="s">
        <v>35</v>
      </c>
      <c r="E18" s="7" t="s">
        <v>36</v>
      </c>
      <c r="F18" s="8"/>
      <c r="G18" s="8">
        <v>1137</v>
      </c>
      <c r="H18" s="9">
        <v>1183</v>
      </c>
      <c r="I18" s="9">
        <v>1167</v>
      </c>
      <c r="J18" s="8"/>
      <c r="K18" s="8">
        <v>1176</v>
      </c>
      <c r="L18" s="9"/>
      <c r="M18" s="9">
        <v>1185</v>
      </c>
      <c r="N18" s="8">
        <v>1191</v>
      </c>
      <c r="O18" s="8">
        <v>1192</v>
      </c>
      <c r="P18" s="9"/>
      <c r="Q18" s="9">
        <v>1199</v>
      </c>
    </row>
    <row r="19" spans="2:17" ht="20.100000000000001" customHeight="1">
      <c r="B19" s="103" t="s">
        <v>37</v>
      </c>
      <c r="C19" s="10" t="s">
        <v>38</v>
      </c>
      <c r="D19" s="7" t="s">
        <v>39</v>
      </c>
      <c r="E19" s="11" t="s">
        <v>40</v>
      </c>
      <c r="F19" s="8"/>
      <c r="G19" s="8">
        <v>49068.1</v>
      </c>
      <c r="H19" s="9">
        <v>50880.1</v>
      </c>
      <c r="I19" s="9">
        <v>50871.7</v>
      </c>
      <c r="J19" s="8"/>
      <c r="K19" s="8">
        <v>48509.2</v>
      </c>
      <c r="L19" s="9"/>
      <c r="M19" s="9">
        <v>50893.599999999999</v>
      </c>
      <c r="N19" s="8">
        <v>50081.1</v>
      </c>
      <c r="O19" s="8">
        <v>50072.7</v>
      </c>
      <c r="P19" s="9"/>
      <c r="Q19" s="9">
        <v>50224.7</v>
      </c>
    </row>
    <row r="20" spans="2:17" ht="20.100000000000001" customHeight="1">
      <c r="B20" s="103"/>
      <c r="C20" s="10" t="s">
        <v>41</v>
      </c>
      <c r="D20" s="7" t="s">
        <v>42</v>
      </c>
      <c r="E20" s="7" t="s">
        <v>43</v>
      </c>
      <c r="F20" s="8"/>
      <c r="G20" s="8"/>
      <c r="H20" s="9"/>
      <c r="I20" s="9"/>
      <c r="J20" s="8"/>
      <c r="K20" s="8"/>
      <c r="L20" s="9"/>
      <c r="M20" s="9"/>
      <c r="N20" s="8"/>
      <c r="O20" s="8"/>
      <c r="P20" s="9"/>
      <c r="Q20" s="9"/>
    </row>
    <row r="21" spans="2:17" ht="20.100000000000001" customHeight="1">
      <c r="B21" s="103"/>
      <c r="C21" s="10" t="s">
        <v>44</v>
      </c>
      <c r="D21" s="7" t="s">
        <v>42</v>
      </c>
      <c r="E21" s="7" t="s">
        <v>45</v>
      </c>
      <c r="F21" s="8"/>
      <c r="G21" s="8"/>
      <c r="H21" s="9"/>
      <c r="I21" s="9"/>
      <c r="J21" s="8"/>
      <c r="K21" s="8"/>
      <c r="L21" s="9"/>
      <c r="M21" s="9"/>
      <c r="N21" s="8"/>
      <c r="O21" s="8"/>
      <c r="P21" s="9"/>
      <c r="Q21" s="9"/>
    </row>
    <row r="22" spans="2:17" ht="20.100000000000001" customHeight="1">
      <c r="B22" s="103"/>
      <c r="C22" s="10" t="s">
        <v>46</v>
      </c>
      <c r="D22" s="7" t="s">
        <v>42</v>
      </c>
      <c r="E22" s="7" t="s">
        <v>47</v>
      </c>
      <c r="F22" s="8"/>
      <c r="G22" s="8">
        <v>58</v>
      </c>
      <c r="H22" s="9">
        <v>58.9</v>
      </c>
      <c r="I22" s="9">
        <v>59.1</v>
      </c>
      <c r="J22" s="8"/>
      <c r="K22" s="8">
        <v>57.8</v>
      </c>
      <c r="L22" s="9"/>
      <c r="M22" s="9">
        <v>57.3</v>
      </c>
      <c r="N22" s="8">
        <v>58.3</v>
      </c>
      <c r="O22" s="8">
        <v>58.7</v>
      </c>
      <c r="P22" s="9"/>
      <c r="Q22" s="9">
        <v>59.3</v>
      </c>
    </row>
    <row r="23" spans="2:17" ht="60">
      <c r="B23" s="103"/>
      <c r="C23" s="12" t="s">
        <v>48</v>
      </c>
      <c r="D23" s="8" t="s">
        <v>49</v>
      </c>
      <c r="E23" s="13" t="s">
        <v>50</v>
      </c>
      <c r="F23" s="8"/>
      <c r="G23" s="8">
        <v>0.53</v>
      </c>
      <c r="H23" s="9">
        <v>0.49</v>
      </c>
      <c r="I23" s="9">
        <v>0.5</v>
      </c>
      <c r="J23" s="8"/>
      <c r="K23" s="8">
        <v>0.59</v>
      </c>
      <c r="L23" s="9"/>
      <c r="M23" s="9">
        <v>0.52</v>
      </c>
      <c r="N23" s="8">
        <v>0.47</v>
      </c>
      <c r="O23" s="8">
        <v>0.48</v>
      </c>
      <c r="P23" s="9"/>
      <c r="Q23" s="9">
        <v>0.5</v>
      </c>
    </row>
    <row r="24" spans="2:17" ht="39.75" customHeight="1">
      <c r="B24" s="103"/>
      <c r="C24" s="12" t="s">
        <v>51</v>
      </c>
      <c r="D24" s="7"/>
      <c r="E24" s="7"/>
      <c r="F24" s="8"/>
      <c r="G24" s="8"/>
      <c r="H24" s="9"/>
      <c r="I24" s="9"/>
      <c r="J24" s="8"/>
      <c r="K24" s="8"/>
      <c r="L24" s="8"/>
      <c r="M24" s="9"/>
      <c r="N24" s="8"/>
      <c r="O24" s="8"/>
      <c r="P24" s="9"/>
      <c r="Q24" s="9"/>
    </row>
    <row r="25" spans="2:17" ht="20.100000000000001" customHeight="1">
      <c r="B25" s="103"/>
      <c r="C25" s="10" t="s">
        <v>52</v>
      </c>
      <c r="D25" s="7" t="s">
        <v>42</v>
      </c>
      <c r="E25" s="7" t="s">
        <v>53</v>
      </c>
      <c r="F25" s="8"/>
      <c r="G25" s="8">
        <v>44.9</v>
      </c>
      <c r="H25" s="9">
        <v>44.8</v>
      </c>
      <c r="I25" s="9">
        <v>45</v>
      </c>
      <c r="J25" s="8"/>
      <c r="K25" s="8">
        <v>44.9</v>
      </c>
      <c r="L25" s="9"/>
      <c r="M25" s="9">
        <v>45</v>
      </c>
      <c r="N25" s="8">
        <v>45.1</v>
      </c>
      <c r="O25" s="8">
        <v>45.1</v>
      </c>
      <c r="P25" s="9"/>
      <c r="Q25" s="9">
        <v>44.7</v>
      </c>
    </row>
    <row r="26" spans="2:17" ht="20.100000000000001" customHeight="1">
      <c r="B26" s="103" t="s">
        <v>54</v>
      </c>
      <c r="C26" s="10" t="s">
        <v>55</v>
      </c>
      <c r="D26" s="7" t="s">
        <v>49</v>
      </c>
      <c r="E26" s="14" t="s">
        <v>56</v>
      </c>
      <c r="F26" s="8"/>
      <c r="G26" s="8">
        <v>0.23</v>
      </c>
      <c r="H26" s="9">
        <v>0.21</v>
      </c>
      <c r="I26" s="9">
        <v>0.22</v>
      </c>
      <c r="J26" s="8"/>
      <c r="K26" s="8">
        <v>0.23</v>
      </c>
      <c r="L26" s="9"/>
      <c r="M26" s="9">
        <v>0.22</v>
      </c>
      <c r="N26" s="8">
        <v>0.22</v>
      </c>
      <c r="O26" s="8">
        <v>0.22</v>
      </c>
      <c r="P26" s="9"/>
      <c r="Q26" s="9">
        <v>0.23</v>
      </c>
    </row>
    <row r="27" spans="2:17" ht="20.100000000000001" customHeight="1">
      <c r="B27" s="103"/>
      <c r="C27" s="10" t="s">
        <v>57</v>
      </c>
      <c r="D27" s="7" t="s">
        <v>42</v>
      </c>
      <c r="E27" s="7" t="s">
        <v>43</v>
      </c>
      <c r="F27" s="8"/>
      <c r="G27" s="8">
        <v>4.5999999999999996</v>
      </c>
      <c r="H27" s="9">
        <v>3</v>
      </c>
      <c r="I27" s="9">
        <v>3.9</v>
      </c>
      <c r="J27" s="8"/>
      <c r="K27" s="8">
        <v>4.4000000000000004</v>
      </c>
      <c r="L27" s="9"/>
      <c r="M27" s="9">
        <v>3.8</v>
      </c>
      <c r="N27" s="8">
        <v>4.2</v>
      </c>
      <c r="O27" s="8">
        <v>4.4000000000000004</v>
      </c>
      <c r="P27" s="9"/>
      <c r="Q27" s="9">
        <v>5</v>
      </c>
    </row>
    <row r="28" spans="2:17" ht="20.100000000000001" customHeight="1">
      <c r="B28" s="103"/>
      <c r="C28" s="10" t="s">
        <v>58</v>
      </c>
      <c r="D28" s="7" t="s">
        <v>42</v>
      </c>
      <c r="E28" s="7" t="s">
        <v>43</v>
      </c>
      <c r="F28" s="8"/>
      <c r="G28" s="8">
        <v>4</v>
      </c>
      <c r="H28" s="9">
        <v>2.1</v>
      </c>
      <c r="I28" s="9">
        <v>3.1</v>
      </c>
      <c r="J28" s="8"/>
      <c r="K28" s="8">
        <v>3.5</v>
      </c>
      <c r="L28" s="9"/>
      <c r="M28" s="9">
        <v>2.7</v>
      </c>
      <c r="N28" s="8">
        <v>3.5</v>
      </c>
      <c r="O28" s="8">
        <v>3.2</v>
      </c>
      <c r="P28" s="9"/>
      <c r="Q28" s="9">
        <v>3.8</v>
      </c>
    </row>
    <row r="29" spans="2:17" ht="20.100000000000001" customHeight="1">
      <c r="B29" s="103"/>
      <c r="C29" s="10" t="s">
        <v>59</v>
      </c>
      <c r="D29" s="7" t="s">
        <v>42</v>
      </c>
      <c r="E29" s="7" t="s">
        <v>43</v>
      </c>
      <c r="F29" s="15">
        <f>F32-F28</f>
        <v>0</v>
      </c>
      <c r="G29" s="15">
        <f>G32-G28</f>
        <v>0.90000000000000036</v>
      </c>
      <c r="H29" s="15">
        <f t="shared" ref="H29:Q29" si="0">H32-H28</f>
        <v>2.6999999999999997</v>
      </c>
      <c r="I29" s="15">
        <f t="shared" si="0"/>
        <v>2.1999999999999997</v>
      </c>
      <c r="J29" s="15">
        <f t="shared" si="0"/>
        <v>0</v>
      </c>
      <c r="K29" s="15">
        <f t="shared" si="0"/>
        <v>0.79999999999999982</v>
      </c>
      <c r="L29" s="15">
        <f>L32-L28</f>
        <v>0</v>
      </c>
      <c r="M29" s="15">
        <f>M32-M28</f>
        <v>1.2999999999999998</v>
      </c>
      <c r="N29" s="15">
        <f>N32-N28</f>
        <v>1.0999999999999996</v>
      </c>
      <c r="O29" s="15">
        <f>O32-O28</f>
        <v>1.2000000000000002</v>
      </c>
      <c r="P29" s="15">
        <f t="shared" si="0"/>
        <v>0</v>
      </c>
      <c r="Q29" s="15">
        <f t="shared" si="0"/>
        <v>1.2999999999999998</v>
      </c>
    </row>
    <row r="30" spans="2:17" ht="20.100000000000001" customHeight="1">
      <c r="B30" s="103"/>
      <c r="C30" s="10" t="s">
        <v>60</v>
      </c>
      <c r="D30" s="7" t="s">
        <v>61</v>
      </c>
      <c r="E30" s="7" t="s">
        <v>62</v>
      </c>
      <c r="F30" s="8"/>
      <c r="G30" s="8">
        <v>642.9</v>
      </c>
      <c r="H30" s="9">
        <v>674.8</v>
      </c>
      <c r="I30" s="9">
        <v>644.6</v>
      </c>
      <c r="J30" s="8"/>
      <c r="K30" s="8">
        <v>637.9</v>
      </c>
      <c r="L30" s="9"/>
      <c r="M30" s="9">
        <v>636.5</v>
      </c>
      <c r="N30" s="8">
        <v>688.8</v>
      </c>
      <c r="O30" s="8">
        <v>642.6</v>
      </c>
      <c r="P30" s="9"/>
      <c r="Q30" s="9">
        <v>631.4</v>
      </c>
    </row>
    <row r="31" spans="2:17" ht="20.100000000000001" customHeight="1">
      <c r="B31" s="103"/>
      <c r="C31" s="10" t="s">
        <v>63</v>
      </c>
      <c r="D31" s="7" t="s">
        <v>42</v>
      </c>
      <c r="E31" s="7">
        <v>13.5</v>
      </c>
      <c r="F31" s="8"/>
      <c r="G31" s="8">
        <v>13.9</v>
      </c>
      <c r="H31" s="9">
        <v>13.2</v>
      </c>
      <c r="I31" s="9">
        <v>13.9</v>
      </c>
      <c r="J31" s="8"/>
      <c r="K31" s="8">
        <v>13.2</v>
      </c>
      <c r="L31" s="9"/>
      <c r="M31" s="9">
        <v>13</v>
      </c>
      <c r="N31" s="8">
        <v>13.2</v>
      </c>
      <c r="O31" s="8">
        <v>13.4</v>
      </c>
      <c r="P31" s="9"/>
      <c r="Q31" s="9">
        <v>13.5</v>
      </c>
    </row>
    <row r="32" spans="2:17" ht="20.100000000000001" customHeight="1">
      <c r="B32" s="103"/>
      <c r="C32" s="10" t="s">
        <v>64</v>
      </c>
      <c r="D32" s="7" t="s">
        <v>42</v>
      </c>
      <c r="E32" s="7">
        <v>4</v>
      </c>
      <c r="F32" s="8"/>
      <c r="G32" s="8">
        <v>4.9000000000000004</v>
      </c>
      <c r="H32" s="9">
        <v>4.8</v>
      </c>
      <c r="I32" s="9">
        <v>5.3</v>
      </c>
      <c r="J32" s="8"/>
      <c r="K32" s="8">
        <v>4.3</v>
      </c>
      <c r="L32" s="9"/>
      <c r="M32" s="9">
        <v>4</v>
      </c>
      <c r="N32" s="8">
        <v>4.5999999999999996</v>
      </c>
      <c r="O32" s="8">
        <v>4.4000000000000004</v>
      </c>
      <c r="P32" s="9"/>
      <c r="Q32" s="9">
        <v>5.0999999999999996</v>
      </c>
    </row>
    <row r="33" spans="2:17" ht="20.100000000000001" customHeight="1">
      <c r="B33" s="103"/>
      <c r="C33" s="10" t="s">
        <v>65</v>
      </c>
      <c r="D33" s="7" t="s">
        <v>42</v>
      </c>
      <c r="E33" s="7">
        <v>9.5</v>
      </c>
      <c r="F33" s="15">
        <f>F31-F32</f>
        <v>0</v>
      </c>
      <c r="G33" s="15">
        <f>G31-G32</f>
        <v>9</v>
      </c>
      <c r="H33" s="15">
        <f t="shared" ref="H33:Q33" si="1">H31-H32</f>
        <v>8.3999999999999986</v>
      </c>
      <c r="I33" s="15">
        <f t="shared" si="1"/>
        <v>8.6000000000000014</v>
      </c>
      <c r="J33" s="15">
        <f t="shared" si="1"/>
        <v>0</v>
      </c>
      <c r="K33" s="15">
        <f t="shared" si="1"/>
        <v>8.8999999999999986</v>
      </c>
      <c r="L33" s="15">
        <f>L31-L32</f>
        <v>0</v>
      </c>
      <c r="M33" s="15">
        <f>M31-M32</f>
        <v>9</v>
      </c>
      <c r="N33" s="15">
        <f>N31-N32</f>
        <v>8.6</v>
      </c>
      <c r="O33" s="15">
        <f>O31-O32</f>
        <v>9</v>
      </c>
      <c r="P33" s="15">
        <f t="shared" si="1"/>
        <v>0</v>
      </c>
      <c r="Q33" s="15">
        <f t="shared" si="1"/>
        <v>8.4</v>
      </c>
    </row>
    <row r="34" spans="2:17" ht="20.100000000000001" customHeight="1">
      <c r="B34" s="103"/>
      <c r="C34" s="10" t="s">
        <v>66</v>
      </c>
      <c r="D34" s="7" t="s">
        <v>67</v>
      </c>
      <c r="E34" s="7" t="s">
        <v>68</v>
      </c>
      <c r="F34" s="16">
        <f>(F33*F30)/0.866</f>
        <v>0</v>
      </c>
      <c r="G34" s="16">
        <f>(G33*G30)/0.866</f>
        <v>6681.4087759815238</v>
      </c>
      <c r="H34" s="16">
        <f t="shared" ref="H34:Q34" si="2">(H33*H30)/0.866</f>
        <v>6545.4041570438785</v>
      </c>
      <c r="I34" s="16">
        <f t="shared" si="2"/>
        <v>6401.3394919168604</v>
      </c>
      <c r="J34" s="16">
        <f t="shared" si="2"/>
        <v>0</v>
      </c>
      <c r="K34" s="16">
        <f t="shared" si="2"/>
        <v>6555.7852193995368</v>
      </c>
      <c r="L34" s="16">
        <f>(L33*L30)/0.866</f>
        <v>0</v>
      </c>
      <c r="M34" s="16">
        <f>(M33*M30)/0.866</f>
        <v>6614.8960739030026</v>
      </c>
      <c r="N34" s="16">
        <f>(N33*N30)/0.866</f>
        <v>6840.27713625866</v>
      </c>
      <c r="O34" s="16">
        <f>(O33*O30)/0.866</f>
        <v>6678.2909930715941</v>
      </c>
      <c r="P34" s="16">
        <f t="shared" si="2"/>
        <v>0</v>
      </c>
      <c r="Q34" s="16">
        <f t="shared" si="2"/>
        <v>6124.4341801385681</v>
      </c>
    </row>
    <row r="35" spans="2:17" ht="20.100000000000001" customHeight="1">
      <c r="B35" s="103" t="s">
        <v>69</v>
      </c>
      <c r="C35" s="10" t="s">
        <v>70</v>
      </c>
      <c r="D35" s="7" t="s">
        <v>49</v>
      </c>
      <c r="E35" s="7" t="s">
        <v>71</v>
      </c>
      <c r="F35" s="8"/>
      <c r="G35" s="8">
        <v>0.83</v>
      </c>
      <c r="H35" s="9">
        <v>0.82</v>
      </c>
      <c r="I35" s="9">
        <v>0.85</v>
      </c>
      <c r="J35" s="8"/>
      <c r="K35" s="8">
        <v>0.84</v>
      </c>
      <c r="L35" s="9"/>
      <c r="M35" s="9">
        <v>0.83</v>
      </c>
      <c r="N35" s="8">
        <v>0.7</v>
      </c>
      <c r="O35" s="8">
        <v>0.81</v>
      </c>
      <c r="P35" s="9"/>
      <c r="Q35" s="9">
        <v>0.85</v>
      </c>
    </row>
    <row r="36" spans="2:17" ht="20.100000000000001" customHeight="1">
      <c r="B36" s="103"/>
      <c r="C36" s="10" t="s">
        <v>72</v>
      </c>
      <c r="D36" s="7" t="s">
        <v>42</v>
      </c>
      <c r="E36" s="7" t="s">
        <v>43</v>
      </c>
      <c r="F36" s="8"/>
      <c r="G36" s="8">
        <v>36.4</v>
      </c>
      <c r="H36" s="9">
        <v>35.700000000000003</v>
      </c>
      <c r="I36" s="9">
        <v>36.9</v>
      </c>
      <c r="J36" s="8"/>
      <c r="K36" s="8">
        <v>36.700000000000003</v>
      </c>
      <c r="L36" s="9"/>
      <c r="M36" s="9">
        <v>36.700000000000003</v>
      </c>
      <c r="N36" s="8">
        <v>34.299999999999997</v>
      </c>
      <c r="O36" s="8">
        <v>36</v>
      </c>
      <c r="P36" s="9"/>
      <c r="Q36" s="9">
        <v>37</v>
      </c>
    </row>
    <row r="37" spans="2:17" ht="20.100000000000001" customHeight="1">
      <c r="B37" s="103"/>
      <c r="C37" s="10" t="s">
        <v>73</v>
      </c>
      <c r="D37" s="7" t="s">
        <v>42</v>
      </c>
      <c r="E37" s="7" t="s">
        <v>43</v>
      </c>
      <c r="F37" s="8"/>
      <c r="G37" s="8">
        <v>36.9</v>
      </c>
      <c r="H37" s="9">
        <v>36.6</v>
      </c>
      <c r="I37" s="9">
        <v>37.799999999999997</v>
      </c>
      <c r="J37" s="8"/>
      <c r="K37" s="8">
        <v>37.299999999999997</v>
      </c>
      <c r="L37" s="9"/>
      <c r="M37" s="9">
        <v>37.1</v>
      </c>
      <c r="N37" s="8">
        <v>34.799999999999997</v>
      </c>
      <c r="O37" s="8">
        <v>36.299999999999997</v>
      </c>
      <c r="P37" s="9"/>
      <c r="Q37" s="9">
        <v>37.6</v>
      </c>
    </row>
    <row r="38" spans="2:17" ht="20.100000000000001" customHeight="1">
      <c r="B38" s="103"/>
      <c r="C38" s="12" t="s">
        <v>74</v>
      </c>
      <c r="D38" s="7" t="s">
        <v>42</v>
      </c>
      <c r="E38" s="7" t="s">
        <v>101</v>
      </c>
      <c r="F38" s="15">
        <f>F37-F41</f>
        <v>0</v>
      </c>
      <c r="G38" s="15">
        <f>G37-G41</f>
        <v>2.1999999999999957</v>
      </c>
      <c r="H38" s="15">
        <f t="shared" ref="H38:Q38" si="3">H37-H41</f>
        <v>4</v>
      </c>
      <c r="I38" s="15">
        <f t="shared" si="3"/>
        <v>3.6999999999999957</v>
      </c>
      <c r="J38" s="15">
        <f t="shared" si="3"/>
        <v>0</v>
      </c>
      <c r="K38" s="15">
        <f t="shared" si="3"/>
        <v>2.3999999999999986</v>
      </c>
      <c r="L38" s="15">
        <f>L37-L41</f>
        <v>0</v>
      </c>
      <c r="M38" s="15">
        <f>M37-M41</f>
        <v>2.6000000000000014</v>
      </c>
      <c r="N38" s="15">
        <f>N37-N41</f>
        <v>1.8999999999999986</v>
      </c>
      <c r="O38" s="15">
        <f>O37-O41</f>
        <v>1.6999999999999957</v>
      </c>
      <c r="P38" s="15">
        <f t="shared" si="3"/>
        <v>0</v>
      </c>
      <c r="Q38" s="15">
        <f t="shared" si="3"/>
        <v>3</v>
      </c>
    </row>
    <row r="39" spans="2:17" ht="20.100000000000001" customHeight="1">
      <c r="B39" s="103"/>
      <c r="C39" s="10" t="s">
        <v>75</v>
      </c>
      <c r="D39" s="7" t="s">
        <v>76</v>
      </c>
      <c r="E39" s="7"/>
      <c r="F39" s="8"/>
      <c r="G39" s="8"/>
      <c r="H39" s="9"/>
      <c r="I39" s="9"/>
      <c r="J39" s="8"/>
      <c r="K39" s="8"/>
      <c r="L39" s="9"/>
      <c r="M39" s="9"/>
      <c r="N39" s="8"/>
      <c r="O39" s="8"/>
      <c r="P39" s="9"/>
      <c r="Q39" s="9"/>
    </row>
    <row r="40" spans="2:17" ht="20.100000000000001" customHeight="1">
      <c r="B40" s="103"/>
      <c r="C40" s="10" t="s">
        <v>77</v>
      </c>
      <c r="D40" s="7" t="s">
        <v>42</v>
      </c>
      <c r="E40" s="7">
        <v>30.8</v>
      </c>
      <c r="F40" s="8"/>
      <c r="G40" s="8">
        <v>28.8</v>
      </c>
      <c r="H40" s="9">
        <v>27.7</v>
      </c>
      <c r="I40" s="9">
        <v>28.8</v>
      </c>
      <c r="J40" s="8"/>
      <c r="K40" s="8">
        <v>28.9</v>
      </c>
      <c r="L40" s="9"/>
      <c r="M40" s="9">
        <v>28.8</v>
      </c>
      <c r="N40" s="8">
        <v>27.4</v>
      </c>
      <c r="O40" s="8">
        <v>28.5</v>
      </c>
      <c r="P40" s="9"/>
      <c r="Q40" s="9">
        <v>28.5</v>
      </c>
    </row>
    <row r="41" spans="2:17" ht="20.100000000000001" customHeight="1">
      <c r="B41" s="103"/>
      <c r="C41" s="10" t="s">
        <v>78</v>
      </c>
      <c r="D41" s="7" t="s">
        <v>42</v>
      </c>
      <c r="E41" s="7">
        <v>36.4</v>
      </c>
      <c r="F41" s="8"/>
      <c r="G41" s="8">
        <v>34.700000000000003</v>
      </c>
      <c r="H41" s="9">
        <v>32.6</v>
      </c>
      <c r="I41" s="9">
        <v>34.1</v>
      </c>
      <c r="J41" s="8"/>
      <c r="K41" s="8">
        <v>34.9</v>
      </c>
      <c r="L41" s="9"/>
      <c r="M41" s="9">
        <v>34.5</v>
      </c>
      <c r="N41" s="8">
        <v>32.9</v>
      </c>
      <c r="O41" s="8">
        <v>34.6</v>
      </c>
      <c r="P41" s="9"/>
      <c r="Q41" s="9">
        <v>34.6</v>
      </c>
    </row>
    <row r="42" spans="2:17" ht="20.100000000000001" customHeight="1">
      <c r="B42" s="103"/>
      <c r="C42" s="10" t="s">
        <v>79</v>
      </c>
      <c r="D42" s="7" t="s">
        <v>42</v>
      </c>
      <c r="E42" s="7">
        <v>5.6</v>
      </c>
      <c r="F42" s="15">
        <f>F41-F40</f>
        <v>0</v>
      </c>
      <c r="G42" s="15">
        <f>G41-G40</f>
        <v>5.9000000000000021</v>
      </c>
      <c r="H42" s="15">
        <f t="shared" ref="H42:Q42" si="4">H41-H40</f>
        <v>4.9000000000000021</v>
      </c>
      <c r="I42" s="15">
        <f t="shared" si="4"/>
        <v>5.3000000000000007</v>
      </c>
      <c r="J42" s="15">
        <f t="shared" si="4"/>
        <v>0</v>
      </c>
      <c r="K42" s="15">
        <f t="shared" si="4"/>
        <v>6</v>
      </c>
      <c r="L42" s="15">
        <f>L41-L40</f>
        <v>0</v>
      </c>
      <c r="M42" s="15">
        <f>M41-M40</f>
        <v>5.6999999999999993</v>
      </c>
      <c r="N42" s="15">
        <f>N41-N40</f>
        <v>5.5</v>
      </c>
      <c r="O42" s="15">
        <f>O41-O40</f>
        <v>6.1000000000000014</v>
      </c>
      <c r="P42" s="15">
        <f t="shared" si="4"/>
        <v>0</v>
      </c>
      <c r="Q42" s="15">
        <f t="shared" si="4"/>
        <v>6.1000000000000014</v>
      </c>
    </row>
    <row r="43" spans="2:17" ht="20.100000000000001" customHeight="1">
      <c r="B43" s="103"/>
      <c r="C43" s="10" t="s">
        <v>80</v>
      </c>
      <c r="D43" s="7" t="s">
        <v>61</v>
      </c>
      <c r="E43" s="7">
        <v>1273.0999999999999</v>
      </c>
      <c r="F43" s="8"/>
      <c r="G43" s="8">
        <v>1155.9000000000001</v>
      </c>
      <c r="H43" s="9">
        <v>1280</v>
      </c>
      <c r="I43" s="9">
        <v>1142.9000000000001</v>
      </c>
      <c r="J43" s="8"/>
      <c r="K43" s="8">
        <v>1173.5</v>
      </c>
      <c r="L43" s="9"/>
      <c r="M43" s="8">
        <v>1153.9000000000001</v>
      </c>
      <c r="N43" s="8">
        <v>1286.5999999999999</v>
      </c>
      <c r="O43" s="8">
        <v>1139.7</v>
      </c>
      <c r="P43" s="9"/>
      <c r="Q43" s="9">
        <v>1156.5999999999999</v>
      </c>
    </row>
    <row r="44" spans="2:17" ht="20.100000000000001" customHeight="1">
      <c r="B44" s="103"/>
      <c r="C44" s="10" t="s">
        <v>81</v>
      </c>
      <c r="D44" s="7" t="s">
        <v>67</v>
      </c>
      <c r="E44" s="7">
        <v>8226.9</v>
      </c>
      <c r="F44" s="16">
        <f>F42*F43/0.866</f>
        <v>0</v>
      </c>
      <c r="G44" s="16">
        <f>G42*G43/0.866</f>
        <v>7875.0692840646689</v>
      </c>
      <c r="H44" s="16">
        <f t="shared" ref="H44:Q44" si="5">H42*H43/0.866</f>
        <v>7242.4942263279481</v>
      </c>
      <c r="I44" s="16">
        <f t="shared" si="5"/>
        <v>6994.6535796766766</v>
      </c>
      <c r="J44" s="16">
        <f t="shared" si="5"/>
        <v>0</v>
      </c>
      <c r="K44" s="16">
        <f t="shared" si="5"/>
        <v>8130.4849884526557</v>
      </c>
      <c r="L44" s="16">
        <f>L42*L43/0.866</f>
        <v>0</v>
      </c>
      <c r="M44" s="16">
        <f>M42*M43/0.866</f>
        <v>7594.9538106235559</v>
      </c>
      <c r="N44" s="16">
        <f>N42*N43/0.866</f>
        <v>8171.2471131639713</v>
      </c>
      <c r="O44" s="16">
        <f>O42*O43/0.866</f>
        <v>8027.9099307159377</v>
      </c>
      <c r="P44" s="16">
        <f t="shared" si="5"/>
        <v>0</v>
      </c>
      <c r="Q44" s="16">
        <f t="shared" si="5"/>
        <v>8146.9515011547355</v>
      </c>
    </row>
    <row r="45" spans="2:17" ht="20.100000000000001" customHeight="1">
      <c r="B45" s="103" t="s">
        <v>82</v>
      </c>
      <c r="C45" s="10" t="s">
        <v>83</v>
      </c>
      <c r="D45" s="7" t="s">
        <v>49</v>
      </c>
      <c r="E45" s="7" t="s">
        <v>84</v>
      </c>
      <c r="F45" s="8"/>
      <c r="G45" s="8">
        <v>0.48</v>
      </c>
      <c r="H45" s="9">
        <v>0.44</v>
      </c>
      <c r="I45" s="9">
        <v>0.47</v>
      </c>
      <c r="J45" s="8"/>
      <c r="K45" s="8">
        <v>0.47</v>
      </c>
      <c r="L45" s="9"/>
      <c r="M45" s="9">
        <v>0.46</v>
      </c>
      <c r="N45" s="8">
        <v>0.44</v>
      </c>
      <c r="O45" s="8">
        <v>0.46</v>
      </c>
      <c r="P45" s="9"/>
      <c r="Q45" s="9">
        <v>0.48</v>
      </c>
    </row>
    <row r="46" spans="2:17" ht="20.100000000000001" customHeight="1">
      <c r="B46" s="103"/>
      <c r="C46" s="10" t="s">
        <v>85</v>
      </c>
      <c r="D46" s="7" t="s">
        <v>42</v>
      </c>
      <c r="E46" s="7" t="s">
        <v>43</v>
      </c>
      <c r="F46" s="8"/>
      <c r="G46" s="8">
        <v>20.5</v>
      </c>
      <c r="H46" s="9">
        <v>18.600000000000001</v>
      </c>
      <c r="I46" s="9">
        <v>20.2</v>
      </c>
      <c r="J46" s="8"/>
      <c r="K46" s="8">
        <v>20.2</v>
      </c>
      <c r="L46" s="9"/>
      <c r="M46" s="9">
        <v>19.7</v>
      </c>
      <c r="N46" s="8">
        <v>18.5</v>
      </c>
      <c r="O46" s="8">
        <v>19.5</v>
      </c>
      <c r="P46" s="9"/>
      <c r="Q46" s="9">
        <v>20.6</v>
      </c>
    </row>
    <row r="47" spans="2:17" ht="20.100000000000001" customHeight="1">
      <c r="B47" s="103"/>
      <c r="C47" s="10" t="s">
        <v>86</v>
      </c>
      <c r="D47" s="7" t="s">
        <v>76</v>
      </c>
      <c r="E47" s="7" t="s">
        <v>76</v>
      </c>
      <c r="F47" s="8"/>
      <c r="G47" s="8">
        <v>200.6</v>
      </c>
      <c r="H47" s="9">
        <v>124.5</v>
      </c>
      <c r="I47" s="9">
        <v>117.9</v>
      </c>
      <c r="J47" s="8"/>
      <c r="K47" s="8">
        <v>203.8</v>
      </c>
      <c r="L47" s="9"/>
      <c r="M47" s="9">
        <v>208.3</v>
      </c>
      <c r="N47" s="8">
        <v>163.9</v>
      </c>
      <c r="O47" s="8">
        <v>167</v>
      </c>
      <c r="P47" s="9"/>
      <c r="Q47" s="9">
        <v>203.2</v>
      </c>
    </row>
    <row r="48" spans="2:17" ht="20.100000000000001" customHeight="1">
      <c r="B48" s="97" t="s">
        <v>87</v>
      </c>
      <c r="C48" s="97"/>
      <c r="D48" s="97"/>
      <c r="E48" s="17" t="s">
        <v>88</v>
      </c>
      <c r="F48" s="8"/>
      <c r="G48" s="8"/>
      <c r="H48" s="9"/>
      <c r="I48" s="9"/>
      <c r="J48" s="8"/>
      <c r="K48" s="8"/>
      <c r="L48" s="9"/>
      <c r="M48" s="9"/>
      <c r="N48" s="8"/>
      <c r="O48" s="8"/>
      <c r="P48" s="9"/>
      <c r="Q48" s="9"/>
    </row>
    <row r="49" spans="2:17" ht="20.100000000000001" customHeight="1">
      <c r="B49" s="97" t="s">
        <v>89</v>
      </c>
      <c r="C49" s="97"/>
      <c r="D49" s="97"/>
      <c r="E49" s="77">
        <v>5.89</v>
      </c>
      <c r="F49" s="8"/>
      <c r="G49" s="8">
        <v>5.82</v>
      </c>
      <c r="H49" s="9">
        <v>5.63</v>
      </c>
      <c r="I49" s="9">
        <v>5.47</v>
      </c>
      <c r="J49" s="8"/>
      <c r="K49" s="8">
        <v>5.62</v>
      </c>
      <c r="L49" s="9"/>
      <c r="M49" s="9">
        <v>5.7</v>
      </c>
      <c r="N49" s="8">
        <v>5.88</v>
      </c>
      <c r="O49" s="8">
        <v>5.63</v>
      </c>
      <c r="P49" s="9"/>
      <c r="Q49" s="9">
        <v>5.17</v>
      </c>
    </row>
    <row r="50" spans="2:17" ht="20.100000000000001" customHeight="1">
      <c r="B50" s="97" t="s">
        <v>90</v>
      </c>
      <c r="C50" s="97"/>
      <c r="D50" s="97"/>
      <c r="E50" s="77"/>
      <c r="F50" s="8"/>
      <c r="G50" s="8"/>
      <c r="H50" s="9"/>
      <c r="I50" s="9"/>
      <c r="J50" s="8"/>
      <c r="K50" s="8"/>
      <c r="L50" s="9"/>
      <c r="M50" s="9"/>
      <c r="N50" s="8"/>
      <c r="O50" s="8"/>
      <c r="P50" s="9"/>
      <c r="Q50" s="9"/>
    </row>
    <row r="51" spans="2:17" ht="20.100000000000001" customHeight="1" thickBot="1">
      <c r="B51" s="97" t="s">
        <v>91</v>
      </c>
      <c r="C51" s="97"/>
      <c r="D51" s="97"/>
      <c r="E51" s="76"/>
      <c r="F51" s="8"/>
      <c r="G51" s="8"/>
      <c r="H51" s="9"/>
      <c r="I51" s="9"/>
      <c r="J51" s="8"/>
      <c r="K51" s="8"/>
      <c r="L51" s="9"/>
      <c r="M51" s="9"/>
      <c r="N51" s="8"/>
      <c r="O51" s="8"/>
      <c r="P51" s="9"/>
      <c r="Q51" s="9"/>
    </row>
    <row r="52" spans="2:17">
      <c r="B52" t="s">
        <v>92</v>
      </c>
      <c r="C52" s="18" t="s">
        <v>93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28"/>
    </row>
    <row r="53" spans="2:17">
      <c r="C53" s="20" t="s">
        <v>94</v>
      </c>
      <c r="Q53" s="31"/>
    </row>
    <row r="54" spans="2:17">
      <c r="C54" s="20" t="s">
        <v>95</v>
      </c>
      <c r="Q54" s="31"/>
    </row>
    <row r="55" spans="2:17">
      <c r="C55" s="20"/>
      <c r="Q55" s="31"/>
    </row>
    <row r="56" spans="2:17">
      <c r="C56" s="20"/>
      <c r="Q56" s="31"/>
    </row>
    <row r="57" spans="2:17">
      <c r="C57" s="20" t="s">
        <v>96</v>
      </c>
      <c r="F57" s="21" t="b">
        <v>0</v>
      </c>
      <c r="G57" s="22" t="s">
        <v>97</v>
      </c>
      <c r="Q57" s="31"/>
    </row>
    <row r="58" spans="2:17">
      <c r="C58" s="20" t="s">
        <v>96</v>
      </c>
      <c r="F58" s="8" t="s">
        <v>98</v>
      </c>
      <c r="G58" s="23" t="s">
        <v>99</v>
      </c>
      <c r="Q58" s="31"/>
    </row>
    <row r="59" spans="2:17" ht="15.75" thickBot="1"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30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4E0B5-DF6C-42A1-A485-2ED858C3F3A8}">
  <dimension ref="B1:Q59"/>
  <sheetViews>
    <sheetView view="pageBreakPreview" zoomScale="85" zoomScaleNormal="60" workbookViewId="0">
      <selection activeCell="I29" sqref="I29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107"/>
      <c r="C2" s="110" t="s">
        <v>0</v>
      </c>
      <c r="D2" s="111"/>
      <c r="E2" s="111"/>
      <c r="F2" s="111"/>
      <c r="G2" s="111"/>
      <c r="H2" s="111"/>
      <c r="I2" s="111"/>
      <c r="J2" s="111"/>
      <c r="K2" s="111"/>
      <c r="L2" s="111"/>
      <c r="M2" s="112"/>
      <c r="N2" s="18" t="s">
        <v>1</v>
      </c>
      <c r="O2" s="19"/>
      <c r="P2" s="19"/>
      <c r="Q2" s="28"/>
    </row>
    <row r="3" spans="2:17" ht="15.75" thickBot="1">
      <c r="B3" s="108"/>
      <c r="C3" s="113"/>
      <c r="D3" s="114"/>
      <c r="E3" s="114"/>
      <c r="F3" s="114"/>
      <c r="G3" s="114"/>
      <c r="H3" s="114"/>
      <c r="I3" s="114"/>
      <c r="J3" s="114"/>
      <c r="K3" s="114"/>
      <c r="L3" s="114"/>
      <c r="M3" s="115"/>
      <c r="N3" s="26" t="s">
        <v>2</v>
      </c>
      <c r="O3" s="27" t="s">
        <v>3</v>
      </c>
      <c r="P3" s="27"/>
      <c r="Q3" s="29"/>
    </row>
    <row r="4" spans="2:17" ht="15.75" thickBot="1">
      <c r="B4" s="108"/>
      <c r="C4" s="113"/>
      <c r="D4" s="114"/>
      <c r="E4" s="114"/>
      <c r="F4" s="114"/>
      <c r="G4" s="114"/>
      <c r="H4" s="114"/>
      <c r="I4" s="114"/>
      <c r="J4" s="114"/>
      <c r="K4" s="114"/>
      <c r="L4" s="114"/>
      <c r="M4" s="115"/>
      <c r="N4" s="26" t="s">
        <v>4</v>
      </c>
      <c r="O4" s="27"/>
      <c r="P4" s="27"/>
      <c r="Q4" s="29"/>
    </row>
    <row r="5" spans="2:17" ht="15.75" thickBot="1">
      <c r="B5" s="109"/>
      <c r="C5" s="116"/>
      <c r="D5" s="117"/>
      <c r="E5" s="117"/>
      <c r="F5" s="117"/>
      <c r="G5" s="117"/>
      <c r="H5" s="117"/>
      <c r="I5" s="117"/>
      <c r="J5" s="117"/>
      <c r="K5" s="117"/>
      <c r="L5" s="117"/>
      <c r="M5" s="118"/>
      <c r="N5" s="24" t="s">
        <v>5</v>
      </c>
      <c r="O5" s="25"/>
      <c r="P5" s="25"/>
      <c r="Q5" s="30"/>
    </row>
    <row r="7" spans="2:17">
      <c r="B7" s="98" t="s">
        <v>6</v>
      </c>
      <c r="C7" s="99"/>
      <c r="D7" s="100">
        <v>45730</v>
      </c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2"/>
    </row>
    <row r="8" spans="2:17">
      <c r="B8" s="97" t="s">
        <v>7</v>
      </c>
      <c r="C8" s="97"/>
      <c r="D8" s="97"/>
      <c r="E8" s="105" t="s">
        <v>8</v>
      </c>
      <c r="F8" s="103" t="s">
        <v>9</v>
      </c>
      <c r="G8" s="103"/>
      <c r="H8" s="104" t="s">
        <v>10</v>
      </c>
      <c r="I8" s="104"/>
      <c r="J8" s="103" t="s">
        <v>11</v>
      </c>
      <c r="K8" s="103"/>
      <c r="L8" s="104" t="s">
        <v>12</v>
      </c>
      <c r="M8" s="104"/>
      <c r="N8" s="103" t="s">
        <v>13</v>
      </c>
      <c r="O8" s="103"/>
      <c r="P8" s="104" t="s">
        <v>14</v>
      </c>
      <c r="Q8" s="104"/>
    </row>
    <row r="9" spans="2:17">
      <c r="B9" s="98" t="s">
        <v>15</v>
      </c>
      <c r="C9" s="119"/>
      <c r="D9" s="99"/>
      <c r="E9" s="106"/>
      <c r="F9" s="3">
        <v>0.375</v>
      </c>
      <c r="G9" s="32" t="s">
        <v>16</v>
      </c>
      <c r="H9" s="4">
        <v>0.375</v>
      </c>
      <c r="I9" s="33" t="s">
        <v>16</v>
      </c>
      <c r="J9" s="3">
        <v>0.375</v>
      </c>
      <c r="K9" s="32" t="s">
        <v>16</v>
      </c>
      <c r="L9" s="4">
        <v>0.375</v>
      </c>
      <c r="M9" s="33" t="s">
        <v>16</v>
      </c>
      <c r="N9" s="3">
        <v>0.375</v>
      </c>
      <c r="O9" s="32" t="s">
        <v>16</v>
      </c>
      <c r="P9" s="4">
        <v>0.375</v>
      </c>
      <c r="Q9" s="33" t="s">
        <v>16</v>
      </c>
    </row>
    <row r="10" spans="2:17" ht="26.25" customHeight="1">
      <c r="B10" s="120" t="s">
        <v>17</v>
      </c>
      <c r="C10" s="121"/>
      <c r="D10" s="79" t="s">
        <v>18</v>
      </c>
      <c r="E10" s="5"/>
      <c r="F10" s="6" t="s">
        <v>19</v>
      </c>
      <c r="G10" s="34" t="s">
        <v>19</v>
      </c>
      <c r="H10" s="35" t="s">
        <v>19</v>
      </c>
      <c r="I10" s="35" t="s">
        <v>19</v>
      </c>
      <c r="J10" s="34" t="s">
        <v>19</v>
      </c>
      <c r="K10" s="34" t="s">
        <v>19</v>
      </c>
      <c r="L10" s="35" t="s">
        <v>19</v>
      </c>
      <c r="M10" s="35" t="s">
        <v>19</v>
      </c>
      <c r="N10" s="6" t="s">
        <v>19</v>
      </c>
      <c r="O10" s="34" t="s">
        <v>19</v>
      </c>
      <c r="P10" s="35" t="s">
        <v>19</v>
      </c>
      <c r="Q10" s="35" t="s">
        <v>19</v>
      </c>
    </row>
    <row r="11" spans="2:17" ht="20.100000000000001" customHeight="1">
      <c r="B11" s="97" t="s">
        <v>20</v>
      </c>
      <c r="C11" s="97"/>
      <c r="D11" s="7" t="s">
        <v>21</v>
      </c>
      <c r="E11" s="7" t="s">
        <v>22</v>
      </c>
      <c r="F11" s="8"/>
      <c r="G11" s="8">
        <v>70.599999999999994</v>
      </c>
      <c r="H11" s="9"/>
      <c r="I11" s="9">
        <v>80</v>
      </c>
      <c r="J11" s="8">
        <v>77</v>
      </c>
      <c r="K11" s="8">
        <v>74</v>
      </c>
      <c r="L11" s="9"/>
      <c r="M11" s="9">
        <v>71.400000000000006</v>
      </c>
      <c r="N11" s="8"/>
      <c r="O11" s="8">
        <v>75.599999999999994</v>
      </c>
      <c r="P11" s="82">
        <v>74.900000000000006</v>
      </c>
      <c r="Q11" s="9">
        <v>73.400000000000006</v>
      </c>
    </row>
    <row r="12" spans="2:17" ht="20.100000000000001" customHeight="1">
      <c r="B12" s="97" t="s">
        <v>23</v>
      </c>
      <c r="C12" s="97"/>
      <c r="D12" s="7" t="s">
        <v>21</v>
      </c>
      <c r="E12" s="7" t="s">
        <v>22</v>
      </c>
      <c r="F12" s="8"/>
      <c r="G12" s="8">
        <v>0.1</v>
      </c>
      <c r="H12" s="9"/>
      <c r="I12" s="9">
        <v>0</v>
      </c>
      <c r="J12" s="8">
        <v>0</v>
      </c>
      <c r="K12" s="8">
        <v>0</v>
      </c>
      <c r="L12" s="9"/>
      <c r="M12" s="9">
        <v>0.1</v>
      </c>
      <c r="N12" s="8"/>
      <c r="O12" s="8">
        <v>0</v>
      </c>
      <c r="P12" s="9">
        <v>0</v>
      </c>
      <c r="Q12" s="9">
        <v>0</v>
      </c>
    </row>
    <row r="13" spans="2:17" ht="20.100000000000001" customHeight="1">
      <c r="B13" s="97" t="s">
        <v>24</v>
      </c>
      <c r="C13" s="97"/>
      <c r="D13" s="7" t="s">
        <v>21</v>
      </c>
      <c r="E13" s="7" t="s">
        <v>22</v>
      </c>
      <c r="F13" s="8"/>
      <c r="G13" s="8">
        <v>64.7</v>
      </c>
      <c r="H13" s="9"/>
      <c r="I13" s="9">
        <v>76.2</v>
      </c>
      <c r="J13" s="8">
        <v>71.400000000000006</v>
      </c>
      <c r="K13" s="8">
        <v>69</v>
      </c>
      <c r="L13" s="9"/>
      <c r="M13" s="9">
        <v>67.8</v>
      </c>
      <c r="N13" s="8"/>
      <c r="O13" s="8">
        <v>71</v>
      </c>
      <c r="P13" s="9">
        <v>69.3</v>
      </c>
      <c r="Q13" s="9">
        <v>67.8</v>
      </c>
    </row>
    <row r="14" spans="2:17" ht="20.100000000000001" customHeight="1">
      <c r="B14" s="97" t="s">
        <v>25</v>
      </c>
      <c r="C14" s="97"/>
      <c r="D14" s="7" t="s">
        <v>21</v>
      </c>
      <c r="E14" s="7" t="s">
        <v>22</v>
      </c>
      <c r="F14" s="8"/>
      <c r="G14" s="8">
        <v>67.400000000000006</v>
      </c>
      <c r="H14" s="9"/>
      <c r="I14" s="9">
        <v>68.8</v>
      </c>
      <c r="J14" s="8">
        <v>64.099999999999994</v>
      </c>
      <c r="K14" s="8">
        <v>63.6</v>
      </c>
      <c r="L14" s="9"/>
      <c r="M14" s="9">
        <v>66.3</v>
      </c>
      <c r="N14" s="8"/>
      <c r="O14" s="8">
        <v>73.400000000000006</v>
      </c>
      <c r="P14" s="9">
        <v>72.5</v>
      </c>
      <c r="Q14" s="9">
        <v>72</v>
      </c>
    </row>
    <row r="15" spans="2:17" ht="20.100000000000001" customHeight="1">
      <c r="B15" s="97" t="s">
        <v>26</v>
      </c>
      <c r="C15" s="97"/>
      <c r="D15" s="7" t="s">
        <v>21</v>
      </c>
      <c r="E15" s="7" t="s">
        <v>22</v>
      </c>
      <c r="F15" s="8"/>
      <c r="G15" s="8">
        <v>36.200000000000003</v>
      </c>
      <c r="H15" s="9"/>
      <c r="I15" s="9">
        <v>50.9</v>
      </c>
      <c r="J15" s="8">
        <v>41.5</v>
      </c>
      <c r="K15" s="8">
        <v>39.9</v>
      </c>
      <c r="L15" s="9"/>
      <c r="M15" s="9">
        <v>33.9</v>
      </c>
      <c r="N15" s="8"/>
      <c r="O15" s="8">
        <v>52.3</v>
      </c>
      <c r="P15" s="9">
        <v>43.8</v>
      </c>
      <c r="Q15" s="9">
        <v>42.4</v>
      </c>
    </row>
    <row r="16" spans="2:17" ht="20.100000000000001" customHeight="1">
      <c r="B16" s="103" t="s">
        <v>27</v>
      </c>
      <c r="C16" s="10" t="s">
        <v>28</v>
      </c>
      <c r="D16" s="7" t="s">
        <v>29</v>
      </c>
      <c r="E16" s="7" t="s">
        <v>30</v>
      </c>
      <c r="F16" s="8"/>
      <c r="G16" s="8">
        <v>6.6</v>
      </c>
      <c r="H16" s="8"/>
      <c r="I16" s="8">
        <v>6.6</v>
      </c>
      <c r="J16" s="8">
        <v>6.6</v>
      </c>
      <c r="K16" s="8">
        <v>6.6</v>
      </c>
      <c r="L16" s="8"/>
      <c r="M16" s="8">
        <v>6.6</v>
      </c>
      <c r="N16" s="8"/>
      <c r="O16" s="8">
        <v>6.6</v>
      </c>
      <c r="P16" s="8">
        <v>6.6</v>
      </c>
      <c r="Q16" s="8">
        <v>6.6</v>
      </c>
    </row>
    <row r="17" spans="2:17" ht="20.100000000000001" customHeight="1">
      <c r="B17" s="103"/>
      <c r="C17" s="10" t="s">
        <v>31</v>
      </c>
      <c r="D17" s="7" t="s">
        <v>32</v>
      </c>
      <c r="E17" s="7" t="s">
        <v>33</v>
      </c>
      <c r="F17" s="8"/>
      <c r="G17" s="8">
        <v>117.2</v>
      </c>
      <c r="H17" s="9"/>
      <c r="I17" s="9">
        <v>118.1</v>
      </c>
      <c r="J17" s="8">
        <v>117</v>
      </c>
      <c r="K17" s="8">
        <v>116.7</v>
      </c>
      <c r="L17" s="9"/>
      <c r="M17" s="9">
        <v>113.9</v>
      </c>
      <c r="N17" s="8"/>
      <c r="O17" s="8">
        <v>118.6</v>
      </c>
      <c r="P17" s="9">
        <v>117.3</v>
      </c>
      <c r="Q17" s="9">
        <v>186.2</v>
      </c>
    </row>
    <row r="18" spans="2:17" ht="20.100000000000001" customHeight="1">
      <c r="B18" s="103"/>
      <c r="C18" s="10" t="s">
        <v>34</v>
      </c>
      <c r="D18" s="7" t="s">
        <v>35</v>
      </c>
      <c r="E18" s="7" t="s">
        <v>36</v>
      </c>
      <c r="F18" s="8"/>
      <c r="G18" s="8">
        <v>1147</v>
      </c>
      <c r="H18" s="9"/>
      <c r="I18" s="9">
        <v>1194</v>
      </c>
      <c r="J18" s="8">
        <v>1192</v>
      </c>
      <c r="K18" s="8">
        <v>1181</v>
      </c>
      <c r="L18" s="9"/>
      <c r="M18" s="9">
        <v>1161</v>
      </c>
      <c r="N18" s="8"/>
      <c r="O18" s="8">
        <v>1208</v>
      </c>
      <c r="P18" s="9">
        <v>1194</v>
      </c>
      <c r="Q18" s="9">
        <v>1182</v>
      </c>
    </row>
    <row r="19" spans="2:17" ht="20.100000000000001" customHeight="1">
      <c r="B19" s="103" t="s">
        <v>37</v>
      </c>
      <c r="C19" s="10" t="s">
        <v>38</v>
      </c>
      <c r="D19" s="7" t="s">
        <v>39</v>
      </c>
      <c r="E19" s="11" t="s">
        <v>40</v>
      </c>
      <c r="F19" s="8"/>
      <c r="G19" s="8">
        <v>49077</v>
      </c>
      <c r="H19" s="9"/>
      <c r="I19" s="9">
        <v>50889</v>
      </c>
      <c r="J19" s="8">
        <v>48527.1</v>
      </c>
      <c r="K19" s="8">
        <v>48519</v>
      </c>
      <c r="L19" s="9"/>
      <c r="M19" s="9">
        <v>50903</v>
      </c>
      <c r="N19" s="8"/>
      <c r="O19" s="8">
        <v>50093</v>
      </c>
      <c r="P19" s="9">
        <v>50242.8</v>
      </c>
      <c r="Q19" s="9">
        <v>50235</v>
      </c>
    </row>
    <row r="20" spans="2:17" ht="20.100000000000001" customHeight="1">
      <c r="B20" s="103"/>
      <c r="C20" s="10" t="s">
        <v>41</v>
      </c>
      <c r="D20" s="7" t="s">
        <v>42</v>
      </c>
      <c r="E20" s="7" t="s">
        <v>43</v>
      </c>
      <c r="F20" s="8"/>
      <c r="G20" s="8"/>
      <c r="H20" s="9"/>
      <c r="I20" s="9"/>
      <c r="J20" s="8"/>
      <c r="K20" s="8"/>
      <c r="L20" s="9"/>
      <c r="M20" s="9"/>
      <c r="N20" s="8"/>
      <c r="O20" s="8"/>
      <c r="P20" s="9"/>
      <c r="Q20" s="9"/>
    </row>
    <row r="21" spans="2:17" ht="20.100000000000001" customHeight="1">
      <c r="B21" s="103"/>
      <c r="C21" s="10" t="s">
        <v>44</v>
      </c>
      <c r="D21" s="7" t="s">
        <v>42</v>
      </c>
      <c r="E21" s="7" t="s">
        <v>45</v>
      </c>
      <c r="F21" s="8"/>
      <c r="G21" s="8"/>
      <c r="H21" s="9"/>
      <c r="I21" s="9"/>
      <c r="J21" s="8"/>
      <c r="K21" s="8"/>
      <c r="L21" s="9"/>
      <c r="M21" s="9"/>
      <c r="N21" s="8"/>
      <c r="O21" s="8"/>
      <c r="P21" s="9"/>
      <c r="Q21" s="9"/>
    </row>
    <row r="22" spans="2:17" ht="20.100000000000001" customHeight="1">
      <c r="B22" s="103"/>
      <c r="C22" s="10" t="s">
        <v>46</v>
      </c>
      <c r="D22" s="7" t="s">
        <v>42</v>
      </c>
      <c r="E22" s="7" t="s">
        <v>47</v>
      </c>
      <c r="F22" s="8"/>
      <c r="G22" s="8">
        <v>58.5</v>
      </c>
      <c r="H22" s="9"/>
      <c r="I22" s="9">
        <v>59.4</v>
      </c>
      <c r="J22" s="8">
        <v>57.5</v>
      </c>
      <c r="K22" s="8">
        <v>57.5</v>
      </c>
      <c r="L22" s="9"/>
      <c r="M22" s="9">
        <v>57.4</v>
      </c>
      <c r="N22" s="8"/>
      <c r="O22" s="8">
        <v>58.7</v>
      </c>
      <c r="P22" s="9">
        <v>59</v>
      </c>
      <c r="Q22" s="9">
        <v>59.2</v>
      </c>
    </row>
    <row r="23" spans="2:17" ht="60">
      <c r="B23" s="103"/>
      <c r="C23" s="12" t="s">
        <v>48</v>
      </c>
      <c r="D23" s="8" t="s">
        <v>49</v>
      </c>
      <c r="E23" s="13" t="s">
        <v>50</v>
      </c>
      <c r="F23" s="8"/>
      <c r="G23" s="8">
        <v>0.53</v>
      </c>
      <c r="H23" s="9"/>
      <c r="I23" s="9">
        <v>0.49</v>
      </c>
      <c r="J23" s="8">
        <v>0.59</v>
      </c>
      <c r="K23" s="8">
        <v>0.59</v>
      </c>
      <c r="L23" s="9"/>
      <c r="M23" s="9">
        <v>0.52</v>
      </c>
      <c r="N23" s="8"/>
      <c r="O23" s="8">
        <v>0.48</v>
      </c>
      <c r="P23" s="9">
        <v>0.5</v>
      </c>
      <c r="Q23" s="9">
        <v>0.49</v>
      </c>
    </row>
    <row r="24" spans="2:17" ht="39.75" customHeight="1">
      <c r="B24" s="103"/>
      <c r="C24" s="12" t="s">
        <v>51</v>
      </c>
      <c r="D24" s="7"/>
      <c r="E24" s="7"/>
      <c r="F24" s="8"/>
      <c r="G24" s="8"/>
      <c r="H24" s="9"/>
      <c r="I24" s="9"/>
      <c r="J24" s="8"/>
      <c r="K24" s="8"/>
      <c r="L24" s="8"/>
      <c r="M24" s="9"/>
      <c r="N24" s="8"/>
      <c r="O24" s="8"/>
      <c r="P24" s="9"/>
      <c r="Q24" s="9"/>
    </row>
    <row r="25" spans="2:17" ht="20.100000000000001" customHeight="1">
      <c r="B25" s="103"/>
      <c r="C25" s="10" t="s">
        <v>52</v>
      </c>
      <c r="D25" s="7" t="s">
        <v>42</v>
      </c>
      <c r="E25" s="7" t="s">
        <v>53</v>
      </c>
      <c r="F25" s="8"/>
      <c r="G25" s="8"/>
      <c r="H25" s="9">
        <v>44.7</v>
      </c>
      <c r="I25" s="9">
        <v>44.8</v>
      </c>
      <c r="J25" s="8">
        <v>44.6</v>
      </c>
      <c r="K25" s="8">
        <v>45</v>
      </c>
      <c r="L25" s="9"/>
      <c r="M25" s="9">
        <v>44.9</v>
      </c>
      <c r="N25" s="8"/>
      <c r="O25" s="8">
        <v>44.8</v>
      </c>
      <c r="P25" s="9">
        <v>44.8</v>
      </c>
      <c r="Q25" s="9">
        <v>44.9</v>
      </c>
    </row>
    <row r="26" spans="2:17" ht="20.100000000000001" customHeight="1">
      <c r="B26" s="103" t="s">
        <v>54</v>
      </c>
      <c r="C26" s="10" t="s">
        <v>55</v>
      </c>
      <c r="D26" s="7" t="s">
        <v>49</v>
      </c>
      <c r="E26" s="14" t="s">
        <v>56</v>
      </c>
      <c r="F26" s="8"/>
      <c r="G26" s="8"/>
      <c r="H26" s="9">
        <v>0.22</v>
      </c>
      <c r="I26" s="9">
        <v>0.22</v>
      </c>
      <c r="J26" s="8">
        <v>0.22</v>
      </c>
      <c r="K26" s="8">
        <v>0.23</v>
      </c>
      <c r="L26" s="9"/>
      <c r="M26" s="9">
        <v>0.22</v>
      </c>
      <c r="N26" s="8"/>
      <c r="O26" s="8">
        <v>0.23</v>
      </c>
      <c r="P26" s="9">
        <v>0.23</v>
      </c>
      <c r="Q26" s="9">
        <v>0.23</v>
      </c>
    </row>
    <row r="27" spans="2:17" ht="20.100000000000001" customHeight="1">
      <c r="B27" s="103"/>
      <c r="C27" s="10" t="s">
        <v>57</v>
      </c>
      <c r="D27" s="7" t="s">
        <v>42</v>
      </c>
      <c r="E27" s="7" t="s">
        <v>43</v>
      </c>
      <c r="F27" s="8"/>
      <c r="G27" s="8"/>
      <c r="H27" s="9">
        <v>4.2</v>
      </c>
      <c r="I27" s="9">
        <v>3.3</v>
      </c>
      <c r="J27" s="8">
        <v>4</v>
      </c>
      <c r="K27" s="8">
        <v>4.2</v>
      </c>
      <c r="L27" s="9"/>
      <c r="M27" s="9">
        <v>3.9</v>
      </c>
      <c r="N27" s="8"/>
      <c r="O27" s="8">
        <v>4.5999999999999996</v>
      </c>
      <c r="P27" s="9">
        <v>4.7</v>
      </c>
      <c r="Q27" s="9">
        <v>4.5</v>
      </c>
    </row>
    <row r="28" spans="2:17" ht="20.100000000000001" customHeight="1">
      <c r="B28" s="103"/>
      <c r="C28" s="10" t="s">
        <v>58</v>
      </c>
      <c r="D28" s="7" t="s">
        <v>42</v>
      </c>
      <c r="E28" s="7" t="s">
        <v>43</v>
      </c>
      <c r="F28" s="8"/>
      <c r="G28" s="8"/>
      <c r="H28" s="9">
        <v>3.2</v>
      </c>
      <c r="I28" s="9">
        <v>2.5</v>
      </c>
      <c r="J28" s="8">
        <v>3.2</v>
      </c>
      <c r="K28" s="8">
        <v>3.5</v>
      </c>
      <c r="L28" s="9"/>
      <c r="M28" s="9">
        <v>2.8</v>
      </c>
      <c r="N28" s="8"/>
      <c r="O28" s="8">
        <v>3.6</v>
      </c>
      <c r="P28" s="9">
        <v>3.8</v>
      </c>
      <c r="Q28" s="9">
        <v>3.5</v>
      </c>
    </row>
    <row r="29" spans="2:17" ht="20.100000000000001" customHeight="1">
      <c r="B29" s="103"/>
      <c r="C29" s="10" t="s">
        <v>59</v>
      </c>
      <c r="D29" s="7" t="s">
        <v>42</v>
      </c>
      <c r="E29" s="7" t="s">
        <v>43</v>
      </c>
      <c r="F29" s="15">
        <f>F32-F28</f>
        <v>0</v>
      </c>
      <c r="G29" s="15">
        <v>0.29999999999999982</v>
      </c>
      <c r="H29" s="15">
        <v>2.0999999999999996</v>
      </c>
      <c r="I29" s="15">
        <v>1.4</v>
      </c>
      <c r="J29" s="15">
        <f>J32-J38</f>
        <v>1.2000000000000028</v>
      </c>
      <c r="K29" s="15">
        <v>1</v>
      </c>
      <c r="L29" s="15">
        <f t="shared" ref="L29:P29" si="0">L32-L28</f>
        <v>0</v>
      </c>
      <c r="M29" s="15">
        <v>1</v>
      </c>
      <c r="N29" s="15">
        <f>N32-N28</f>
        <v>0</v>
      </c>
      <c r="O29" s="15">
        <v>0.19999999999999973</v>
      </c>
      <c r="P29" s="15">
        <f t="shared" si="0"/>
        <v>1</v>
      </c>
      <c r="Q29" s="15">
        <v>0.39999999999999991</v>
      </c>
    </row>
    <row r="30" spans="2:17" ht="20.100000000000001" customHeight="1">
      <c r="B30" s="103"/>
      <c r="C30" s="10" t="s">
        <v>60</v>
      </c>
      <c r="D30" s="7" t="s">
        <v>61</v>
      </c>
      <c r="E30" s="7" t="s">
        <v>62</v>
      </c>
      <c r="F30" s="8"/>
      <c r="G30" s="8"/>
      <c r="H30" s="9">
        <v>646.70000000000005</v>
      </c>
      <c r="I30" s="9">
        <v>640.32000000000005</v>
      </c>
      <c r="J30" s="8">
        <v>644.66999999999996</v>
      </c>
      <c r="K30" s="8">
        <v>639.91999999999996</v>
      </c>
      <c r="L30" s="9"/>
      <c r="M30" s="9">
        <v>645.04</v>
      </c>
      <c r="N30" s="8"/>
      <c r="O30" s="8">
        <v>636.64</v>
      </c>
      <c r="P30" s="9">
        <v>673</v>
      </c>
      <c r="Q30" s="9">
        <v>640.32000000000005</v>
      </c>
    </row>
    <row r="31" spans="2:17" ht="20.100000000000001" customHeight="1">
      <c r="B31" s="103"/>
      <c r="C31" s="10" t="s">
        <v>63</v>
      </c>
      <c r="D31" s="7" t="s">
        <v>42</v>
      </c>
      <c r="E31" s="7">
        <v>13.5</v>
      </c>
      <c r="F31" s="8"/>
      <c r="G31" s="8"/>
      <c r="H31" s="9">
        <v>13.7</v>
      </c>
      <c r="I31" s="9">
        <v>12.3</v>
      </c>
      <c r="J31" s="8">
        <v>13.1</v>
      </c>
      <c r="K31" s="8">
        <v>13.1</v>
      </c>
      <c r="L31" s="9"/>
      <c r="M31" s="9">
        <v>13.1</v>
      </c>
      <c r="N31" s="8"/>
      <c r="O31" s="8">
        <v>12.6</v>
      </c>
      <c r="P31" s="9">
        <v>13.2</v>
      </c>
      <c r="Q31" s="9">
        <v>12.3</v>
      </c>
    </row>
    <row r="32" spans="2:17" ht="20.100000000000001" customHeight="1">
      <c r="B32" s="103"/>
      <c r="C32" s="10" t="s">
        <v>64</v>
      </c>
      <c r="D32" s="7" t="s">
        <v>42</v>
      </c>
      <c r="E32" s="7">
        <v>4</v>
      </c>
      <c r="F32" s="8"/>
      <c r="G32" s="8"/>
      <c r="H32" s="9">
        <v>5.5</v>
      </c>
      <c r="I32" s="9">
        <v>3.9</v>
      </c>
      <c r="J32" s="8">
        <v>4</v>
      </c>
      <c r="K32" s="8">
        <v>4.5</v>
      </c>
      <c r="L32" s="9"/>
      <c r="M32" s="9">
        <v>3.8</v>
      </c>
      <c r="N32" s="8"/>
      <c r="O32" s="8">
        <v>3.8</v>
      </c>
      <c r="P32" s="9">
        <v>4.8</v>
      </c>
      <c r="Q32" s="9">
        <v>3.9</v>
      </c>
    </row>
    <row r="33" spans="2:17" ht="20.100000000000001" customHeight="1">
      <c r="B33" s="103"/>
      <c r="C33" s="10" t="s">
        <v>65</v>
      </c>
      <c r="D33" s="7" t="s">
        <v>42</v>
      </c>
      <c r="E33" s="7">
        <v>9.5</v>
      </c>
      <c r="F33" s="15">
        <f>F31-F32</f>
        <v>0</v>
      </c>
      <c r="G33" s="15">
        <v>8.3999999999999986</v>
      </c>
      <c r="H33" s="15">
        <v>8.3000000000000007</v>
      </c>
      <c r="I33" s="15">
        <v>8.4</v>
      </c>
      <c r="J33" s="15">
        <f>J31-J32</f>
        <v>9.1</v>
      </c>
      <c r="K33" s="15">
        <v>8.6</v>
      </c>
      <c r="L33" s="15">
        <f t="shared" ref="L33:P33" si="1">L31-L32</f>
        <v>0</v>
      </c>
      <c r="M33" s="15">
        <v>9.3000000000000007</v>
      </c>
      <c r="N33" s="15">
        <f>N31-N32</f>
        <v>0</v>
      </c>
      <c r="O33" s="15">
        <v>8.8000000000000007</v>
      </c>
      <c r="P33" s="15">
        <f t="shared" si="1"/>
        <v>8.3999999999999986</v>
      </c>
      <c r="Q33" s="15">
        <v>8.4</v>
      </c>
    </row>
    <row r="34" spans="2:17" ht="20.100000000000001" customHeight="1">
      <c r="B34" s="103"/>
      <c r="C34" s="10" t="s">
        <v>66</v>
      </c>
      <c r="D34" s="7" t="s">
        <v>67</v>
      </c>
      <c r="E34" s="7" t="s">
        <v>68</v>
      </c>
      <c r="F34" s="16">
        <f>(F33*F30)/0.866</f>
        <v>0</v>
      </c>
      <c r="G34" s="16">
        <v>6286.2263279445724</v>
      </c>
      <c r="H34" s="16">
        <v>6282.6974595842967</v>
      </c>
      <c r="I34" s="16">
        <v>6210.9561200923799</v>
      </c>
      <c r="J34" s="16">
        <f>(J33*J30)/0.866</f>
        <v>6774.2459584295602</v>
      </c>
      <c r="K34" s="16">
        <v>6354.8637413394908</v>
      </c>
      <c r="L34" s="16">
        <f t="shared" ref="L34:P34" si="2">(L33*L30)/0.866</f>
        <v>0</v>
      </c>
      <c r="M34" s="16">
        <v>6927.1039260969983</v>
      </c>
      <c r="N34" s="16">
        <f>(N33*N30)/0.866</f>
        <v>0</v>
      </c>
      <c r="O34" s="16">
        <v>6469.3210161662828</v>
      </c>
      <c r="P34" s="16">
        <f t="shared" si="2"/>
        <v>6527.9445727482671</v>
      </c>
      <c r="Q34" s="16">
        <v>6210.9561200923799</v>
      </c>
    </row>
    <row r="35" spans="2:17" ht="20.100000000000001" customHeight="1">
      <c r="B35" s="103" t="s">
        <v>69</v>
      </c>
      <c r="C35" s="10" t="s">
        <v>70</v>
      </c>
      <c r="D35" s="7" t="s">
        <v>49</v>
      </c>
      <c r="E35" s="7" t="s">
        <v>71</v>
      </c>
      <c r="F35" s="8"/>
      <c r="G35" s="8"/>
      <c r="H35" s="9">
        <v>0.83</v>
      </c>
      <c r="I35" s="9">
        <v>0.84</v>
      </c>
      <c r="J35" s="8">
        <v>0.82</v>
      </c>
      <c r="K35" s="8">
        <v>0.82</v>
      </c>
      <c r="L35" s="9"/>
      <c r="M35" s="9">
        <v>0.82</v>
      </c>
      <c r="N35" s="8"/>
      <c r="O35" s="8">
        <v>0.8</v>
      </c>
      <c r="P35" s="9">
        <v>0.82</v>
      </c>
      <c r="Q35" s="9">
        <v>0.83</v>
      </c>
    </row>
    <row r="36" spans="2:17" ht="20.100000000000001" customHeight="1">
      <c r="B36" s="103"/>
      <c r="C36" s="10" t="s">
        <v>72</v>
      </c>
      <c r="D36" s="7" t="s">
        <v>42</v>
      </c>
      <c r="E36" s="7" t="s">
        <v>43</v>
      </c>
      <c r="F36" s="8"/>
      <c r="G36" s="8"/>
      <c r="H36" s="9">
        <v>36.1</v>
      </c>
      <c r="I36" s="9">
        <v>36.6</v>
      </c>
      <c r="J36" s="8">
        <v>35.700000000000003</v>
      </c>
      <c r="K36" s="8">
        <v>36.4</v>
      </c>
      <c r="L36" s="9"/>
      <c r="M36" s="9">
        <v>36.4</v>
      </c>
      <c r="N36" s="8"/>
      <c r="O36" s="8">
        <v>35.9</v>
      </c>
      <c r="P36" s="9">
        <v>35.700000000000003</v>
      </c>
      <c r="Q36" s="9">
        <v>36.299999999999997</v>
      </c>
    </row>
    <row r="37" spans="2:17" ht="20.100000000000001" customHeight="1">
      <c r="B37" s="103"/>
      <c r="C37" s="10" t="s">
        <v>73</v>
      </c>
      <c r="D37" s="7" t="s">
        <v>42</v>
      </c>
      <c r="E37" s="7" t="s">
        <v>43</v>
      </c>
      <c r="F37" s="8"/>
      <c r="G37" s="8"/>
      <c r="H37" s="9">
        <v>36.9</v>
      </c>
      <c r="I37" s="9">
        <v>37.1</v>
      </c>
      <c r="J37" s="8">
        <v>36.5</v>
      </c>
      <c r="K37" s="8">
        <v>36.4</v>
      </c>
      <c r="L37" s="9"/>
      <c r="M37" s="9">
        <v>36.6</v>
      </c>
      <c r="N37" s="8"/>
      <c r="O37" s="8">
        <v>35.5</v>
      </c>
      <c r="P37" s="9">
        <v>36.6</v>
      </c>
      <c r="Q37" s="9">
        <v>36.700000000000003</v>
      </c>
    </row>
    <row r="38" spans="2:17" ht="20.100000000000001" customHeight="1">
      <c r="B38" s="103"/>
      <c r="C38" s="12" t="s">
        <v>74</v>
      </c>
      <c r="D38" s="7" t="s">
        <v>42</v>
      </c>
      <c r="E38" s="7" t="s">
        <v>101</v>
      </c>
      <c r="F38" s="15">
        <f>F37-F41</f>
        <v>0</v>
      </c>
      <c r="G38" s="15">
        <v>2.6000000000000014</v>
      </c>
      <c r="H38" s="15">
        <v>4.1000000000000014</v>
      </c>
      <c r="I38" s="15">
        <v>4</v>
      </c>
      <c r="J38" s="15">
        <f>J37-J41</f>
        <v>2.7999999999999972</v>
      </c>
      <c r="K38" s="15">
        <v>3</v>
      </c>
      <c r="L38" s="15">
        <f t="shared" ref="L38:P38" si="3">L37-L41</f>
        <v>0</v>
      </c>
      <c r="M38" s="15">
        <v>3.3000000000000043</v>
      </c>
      <c r="N38" s="15">
        <f>N37-N41</f>
        <v>0</v>
      </c>
      <c r="O38" s="15">
        <v>2.2999999999999972</v>
      </c>
      <c r="P38" s="15">
        <f t="shared" si="3"/>
        <v>3.3000000000000043</v>
      </c>
      <c r="Q38" s="15">
        <v>3.2000000000000028</v>
      </c>
    </row>
    <row r="39" spans="2:17" ht="20.100000000000001" customHeight="1">
      <c r="B39" s="103"/>
      <c r="C39" s="10" t="s">
        <v>75</v>
      </c>
      <c r="D39" s="7" t="s">
        <v>76</v>
      </c>
      <c r="E39" s="7"/>
      <c r="F39" s="8"/>
      <c r="G39" s="8"/>
      <c r="H39" s="9"/>
      <c r="I39" s="9"/>
      <c r="J39" s="8"/>
      <c r="K39" s="8"/>
      <c r="L39" s="9"/>
      <c r="M39" s="9"/>
      <c r="N39" s="8"/>
      <c r="O39" s="8"/>
      <c r="P39" s="9"/>
      <c r="Q39" s="9"/>
    </row>
    <row r="40" spans="2:17" ht="20.100000000000001" customHeight="1">
      <c r="B40" s="103"/>
      <c r="C40" s="10" t="s">
        <v>77</v>
      </c>
      <c r="D40" s="7" t="s">
        <v>42</v>
      </c>
      <c r="E40" s="7">
        <v>30.8</v>
      </c>
      <c r="F40" s="8"/>
      <c r="G40" s="8"/>
      <c r="H40" s="9">
        <v>28.3</v>
      </c>
      <c r="I40" s="9">
        <v>27.8</v>
      </c>
      <c r="J40" s="8">
        <v>28.2</v>
      </c>
      <c r="K40" s="8">
        <v>27.9</v>
      </c>
      <c r="L40" s="9"/>
      <c r="M40" s="9">
        <v>27.5</v>
      </c>
      <c r="N40" s="8"/>
      <c r="O40" s="8">
        <v>27.6</v>
      </c>
      <c r="P40" s="9">
        <v>27.8</v>
      </c>
      <c r="Q40" s="9">
        <v>28</v>
      </c>
    </row>
    <row r="41" spans="2:17" ht="20.100000000000001" customHeight="1">
      <c r="B41" s="103"/>
      <c r="C41" s="10" t="s">
        <v>78</v>
      </c>
      <c r="D41" s="7" t="s">
        <v>42</v>
      </c>
      <c r="E41" s="7">
        <v>36.4</v>
      </c>
      <c r="F41" s="8"/>
      <c r="G41" s="8"/>
      <c r="H41" s="9">
        <v>33.4</v>
      </c>
      <c r="I41" s="9">
        <v>33.1</v>
      </c>
      <c r="J41" s="8">
        <v>33.700000000000003</v>
      </c>
      <c r="K41" s="8">
        <v>33.4</v>
      </c>
      <c r="L41" s="9"/>
      <c r="M41" s="9">
        <v>33.299999999999997</v>
      </c>
      <c r="N41" s="8"/>
      <c r="O41" s="8">
        <v>33.200000000000003</v>
      </c>
      <c r="P41" s="9">
        <v>33.299999999999997</v>
      </c>
      <c r="Q41" s="9">
        <v>33.5</v>
      </c>
    </row>
    <row r="42" spans="2:17" ht="20.100000000000001" customHeight="1">
      <c r="B42" s="103"/>
      <c r="C42" s="10" t="s">
        <v>79</v>
      </c>
      <c r="D42" s="7" t="s">
        <v>42</v>
      </c>
      <c r="E42" s="7">
        <v>5.6</v>
      </c>
      <c r="F42" s="15">
        <f>F41-F40</f>
        <v>0</v>
      </c>
      <c r="G42" s="15">
        <v>5.8999999999999986</v>
      </c>
      <c r="H42" s="15">
        <v>4.8000000000000007</v>
      </c>
      <c r="I42" s="15">
        <v>5.3000000000000007</v>
      </c>
      <c r="J42" s="15">
        <f>J41-J40</f>
        <v>5.5000000000000036</v>
      </c>
      <c r="K42" s="15">
        <v>5.5</v>
      </c>
      <c r="L42" s="15">
        <f t="shared" ref="L42:P42" si="4">L41-L40</f>
        <v>0</v>
      </c>
      <c r="M42" s="15">
        <v>5.7999999999999972</v>
      </c>
      <c r="N42" s="15">
        <f>N41-N40</f>
        <v>0</v>
      </c>
      <c r="O42" s="15">
        <v>5.6000000000000014</v>
      </c>
      <c r="P42" s="15">
        <f t="shared" si="4"/>
        <v>5.4999999999999964</v>
      </c>
      <c r="Q42" s="15">
        <v>5.5</v>
      </c>
    </row>
    <row r="43" spans="2:17" ht="20.100000000000001" customHeight="1">
      <c r="B43" s="103"/>
      <c r="C43" s="10" t="s">
        <v>80</v>
      </c>
      <c r="D43" s="7" t="s">
        <v>61</v>
      </c>
      <c r="E43" s="7">
        <v>1273.0999999999999</v>
      </c>
      <c r="F43" s="8"/>
      <c r="G43" s="8"/>
      <c r="H43" s="9">
        <v>1226.2</v>
      </c>
      <c r="I43" s="9">
        <v>1163.82</v>
      </c>
      <c r="J43" s="8">
        <v>1288.5</v>
      </c>
      <c r="K43" s="8">
        <v>1186.5</v>
      </c>
      <c r="L43" s="9"/>
      <c r="M43" s="8">
        <v>1164.52</v>
      </c>
      <c r="N43" s="8"/>
      <c r="O43" s="8">
        <v>1139.32</v>
      </c>
      <c r="P43" s="9">
        <v>1266.9000000000001</v>
      </c>
      <c r="Q43" s="9">
        <v>1179.5</v>
      </c>
    </row>
    <row r="44" spans="2:17" ht="20.100000000000001" customHeight="1">
      <c r="B44" s="103"/>
      <c r="C44" s="10" t="s">
        <v>81</v>
      </c>
      <c r="D44" s="7" t="s">
        <v>67</v>
      </c>
      <c r="E44" s="7">
        <v>8226.9</v>
      </c>
      <c r="F44" s="16">
        <f>F42*F43/0.866</f>
        <v>0</v>
      </c>
      <c r="G44" s="16">
        <v>7484.551963048496</v>
      </c>
      <c r="H44" s="16">
        <v>7206.5404157043895</v>
      </c>
      <c r="I44" s="16">
        <v>7122.6859122401847</v>
      </c>
      <c r="J44" s="16">
        <f>J42*J43/0.866</f>
        <v>8183.3140877598207</v>
      </c>
      <c r="K44" s="16">
        <v>7535.5080831408777</v>
      </c>
      <c r="L44" s="16">
        <f t="shared" ref="L44:P44" si="5">L42*L43/0.866</f>
        <v>0</v>
      </c>
      <c r="M44" s="16">
        <v>7799.3256351039227</v>
      </c>
      <c r="N44" s="16">
        <f>N42*N43/0.866</f>
        <v>0</v>
      </c>
      <c r="O44" s="16">
        <v>7367.4272517321024</v>
      </c>
      <c r="P44" s="16">
        <f t="shared" si="5"/>
        <v>8046.1316397228593</v>
      </c>
      <c r="Q44" s="16">
        <v>7491.0508083140876</v>
      </c>
    </row>
    <row r="45" spans="2:17" ht="20.100000000000001" customHeight="1">
      <c r="B45" s="103" t="s">
        <v>82</v>
      </c>
      <c r="C45" s="10" t="s">
        <v>83</v>
      </c>
      <c r="D45" s="7" t="s">
        <v>49</v>
      </c>
      <c r="E45" s="7" t="s">
        <v>84</v>
      </c>
      <c r="F45" s="8"/>
      <c r="G45" s="8"/>
      <c r="H45" s="9">
        <v>0.46</v>
      </c>
      <c r="I45" s="9">
        <v>0.46</v>
      </c>
      <c r="J45" s="8">
        <v>0.45</v>
      </c>
      <c r="K45" s="8">
        <v>0.46</v>
      </c>
      <c r="L45" s="9"/>
      <c r="M45" s="9">
        <v>0.46</v>
      </c>
      <c r="N45" s="8"/>
      <c r="O45" s="8">
        <v>0.46</v>
      </c>
      <c r="P45" s="9">
        <v>0.46</v>
      </c>
      <c r="Q45" s="9">
        <v>0.47</v>
      </c>
    </row>
    <row r="46" spans="2:17" ht="20.100000000000001" customHeight="1">
      <c r="B46" s="103"/>
      <c r="C46" s="10" t="s">
        <v>85</v>
      </c>
      <c r="D46" s="7" t="s">
        <v>42</v>
      </c>
      <c r="E46" s="7" t="s">
        <v>43</v>
      </c>
      <c r="F46" s="8"/>
      <c r="G46" s="8"/>
      <c r="H46" s="9">
        <v>19.7</v>
      </c>
      <c r="I46" s="9">
        <v>19.5</v>
      </c>
      <c r="J46" s="8">
        <v>19.3</v>
      </c>
      <c r="K46" s="8">
        <v>19.7</v>
      </c>
      <c r="L46" s="9"/>
      <c r="M46" s="9">
        <v>19.7</v>
      </c>
      <c r="N46" s="8"/>
      <c r="O46" s="8">
        <v>19.399999999999999</v>
      </c>
      <c r="P46" s="9">
        <v>19.899999999999999</v>
      </c>
      <c r="Q46" s="9">
        <v>20.100000000000001</v>
      </c>
    </row>
    <row r="47" spans="2:17" ht="20.100000000000001" customHeight="1">
      <c r="B47" s="103"/>
      <c r="C47" s="10" t="s">
        <v>86</v>
      </c>
      <c r="D47" s="7" t="s">
        <v>76</v>
      </c>
      <c r="E47" s="7" t="s">
        <v>76</v>
      </c>
      <c r="F47" s="8"/>
      <c r="G47" s="8"/>
      <c r="H47" s="9">
        <v>119.8</v>
      </c>
      <c r="I47" s="9">
        <v>122.6</v>
      </c>
      <c r="J47" s="8">
        <v>200.7</v>
      </c>
      <c r="K47" s="8">
        <v>202.2</v>
      </c>
      <c r="L47" s="9"/>
      <c r="M47" s="9">
        <v>208</v>
      </c>
      <c r="N47" s="8"/>
      <c r="O47" s="8">
        <v>167.4</v>
      </c>
      <c r="P47" s="9">
        <v>203.8</v>
      </c>
      <c r="Q47" s="9">
        <v>186.2</v>
      </c>
    </row>
    <row r="48" spans="2:17" ht="20.100000000000001" customHeight="1">
      <c r="B48" s="97" t="s">
        <v>87</v>
      </c>
      <c r="C48" s="97"/>
      <c r="D48" s="97"/>
      <c r="E48" s="17" t="s">
        <v>88</v>
      </c>
      <c r="F48" s="8"/>
      <c r="G48" s="8"/>
      <c r="H48" s="9"/>
      <c r="I48" s="9"/>
      <c r="J48" s="8"/>
      <c r="K48" s="8"/>
      <c r="L48" s="9"/>
      <c r="M48" s="9"/>
      <c r="N48" s="8"/>
      <c r="O48" s="8"/>
      <c r="P48" s="9"/>
      <c r="Q48" s="9"/>
    </row>
    <row r="49" spans="2:17" ht="20.100000000000001" customHeight="1">
      <c r="B49" s="97" t="s">
        <v>89</v>
      </c>
      <c r="C49" s="97"/>
      <c r="D49" s="97"/>
      <c r="E49" s="79">
        <v>5.89</v>
      </c>
      <c r="F49" s="8"/>
      <c r="G49" s="8"/>
      <c r="H49" s="9">
        <v>5.41</v>
      </c>
      <c r="I49" s="9">
        <v>5.36</v>
      </c>
      <c r="J49" s="8">
        <v>5.64</v>
      </c>
      <c r="K49" s="8">
        <v>5.66</v>
      </c>
      <c r="L49" s="9"/>
      <c r="M49" s="9">
        <v>5.65</v>
      </c>
      <c r="N49" s="8"/>
      <c r="O49" s="8">
        <v>5.45</v>
      </c>
      <c r="P49" s="9">
        <v>5.17</v>
      </c>
      <c r="Q49" s="9">
        <v>5.23</v>
      </c>
    </row>
    <row r="50" spans="2:17" ht="20.100000000000001" customHeight="1">
      <c r="B50" s="97" t="s">
        <v>90</v>
      </c>
      <c r="C50" s="97"/>
      <c r="D50" s="97"/>
      <c r="E50" s="79"/>
      <c r="F50" s="8"/>
      <c r="G50" s="8"/>
      <c r="H50" s="9"/>
      <c r="I50" s="9"/>
      <c r="J50" s="8"/>
      <c r="K50" s="8"/>
      <c r="L50" s="9"/>
      <c r="M50" s="9"/>
      <c r="N50" s="8"/>
      <c r="O50" s="8"/>
      <c r="P50" s="9"/>
      <c r="Q50" s="9"/>
    </row>
    <row r="51" spans="2:17" ht="20.100000000000001" customHeight="1" thickBot="1">
      <c r="B51" s="97" t="s">
        <v>91</v>
      </c>
      <c r="C51" s="97"/>
      <c r="D51" s="97"/>
      <c r="E51" s="78"/>
      <c r="F51" s="8"/>
      <c r="G51" s="8"/>
      <c r="H51" s="9"/>
      <c r="I51" s="9"/>
      <c r="J51" s="8"/>
      <c r="K51" s="8"/>
      <c r="L51" s="9"/>
      <c r="M51" s="9"/>
      <c r="N51" s="8"/>
      <c r="O51" s="8"/>
      <c r="P51" s="9"/>
      <c r="Q51" s="9"/>
    </row>
    <row r="52" spans="2:17">
      <c r="B52" t="s">
        <v>92</v>
      </c>
      <c r="C52" s="18" t="s">
        <v>93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28"/>
    </row>
    <row r="53" spans="2:17">
      <c r="C53" s="20" t="s">
        <v>94</v>
      </c>
      <c r="Q53" s="31"/>
    </row>
    <row r="54" spans="2:17">
      <c r="C54" s="20" t="s">
        <v>95</v>
      </c>
      <c r="Q54" s="31"/>
    </row>
    <row r="55" spans="2:17">
      <c r="C55" s="20"/>
      <c r="Q55" s="31"/>
    </row>
    <row r="56" spans="2:17">
      <c r="C56" s="20"/>
      <c r="Q56" s="31"/>
    </row>
    <row r="57" spans="2:17">
      <c r="C57" s="20" t="s">
        <v>96</v>
      </c>
      <c r="F57" s="21" t="b">
        <v>0</v>
      </c>
      <c r="G57" s="22" t="s">
        <v>97</v>
      </c>
      <c r="Q57" s="31"/>
    </row>
    <row r="58" spans="2:17">
      <c r="C58" s="20" t="s">
        <v>96</v>
      </c>
      <c r="F58" s="8" t="s">
        <v>98</v>
      </c>
      <c r="G58" s="23" t="s">
        <v>99</v>
      </c>
      <c r="Q58" s="31"/>
    </row>
    <row r="59" spans="2:17" ht="15.75" thickBot="1"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30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648E8-EF69-4B37-88B3-8E485FA40595}">
  <dimension ref="B1:Q59"/>
  <sheetViews>
    <sheetView view="pageBreakPreview" topLeftCell="A7" zoomScale="85" zoomScaleNormal="60" workbookViewId="0">
      <selection activeCell="G16" sqref="G16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107"/>
      <c r="C2" s="110" t="s">
        <v>0</v>
      </c>
      <c r="D2" s="111"/>
      <c r="E2" s="111"/>
      <c r="F2" s="111"/>
      <c r="G2" s="111"/>
      <c r="H2" s="111"/>
      <c r="I2" s="111"/>
      <c r="J2" s="111"/>
      <c r="K2" s="111"/>
      <c r="L2" s="111"/>
      <c r="M2" s="112"/>
      <c r="N2" s="18" t="s">
        <v>1</v>
      </c>
      <c r="O2" s="19"/>
      <c r="P2" s="19"/>
      <c r="Q2" s="28"/>
    </row>
    <row r="3" spans="2:17" ht="15.75" thickBot="1">
      <c r="B3" s="108"/>
      <c r="C3" s="113"/>
      <c r="D3" s="114"/>
      <c r="E3" s="114"/>
      <c r="F3" s="114"/>
      <c r="G3" s="114"/>
      <c r="H3" s="114"/>
      <c r="I3" s="114"/>
      <c r="J3" s="114"/>
      <c r="K3" s="114"/>
      <c r="L3" s="114"/>
      <c r="M3" s="115"/>
      <c r="N3" s="26" t="s">
        <v>2</v>
      </c>
      <c r="O3" s="27" t="s">
        <v>3</v>
      </c>
      <c r="P3" s="27"/>
      <c r="Q3" s="29"/>
    </row>
    <row r="4" spans="2:17" ht="15.75" thickBot="1">
      <c r="B4" s="108"/>
      <c r="C4" s="113"/>
      <c r="D4" s="114"/>
      <c r="E4" s="114"/>
      <c r="F4" s="114"/>
      <c r="G4" s="114"/>
      <c r="H4" s="114"/>
      <c r="I4" s="114"/>
      <c r="J4" s="114"/>
      <c r="K4" s="114"/>
      <c r="L4" s="114"/>
      <c r="M4" s="115"/>
      <c r="N4" s="26" t="s">
        <v>4</v>
      </c>
      <c r="O4" s="27"/>
      <c r="P4" s="27"/>
      <c r="Q4" s="29"/>
    </row>
    <row r="5" spans="2:17" ht="15.75" thickBot="1">
      <c r="B5" s="109"/>
      <c r="C5" s="116"/>
      <c r="D5" s="117"/>
      <c r="E5" s="117"/>
      <c r="F5" s="117"/>
      <c r="G5" s="117"/>
      <c r="H5" s="117"/>
      <c r="I5" s="117"/>
      <c r="J5" s="117"/>
      <c r="K5" s="117"/>
      <c r="L5" s="117"/>
      <c r="M5" s="118"/>
      <c r="N5" s="24" t="s">
        <v>5</v>
      </c>
      <c r="O5" s="25"/>
      <c r="P5" s="25"/>
      <c r="Q5" s="30"/>
    </row>
    <row r="7" spans="2:17">
      <c r="B7" s="98" t="s">
        <v>6</v>
      </c>
      <c r="C7" s="99"/>
      <c r="D7" s="100">
        <v>45740</v>
      </c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2"/>
    </row>
    <row r="8" spans="2:17">
      <c r="B8" s="97" t="s">
        <v>7</v>
      </c>
      <c r="C8" s="97"/>
      <c r="D8" s="97"/>
      <c r="E8" s="105" t="s">
        <v>8</v>
      </c>
      <c r="F8" s="103" t="s">
        <v>9</v>
      </c>
      <c r="G8" s="103"/>
      <c r="H8" s="104" t="s">
        <v>10</v>
      </c>
      <c r="I8" s="104"/>
      <c r="J8" s="103" t="s">
        <v>11</v>
      </c>
      <c r="K8" s="103"/>
      <c r="L8" s="104" t="s">
        <v>12</v>
      </c>
      <c r="M8" s="104"/>
      <c r="N8" s="103" t="s">
        <v>13</v>
      </c>
      <c r="O8" s="103"/>
      <c r="P8" s="104" t="s">
        <v>14</v>
      </c>
      <c r="Q8" s="104"/>
    </row>
    <row r="9" spans="2:17">
      <c r="B9" s="98" t="s">
        <v>15</v>
      </c>
      <c r="C9" s="119"/>
      <c r="D9" s="99"/>
      <c r="E9" s="106"/>
      <c r="F9" s="3">
        <v>0.375</v>
      </c>
      <c r="G9" s="32" t="s">
        <v>16</v>
      </c>
      <c r="H9" s="4">
        <v>0.375</v>
      </c>
      <c r="I9" s="33" t="s">
        <v>16</v>
      </c>
      <c r="J9" s="3">
        <v>0.375</v>
      </c>
      <c r="K9" s="32" t="s">
        <v>16</v>
      </c>
      <c r="L9" s="4">
        <v>0.375</v>
      </c>
      <c r="M9" s="33" t="s">
        <v>16</v>
      </c>
      <c r="N9" s="3">
        <v>0.375</v>
      </c>
      <c r="O9" s="32" t="s">
        <v>16</v>
      </c>
      <c r="P9" s="4">
        <v>0.375</v>
      </c>
      <c r="Q9" s="33" t="s">
        <v>16</v>
      </c>
    </row>
    <row r="10" spans="2:17" ht="26.25" customHeight="1">
      <c r="B10" s="120" t="s">
        <v>17</v>
      </c>
      <c r="C10" s="121"/>
      <c r="D10" s="81" t="s">
        <v>18</v>
      </c>
      <c r="E10" s="5"/>
      <c r="F10" s="6" t="s">
        <v>19</v>
      </c>
      <c r="G10" s="34" t="s">
        <v>19</v>
      </c>
      <c r="H10" s="35" t="s">
        <v>19</v>
      </c>
      <c r="I10" s="35" t="s">
        <v>19</v>
      </c>
      <c r="J10" s="34" t="s">
        <v>19</v>
      </c>
      <c r="K10" s="34" t="s">
        <v>19</v>
      </c>
      <c r="L10" s="35" t="s">
        <v>19</v>
      </c>
      <c r="M10" s="35" t="s">
        <v>19</v>
      </c>
      <c r="N10" s="6" t="s">
        <v>19</v>
      </c>
      <c r="O10" s="34" t="s">
        <v>19</v>
      </c>
      <c r="P10" s="35" t="s">
        <v>19</v>
      </c>
      <c r="Q10" s="35" t="s">
        <v>19</v>
      </c>
    </row>
    <row r="11" spans="2:17" ht="20.100000000000001" customHeight="1">
      <c r="B11" s="97" t="s">
        <v>20</v>
      </c>
      <c r="C11" s="97"/>
      <c r="D11" s="7" t="s">
        <v>21</v>
      </c>
      <c r="E11" s="7" t="s">
        <v>22</v>
      </c>
      <c r="F11" s="8"/>
      <c r="G11" s="8"/>
      <c r="H11" s="9"/>
      <c r="I11" s="9"/>
      <c r="J11" s="8">
        <v>74.900000000000006</v>
      </c>
      <c r="K11" s="8"/>
      <c r="L11" s="9">
        <v>71.8</v>
      </c>
      <c r="M11" s="9"/>
      <c r="N11" s="8"/>
      <c r="O11" s="8"/>
      <c r="P11" s="9"/>
      <c r="Q11" s="9"/>
    </row>
    <row r="12" spans="2:17" ht="20.100000000000001" customHeight="1">
      <c r="B12" s="97" t="s">
        <v>23</v>
      </c>
      <c r="C12" s="97"/>
      <c r="D12" s="7" t="s">
        <v>21</v>
      </c>
      <c r="E12" s="7" t="s">
        <v>22</v>
      </c>
      <c r="F12" s="8"/>
      <c r="G12" s="8"/>
      <c r="H12" s="9"/>
      <c r="I12" s="9"/>
      <c r="J12" s="8">
        <v>0</v>
      </c>
      <c r="K12" s="8"/>
      <c r="L12" s="9">
        <v>0.1</v>
      </c>
      <c r="M12" s="9"/>
      <c r="N12" s="8"/>
      <c r="O12" s="8"/>
      <c r="P12" s="9"/>
      <c r="Q12" s="9"/>
    </row>
    <row r="13" spans="2:17" ht="20.100000000000001" customHeight="1">
      <c r="B13" s="97" t="s">
        <v>24</v>
      </c>
      <c r="C13" s="97"/>
      <c r="D13" s="7" t="s">
        <v>21</v>
      </c>
      <c r="E13" s="7" t="s">
        <v>22</v>
      </c>
      <c r="F13" s="8"/>
      <c r="G13" s="8"/>
      <c r="H13" s="9"/>
      <c r="I13" s="9"/>
      <c r="J13" s="8">
        <v>69.099999999999994</v>
      </c>
      <c r="K13" s="8"/>
      <c r="L13" s="9">
        <v>68.7</v>
      </c>
      <c r="M13" s="9"/>
      <c r="N13" s="8"/>
      <c r="O13" s="8"/>
      <c r="P13" s="9"/>
      <c r="Q13" s="9"/>
    </row>
    <row r="14" spans="2:17" ht="20.100000000000001" customHeight="1">
      <c r="B14" s="97" t="s">
        <v>25</v>
      </c>
      <c r="C14" s="97"/>
      <c r="D14" s="7" t="s">
        <v>21</v>
      </c>
      <c r="E14" s="7" t="s">
        <v>22</v>
      </c>
      <c r="F14" s="8"/>
      <c r="G14" s="8"/>
      <c r="H14" s="9"/>
      <c r="I14" s="9"/>
      <c r="J14" s="8">
        <v>62.8</v>
      </c>
      <c r="K14" s="8"/>
      <c r="L14" s="9">
        <v>65.5</v>
      </c>
      <c r="M14" s="9"/>
      <c r="N14" s="8"/>
      <c r="O14" s="8"/>
      <c r="P14" s="9"/>
      <c r="Q14" s="9"/>
    </row>
    <row r="15" spans="2:17" ht="20.100000000000001" customHeight="1">
      <c r="B15" s="97" t="s">
        <v>26</v>
      </c>
      <c r="C15" s="97"/>
      <c r="D15" s="7" t="s">
        <v>21</v>
      </c>
      <c r="E15" s="7" t="s">
        <v>22</v>
      </c>
      <c r="F15" s="8"/>
      <c r="G15" s="8"/>
      <c r="H15" s="9"/>
      <c r="I15" s="9"/>
      <c r="J15" s="8">
        <v>37.799999999999997</v>
      </c>
      <c r="K15" s="8"/>
      <c r="L15" s="9">
        <v>31.2</v>
      </c>
      <c r="M15" s="9"/>
      <c r="N15" s="8"/>
      <c r="O15" s="8"/>
      <c r="P15" s="9"/>
      <c r="Q15" s="9"/>
    </row>
    <row r="16" spans="2:17" ht="20.100000000000001" customHeight="1">
      <c r="B16" s="103" t="s">
        <v>27</v>
      </c>
      <c r="C16" s="10" t="s">
        <v>28</v>
      </c>
      <c r="D16" s="7" t="s">
        <v>29</v>
      </c>
      <c r="E16" s="7" t="s">
        <v>30</v>
      </c>
      <c r="F16" s="8"/>
      <c r="G16" s="8"/>
      <c r="H16" s="8"/>
      <c r="I16" s="8"/>
      <c r="J16" s="8">
        <v>6.6</v>
      </c>
      <c r="K16" s="8"/>
      <c r="L16" s="8">
        <v>6.6</v>
      </c>
      <c r="M16" s="8"/>
      <c r="N16" s="8"/>
      <c r="O16" s="8"/>
      <c r="P16" s="8"/>
      <c r="Q16" s="8"/>
    </row>
    <row r="17" spans="2:17" ht="20.100000000000001" customHeight="1">
      <c r="B17" s="103"/>
      <c r="C17" s="10" t="s">
        <v>31</v>
      </c>
      <c r="D17" s="7" t="s">
        <v>32</v>
      </c>
      <c r="E17" s="7" t="s">
        <v>33</v>
      </c>
      <c r="F17" s="8"/>
      <c r="G17" s="8"/>
      <c r="H17" s="9"/>
      <c r="I17" s="9"/>
      <c r="J17" s="8">
        <v>117.4</v>
      </c>
      <c r="K17" s="8"/>
      <c r="L17" s="9">
        <v>114.4</v>
      </c>
      <c r="M17" s="9"/>
      <c r="N17" s="8"/>
      <c r="O17" s="8"/>
      <c r="P17" s="9"/>
      <c r="Q17" s="9"/>
    </row>
    <row r="18" spans="2:17" ht="20.100000000000001" customHeight="1">
      <c r="B18" s="103"/>
      <c r="C18" s="10" t="s">
        <v>34</v>
      </c>
      <c r="D18" s="7" t="s">
        <v>35</v>
      </c>
      <c r="E18" s="7" t="s">
        <v>36</v>
      </c>
      <c r="F18" s="8"/>
      <c r="G18" s="8"/>
      <c r="H18" s="9"/>
      <c r="I18" s="9"/>
      <c r="J18" s="8">
        <v>1198</v>
      </c>
      <c r="K18" s="8"/>
      <c r="L18" s="9">
        <v>1164</v>
      </c>
      <c r="M18" s="9"/>
      <c r="N18" s="8"/>
      <c r="O18" s="8"/>
      <c r="P18" s="9"/>
      <c r="Q18" s="9"/>
    </row>
    <row r="19" spans="2:17" ht="20.100000000000001" customHeight="1">
      <c r="B19" s="103" t="s">
        <v>37</v>
      </c>
      <c r="C19" s="10" t="s">
        <v>38</v>
      </c>
      <c r="D19" s="7" t="s">
        <v>39</v>
      </c>
      <c r="E19" s="11" t="s">
        <v>40</v>
      </c>
      <c r="F19" s="8"/>
      <c r="G19" s="8"/>
      <c r="H19" s="9"/>
      <c r="I19" s="9"/>
      <c r="J19" s="8">
        <v>48551.5</v>
      </c>
      <c r="K19" s="8"/>
      <c r="L19" s="9">
        <v>50925.9</v>
      </c>
      <c r="M19" s="9"/>
      <c r="N19" s="8"/>
      <c r="O19" s="8"/>
      <c r="P19" s="9"/>
      <c r="Q19" s="9"/>
    </row>
    <row r="20" spans="2:17" ht="20.100000000000001" customHeight="1">
      <c r="B20" s="103"/>
      <c r="C20" s="10" t="s">
        <v>41</v>
      </c>
      <c r="D20" s="7" t="s">
        <v>42</v>
      </c>
      <c r="E20" s="7" t="s">
        <v>43</v>
      </c>
      <c r="F20" s="8"/>
      <c r="G20" s="8"/>
      <c r="H20" s="9"/>
      <c r="I20" s="9"/>
      <c r="J20" s="8"/>
      <c r="K20" s="8"/>
      <c r="L20" s="9"/>
      <c r="M20" s="9"/>
      <c r="N20" s="8"/>
      <c r="O20" s="8"/>
      <c r="P20" s="9"/>
      <c r="Q20" s="9"/>
    </row>
    <row r="21" spans="2:17" ht="20.100000000000001" customHeight="1">
      <c r="B21" s="103"/>
      <c r="C21" s="10" t="s">
        <v>44</v>
      </c>
      <c r="D21" s="7" t="s">
        <v>42</v>
      </c>
      <c r="E21" s="7" t="s">
        <v>45</v>
      </c>
      <c r="F21" s="8"/>
      <c r="G21" s="8"/>
      <c r="H21" s="9"/>
      <c r="I21" s="9"/>
      <c r="J21" s="8"/>
      <c r="K21" s="8"/>
      <c r="L21" s="9"/>
      <c r="M21" s="9"/>
      <c r="N21" s="8"/>
      <c r="O21" s="8"/>
      <c r="P21" s="9"/>
      <c r="Q21" s="9"/>
    </row>
    <row r="22" spans="2:17" ht="20.100000000000001" customHeight="1">
      <c r="B22" s="103"/>
      <c r="C22" s="10" t="s">
        <v>46</v>
      </c>
      <c r="D22" s="7" t="s">
        <v>42</v>
      </c>
      <c r="E22" s="7" t="s">
        <v>47</v>
      </c>
      <c r="F22" s="8"/>
      <c r="G22" s="8"/>
      <c r="H22" s="9"/>
      <c r="I22" s="9"/>
      <c r="J22" s="8">
        <v>58</v>
      </c>
      <c r="K22" s="8"/>
      <c r="L22" s="9">
        <v>57.5</v>
      </c>
      <c r="M22" s="9"/>
      <c r="N22" s="8"/>
      <c r="O22" s="8"/>
      <c r="P22" s="9"/>
      <c r="Q22" s="9"/>
    </row>
    <row r="23" spans="2:17" ht="60">
      <c r="B23" s="103"/>
      <c r="C23" s="12" t="s">
        <v>48</v>
      </c>
      <c r="D23" s="8" t="s">
        <v>49</v>
      </c>
      <c r="E23" s="13" t="s">
        <v>50</v>
      </c>
      <c r="F23" s="8"/>
      <c r="G23" s="8"/>
      <c r="H23" s="9"/>
      <c r="I23" s="9"/>
      <c r="J23" s="8">
        <v>0.59</v>
      </c>
      <c r="K23" s="8"/>
      <c r="L23" s="9">
        <v>0.52</v>
      </c>
      <c r="M23" s="9"/>
      <c r="N23" s="8"/>
      <c r="O23" s="8"/>
      <c r="P23" s="9"/>
      <c r="Q23" s="9"/>
    </row>
    <row r="24" spans="2:17" ht="39.75" customHeight="1">
      <c r="B24" s="103"/>
      <c r="C24" s="12" t="s">
        <v>51</v>
      </c>
      <c r="D24" s="7"/>
      <c r="E24" s="7"/>
      <c r="F24" s="8"/>
      <c r="G24" s="8"/>
      <c r="H24" s="9"/>
      <c r="I24" s="9"/>
      <c r="J24" s="8"/>
      <c r="K24" s="8"/>
      <c r="L24" s="8"/>
      <c r="M24" s="9"/>
      <c r="N24" s="8"/>
      <c r="O24" s="8"/>
      <c r="P24" s="9"/>
      <c r="Q24" s="9"/>
    </row>
    <row r="25" spans="2:17" ht="20.100000000000001" customHeight="1">
      <c r="B25" s="103"/>
      <c r="C25" s="10" t="s">
        <v>52</v>
      </c>
      <c r="D25" s="7" t="s">
        <v>42</v>
      </c>
      <c r="E25" s="7" t="s">
        <v>53</v>
      </c>
      <c r="F25" s="8"/>
      <c r="G25" s="8"/>
      <c r="H25" s="9"/>
      <c r="I25" s="9"/>
      <c r="J25" s="8">
        <v>45.3</v>
      </c>
      <c r="K25" s="8"/>
      <c r="L25" s="9">
        <v>45</v>
      </c>
      <c r="M25" s="9"/>
      <c r="N25" s="8"/>
      <c r="O25" s="8"/>
      <c r="P25" s="9"/>
      <c r="Q25" s="9"/>
    </row>
    <row r="26" spans="2:17" ht="20.100000000000001" customHeight="1">
      <c r="B26" s="103" t="s">
        <v>54</v>
      </c>
      <c r="C26" s="10" t="s">
        <v>55</v>
      </c>
      <c r="D26" s="7" t="s">
        <v>49</v>
      </c>
      <c r="E26" s="14" t="s">
        <v>56</v>
      </c>
      <c r="F26" s="8"/>
      <c r="G26" s="8"/>
      <c r="H26" s="9"/>
      <c r="I26" s="9"/>
      <c r="J26" s="8">
        <v>0.23</v>
      </c>
      <c r="K26" s="8"/>
      <c r="L26" s="9">
        <v>0.22</v>
      </c>
      <c r="M26" s="9"/>
      <c r="N26" s="8"/>
      <c r="O26" s="8"/>
      <c r="P26" s="9"/>
      <c r="Q26" s="9"/>
    </row>
    <row r="27" spans="2:17" ht="20.100000000000001" customHeight="1">
      <c r="B27" s="103"/>
      <c r="C27" s="10" t="s">
        <v>57</v>
      </c>
      <c r="D27" s="7" t="s">
        <v>42</v>
      </c>
      <c r="E27" s="7" t="s">
        <v>43</v>
      </c>
      <c r="F27" s="8"/>
      <c r="G27" s="8"/>
      <c r="H27" s="9"/>
      <c r="I27" s="9"/>
      <c r="J27" s="8">
        <v>4.3</v>
      </c>
      <c r="K27" s="8"/>
      <c r="L27" s="9">
        <v>3.7</v>
      </c>
      <c r="M27" s="9"/>
      <c r="N27" s="8"/>
      <c r="O27" s="8"/>
      <c r="P27" s="9"/>
      <c r="Q27" s="9"/>
    </row>
    <row r="28" spans="2:17" ht="20.100000000000001" customHeight="1">
      <c r="B28" s="103"/>
      <c r="C28" s="10" t="s">
        <v>58</v>
      </c>
      <c r="D28" s="7" t="s">
        <v>42</v>
      </c>
      <c r="E28" s="7" t="s">
        <v>43</v>
      </c>
      <c r="F28" s="8"/>
      <c r="G28" s="8"/>
      <c r="H28" s="9"/>
      <c r="I28" s="9"/>
      <c r="J28" s="8">
        <v>3.4</v>
      </c>
      <c r="K28" s="8"/>
      <c r="L28" s="9">
        <v>2.6</v>
      </c>
      <c r="M28" s="9"/>
      <c r="N28" s="8"/>
      <c r="O28" s="8"/>
      <c r="P28" s="9"/>
      <c r="Q28" s="9"/>
    </row>
    <row r="29" spans="2:17" ht="20.100000000000001" customHeight="1">
      <c r="B29" s="103"/>
      <c r="C29" s="10" t="s">
        <v>59</v>
      </c>
      <c r="D29" s="7" t="s">
        <v>42</v>
      </c>
      <c r="E29" s="7" t="s">
        <v>43</v>
      </c>
      <c r="F29" s="15">
        <f>F32-F28</f>
        <v>0</v>
      </c>
      <c r="G29" s="15">
        <f>G32-G28</f>
        <v>0</v>
      </c>
      <c r="H29" s="15">
        <f t="shared" ref="H29:Q29" si="0">H32-H28</f>
        <v>0</v>
      </c>
      <c r="I29" s="15">
        <f t="shared" si="0"/>
        <v>0</v>
      </c>
      <c r="J29" s="15">
        <f t="shared" si="0"/>
        <v>0.69999999999999973</v>
      </c>
      <c r="K29" s="15">
        <f t="shared" si="0"/>
        <v>0</v>
      </c>
      <c r="L29" s="15">
        <f>L32-L28</f>
        <v>1.2999999999999998</v>
      </c>
      <c r="M29" s="15">
        <f>M32-M28</f>
        <v>0</v>
      </c>
      <c r="N29" s="15">
        <f>N32-N28</f>
        <v>0</v>
      </c>
      <c r="O29" s="15">
        <f>O32-O28</f>
        <v>0</v>
      </c>
      <c r="P29" s="15">
        <f t="shared" si="0"/>
        <v>0</v>
      </c>
      <c r="Q29" s="15">
        <f t="shared" si="0"/>
        <v>0</v>
      </c>
    </row>
    <row r="30" spans="2:17" ht="20.100000000000001" customHeight="1">
      <c r="B30" s="103"/>
      <c r="C30" s="10" t="s">
        <v>60</v>
      </c>
      <c r="D30" s="7" t="s">
        <v>61</v>
      </c>
      <c r="E30" s="7" t="s">
        <v>62</v>
      </c>
      <c r="F30" s="8"/>
      <c r="G30" s="8"/>
      <c r="H30" s="9"/>
      <c r="I30" s="9"/>
      <c r="J30" s="8">
        <v>655.9</v>
      </c>
      <c r="K30" s="8"/>
      <c r="L30" s="9">
        <v>629.9</v>
      </c>
      <c r="M30" s="9"/>
      <c r="N30" s="8"/>
      <c r="O30" s="8"/>
      <c r="P30" s="9"/>
      <c r="Q30" s="9"/>
    </row>
    <row r="31" spans="2:17" ht="20.100000000000001" customHeight="1">
      <c r="B31" s="103"/>
      <c r="C31" s="10" t="s">
        <v>63</v>
      </c>
      <c r="D31" s="7" t="s">
        <v>42</v>
      </c>
      <c r="E31" s="7">
        <v>13.5</v>
      </c>
      <c r="F31" s="8"/>
      <c r="G31" s="8"/>
      <c r="H31" s="9"/>
      <c r="I31" s="9"/>
      <c r="J31" s="8">
        <v>13</v>
      </c>
      <c r="K31" s="8"/>
      <c r="L31" s="9">
        <v>12.8</v>
      </c>
      <c r="M31" s="9"/>
      <c r="N31" s="8"/>
      <c r="O31" s="8"/>
      <c r="P31" s="9"/>
      <c r="Q31" s="9"/>
    </row>
    <row r="32" spans="2:17" ht="20.100000000000001" customHeight="1">
      <c r="B32" s="103"/>
      <c r="C32" s="10" t="s">
        <v>64</v>
      </c>
      <c r="D32" s="7" t="s">
        <v>42</v>
      </c>
      <c r="E32" s="7">
        <v>4</v>
      </c>
      <c r="F32" s="8"/>
      <c r="G32" s="8"/>
      <c r="H32" s="9"/>
      <c r="I32" s="9"/>
      <c r="J32" s="8">
        <v>4.0999999999999996</v>
      </c>
      <c r="K32" s="8"/>
      <c r="L32" s="9">
        <v>3.9</v>
      </c>
      <c r="M32" s="9"/>
      <c r="N32" s="8"/>
      <c r="O32" s="8"/>
      <c r="P32" s="9"/>
      <c r="Q32" s="9"/>
    </row>
    <row r="33" spans="2:17" ht="20.100000000000001" customHeight="1">
      <c r="B33" s="103"/>
      <c r="C33" s="10" t="s">
        <v>65</v>
      </c>
      <c r="D33" s="7" t="s">
        <v>42</v>
      </c>
      <c r="E33" s="7">
        <v>9.5</v>
      </c>
      <c r="F33" s="15">
        <f>F31-F32</f>
        <v>0</v>
      </c>
      <c r="G33" s="15">
        <f>G31-G32</f>
        <v>0</v>
      </c>
      <c r="H33" s="15">
        <f t="shared" ref="H33:Q33" si="1">H31-H32</f>
        <v>0</v>
      </c>
      <c r="I33" s="15">
        <f t="shared" si="1"/>
        <v>0</v>
      </c>
      <c r="J33" s="15">
        <f t="shared" si="1"/>
        <v>8.9</v>
      </c>
      <c r="K33" s="15">
        <f t="shared" si="1"/>
        <v>0</v>
      </c>
      <c r="L33" s="15">
        <f>L31-L32</f>
        <v>8.9</v>
      </c>
      <c r="M33" s="15">
        <f>M31-M32</f>
        <v>0</v>
      </c>
      <c r="N33" s="15">
        <f>N31-N32</f>
        <v>0</v>
      </c>
      <c r="O33" s="15">
        <f>O31-O32</f>
        <v>0</v>
      </c>
      <c r="P33" s="15">
        <f t="shared" si="1"/>
        <v>0</v>
      </c>
      <c r="Q33" s="15">
        <f t="shared" si="1"/>
        <v>0</v>
      </c>
    </row>
    <row r="34" spans="2:17" ht="20.100000000000001" customHeight="1">
      <c r="B34" s="103"/>
      <c r="C34" s="10" t="s">
        <v>66</v>
      </c>
      <c r="D34" s="7" t="s">
        <v>67</v>
      </c>
      <c r="E34" s="7" t="s">
        <v>68</v>
      </c>
      <c r="F34" s="16">
        <f>(F33*F30)/0.866</f>
        <v>0</v>
      </c>
      <c r="G34" s="16">
        <f>(G33*G30)/0.866</f>
        <v>0</v>
      </c>
      <c r="H34" s="16">
        <f t="shared" ref="H34:Q34" si="2">(H33*H30)/0.866</f>
        <v>0</v>
      </c>
      <c r="I34" s="16">
        <f t="shared" si="2"/>
        <v>0</v>
      </c>
      <c r="J34" s="16">
        <f t="shared" si="2"/>
        <v>6740.7736720554276</v>
      </c>
      <c r="K34" s="16">
        <f t="shared" si="2"/>
        <v>0</v>
      </c>
      <c r="L34" s="16">
        <f>(L33*L30)/0.866</f>
        <v>6473.5681293302541</v>
      </c>
      <c r="M34" s="16">
        <f>(M33*M30)/0.866</f>
        <v>0</v>
      </c>
      <c r="N34" s="16">
        <f>(N33*N30)/0.866</f>
        <v>0</v>
      </c>
      <c r="O34" s="16">
        <f>(O33*O30)/0.866</f>
        <v>0</v>
      </c>
      <c r="P34" s="16">
        <f t="shared" si="2"/>
        <v>0</v>
      </c>
      <c r="Q34" s="16">
        <f t="shared" si="2"/>
        <v>0</v>
      </c>
    </row>
    <row r="35" spans="2:17" ht="20.100000000000001" customHeight="1">
      <c r="B35" s="103" t="s">
        <v>69</v>
      </c>
      <c r="C35" s="10" t="s">
        <v>70</v>
      </c>
      <c r="D35" s="7" t="s">
        <v>49</v>
      </c>
      <c r="E35" s="7" t="s">
        <v>71</v>
      </c>
      <c r="F35" s="8"/>
      <c r="G35" s="8"/>
      <c r="H35" s="9"/>
      <c r="I35" s="9"/>
      <c r="J35" s="8">
        <v>0.83</v>
      </c>
      <c r="K35" s="8"/>
      <c r="L35" s="9">
        <v>0.82</v>
      </c>
      <c r="M35" s="9"/>
      <c r="N35" s="8"/>
      <c r="O35" s="8"/>
      <c r="P35" s="9"/>
      <c r="Q35" s="9"/>
    </row>
    <row r="36" spans="2:17" ht="20.100000000000001" customHeight="1">
      <c r="B36" s="103"/>
      <c r="C36" s="10" t="s">
        <v>72</v>
      </c>
      <c r="D36" s="7" t="s">
        <v>42</v>
      </c>
      <c r="E36" s="7" t="s">
        <v>43</v>
      </c>
      <c r="F36" s="8"/>
      <c r="G36" s="8"/>
      <c r="H36" s="9"/>
      <c r="I36" s="9"/>
      <c r="J36" s="8">
        <v>36.299999999999997</v>
      </c>
      <c r="K36" s="8"/>
      <c r="L36" s="9">
        <v>36.200000000000003</v>
      </c>
      <c r="M36" s="9"/>
      <c r="N36" s="8"/>
      <c r="O36" s="8"/>
      <c r="P36" s="9"/>
      <c r="Q36" s="9"/>
    </row>
    <row r="37" spans="2:17" ht="20.100000000000001" customHeight="1">
      <c r="B37" s="103"/>
      <c r="C37" s="10" t="s">
        <v>73</v>
      </c>
      <c r="D37" s="7" t="s">
        <v>42</v>
      </c>
      <c r="E37" s="7" t="s">
        <v>43</v>
      </c>
      <c r="F37" s="8"/>
      <c r="G37" s="8"/>
      <c r="H37" s="9"/>
      <c r="I37" s="9"/>
      <c r="J37" s="8">
        <v>37.1</v>
      </c>
      <c r="K37" s="8"/>
      <c r="L37" s="9">
        <v>36.6</v>
      </c>
      <c r="M37" s="9"/>
      <c r="N37" s="8"/>
      <c r="O37" s="8"/>
      <c r="P37" s="9"/>
      <c r="Q37" s="9"/>
    </row>
    <row r="38" spans="2:17" ht="20.100000000000001" customHeight="1">
      <c r="B38" s="103"/>
      <c r="C38" s="12" t="s">
        <v>74</v>
      </c>
      <c r="D38" s="7" t="s">
        <v>42</v>
      </c>
      <c r="E38" s="7" t="s">
        <v>101</v>
      </c>
      <c r="F38" s="15">
        <f>F37-F41</f>
        <v>0</v>
      </c>
      <c r="G38" s="15">
        <f>G37-G41</f>
        <v>0</v>
      </c>
      <c r="H38" s="15">
        <f t="shared" ref="H38:Q38" si="3">H37-H41</f>
        <v>0</v>
      </c>
      <c r="I38" s="15">
        <f t="shared" si="3"/>
        <v>0</v>
      </c>
      <c r="J38" s="15">
        <f t="shared" si="3"/>
        <v>2.7000000000000028</v>
      </c>
      <c r="K38" s="15">
        <f t="shared" si="3"/>
        <v>0</v>
      </c>
      <c r="L38" s="15">
        <f>L37-L41</f>
        <v>2.6000000000000014</v>
      </c>
      <c r="M38" s="15">
        <f>M37-M41</f>
        <v>0</v>
      </c>
      <c r="N38" s="15">
        <f>N37-N41</f>
        <v>0</v>
      </c>
      <c r="O38" s="15">
        <f>O37-O41</f>
        <v>0</v>
      </c>
      <c r="P38" s="15">
        <f t="shared" si="3"/>
        <v>0</v>
      </c>
      <c r="Q38" s="15">
        <f t="shared" si="3"/>
        <v>0</v>
      </c>
    </row>
    <row r="39" spans="2:17" ht="20.100000000000001" customHeight="1">
      <c r="B39" s="103"/>
      <c r="C39" s="10" t="s">
        <v>75</v>
      </c>
      <c r="D39" s="7" t="s">
        <v>76</v>
      </c>
      <c r="E39" s="7"/>
      <c r="F39" s="8"/>
      <c r="G39" s="8"/>
      <c r="H39" s="9"/>
      <c r="I39" s="9"/>
      <c r="J39" s="8"/>
      <c r="K39" s="8"/>
      <c r="L39" s="9"/>
      <c r="M39" s="9"/>
      <c r="N39" s="8"/>
      <c r="O39" s="8"/>
      <c r="P39" s="9"/>
      <c r="Q39" s="9"/>
    </row>
    <row r="40" spans="2:17" ht="20.100000000000001" customHeight="1">
      <c r="B40" s="103"/>
      <c r="C40" s="10" t="s">
        <v>77</v>
      </c>
      <c r="D40" s="7" t="s">
        <v>42</v>
      </c>
      <c r="E40" s="7">
        <v>30.8</v>
      </c>
      <c r="F40" s="8"/>
      <c r="G40" s="8"/>
      <c r="H40" s="9"/>
      <c r="I40" s="9"/>
      <c r="J40" s="8">
        <v>28.9</v>
      </c>
      <c r="K40" s="8"/>
      <c r="L40" s="9">
        <v>28.8</v>
      </c>
      <c r="M40" s="9"/>
      <c r="N40" s="8"/>
      <c r="O40" s="8"/>
      <c r="P40" s="9"/>
      <c r="Q40" s="9"/>
    </row>
    <row r="41" spans="2:17" ht="20.100000000000001" customHeight="1">
      <c r="B41" s="103"/>
      <c r="C41" s="10" t="s">
        <v>78</v>
      </c>
      <c r="D41" s="7" t="s">
        <v>42</v>
      </c>
      <c r="E41" s="7">
        <v>36.4</v>
      </c>
      <c r="F41" s="8"/>
      <c r="G41" s="8"/>
      <c r="H41" s="9"/>
      <c r="I41" s="9"/>
      <c r="J41" s="8">
        <v>34.4</v>
      </c>
      <c r="K41" s="8"/>
      <c r="L41" s="9">
        <v>34</v>
      </c>
      <c r="M41" s="9"/>
      <c r="N41" s="8"/>
      <c r="O41" s="8"/>
      <c r="P41" s="9"/>
      <c r="Q41" s="9"/>
    </row>
    <row r="42" spans="2:17" ht="20.100000000000001" customHeight="1">
      <c r="B42" s="103"/>
      <c r="C42" s="10" t="s">
        <v>79</v>
      </c>
      <c r="D42" s="7" t="s">
        <v>42</v>
      </c>
      <c r="E42" s="7">
        <v>5.6</v>
      </c>
      <c r="F42" s="15">
        <f>F41-F40</f>
        <v>0</v>
      </c>
      <c r="G42" s="15">
        <f>G41-G40</f>
        <v>0</v>
      </c>
      <c r="H42" s="15">
        <f t="shared" ref="H42:Q42" si="4">H41-H40</f>
        <v>0</v>
      </c>
      <c r="I42" s="15">
        <f t="shared" si="4"/>
        <v>0</v>
      </c>
      <c r="J42" s="15">
        <f t="shared" si="4"/>
        <v>5.5</v>
      </c>
      <c r="K42" s="15">
        <f t="shared" si="4"/>
        <v>0</v>
      </c>
      <c r="L42" s="15">
        <f>L41-L40</f>
        <v>5.1999999999999993</v>
      </c>
      <c r="M42" s="15">
        <f>M41-M40</f>
        <v>0</v>
      </c>
      <c r="N42" s="15">
        <f>N41-N40</f>
        <v>0</v>
      </c>
      <c r="O42" s="15">
        <f>O41-O40</f>
        <v>0</v>
      </c>
      <c r="P42" s="15">
        <f t="shared" si="4"/>
        <v>0</v>
      </c>
      <c r="Q42" s="15">
        <f t="shared" si="4"/>
        <v>0</v>
      </c>
    </row>
    <row r="43" spans="2:17" ht="20.100000000000001" customHeight="1">
      <c r="B43" s="103"/>
      <c r="C43" s="10" t="s">
        <v>80</v>
      </c>
      <c r="D43" s="7" t="s">
        <v>61</v>
      </c>
      <c r="E43" s="7">
        <v>1273.0999999999999</v>
      </c>
      <c r="F43" s="8"/>
      <c r="G43" s="8"/>
      <c r="H43" s="9"/>
      <c r="I43" s="9"/>
      <c r="J43" s="8">
        <v>1279.3</v>
      </c>
      <c r="K43" s="8"/>
      <c r="L43" s="9">
        <v>1290</v>
      </c>
      <c r="M43" s="8"/>
      <c r="N43" s="8"/>
      <c r="O43" s="8"/>
      <c r="P43" s="9"/>
      <c r="Q43" s="9"/>
    </row>
    <row r="44" spans="2:17" ht="20.100000000000001" customHeight="1">
      <c r="B44" s="103"/>
      <c r="C44" s="10" t="s">
        <v>81</v>
      </c>
      <c r="D44" s="7" t="s">
        <v>67</v>
      </c>
      <c r="E44" s="7">
        <v>8226.9</v>
      </c>
      <c r="F44" s="16">
        <f>F42*F43/0.866</f>
        <v>0</v>
      </c>
      <c r="G44" s="16">
        <f>G42*G43/0.866</f>
        <v>0</v>
      </c>
      <c r="H44" s="16">
        <f t="shared" ref="H44:Q44" si="5">H42*H43/0.866</f>
        <v>0</v>
      </c>
      <c r="I44" s="16">
        <f t="shared" si="5"/>
        <v>0</v>
      </c>
      <c r="J44" s="16">
        <f t="shared" si="5"/>
        <v>8124.8845265588907</v>
      </c>
      <c r="K44" s="16">
        <f t="shared" si="5"/>
        <v>0</v>
      </c>
      <c r="L44" s="16">
        <f>L42*L43/0.866</f>
        <v>7745.9584295612003</v>
      </c>
      <c r="M44" s="16">
        <f>M42*M43/0.866</f>
        <v>0</v>
      </c>
      <c r="N44" s="16">
        <f>N42*N43/0.866</f>
        <v>0</v>
      </c>
      <c r="O44" s="16">
        <f>O42*O43/0.866</f>
        <v>0</v>
      </c>
      <c r="P44" s="16">
        <f t="shared" si="5"/>
        <v>0</v>
      </c>
      <c r="Q44" s="16">
        <f t="shared" si="5"/>
        <v>0</v>
      </c>
    </row>
    <row r="45" spans="2:17" ht="20.100000000000001" customHeight="1">
      <c r="B45" s="103" t="s">
        <v>82</v>
      </c>
      <c r="C45" s="10" t="s">
        <v>83</v>
      </c>
      <c r="D45" s="7" t="s">
        <v>49</v>
      </c>
      <c r="E45" s="7" t="s">
        <v>84</v>
      </c>
      <c r="F45" s="8"/>
      <c r="G45" s="8"/>
      <c r="H45" s="9"/>
      <c r="I45" s="9"/>
      <c r="J45" s="8">
        <v>0.46</v>
      </c>
      <c r="K45" s="8"/>
      <c r="L45" s="9">
        <v>0.46</v>
      </c>
      <c r="M45" s="9"/>
      <c r="N45" s="8"/>
      <c r="O45" s="8"/>
      <c r="P45" s="9"/>
      <c r="Q45" s="9"/>
    </row>
    <row r="46" spans="2:17" ht="20.100000000000001" customHeight="1">
      <c r="B46" s="103"/>
      <c r="C46" s="10" t="s">
        <v>85</v>
      </c>
      <c r="D46" s="7" t="s">
        <v>42</v>
      </c>
      <c r="E46" s="7" t="s">
        <v>43</v>
      </c>
      <c r="F46" s="8"/>
      <c r="G46" s="8"/>
      <c r="H46" s="9"/>
      <c r="I46" s="9"/>
      <c r="J46" s="8">
        <v>19.8</v>
      </c>
      <c r="K46" s="8"/>
      <c r="L46" s="9">
        <v>19.5</v>
      </c>
      <c r="M46" s="9"/>
      <c r="N46" s="8"/>
      <c r="O46" s="8"/>
      <c r="P46" s="9"/>
      <c r="Q46" s="9"/>
    </row>
    <row r="47" spans="2:17" ht="20.100000000000001" customHeight="1">
      <c r="B47" s="103"/>
      <c r="C47" s="10" t="s">
        <v>86</v>
      </c>
      <c r="D47" s="7" t="s">
        <v>76</v>
      </c>
      <c r="E47" s="7" t="s">
        <v>76</v>
      </c>
      <c r="F47" s="8"/>
      <c r="G47" s="8"/>
      <c r="H47" s="9"/>
      <c r="I47" s="9"/>
      <c r="J47" s="8">
        <v>203.6</v>
      </c>
      <c r="K47" s="8"/>
      <c r="L47" s="9">
        <v>200.7</v>
      </c>
      <c r="M47" s="9"/>
      <c r="N47" s="8"/>
      <c r="O47" s="8"/>
      <c r="P47" s="9"/>
      <c r="Q47" s="9"/>
    </row>
    <row r="48" spans="2:17" ht="20.100000000000001" customHeight="1">
      <c r="B48" s="97" t="s">
        <v>87</v>
      </c>
      <c r="C48" s="97"/>
      <c r="D48" s="97"/>
      <c r="E48" s="17" t="s">
        <v>88</v>
      </c>
      <c r="F48" s="8"/>
      <c r="G48" s="8"/>
      <c r="H48" s="9"/>
      <c r="I48" s="9"/>
      <c r="J48" s="8"/>
      <c r="K48" s="8"/>
      <c r="L48" s="9"/>
      <c r="M48" s="9"/>
      <c r="N48" s="8"/>
      <c r="O48" s="8"/>
      <c r="P48" s="9"/>
      <c r="Q48" s="9"/>
    </row>
    <row r="49" spans="2:17" ht="20.100000000000001" customHeight="1">
      <c r="B49" s="97" t="s">
        <v>89</v>
      </c>
      <c r="C49" s="97"/>
      <c r="D49" s="97"/>
      <c r="E49" s="81">
        <v>5.89</v>
      </c>
      <c r="F49" s="8"/>
      <c r="G49" s="8"/>
      <c r="H49" s="9"/>
      <c r="I49" s="9"/>
      <c r="J49" s="8">
        <v>5.54</v>
      </c>
      <c r="K49" s="8"/>
      <c r="L49" s="9">
        <v>5.7</v>
      </c>
      <c r="M49" s="9"/>
      <c r="N49" s="8"/>
      <c r="O49" s="8"/>
      <c r="P49" s="9"/>
      <c r="Q49" s="9"/>
    </row>
    <row r="50" spans="2:17" ht="20.100000000000001" customHeight="1">
      <c r="B50" s="97" t="s">
        <v>90</v>
      </c>
      <c r="C50" s="97"/>
      <c r="D50" s="97"/>
      <c r="E50" s="81"/>
      <c r="F50" s="8"/>
      <c r="G50" s="8"/>
      <c r="H50" s="9"/>
      <c r="I50" s="9"/>
      <c r="J50" s="8"/>
      <c r="K50" s="8"/>
      <c r="L50" s="9"/>
      <c r="M50" s="9"/>
      <c r="N50" s="8"/>
      <c r="O50" s="8"/>
      <c r="P50" s="9"/>
      <c r="Q50" s="9"/>
    </row>
    <row r="51" spans="2:17" ht="20.100000000000001" customHeight="1" thickBot="1">
      <c r="B51" s="97" t="s">
        <v>91</v>
      </c>
      <c r="C51" s="97"/>
      <c r="D51" s="97"/>
      <c r="E51" s="80"/>
      <c r="F51" s="8"/>
      <c r="G51" s="8"/>
      <c r="H51" s="9"/>
      <c r="I51" s="9"/>
      <c r="J51" s="8"/>
      <c r="K51" s="8"/>
      <c r="L51" s="9"/>
      <c r="M51" s="9"/>
      <c r="N51" s="8"/>
      <c r="O51" s="8"/>
      <c r="P51" s="9"/>
      <c r="Q51" s="9"/>
    </row>
    <row r="52" spans="2:17">
      <c r="B52" t="s">
        <v>92</v>
      </c>
      <c r="C52" s="18" t="s">
        <v>93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28"/>
    </row>
    <row r="53" spans="2:17">
      <c r="C53" s="20" t="s">
        <v>94</v>
      </c>
      <c r="Q53" s="31"/>
    </row>
    <row r="54" spans="2:17">
      <c r="C54" s="20" t="s">
        <v>95</v>
      </c>
      <c r="Q54" s="31"/>
    </row>
    <row r="55" spans="2:17">
      <c r="C55" s="20"/>
      <c r="Q55" s="31"/>
    </row>
    <row r="56" spans="2:17">
      <c r="C56" s="20"/>
      <c r="Q56" s="31"/>
    </row>
    <row r="57" spans="2:17">
      <c r="C57" s="20" t="s">
        <v>96</v>
      </c>
      <c r="F57" s="21" t="b">
        <v>0</v>
      </c>
      <c r="G57" s="22" t="s">
        <v>97</v>
      </c>
      <c r="Q57" s="31"/>
    </row>
    <row r="58" spans="2:17">
      <c r="C58" s="20" t="s">
        <v>96</v>
      </c>
      <c r="F58" s="8" t="s">
        <v>98</v>
      </c>
      <c r="G58" s="23" t="s">
        <v>99</v>
      </c>
      <c r="Q58" s="31"/>
    </row>
    <row r="59" spans="2:17" ht="15.75" thickBot="1"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30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8E57C-C10A-41A1-A3F3-BD76CD50B1B3}">
  <dimension ref="B1:Q59"/>
  <sheetViews>
    <sheetView view="pageBreakPreview" zoomScale="85" zoomScaleNormal="60" workbookViewId="0">
      <selection activeCell="N50" sqref="N50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107"/>
      <c r="C2" s="110" t="s">
        <v>0</v>
      </c>
      <c r="D2" s="111"/>
      <c r="E2" s="111"/>
      <c r="F2" s="111"/>
      <c r="G2" s="111"/>
      <c r="H2" s="111"/>
      <c r="I2" s="111"/>
      <c r="J2" s="111"/>
      <c r="K2" s="111"/>
      <c r="L2" s="111"/>
      <c r="M2" s="112"/>
      <c r="N2" s="18" t="s">
        <v>1</v>
      </c>
      <c r="O2" s="19"/>
      <c r="P2" s="19"/>
      <c r="Q2" s="28"/>
    </row>
    <row r="3" spans="2:17" ht="15.75" thickBot="1">
      <c r="B3" s="108"/>
      <c r="C3" s="113"/>
      <c r="D3" s="114"/>
      <c r="E3" s="114"/>
      <c r="F3" s="114"/>
      <c r="G3" s="114"/>
      <c r="H3" s="114"/>
      <c r="I3" s="114"/>
      <c r="J3" s="114"/>
      <c r="K3" s="114"/>
      <c r="L3" s="114"/>
      <c r="M3" s="115"/>
      <c r="N3" s="26" t="s">
        <v>2</v>
      </c>
      <c r="O3" s="27" t="s">
        <v>3</v>
      </c>
      <c r="P3" s="27"/>
      <c r="Q3" s="29"/>
    </row>
    <row r="4" spans="2:17" ht="15.75" thickBot="1">
      <c r="B4" s="108"/>
      <c r="C4" s="113"/>
      <c r="D4" s="114"/>
      <c r="E4" s="114"/>
      <c r="F4" s="114"/>
      <c r="G4" s="114"/>
      <c r="H4" s="114"/>
      <c r="I4" s="114"/>
      <c r="J4" s="114"/>
      <c r="K4" s="114"/>
      <c r="L4" s="114"/>
      <c r="M4" s="115"/>
      <c r="N4" s="26" t="s">
        <v>4</v>
      </c>
      <c r="O4" s="27"/>
      <c r="P4" s="27"/>
      <c r="Q4" s="29"/>
    </row>
    <row r="5" spans="2:17" ht="15.75" thickBot="1">
      <c r="B5" s="109"/>
      <c r="C5" s="116"/>
      <c r="D5" s="117"/>
      <c r="E5" s="117"/>
      <c r="F5" s="117"/>
      <c r="G5" s="117"/>
      <c r="H5" s="117"/>
      <c r="I5" s="117"/>
      <c r="J5" s="117"/>
      <c r="K5" s="117"/>
      <c r="L5" s="117"/>
      <c r="M5" s="118"/>
      <c r="N5" s="24" t="s">
        <v>5</v>
      </c>
      <c r="O5" s="25"/>
      <c r="P5" s="25"/>
      <c r="Q5" s="30"/>
    </row>
    <row r="7" spans="2:17">
      <c r="B7" s="98" t="s">
        <v>6</v>
      </c>
      <c r="C7" s="99"/>
      <c r="D7" s="100">
        <v>45741</v>
      </c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2"/>
    </row>
    <row r="8" spans="2:17">
      <c r="B8" s="97" t="s">
        <v>7</v>
      </c>
      <c r="C8" s="97"/>
      <c r="D8" s="97"/>
      <c r="E8" s="105" t="s">
        <v>8</v>
      </c>
      <c r="F8" s="103" t="s">
        <v>9</v>
      </c>
      <c r="G8" s="103"/>
      <c r="H8" s="104" t="s">
        <v>10</v>
      </c>
      <c r="I8" s="104"/>
      <c r="J8" s="103" t="s">
        <v>11</v>
      </c>
      <c r="K8" s="103"/>
      <c r="L8" s="104" t="s">
        <v>12</v>
      </c>
      <c r="M8" s="104"/>
      <c r="N8" s="103" t="s">
        <v>13</v>
      </c>
      <c r="O8" s="103"/>
      <c r="P8" s="104" t="s">
        <v>14</v>
      </c>
      <c r="Q8" s="104"/>
    </row>
    <row r="9" spans="2:17">
      <c r="B9" s="98" t="s">
        <v>15</v>
      </c>
      <c r="C9" s="119"/>
      <c r="D9" s="99"/>
      <c r="E9" s="106"/>
      <c r="F9" s="3">
        <v>0.375</v>
      </c>
      <c r="G9" s="32" t="s">
        <v>16</v>
      </c>
      <c r="H9" s="4">
        <v>0.375</v>
      </c>
      <c r="I9" s="33" t="s">
        <v>16</v>
      </c>
      <c r="J9" s="3">
        <v>0.375</v>
      </c>
      <c r="K9" s="32" t="s">
        <v>16</v>
      </c>
      <c r="L9" s="4">
        <v>0.375</v>
      </c>
      <c r="M9" s="33" t="s">
        <v>16</v>
      </c>
      <c r="N9" s="3">
        <v>0.375</v>
      </c>
      <c r="O9" s="32" t="s">
        <v>16</v>
      </c>
      <c r="P9" s="4">
        <v>0.375</v>
      </c>
      <c r="Q9" s="33" t="s">
        <v>16</v>
      </c>
    </row>
    <row r="10" spans="2:17" ht="26.25" customHeight="1">
      <c r="B10" s="120" t="s">
        <v>17</v>
      </c>
      <c r="C10" s="121"/>
      <c r="D10" s="84" t="s">
        <v>18</v>
      </c>
      <c r="E10" s="5"/>
      <c r="F10" s="6" t="s">
        <v>19</v>
      </c>
      <c r="G10" s="34" t="s">
        <v>19</v>
      </c>
      <c r="H10" s="35" t="s">
        <v>19</v>
      </c>
      <c r="I10" s="35" t="s">
        <v>19</v>
      </c>
      <c r="J10" s="34"/>
      <c r="K10" s="34" t="s">
        <v>19</v>
      </c>
      <c r="L10" s="35" t="s">
        <v>19</v>
      </c>
      <c r="M10" s="35" t="s">
        <v>19</v>
      </c>
      <c r="N10" s="6" t="s">
        <v>19</v>
      </c>
      <c r="O10" s="34" t="s">
        <v>19</v>
      </c>
      <c r="P10" s="35"/>
      <c r="Q10" s="35" t="s">
        <v>19</v>
      </c>
    </row>
    <row r="11" spans="2:17" ht="20.100000000000001" customHeight="1">
      <c r="B11" s="97" t="s">
        <v>20</v>
      </c>
      <c r="C11" s="97"/>
      <c r="D11" s="7" t="s">
        <v>21</v>
      </c>
      <c r="E11" s="7" t="s">
        <v>22</v>
      </c>
      <c r="F11" s="8"/>
      <c r="G11" s="8">
        <v>69.400000000000006</v>
      </c>
      <c r="H11" s="9">
        <v>77</v>
      </c>
      <c r="I11" s="9">
        <v>74.2</v>
      </c>
      <c r="J11" s="8"/>
      <c r="K11" s="8">
        <v>73.599999999999994</v>
      </c>
      <c r="L11" s="9"/>
      <c r="M11" s="9">
        <v>71.5</v>
      </c>
      <c r="N11" s="8">
        <v>80</v>
      </c>
      <c r="O11" s="8">
        <v>72.8</v>
      </c>
      <c r="P11" s="9"/>
      <c r="Q11" s="9">
        <v>71.099999999999994</v>
      </c>
    </row>
    <row r="12" spans="2:17" ht="20.100000000000001" customHeight="1">
      <c r="B12" s="97" t="s">
        <v>23</v>
      </c>
      <c r="C12" s="97"/>
      <c r="D12" s="7" t="s">
        <v>21</v>
      </c>
      <c r="E12" s="7" t="s">
        <v>22</v>
      </c>
      <c r="F12" s="8"/>
      <c r="G12" s="8">
        <v>0.4</v>
      </c>
      <c r="H12" s="9">
        <v>0</v>
      </c>
      <c r="I12" s="9">
        <v>0</v>
      </c>
      <c r="J12" s="8"/>
      <c r="K12" s="8">
        <v>0</v>
      </c>
      <c r="L12" s="9"/>
      <c r="M12" s="9">
        <v>0.1</v>
      </c>
      <c r="N12" s="8">
        <v>0</v>
      </c>
      <c r="O12" s="8">
        <v>0</v>
      </c>
      <c r="P12" s="9"/>
      <c r="Q12" s="9">
        <v>0</v>
      </c>
    </row>
    <row r="13" spans="2:17" ht="20.100000000000001" customHeight="1">
      <c r="B13" s="97" t="s">
        <v>24</v>
      </c>
      <c r="C13" s="97"/>
      <c r="D13" s="7" t="s">
        <v>21</v>
      </c>
      <c r="E13" s="7" t="s">
        <v>22</v>
      </c>
      <c r="F13" s="8"/>
      <c r="G13" s="8">
        <v>63.3</v>
      </c>
      <c r="H13" s="9">
        <v>74.400000000000006</v>
      </c>
      <c r="I13" s="9">
        <v>69.2</v>
      </c>
      <c r="J13" s="8"/>
      <c r="K13" s="8">
        <v>68.900000000000006</v>
      </c>
      <c r="L13" s="9"/>
      <c r="M13" s="9">
        <v>68.099999999999994</v>
      </c>
      <c r="N13" s="8">
        <v>76.099999999999994</v>
      </c>
      <c r="O13" s="8">
        <v>68.099999999999994</v>
      </c>
      <c r="P13" s="9"/>
      <c r="Q13" s="9">
        <v>64.900000000000006</v>
      </c>
    </row>
    <row r="14" spans="2:17" ht="20.100000000000001" customHeight="1">
      <c r="B14" s="97" t="s">
        <v>25</v>
      </c>
      <c r="C14" s="97"/>
      <c r="D14" s="7" t="s">
        <v>21</v>
      </c>
      <c r="E14" s="7" t="s">
        <v>22</v>
      </c>
      <c r="F14" s="8"/>
      <c r="G14" s="8">
        <v>67.599999999999994</v>
      </c>
      <c r="H14" s="9">
        <v>71.2</v>
      </c>
      <c r="I14" s="9">
        <v>70.900000000000006</v>
      </c>
      <c r="J14" s="8"/>
      <c r="K14" s="8">
        <v>63.8</v>
      </c>
      <c r="L14" s="9"/>
      <c r="M14" s="9">
        <v>64.900000000000006</v>
      </c>
      <c r="N14" s="8">
        <v>75.3</v>
      </c>
      <c r="O14" s="8">
        <v>73.599999999999994</v>
      </c>
      <c r="P14" s="9"/>
      <c r="Q14" s="9">
        <v>72.7</v>
      </c>
    </row>
    <row r="15" spans="2:17" ht="20.100000000000001" customHeight="1">
      <c r="B15" s="97" t="s">
        <v>26</v>
      </c>
      <c r="C15" s="97"/>
      <c r="D15" s="7" t="s">
        <v>21</v>
      </c>
      <c r="E15" s="7" t="s">
        <v>22</v>
      </c>
      <c r="F15" s="8"/>
      <c r="G15" s="8">
        <v>36.9</v>
      </c>
      <c r="H15" s="9">
        <v>56.8</v>
      </c>
      <c r="I15" s="9">
        <v>47.3</v>
      </c>
      <c r="J15" s="8"/>
      <c r="K15" s="8">
        <v>36.6</v>
      </c>
      <c r="L15" s="9"/>
      <c r="M15" s="9">
        <v>30.2</v>
      </c>
      <c r="N15" s="8">
        <v>53</v>
      </c>
      <c r="O15" s="8">
        <v>56.2</v>
      </c>
      <c r="P15" s="9"/>
      <c r="Q15" s="9">
        <v>41.1</v>
      </c>
    </row>
    <row r="16" spans="2:17" ht="20.100000000000001" customHeight="1">
      <c r="B16" s="103" t="s">
        <v>27</v>
      </c>
      <c r="C16" s="10" t="s">
        <v>28</v>
      </c>
      <c r="D16" s="7" t="s">
        <v>29</v>
      </c>
      <c r="E16" s="7" t="s">
        <v>30</v>
      </c>
      <c r="F16" s="8"/>
      <c r="G16" s="8">
        <v>6.6</v>
      </c>
      <c r="H16" s="8">
        <v>6.6</v>
      </c>
      <c r="I16" s="8">
        <v>6.6</v>
      </c>
      <c r="J16" s="8"/>
      <c r="K16" s="8">
        <v>6.6</v>
      </c>
      <c r="L16" s="8"/>
      <c r="M16" s="8">
        <v>6.6</v>
      </c>
      <c r="N16" s="8">
        <v>6.6</v>
      </c>
      <c r="O16" s="8">
        <v>6.6</v>
      </c>
      <c r="P16" s="8"/>
      <c r="Q16" s="8">
        <v>6.6</v>
      </c>
    </row>
    <row r="17" spans="2:17" ht="20.100000000000001" customHeight="1">
      <c r="B17" s="103"/>
      <c r="C17" s="10" t="s">
        <v>31</v>
      </c>
      <c r="D17" s="7" t="s">
        <v>32</v>
      </c>
      <c r="E17" s="7" t="s">
        <v>33</v>
      </c>
      <c r="F17" s="8"/>
      <c r="G17" s="8">
        <v>117.2</v>
      </c>
      <c r="H17" s="9">
        <v>115.8</v>
      </c>
      <c r="I17" s="9">
        <v>114.5</v>
      </c>
      <c r="J17" s="8"/>
      <c r="K17" s="8">
        <v>116.4</v>
      </c>
      <c r="L17" s="9"/>
      <c r="M17" s="9">
        <v>115.3</v>
      </c>
      <c r="N17" s="8">
        <v>118.5</v>
      </c>
      <c r="O17" s="8">
        <v>117.1</v>
      </c>
      <c r="P17" s="9"/>
      <c r="Q17" s="9">
        <v>117.1</v>
      </c>
    </row>
    <row r="18" spans="2:17" ht="20.100000000000001" customHeight="1">
      <c r="B18" s="103"/>
      <c r="C18" s="10" t="s">
        <v>34</v>
      </c>
      <c r="D18" s="7" t="s">
        <v>35</v>
      </c>
      <c r="E18" s="7" t="s">
        <v>36</v>
      </c>
      <c r="F18" s="8"/>
      <c r="G18" s="8">
        <v>1161</v>
      </c>
      <c r="H18" s="9">
        <v>1169</v>
      </c>
      <c r="I18" s="9">
        <v>1169</v>
      </c>
      <c r="J18" s="8"/>
      <c r="K18" s="8">
        <v>1189</v>
      </c>
      <c r="L18" s="9"/>
      <c r="M18" s="9">
        <v>1175</v>
      </c>
      <c r="N18" s="8">
        <v>1217</v>
      </c>
      <c r="O18" s="8">
        <v>1196</v>
      </c>
      <c r="P18" s="9"/>
      <c r="Q18" s="9">
        <v>1189</v>
      </c>
    </row>
    <row r="19" spans="2:17" ht="20.100000000000001" customHeight="1">
      <c r="B19" s="103" t="s">
        <v>37</v>
      </c>
      <c r="C19" s="10" t="s">
        <v>38</v>
      </c>
      <c r="D19" s="7" t="s">
        <v>39</v>
      </c>
      <c r="E19" s="11" t="s">
        <v>40</v>
      </c>
      <c r="F19" s="8"/>
      <c r="G19" s="8">
        <v>49635</v>
      </c>
      <c r="H19" s="9">
        <v>50918</v>
      </c>
      <c r="I19" s="9">
        <v>50908.5</v>
      </c>
      <c r="J19" s="8"/>
      <c r="K19" s="8">
        <v>48556</v>
      </c>
      <c r="L19" s="9"/>
      <c r="M19" s="9">
        <v>50932.7</v>
      </c>
      <c r="N19" s="8">
        <v>50121.599999999999</v>
      </c>
      <c r="O19" s="8">
        <v>50112.1</v>
      </c>
      <c r="P19" s="9"/>
      <c r="Q19" s="9">
        <v>50261.3</v>
      </c>
    </row>
    <row r="20" spans="2:17" ht="20.100000000000001" customHeight="1">
      <c r="B20" s="103"/>
      <c r="C20" s="10" t="s">
        <v>41</v>
      </c>
      <c r="D20" s="7" t="s">
        <v>42</v>
      </c>
      <c r="E20" s="7" t="s">
        <v>43</v>
      </c>
      <c r="F20" s="8"/>
      <c r="G20" s="8"/>
      <c r="H20" s="9"/>
      <c r="I20" s="9"/>
      <c r="J20" s="8"/>
      <c r="K20" s="8"/>
      <c r="L20" s="9"/>
      <c r="M20" s="9"/>
      <c r="N20" s="8"/>
      <c r="O20" s="8"/>
      <c r="P20" s="9"/>
      <c r="Q20" s="9"/>
    </row>
    <row r="21" spans="2:17" ht="20.100000000000001" customHeight="1">
      <c r="B21" s="103"/>
      <c r="C21" s="10" t="s">
        <v>44</v>
      </c>
      <c r="D21" s="7" t="s">
        <v>42</v>
      </c>
      <c r="E21" s="7" t="s">
        <v>45</v>
      </c>
      <c r="F21" s="8"/>
      <c r="G21" s="8"/>
      <c r="H21" s="9"/>
      <c r="I21" s="9"/>
      <c r="J21" s="8"/>
      <c r="K21" s="8"/>
      <c r="L21" s="9"/>
      <c r="M21" s="9"/>
      <c r="N21" s="8"/>
      <c r="O21" s="8"/>
      <c r="P21" s="9"/>
      <c r="Q21" s="9"/>
    </row>
    <row r="22" spans="2:17" ht="20.100000000000001" customHeight="1">
      <c r="B22" s="103"/>
      <c r="C22" s="10" t="s">
        <v>46</v>
      </c>
      <c r="D22" s="7" t="s">
        <v>42</v>
      </c>
      <c r="E22" s="7" t="s">
        <v>47</v>
      </c>
      <c r="F22" s="8"/>
      <c r="G22" s="8">
        <v>58.6</v>
      </c>
      <c r="H22" s="9">
        <v>59.1</v>
      </c>
      <c r="I22" s="9">
        <v>59.3</v>
      </c>
      <c r="J22" s="8"/>
      <c r="K22" s="8">
        <v>57.9</v>
      </c>
      <c r="L22" s="9"/>
      <c r="M22" s="9">
        <v>57.3</v>
      </c>
      <c r="N22" s="8">
        <v>58.1</v>
      </c>
      <c r="O22" s="8">
        <v>58.6</v>
      </c>
      <c r="P22" s="9"/>
      <c r="Q22" s="9">
        <v>59.1</v>
      </c>
    </row>
    <row r="23" spans="2:17" ht="60">
      <c r="B23" s="103"/>
      <c r="C23" s="12" t="s">
        <v>48</v>
      </c>
      <c r="D23" s="8" t="s">
        <v>49</v>
      </c>
      <c r="E23" s="13" t="s">
        <v>50</v>
      </c>
      <c r="F23" s="8"/>
      <c r="G23" s="8">
        <v>0.53</v>
      </c>
      <c r="H23" s="9">
        <v>0.49</v>
      </c>
      <c r="I23" s="9">
        <v>0.49</v>
      </c>
      <c r="J23" s="8"/>
      <c r="K23" s="8">
        <v>0.59</v>
      </c>
      <c r="L23" s="9"/>
      <c r="M23" s="9">
        <v>0.52</v>
      </c>
      <c r="N23" s="8">
        <v>0.48</v>
      </c>
      <c r="O23" s="8">
        <v>0.48</v>
      </c>
      <c r="P23" s="9"/>
      <c r="Q23" s="9">
        <v>0.5</v>
      </c>
    </row>
    <row r="24" spans="2:17" ht="39.75" customHeight="1">
      <c r="B24" s="103"/>
      <c r="C24" s="12" t="s">
        <v>51</v>
      </c>
      <c r="D24" s="7"/>
      <c r="E24" s="7"/>
      <c r="F24" s="8"/>
      <c r="G24" s="8"/>
      <c r="H24" s="9"/>
      <c r="I24" s="9"/>
      <c r="J24" s="8"/>
      <c r="K24" s="8"/>
      <c r="L24" s="8"/>
      <c r="M24" s="9"/>
      <c r="N24" s="8"/>
      <c r="O24" s="8"/>
      <c r="P24" s="9"/>
      <c r="Q24" s="9"/>
    </row>
    <row r="25" spans="2:17" ht="20.100000000000001" customHeight="1">
      <c r="B25" s="103"/>
      <c r="C25" s="10" t="s">
        <v>52</v>
      </c>
      <c r="D25" s="7" t="s">
        <v>42</v>
      </c>
      <c r="E25" s="7" t="s">
        <v>53</v>
      </c>
      <c r="F25" s="8"/>
      <c r="G25" s="8">
        <v>44.9</v>
      </c>
      <c r="H25" s="9">
        <v>44.8</v>
      </c>
      <c r="I25" s="9">
        <v>44.9</v>
      </c>
      <c r="J25" s="8"/>
      <c r="K25" s="8">
        <v>44.9</v>
      </c>
      <c r="L25" s="9"/>
      <c r="M25" s="9">
        <v>44.8</v>
      </c>
      <c r="N25" s="8">
        <v>45.9</v>
      </c>
      <c r="O25" s="8">
        <v>45.1</v>
      </c>
      <c r="P25" s="9"/>
      <c r="Q25" s="9">
        <v>45</v>
      </c>
    </row>
    <row r="26" spans="2:17" ht="20.100000000000001" customHeight="1">
      <c r="B26" s="103" t="s">
        <v>54</v>
      </c>
      <c r="C26" s="10" t="s">
        <v>55</v>
      </c>
      <c r="D26" s="7" t="s">
        <v>49</v>
      </c>
      <c r="E26" s="14" t="s">
        <v>56</v>
      </c>
      <c r="F26" s="8"/>
      <c r="G26" s="8">
        <v>0.23</v>
      </c>
      <c r="H26" s="9">
        <v>0.22</v>
      </c>
      <c r="I26" s="9">
        <v>0.22</v>
      </c>
      <c r="J26" s="8"/>
      <c r="K26" s="8">
        <v>0.23</v>
      </c>
      <c r="L26" s="9"/>
      <c r="M26" s="9">
        <v>0.22</v>
      </c>
      <c r="N26" s="8">
        <v>0.22</v>
      </c>
      <c r="O26" s="8">
        <v>0.23</v>
      </c>
      <c r="P26" s="9"/>
      <c r="Q26" s="9">
        <v>0.23</v>
      </c>
    </row>
    <row r="27" spans="2:17" ht="20.100000000000001" customHeight="1">
      <c r="B27" s="103"/>
      <c r="C27" s="10" t="s">
        <v>57</v>
      </c>
      <c r="D27" s="7" t="s">
        <v>42</v>
      </c>
      <c r="E27" s="7" t="s">
        <v>43</v>
      </c>
      <c r="F27" s="8"/>
      <c r="G27" s="8">
        <v>4.7</v>
      </c>
      <c r="H27" s="9">
        <v>3.3</v>
      </c>
      <c r="I27" s="9">
        <v>3.9</v>
      </c>
      <c r="J27" s="8"/>
      <c r="K27" s="8">
        <v>4.4000000000000004</v>
      </c>
      <c r="L27" s="9"/>
      <c r="M27" s="9">
        <v>4</v>
      </c>
      <c r="N27" s="8">
        <v>3.9</v>
      </c>
      <c r="O27" s="8">
        <v>4.5</v>
      </c>
      <c r="P27" s="9"/>
      <c r="Q27" s="9">
        <v>5.0999999999999996</v>
      </c>
    </row>
    <row r="28" spans="2:17" ht="20.100000000000001" customHeight="1">
      <c r="B28" s="103"/>
      <c r="C28" s="10" t="s">
        <v>58</v>
      </c>
      <c r="D28" s="7" t="s">
        <v>42</v>
      </c>
      <c r="E28" s="7" t="s">
        <v>43</v>
      </c>
      <c r="F28" s="8"/>
      <c r="G28" s="8">
        <v>4.0999999999999996</v>
      </c>
      <c r="H28" s="9">
        <v>2.5</v>
      </c>
      <c r="I28" s="9">
        <v>3</v>
      </c>
      <c r="J28" s="8"/>
      <c r="K28" s="8">
        <v>3.4</v>
      </c>
      <c r="L28" s="9"/>
      <c r="M28" s="9">
        <v>2.9</v>
      </c>
      <c r="N28" s="8">
        <v>2.9</v>
      </c>
      <c r="O28" s="8">
        <v>3.1</v>
      </c>
      <c r="P28" s="9"/>
      <c r="Q28" s="9">
        <v>4.0999999999999996</v>
      </c>
    </row>
    <row r="29" spans="2:17" ht="20.100000000000001" customHeight="1">
      <c r="B29" s="103"/>
      <c r="C29" s="10" t="s">
        <v>59</v>
      </c>
      <c r="D29" s="7" t="s">
        <v>42</v>
      </c>
      <c r="E29" s="7" t="s">
        <v>43</v>
      </c>
      <c r="F29" s="15">
        <f>F32-F28</f>
        <v>0</v>
      </c>
      <c r="G29" s="15">
        <f>G32-G28</f>
        <v>1.1000000000000005</v>
      </c>
      <c r="H29" s="15">
        <f t="shared" ref="H29" si="0">H32-H28</f>
        <v>2.0999999999999996</v>
      </c>
      <c r="I29" s="15">
        <f t="shared" ref="I29:Q29" si="1">I32-I28</f>
        <v>2.2999999999999998</v>
      </c>
      <c r="J29" s="15">
        <f t="shared" si="1"/>
        <v>0</v>
      </c>
      <c r="K29" s="15">
        <f t="shared" si="1"/>
        <v>0.80000000000000027</v>
      </c>
      <c r="L29" s="15">
        <f>L32-L28</f>
        <v>0</v>
      </c>
      <c r="M29" s="15">
        <f>M32-M28</f>
        <v>1.3000000000000003</v>
      </c>
      <c r="N29" s="15">
        <f>N32-N28</f>
        <v>1</v>
      </c>
      <c r="O29" s="15">
        <f>O32-O28</f>
        <v>1.6999999999999997</v>
      </c>
      <c r="P29" s="15">
        <f t="shared" si="1"/>
        <v>0</v>
      </c>
      <c r="Q29" s="15">
        <f t="shared" si="1"/>
        <v>0.90000000000000036</v>
      </c>
    </row>
    <row r="30" spans="2:17" ht="20.100000000000001" customHeight="1">
      <c r="B30" s="103"/>
      <c r="C30" s="10" t="s">
        <v>60</v>
      </c>
      <c r="D30" s="7" t="s">
        <v>61</v>
      </c>
      <c r="E30" s="7" t="s">
        <v>62</v>
      </c>
      <c r="F30" s="8"/>
      <c r="G30" s="8">
        <v>681</v>
      </c>
      <c r="H30" s="9">
        <v>677.2</v>
      </c>
      <c r="I30" s="9">
        <v>655.29999999999995</v>
      </c>
      <c r="J30" s="8"/>
      <c r="K30" s="8">
        <v>638.5</v>
      </c>
      <c r="L30" s="9"/>
      <c r="M30" s="9">
        <v>635.4</v>
      </c>
      <c r="N30" s="8">
        <v>636.88</v>
      </c>
      <c r="O30" s="8">
        <v>660</v>
      </c>
      <c r="P30" s="9"/>
      <c r="Q30" s="9">
        <v>648.4</v>
      </c>
    </row>
    <row r="31" spans="2:17" ht="20.100000000000001" customHeight="1">
      <c r="B31" s="103"/>
      <c r="C31" s="10" t="s">
        <v>63</v>
      </c>
      <c r="D31" s="7" t="s">
        <v>42</v>
      </c>
      <c r="E31" s="7">
        <v>13.5</v>
      </c>
      <c r="F31" s="8"/>
      <c r="G31" s="8">
        <v>13.6</v>
      </c>
      <c r="H31" s="9">
        <v>12.6</v>
      </c>
      <c r="I31" s="9">
        <v>13.6</v>
      </c>
      <c r="J31" s="8"/>
      <c r="K31" s="8">
        <v>13.1</v>
      </c>
      <c r="L31" s="9"/>
      <c r="M31" s="9">
        <v>13</v>
      </c>
      <c r="N31" s="8">
        <v>13.3</v>
      </c>
      <c r="O31" s="8">
        <v>13.8</v>
      </c>
      <c r="P31" s="9"/>
      <c r="Q31" s="9">
        <v>13.6</v>
      </c>
    </row>
    <row r="32" spans="2:17" ht="20.100000000000001" customHeight="1">
      <c r="B32" s="103"/>
      <c r="C32" s="10" t="s">
        <v>64</v>
      </c>
      <c r="D32" s="7" t="s">
        <v>42</v>
      </c>
      <c r="E32" s="7">
        <v>4</v>
      </c>
      <c r="F32" s="8"/>
      <c r="G32" s="8">
        <v>5.2</v>
      </c>
      <c r="H32" s="9">
        <v>4.5999999999999996</v>
      </c>
      <c r="I32" s="9">
        <v>5.3</v>
      </c>
      <c r="J32" s="8"/>
      <c r="K32" s="8">
        <v>4.2</v>
      </c>
      <c r="L32" s="9"/>
      <c r="M32" s="9">
        <v>4.2</v>
      </c>
      <c r="N32" s="8">
        <v>3.9</v>
      </c>
      <c r="O32" s="8">
        <v>4.8</v>
      </c>
      <c r="P32" s="9"/>
      <c r="Q32" s="9">
        <v>5</v>
      </c>
    </row>
    <row r="33" spans="2:17" ht="20.100000000000001" customHeight="1">
      <c r="B33" s="103"/>
      <c r="C33" s="10" t="s">
        <v>65</v>
      </c>
      <c r="D33" s="7" t="s">
        <v>42</v>
      </c>
      <c r="E33" s="7">
        <v>9.5</v>
      </c>
      <c r="F33" s="15">
        <f>F31-F32</f>
        <v>0</v>
      </c>
      <c r="G33" s="15">
        <f>G31-G32</f>
        <v>8.3999999999999986</v>
      </c>
      <c r="H33" s="15">
        <f t="shared" ref="H33" si="2">H31-H32</f>
        <v>8</v>
      </c>
      <c r="I33" s="15">
        <f t="shared" ref="I33:Q33" si="3">I31-I32</f>
        <v>8.3000000000000007</v>
      </c>
      <c r="J33" s="15">
        <f t="shared" si="3"/>
        <v>0</v>
      </c>
      <c r="K33" s="15">
        <f t="shared" si="3"/>
        <v>8.8999999999999986</v>
      </c>
      <c r="L33" s="15">
        <f>L31-L32</f>
        <v>0</v>
      </c>
      <c r="M33" s="15">
        <f>M31-M32</f>
        <v>8.8000000000000007</v>
      </c>
      <c r="N33" s="15">
        <f>N31-N32</f>
        <v>9.4</v>
      </c>
      <c r="O33" s="15">
        <f>O31-O32</f>
        <v>9</v>
      </c>
      <c r="P33" s="15">
        <f t="shared" si="3"/>
        <v>0</v>
      </c>
      <c r="Q33" s="15">
        <f t="shared" si="3"/>
        <v>8.6</v>
      </c>
    </row>
    <row r="34" spans="2:17" ht="20.100000000000001" customHeight="1">
      <c r="B34" s="103"/>
      <c r="C34" s="10" t="s">
        <v>66</v>
      </c>
      <c r="D34" s="7" t="s">
        <v>67</v>
      </c>
      <c r="E34" s="7" t="s">
        <v>68</v>
      </c>
      <c r="F34" s="16">
        <f>(F33*F30)/0.866</f>
        <v>0</v>
      </c>
      <c r="G34" s="16">
        <f>(G33*G30)/0.866</f>
        <v>6605.542725173209</v>
      </c>
      <c r="H34" s="16">
        <f t="shared" ref="H34" si="4">(H33*H30)/0.866</f>
        <v>6255.889145496536</v>
      </c>
      <c r="I34" s="16">
        <f t="shared" ref="I34:Q34" si="5">(I33*I30)/0.866</f>
        <v>6280.5889145496531</v>
      </c>
      <c r="J34" s="16">
        <f t="shared" si="5"/>
        <v>0</v>
      </c>
      <c r="K34" s="16">
        <f t="shared" si="5"/>
        <v>6561.9515011547328</v>
      </c>
      <c r="L34" s="16">
        <f>(L33*L30)/0.866</f>
        <v>0</v>
      </c>
      <c r="M34" s="16">
        <f>(M33*M30)/0.866</f>
        <v>6456.7205542725178</v>
      </c>
      <c r="N34" s="16">
        <f>(N33*N30)/0.866</f>
        <v>6913.0161662817554</v>
      </c>
      <c r="O34" s="16">
        <f>(O33*O30)/0.866</f>
        <v>6859.122401847575</v>
      </c>
      <c r="P34" s="16">
        <f t="shared" si="5"/>
        <v>0</v>
      </c>
      <c r="Q34" s="16">
        <f t="shared" si="5"/>
        <v>6439.0762124711318</v>
      </c>
    </row>
    <row r="35" spans="2:17" ht="20.100000000000001" customHeight="1">
      <c r="B35" s="103" t="s">
        <v>69</v>
      </c>
      <c r="C35" s="10" t="s">
        <v>70</v>
      </c>
      <c r="D35" s="7" t="s">
        <v>49</v>
      </c>
      <c r="E35" s="7" t="s">
        <v>71</v>
      </c>
      <c r="F35" s="8"/>
      <c r="G35" s="8">
        <v>0.83</v>
      </c>
      <c r="H35" s="9">
        <v>0.82</v>
      </c>
      <c r="I35" s="9">
        <v>0.86</v>
      </c>
      <c r="J35" s="8"/>
      <c r="K35" s="8">
        <v>0.84</v>
      </c>
      <c r="L35" s="9"/>
      <c r="M35" s="9">
        <v>0.83</v>
      </c>
      <c r="N35" s="8">
        <v>0.79</v>
      </c>
      <c r="O35" s="8">
        <v>0.82</v>
      </c>
      <c r="P35" s="9"/>
      <c r="Q35" s="9">
        <v>0.85</v>
      </c>
    </row>
    <row r="36" spans="2:17" ht="20.100000000000001" customHeight="1">
      <c r="B36" s="103"/>
      <c r="C36" s="10" t="s">
        <v>72</v>
      </c>
      <c r="D36" s="7" t="s">
        <v>42</v>
      </c>
      <c r="E36" s="7" t="s">
        <v>43</v>
      </c>
      <c r="F36" s="8"/>
      <c r="G36" s="8">
        <v>36.700000000000003</v>
      </c>
      <c r="H36" s="9">
        <v>35.799999999999997</v>
      </c>
      <c r="I36" s="9">
        <v>37.1</v>
      </c>
      <c r="J36" s="8"/>
      <c r="K36" s="8">
        <v>36.799999999999997</v>
      </c>
      <c r="L36" s="9"/>
      <c r="M36" s="9">
        <v>36.700000000000003</v>
      </c>
      <c r="N36" s="8">
        <v>34.5</v>
      </c>
      <c r="O36" s="8">
        <v>36</v>
      </c>
      <c r="P36" s="9"/>
      <c r="Q36" s="9">
        <v>37</v>
      </c>
    </row>
    <row r="37" spans="2:17" ht="20.100000000000001" customHeight="1">
      <c r="B37" s="103"/>
      <c r="C37" s="10" t="s">
        <v>73</v>
      </c>
      <c r="D37" s="7" t="s">
        <v>42</v>
      </c>
      <c r="E37" s="7" t="s">
        <v>43</v>
      </c>
      <c r="F37" s="8"/>
      <c r="G37" s="8">
        <v>37.1</v>
      </c>
      <c r="H37" s="9">
        <v>36.700000000000003</v>
      </c>
      <c r="I37" s="9">
        <v>38</v>
      </c>
      <c r="J37" s="8"/>
      <c r="K37" s="8">
        <v>37.5</v>
      </c>
      <c r="L37" s="9"/>
      <c r="M37" s="9">
        <v>37.1</v>
      </c>
      <c r="N37" s="8">
        <v>35.299999999999997</v>
      </c>
      <c r="O37" s="8">
        <v>36.5</v>
      </c>
      <c r="P37" s="9"/>
      <c r="Q37" s="9">
        <v>37.700000000000003</v>
      </c>
    </row>
    <row r="38" spans="2:17" ht="20.100000000000001" customHeight="1">
      <c r="B38" s="103"/>
      <c r="C38" s="12" t="s">
        <v>74</v>
      </c>
      <c r="D38" s="7" t="s">
        <v>42</v>
      </c>
      <c r="E38" s="7" t="s">
        <v>101</v>
      </c>
      <c r="F38" s="15">
        <f>F37-F41</f>
        <v>0</v>
      </c>
      <c r="G38" s="15">
        <f>G37-G41</f>
        <v>2.1000000000000014</v>
      </c>
      <c r="H38" s="15">
        <f t="shared" ref="H38" si="6">H37-H41</f>
        <v>3.6000000000000014</v>
      </c>
      <c r="I38" s="15">
        <f t="shared" ref="I38:Q38" si="7">I37-I41</f>
        <v>3.7000000000000028</v>
      </c>
      <c r="J38" s="15">
        <f t="shared" si="7"/>
        <v>0</v>
      </c>
      <c r="K38" s="15">
        <f t="shared" si="7"/>
        <v>2.5</v>
      </c>
      <c r="L38" s="15">
        <f>L37-L41</f>
        <v>0</v>
      </c>
      <c r="M38" s="15">
        <f>M37-M41</f>
        <v>2.5</v>
      </c>
      <c r="N38" s="15">
        <f>N37-N41</f>
        <v>2.5</v>
      </c>
      <c r="O38" s="15">
        <f>O37-O41</f>
        <v>1.7999999999999972</v>
      </c>
      <c r="P38" s="15">
        <f t="shared" si="7"/>
        <v>0</v>
      </c>
      <c r="Q38" s="15">
        <f t="shared" si="7"/>
        <v>3.2000000000000028</v>
      </c>
    </row>
    <row r="39" spans="2:17" ht="20.100000000000001" customHeight="1">
      <c r="B39" s="103"/>
      <c r="C39" s="10" t="s">
        <v>75</v>
      </c>
      <c r="D39" s="7" t="s">
        <v>76</v>
      </c>
      <c r="E39" s="7"/>
      <c r="F39" s="8"/>
      <c r="G39" s="8"/>
      <c r="H39" s="9"/>
      <c r="I39" s="9"/>
      <c r="J39" s="8"/>
      <c r="K39" s="8"/>
      <c r="L39" s="9"/>
      <c r="M39" s="9"/>
      <c r="N39" s="8"/>
      <c r="O39" s="8"/>
      <c r="P39" s="9"/>
      <c r="Q39" s="9"/>
    </row>
    <row r="40" spans="2:17" ht="20.100000000000001" customHeight="1">
      <c r="B40" s="103"/>
      <c r="C40" s="10" t="s">
        <v>77</v>
      </c>
      <c r="D40" s="7" t="s">
        <v>42</v>
      </c>
      <c r="E40" s="7">
        <v>30.8</v>
      </c>
      <c r="F40" s="8"/>
      <c r="G40" s="8">
        <v>28.8</v>
      </c>
      <c r="H40" s="9">
        <v>28.2</v>
      </c>
      <c r="I40" s="9">
        <v>28.8</v>
      </c>
      <c r="J40" s="8"/>
      <c r="K40" s="8">
        <v>29</v>
      </c>
      <c r="L40" s="9"/>
      <c r="M40" s="9">
        <v>28.8</v>
      </c>
      <c r="N40" s="8">
        <v>27.5</v>
      </c>
      <c r="O40" s="8">
        <v>28.7</v>
      </c>
      <c r="P40" s="9"/>
      <c r="Q40" s="9">
        <v>28.7</v>
      </c>
    </row>
    <row r="41" spans="2:17" ht="20.100000000000001" customHeight="1">
      <c r="B41" s="103"/>
      <c r="C41" s="10" t="s">
        <v>78</v>
      </c>
      <c r="D41" s="7" t="s">
        <v>42</v>
      </c>
      <c r="E41" s="7">
        <v>36.4</v>
      </c>
      <c r="F41" s="8"/>
      <c r="G41" s="8">
        <v>35</v>
      </c>
      <c r="H41" s="9">
        <v>33.1</v>
      </c>
      <c r="I41" s="9">
        <v>34.299999999999997</v>
      </c>
      <c r="J41" s="8"/>
      <c r="K41" s="8">
        <v>35</v>
      </c>
      <c r="L41" s="9"/>
      <c r="M41" s="9">
        <v>34.6</v>
      </c>
      <c r="N41" s="8">
        <v>32.799999999999997</v>
      </c>
      <c r="O41" s="8">
        <v>34.700000000000003</v>
      </c>
      <c r="P41" s="9"/>
      <c r="Q41" s="9">
        <v>34.5</v>
      </c>
    </row>
    <row r="42" spans="2:17" ht="20.100000000000001" customHeight="1">
      <c r="B42" s="103"/>
      <c r="C42" s="10" t="s">
        <v>79</v>
      </c>
      <c r="D42" s="7" t="s">
        <v>42</v>
      </c>
      <c r="E42" s="7">
        <v>5.6</v>
      </c>
      <c r="F42" s="15">
        <f>F41-F40</f>
        <v>0</v>
      </c>
      <c r="G42" s="15">
        <f>G41-G40</f>
        <v>6.1999999999999993</v>
      </c>
      <c r="H42" s="15">
        <f t="shared" ref="H42" si="8">H41-H40</f>
        <v>4.9000000000000021</v>
      </c>
      <c r="I42" s="15">
        <f t="shared" ref="I42:Q42" si="9">I41-I40</f>
        <v>5.4999999999999964</v>
      </c>
      <c r="J42" s="15">
        <f t="shared" si="9"/>
        <v>0</v>
      </c>
      <c r="K42" s="15">
        <f t="shared" si="9"/>
        <v>6</v>
      </c>
      <c r="L42" s="15">
        <f>L41-L40</f>
        <v>0</v>
      </c>
      <c r="M42" s="15">
        <f>M41-M40</f>
        <v>5.8000000000000007</v>
      </c>
      <c r="N42" s="15">
        <f>N41-N40</f>
        <v>5.2999999999999972</v>
      </c>
      <c r="O42" s="15">
        <f>O41-O40</f>
        <v>6.0000000000000036</v>
      </c>
      <c r="P42" s="15">
        <f t="shared" si="9"/>
        <v>0</v>
      </c>
      <c r="Q42" s="15">
        <f t="shared" si="9"/>
        <v>5.8000000000000007</v>
      </c>
    </row>
    <row r="43" spans="2:17" ht="20.100000000000001" customHeight="1">
      <c r="B43" s="103"/>
      <c r="C43" s="10" t="s">
        <v>80</v>
      </c>
      <c r="D43" s="7" t="s">
        <v>61</v>
      </c>
      <c r="E43" s="7">
        <v>1273.0999999999999</v>
      </c>
      <c r="F43" s="8"/>
      <c r="G43" s="8">
        <v>1155.0999999999999</v>
      </c>
      <c r="H43" s="9">
        <v>1305.9000000000001</v>
      </c>
      <c r="I43" s="9">
        <v>1140.2</v>
      </c>
      <c r="J43" s="8"/>
      <c r="K43" s="8">
        <v>1165.4000000000001</v>
      </c>
      <c r="L43" s="9"/>
      <c r="M43" s="8">
        <v>1148.4000000000001</v>
      </c>
      <c r="N43" s="8">
        <v>1282.96</v>
      </c>
      <c r="O43" s="8">
        <v>1138.9000000000001</v>
      </c>
      <c r="P43" s="9"/>
      <c r="Q43" s="9">
        <v>1154</v>
      </c>
    </row>
    <row r="44" spans="2:17" ht="20.100000000000001" customHeight="1">
      <c r="B44" s="103"/>
      <c r="C44" s="10" t="s">
        <v>81</v>
      </c>
      <c r="D44" s="7" t="s">
        <v>67</v>
      </c>
      <c r="E44" s="7">
        <v>8226.9</v>
      </c>
      <c r="F44" s="16">
        <f>F42*F43/0.866</f>
        <v>0</v>
      </c>
      <c r="G44" s="16">
        <f>G42*G43/0.866</f>
        <v>8269.7690531177814</v>
      </c>
      <c r="H44" s="16">
        <f t="shared" ref="H44" si="10">H42*H43/0.866</f>
        <v>7389.0415704388033</v>
      </c>
      <c r="I44" s="16">
        <f t="shared" ref="I44:Q44" si="11">I42*I43/0.866</f>
        <v>7241.4549653579625</v>
      </c>
      <c r="J44" s="16">
        <f t="shared" si="11"/>
        <v>0</v>
      </c>
      <c r="K44" s="16">
        <f t="shared" si="11"/>
        <v>8074.3648960739038</v>
      </c>
      <c r="L44" s="16">
        <f>L42*L43/0.866</f>
        <v>0</v>
      </c>
      <c r="M44" s="16">
        <f>M42*M43/0.866</f>
        <v>7691.3625866050825</v>
      </c>
      <c r="N44" s="16">
        <f>N42*N43/0.866</f>
        <v>7851.8337182447995</v>
      </c>
      <c r="O44" s="16">
        <f>O42*O43/0.866</f>
        <v>7890.7621247113211</v>
      </c>
      <c r="P44" s="16">
        <f t="shared" si="11"/>
        <v>0</v>
      </c>
      <c r="Q44" s="16">
        <f t="shared" si="11"/>
        <v>7728.8683602771371</v>
      </c>
    </row>
    <row r="45" spans="2:17" ht="20.100000000000001" customHeight="1">
      <c r="B45" s="103" t="s">
        <v>82</v>
      </c>
      <c r="C45" s="10" t="s">
        <v>83</v>
      </c>
      <c r="D45" s="7" t="s">
        <v>49</v>
      </c>
      <c r="E45" s="7" t="s">
        <v>84</v>
      </c>
      <c r="F45" s="8"/>
      <c r="G45" s="8">
        <v>0.48</v>
      </c>
      <c r="H45" s="9">
        <v>0.45</v>
      </c>
      <c r="I45" s="9">
        <v>0.47</v>
      </c>
      <c r="J45" s="8"/>
      <c r="K45" s="8">
        <v>0.47</v>
      </c>
      <c r="L45" s="9"/>
      <c r="M45" s="9">
        <v>0.47</v>
      </c>
      <c r="N45" s="8">
        <v>0.44</v>
      </c>
      <c r="O45" s="8">
        <v>0.46</v>
      </c>
      <c r="P45" s="9"/>
      <c r="Q45" s="9">
        <v>0.48</v>
      </c>
    </row>
    <row r="46" spans="2:17" ht="20.100000000000001" customHeight="1">
      <c r="B46" s="103"/>
      <c r="C46" s="10" t="s">
        <v>85</v>
      </c>
      <c r="D46" s="7" t="s">
        <v>42</v>
      </c>
      <c r="E46" s="7" t="s">
        <v>43</v>
      </c>
      <c r="F46" s="8"/>
      <c r="G46" s="8">
        <v>20.6</v>
      </c>
      <c r="H46" s="9">
        <v>18.8</v>
      </c>
      <c r="I46" s="9">
        <v>20.3</v>
      </c>
      <c r="J46" s="8"/>
      <c r="K46" s="8">
        <v>20.2</v>
      </c>
      <c r="L46" s="9"/>
      <c r="M46" s="9">
        <v>20</v>
      </c>
      <c r="N46" s="8">
        <v>18.399999999999999</v>
      </c>
      <c r="O46" s="8">
        <v>19.7</v>
      </c>
      <c r="P46" s="9"/>
      <c r="Q46" s="9">
        <v>20.8</v>
      </c>
    </row>
    <row r="47" spans="2:17" ht="20.100000000000001" customHeight="1">
      <c r="B47" s="103"/>
      <c r="C47" s="10" t="s">
        <v>86</v>
      </c>
      <c r="D47" s="7" t="s">
        <v>76</v>
      </c>
      <c r="E47" s="7" t="s">
        <v>76</v>
      </c>
      <c r="F47" s="8"/>
      <c r="G47" s="8">
        <v>196.4</v>
      </c>
      <c r="H47" s="9">
        <v>118.1</v>
      </c>
      <c r="I47" s="9">
        <v>126.3</v>
      </c>
      <c r="J47" s="8"/>
      <c r="K47" s="8">
        <v>198.6</v>
      </c>
      <c r="L47" s="9"/>
      <c r="M47" s="9">
        <v>218.3</v>
      </c>
      <c r="N47" s="8">
        <v>159.4</v>
      </c>
      <c r="O47" s="8">
        <v>156.4</v>
      </c>
      <c r="P47" s="9"/>
      <c r="Q47" s="9">
        <v>194.1</v>
      </c>
    </row>
    <row r="48" spans="2:17" ht="20.100000000000001" customHeight="1">
      <c r="B48" s="97" t="s">
        <v>87</v>
      </c>
      <c r="C48" s="97"/>
      <c r="D48" s="97"/>
      <c r="E48" s="17" t="s">
        <v>88</v>
      </c>
      <c r="F48" s="8"/>
      <c r="G48" s="8"/>
      <c r="H48" s="9"/>
      <c r="I48" s="9"/>
      <c r="J48" s="8"/>
      <c r="K48" s="8"/>
      <c r="L48" s="9"/>
      <c r="M48" s="9"/>
      <c r="N48" s="8"/>
      <c r="O48" s="8"/>
      <c r="P48" s="9"/>
      <c r="Q48" s="9"/>
    </row>
    <row r="49" spans="2:17" ht="20.100000000000001" customHeight="1">
      <c r="B49" s="97" t="s">
        <v>89</v>
      </c>
      <c r="C49" s="97"/>
      <c r="D49" s="97"/>
      <c r="E49" s="84">
        <v>5.89</v>
      </c>
      <c r="F49" s="8"/>
      <c r="G49" s="8">
        <v>5.4</v>
      </c>
      <c r="H49" s="9">
        <v>5.51</v>
      </c>
      <c r="I49" s="9">
        <v>5.38</v>
      </c>
      <c r="J49" s="8"/>
      <c r="K49" s="8">
        <v>5.56</v>
      </c>
      <c r="L49" s="9"/>
      <c r="M49" s="9">
        <v>5.52</v>
      </c>
      <c r="N49" s="8">
        <v>5.76</v>
      </c>
      <c r="O49" s="8">
        <v>5.56</v>
      </c>
      <c r="P49" s="9"/>
      <c r="Q49" s="9">
        <v>5.34</v>
      </c>
    </row>
    <row r="50" spans="2:17" ht="20.100000000000001" customHeight="1">
      <c r="B50" s="97" t="s">
        <v>90</v>
      </c>
      <c r="C50" s="97"/>
      <c r="D50" s="97"/>
      <c r="E50" s="84"/>
      <c r="F50" s="8"/>
      <c r="G50" s="8"/>
      <c r="H50" s="9"/>
      <c r="I50" s="9"/>
      <c r="J50" s="8"/>
      <c r="K50" s="8"/>
      <c r="L50" s="9"/>
      <c r="M50" s="9"/>
      <c r="N50" s="8"/>
      <c r="O50" s="8"/>
      <c r="P50" s="9"/>
      <c r="Q50" s="9"/>
    </row>
    <row r="51" spans="2:17" ht="20.100000000000001" customHeight="1" thickBot="1">
      <c r="B51" s="97" t="s">
        <v>91</v>
      </c>
      <c r="C51" s="97"/>
      <c r="D51" s="97"/>
      <c r="E51" s="83"/>
      <c r="F51" s="8"/>
      <c r="G51" s="8"/>
      <c r="H51" s="9"/>
      <c r="I51" s="9"/>
      <c r="J51" s="8"/>
      <c r="K51" s="8"/>
      <c r="L51" s="9"/>
      <c r="M51" s="9"/>
      <c r="N51" s="8"/>
      <c r="O51" s="8"/>
      <c r="P51" s="9"/>
      <c r="Q51" s="9"/>
    </row>
    <row r="52" spans="2:17">
      <c r="B52" t="s">
        <v>92</v>
      </c>
      <c r="C52" s="18" t="s">
        <v>93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28"/>
    </row>
    <row r="53" spans="2:17">
      <c r="C53" s="20" t="s">
        <v>94</v>
      </c>
      <c r="Q53" s="31"/>
    </row>
    <row r="54" spans="2:17">
      <c r="C54" s="20" t="s">
        <v>95</v>
      </c>
      <c r="Q54" s="31"/>
    </row>
    <row r="55" spans="2:17">
      <c r="C55" s="20"/>
      <c r="Q55" s="31"/>
    </row>
    <row r="56" spans="2:17">
      <c r="C56" s="20"/>
      <c r="Q56" s="31"/>
    </row>
    <row r="57" spans="2:17">
      <c r="C57" s="20" t="s">
        <v>96</v>
      </c>
      <c r="F57" s="21" t="b">
        <v>0</v>
      </c>
      <c r="G57" s="22" t="s">
        <v>97</v>
      </c>
      <c r="Q57" s="31"/>
    </row>
    <row r="58" spans="2:17">
      <c r="C58" s="20" t="s">
        <v>96</v>
      </c>
      <c r="F58" s="8" t="s">
        <v>98</v>
      </c>
      <c r="G58" s="23" t="s">
        <v>99</v>
      </c>
      <c r="Q58" s="31"/>
    </row>
    <row r="59" spans="2:17" ht="15.75" thickBot="1"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30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37B37-FFF6-4DF6-AEDC-F5B80500DC20}">
  <dimension ref="B1:Q59"/>
  <sheetViews>
    <sheetView view="pageBreakPreview" topLeftCell="A4" zoomScale="85" zoomScaleNormal="60" workbookViewId="0">
      <selection activeCell="P28" sqref="P28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107"/>
      <c r="C2" s="110" t="s">
        <v>0</v>
      </c>
      <c r="D2" s="111"/>
      <c r="E2" s="111"/>
      <c r="F2" s="111"/>
      <c r="G2" s="111"/>
      <c r="H2" s="111"/>
      <c r="I2" s="111"/>
      <c r="J2" s="111"/>
      <c r="K2" s="111"/>
      <c r="L2" s="111"/>
      <c r="M2" s="112"/>
      <c r="N2" s="18" t="s">
        <v>1</v>
      </c>
      <c r="O2" s="19"/>
      <c r="P2" s="19"/>
      <c r="Q2" s="28"/>
    </row>
    <row r="3" spans="2:17" ht="15.75" thickBot="1">
      <c r="B3" s="108"/>
      <c r="C3" s="113"/>
      <c r="D3" s="114"/>
      <c r="E3" s="114"/>
      <c r="F3" s="114"/>
      <c r="G3" s="114"/>
      <c r="H3" s="114"/>
      <c r="I3" s="114"/>
      <c r="J3" s="114"/>
      <c r="K3" s="114"/>
      <c r="L3" s="114"/>
      <c r="M3" s="115"/>
      <c r="N3" s="26" t="s">
        <v>2</v>
      </c>
      <c r="O3" s="27" t="s">
        <v>3</v>
      </c>
      <c r="P3" s="27"/>
      <c r="Q3" s="29"/>
    </row>
    <row r="4" spans="2:17" ht="15.75" thickBot="1">
      <c r="B4" s="108"/>
      <c r="C4" s="113"/>
      <c r="D4" s="114"/>
      <c r="E4" s="114"/>
      <c r="F4" s="114"/>
      <c r="G4" s="114"/>
      <c r="H4" s="114"/>
      <c r="I4" s="114"/>
      <c r="J4" s="114"/>
      <c r="K4" s="114"/>
      <c r="L4" s="114"/>
      <c r="M4" s="115"/>
      <c r="N4" s="26" t="s">
        <v>4</v>
      </c>
      <c r="O4" s="27"/>
      <c r="P4" s="27"/>
      <c r="Q4" s="29"/>
    </row>
    <row r="5" spans="2:17" ht="15.75" thickBot="1">
      <c r="B5" s="109"/>
      <c r="C5" s="116"/>
      <c r="D5" s="117"/>
      <c r="E5" s="117"/>
      <c r="F5" s="117"/>
      <c r="G5" s="117"/>
      <c r="H5" s="117"/>
      <c r="I5" s="117"/>
      <c r="J5" s="117"/>
      <c r="K5" s="117"/>
      <c r="L5" s="117"/>
      <c r="M5" s="118"/>
      <c r="N5" s="24" t="s">
        <v>5</v>
      </c>
      <c r="O5" s="25"/>
      <c r="P5" s="25"/>
      <c r="Q5" s="30"/>
    </row>
    <row r="7" spans="2:17">
      <c r="B7" s="98" t="s">
        <v>6</v>
      </c>
      <c r="C7" s="99"/>
      <c r="D7" s="100">
        <v>45742</v>
      </c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2"/>
    </row>
    <row r="8" spans="2:17">
      <c r="B8" s="97" t="s">
        <v>7</v>
      </c>
      <c r="C8" s="97"/>
      <c r="D8" s="97"/>
      <c r="E8" s="105" t="s">
        <v>8</v>
      </c>
      <c r="F8" s="103" t="s">
        <v>9</v>
      </c>
      <c r="G8" s="103"/>
      <c r="H8" s="104" t="s">
        <v>10</v>
      </c>
      <c r="I8" s="104"/>
      <c r="J8" s="103" t="s">
        <v>11</v>
      </c>
      <c r="K8" s="103"/>
      <c r="L8" s="104" t="s">
        <v>12</v>
      </c>
      <c r="M8" s="104"/>
      <c r="N8" s="103" t="s">
        <v>13</v>
      </c>
      <c r="O8" s="103"/>
      <c r="P8" s="104" t="s">
        <v>14</v>
      </c>
      <c r="Q8" s="104"/>
    </row>
    <row r="9" spans="2:17">
      <c r="B9" s="98" t="s">
        <v>15</v>
      </c>
      <c r="C9" s="119"/>
      <c r="D9" s="99"/>
      <c r="E9" s="106"/>
      <c r="F9" s="3">
        <v>0.375</v>
      </c>
      <c r="G9" s="32" t="s">
        <v>16</v>
      </c>
      <c r="H9" s="4">
        <v>0.375</v>
      </c>
      <c r="I9" s="33" t="s">
        <v>16</v>
      </c>
      <c r="J9" s="3">
        <v>0.375</v>
      </c>
      <c r="K9" s="32" t="s">
        <v>16</v>
      </c>
      <c r="L9" s="4">
        <v>0.375</v>
      </c>
      <c r="M9" s="33" t="s">
        <v>16</v>
      </c>
      <c r="N9" s="3">
        <v>0.375</v>
      </c>
      <c r="O9" s="32" t="s">
        <v>16</v>
      </c>
      <c r="P9" s="4">
        <v>0.375</v>
      </c>
      <c r="Q9" s="33" t="s">
        <v>16</v>
      </c>
    </row>
    <row r="10" spans="2:17" ht="26.25" customHeight="1">
      <c r="B10" s="120" t="s">
        <v>17</v>
      </c>
      <c r="C10" s="121"/>
      <c r="D10" s="86" t="s">
        <v>18</v>
      </c>
      <c r="E10" s="5"/>
      <c r="F10" s="6"/>
      <c r="G10" s="34" t="s">
        <v>19</v>
      </c>
      <c r="H10" s="35"/>
      <c r="I10" s="35" t="s">
        <v>19</v>
      </c>
      <c r="J10" s="34"/>
      <c r="K10" s="34" t="s">
        <v>19</v>
      </c>
      <c r="L10" s="35"/>
      <c r="M10" s="35" t="s">
        <v>19</v>
      </c>
      <c r="N10" s="6"/>
      <c r="O10" s="34" t="s">
        <v>19</v>
      </c>
      <c r="P10" s="35"/>
      <c r="Q10" s="35" t="s">
        <v>19</v>
      </c>
    </row>
    <row r="11" spans="2:17" ht="20.100000000000001" customHeight="1">
      <c r="B11" s="97" t="s">
        <v>20</v>
      </c>
      <c r="C11" s="97"/>
      <c r="D11" s="7" t="s">
        <v>21</v>
      </c>
      <c r="E11" s="7" t="s">
        <v>22</v>
      </c>
      <c r="F11" s="8"/>
      <c r="G11" s="8">
        <v>67.900000000000006</v>
      </c>
      <c r="H11" s="9"/>
      <c r="I11" s="9">
        <v>76.599999999999994</v>
      </c>
      <c r="J11" s="8"/>
      <c r="K11" s="8">
        <v>73.400000000000006</v>
      </c>
      <c r="L11" s="9"/>
      <c r="M11" s="9">
        <v>74</v>
      </c>
      <c r="N11" s="8"/>
      <c r="O11" s="8">
        <v>74</v>
      </c>
      <c r="P11" s="9"/>
      <c r="Q11" s="9">
        <v>70.2</v>
      </c>
    </row>
    <row r="12" spans="2:17" ht="20.100000000000001" customHeight="1">
      <c r="B12" s="97" t="s">
        <v>23</v>
      </c>
      <c r="C12" s="97"/>
      <c r="D12" s="7" t="s">
        <v>21</v>
      </c>
      <c r="E12" s="7" t="s">
        <v>22</v>
      </c>
      <c r="F12" s="8"/>
      <c r="G12" s="8">
        <v>0.1</v>
      </c>
      <c r="H12" s="9"/>
      <c r="I12" s="9">
        <v>0</v>
      </c>
      <c r="J12" s="8"/>
      <c r="K12" s="8">
        <v>0</v>
      </c>
      <c r="L12" s="9"/>
      <c r="M12" s="9">
        <v>0</v>
      </c>
      <c r="N12" s="8"/>
      <c r="O12" s="8">
        <v>0</v>
      </c>
      <c r="P12" s="9"/>
      <c r="Q12" s="9">
        <v>0</v>
      </c>
    </row>
    <row r="13" spans="2:17" ht="20.100000000000001" customHeight="1">
      <c r="B13" s="97" t="s">
        <v>24</v>
      </c>
      <c r="C13" s="97"/>
      <c r="D13" s="7" t="s">
        <v>21</v>
      </c>
      <c r="E13" s="7" t="s">
        <v>22</v>
      </c>
      <c r="F13" s="8" t="s">
        <v>102</v>
      </c>
      <c r="G13" s="8">
        <v>61.3</v>
      </c>
      <c r="H13" s="9"/>
      <c r="I13" s="9">
        <v>72.3</v>
      </c>
      <c r="J13" s="8"/>
      <c r="K13" s="8">
        <v>68.3</v>
      </c>
      <c r="L13" s="9"/>
      <c r="M13" s="9">
        <v>69.400000000000006</v>
      </c>
      <c r="N13" s="8"/>
      <c r="O13" s="8">
        <v>68.7</v>
      </c>
      <c r="P13" s="9"/>
      <c r="Q13" s="9">
        <v>63.6</v>
      </c>
    </row>
    <row r="14" spans="2:17" ht="20.100000000000001" customHeight="1">
      <c r="B14" s="97" t="s">
        <v>25</v>
      </c>
      <c r="C14" s="97"/>
      <c r="D14" s="7" t="s">
        <v>21</v>
      </c>
      <c r="E14" s="7" t="s">
        <v>22</v>
      </c>
      <c r="F14" s="8"/>
      <c r="G14" s="8">
        <v>66.900000000000006</v>
      </c>
      <c r="H14" s="9"/>
      <c r="I14" s="9">
        <v>71.400000000000006</v>
      </c>
      <c r="J14" s="8"/>
      <c r="K14" s="8">
        <v>64.599999999999994</v>
      </c>
      <c r="L14" s="9"/>
      <c r="M14" s="9">
        <v>64.8</v>
      </c>
      <c r="N14" s="8"/>
      <c r="O14" s="8">
        <v>75.2</v>
      </c>
      <c r="P14" s="9"/>
      <c r="Q14" s="9">
        <v>73</v>
      </c>
    </row>
    <row r="15" spans="2:17" ht="20.100000000000001" customHeight="1">
      <c r="B15" s="97" t="s">
        <v>26</v>
      </c>
      <c r="C15" s="97"/>
      <c r="D15" s="7" t="s">
        <v>21</v>
      </c>
      <c r="E15" s="7" t="s">
        <v>22</v>
      </c>
      <c r="F15" s="8"/>
      <c r="G15" s="8">
        <v>35.4</v>
      </c>
      <c r="H15" s="9"/>
      <c r="I15" s="9">
        <v>48</v>
      </c>
      <c r="J15" s="8"/>
      <c r="K15" s="8">
        <v>36.700000000000003</v>
      </c>
      <c r="L15" s="9"/>
      <c r="M15" s="9">
        <v>30.9</v>
      </c>
      <c r="N15" s="8"/>
      <c r="O15" s="8">
        <v>52.8</v>
      </c>
      <c r="P15" s="9"/>
      <c r="Q15" s="9">
        <v>41.7</v>
      </c>
    </row>
    <row r="16" spans="2:17" ht="20.100000000000001" customHeight="1">
      <c r="B16" s="103" t="s">
        <v>27</v>
      </c>
      <c r="C16" s="10" t="s">
        <v>28</v>
      </c>
      <c r="D16" s="7" t="s">
        <v>29</v>
      </c>
      <c r="E16" s="7" t="s">
        <v>30</v>
      </c>
      <c r="F16" s="8"/>
      <c r="G16" s="8">
        <v>6.6</v>
      </c>
      <c r="H16" s="9"/>
      <c r="I16" s="9">
        <v>6.6</v>
      </c>
      <c r="J16" s="8"/>
      <c r="K16" s="8">
        <v>6.6</v>
      </c>
      <c r="L16" s="9"/>
      <c r="M16" s="9">
        <v>6.6</v>
      </c>
      <c r="N16" s="8"/>
      <c r="O16" s="8">
        <v>6.6</v>
      </c>
      <c r="P16" s="9"/>
      <c r="Q16" s="9">
        <v>6.6</v>
      </c>
    </row>
    <row r="17" spans="2:17" ht="20.100000000000001" customHeight="1">
      <c r="B17" s="103"/>
      <c r="C17" s="10" t="s">
        <v>31</v>
      </c>
      <c r="D17" s="7" t="s">
        <v>32</v>
      </c>
      <c r="E17" s="7" t="s">
        <v>33</v>
      </c>
      <c r="F17" s="8"/>
      <c r="G17" s="8">
        <v>115.2</v>
      </c>
      <c r="H17" s="9"/>
      <c r="I17" s="9">
        <v>117.1</v>
      </c>
      <c r="J17" s="8"/>
      <c r="K17" s="8">
        <v>118.1</v>
      </c>
      <c r="L17" s="9"/>
      <c r="M17" s="9">
        <v>116.6</v>
      </c>
      <c r="N17" s="8"/>
      <c r="O17" s="8">
        <v>117.9</v>
      </c>
      <c r="P17" s="9"/>
      <c r="Q17" s="9">
        <v>116.1</v>
      </c>
    </row>
    <row r="18" spans="2:17" ht="20.100000000000001" customHeight="1">
      <c r="B18" s="103"/>
      <c r="C18" s="10" t="s">
        <v>34</v>
      </c>
      <c r="D18" s="7" t="s">
        <v>35</v>
      </c>
      <c r="E18" s="7" t="s">
        <v>36</v>
      </c>
      <c r="F18" s="8"/>
      <c r="G18" s="8">
        <v>1120</v>
      </c>
      <c r="H18" s="9"/>
      <c r="I18" s="9">
        <v>1183</v>
      </c>
      <c r="J18" s="8"/>
      <c r="K18" s="8">
        <v>1196</v>
      </c>
      <c r="L18" s="9"/>
      <c r="M18" s="9">
        <v>1178</v>
      </c>
      <c r="N18" s="8"/>
      <c r="O18" s="8">
        <v>1195</v>
      </c>
      <c r="P18" s="9"/>
      <c r="Q18" s="9">
        <v>1177</v>
      </c>
    </row>
    <row r="19" spans="2:17" ht="20.100000000000001" customHeight="1">
      <c r="B19" s="103" t="s">
        <v>37</v>
      </c>
      <c r="C19" s="10" t="s">
        <v>38</v>
      </c>
      <c r="D19" s="7" t="s">
        <v>39</v>
      </c>
      <c r="E19" s="11" t="s">
        <v>40</v>
      </c>
      <c r="F19" s="8"/>
      <c r="G19" s="8">
        <v>49644.4</v>
      </c>
      <c r="H19" s="9"/>
      <c r="I19" s="9">
        <v>50927.8</v>
      </c>
      <c r="J19" s="8"/>
      <c r="K19" s="8">
        <v>48565.7</v>
      </c>
      <c r="L19" s="9"/>
      <c r="M19" s="9">
        <v>50942.400000000001</v>
      </c>
      <c r="N19" s="8"/>
      <c r="O19" s="8">
        <v>50134.3</v>
      </c>
      <c r="P19" s="9"/>
      <c r="Q19" s="9">
        <v>50271</v>
      </c>
    </row>
    <row r="20" spans="2:17" ht="20.100000000000001" customHeight="1">
      <c r="B20" s="103"/>
      <c r="C20" s="10" t="s">
        <v>41</v>
      </c>
      <c r="D20" s="7" t="s">
        <v>42</v>
      </c>
      <c r="E20" s="7" t="s">
        <v>43</v>
      </c>
      <c r="F20" s="8"/>
      <c r="G20" s="8"/>
      <c r="H20" s="9"/>
      <c r="I20" s="9"/>
      <c r="J20" s="8"/>
      <c r="K20" s="8"/>
      <c r="L20" s="9"/>
      <c r="M20" s="9"/>
      <c r="N20" s="8"/>
      <c r="O20" s="8"/>
      <c r="P20" s="9"/>
      <c r="Q20" s="9"/>
    </row>
    <row r="21" spans="2:17" ht="20.100000000000001" customHeight="1">
      <c r="B21" s="103"/>
      <c r="C21" s="10" t="s">
        <v>44</v>
      </c>
      <c r="D21" s="7" t="s">
        <v>42</v>
      </c>
      <c r="E21" s="7" t="s">
        <v>45</v>
      </c>
      <c r="F21" s="8"/>
      <c r="G21" s="8"/>
      <c r="H21" s="9"/>
      <c r="I21" s="9"/>
      <c r="J21" s="8"/>
      <c r="K21" s="8"/>
      <c r="L21" s="9"/>
      <c r="M21" s="9"/>
      <c r="N21" s="8"/>
      <c r="O21" s="8"/>
      <c r="P21" s="9"/>
      <c r="Q21" s="9"/>
    </row>
    <row r="22" spans="2:17" ht="20.100000000000001" customHeight="1">
      <c r="B22" s="103"/>
      <c r="C22" s="10" t="s">
        <v>46</v>
      </c>
      <c r="D22" s="7" t="s">
        <v>42</v>
      </c>
      <c r="E22" s="7" t="s">
        <v>47</v>
      </c>
      <c r="F22" s="8"/>
      <c r="G22" s="8">
        <v>58.6</v>
      </c>
      <c r="H22" s="9"/>
      <c r="I22" s="9">
        <v>59.2</v>
      </c>
      <c r="J22" s="8"/>
      <c r="K22" s="8">
        <v>57.6</v>
      </c>
      <c r="L22" s="9"/>
      <c r="M22" s="9">
        <v>57.2</v>
      </c>
      <c r="N22" s="8"/>
      <c r="O22" s="8">
        <v>58.6</v>
      </c>
      <c r="P22" s="9"/>
      <c r="Q22" s="9">
        <v>59.3</v>
      </c>
    </row>
    <row r="23" spans="2:17" ht="60">
      <c r="B23" s="103"/>
      <c r="C23" s="12" t="s">
        <v>48</v>
      </c>
      <c r="D23" s="8" t="s">
        <v>49</v>
      </c>
      <c r="E23" s="13" t="s">
        <v>50</v>
      </c>
      <c r="F23" s="8"/>
      <c r="G23" s="8">
        <v>0.53</v>
      </c>
      <c r="H23" s="9"/>
      <c r="I23" s="9">
        <v>0.49</v>
      </c>
      <c r="J23" s="8"/>
      <c r="K23" s="8">
        <v>0.59</v>
      </c>
      <c r="L23" s="9"/>
      <c r="M23" s="9">
        <v>0.52</v>
      </c>
      <c r="N23" s="8"/>
      <c r="O23" s="8">
        <v>0.53</v>
      </c>
      <c r="P23" s="9"/>
      <c r="Q23" s="9">
        <v>0.5</v>
      </c>
    </row>
    <row r="24" spans="2:17" ht="39.75" customHeight="1">
      <c r="B24" s="103"/>
      <c r="C24" s="12" t="s">
        <v>51</v>
      </c>
      <c r="D24" s="7"/>
      <c r="E24" s="7"/>
      <c r="F24" s="8"/>
      <c r="G24" s="8"/>
      <c r="H24" s="9"/>
      <c r="I24" s="9"/>
      <c r="J24" s="8"/>
      <c r="K24" s="8"/>
      <c r="L24" s="8"/>
      <c r="M24" s="9"/>
      <c r="N24" s="8"/>
      <c r="O24" s="8"/>
      <c r="P24" s="9"/>
      <c r="Q24" s="9"/>
    </row>
    <row r="25" spans="2:17" ht="20.100000000000001" customHeight="1">
      <c r="B25" s="103"/>
      <c r="C25" s="10" t="s">
        <v>52</v>
      </c>
      <c r="D25" s="7" t="s">
        <v>42</v>
      </c>
      <c r="E25" s="7" t="s">
        <v>53</v>
      </c>
      <c r="F25" s="8"/>
      <c r="G25" s="8">
        <v>45.1</v>
      </c>
      <c r="H25" s="9"/>
      <c r="I25" s="9">
        <v>44.8</v>
      </c>
      <c r="J25" s="8"/>
      <c r="K25" s="8">
        <v>44.7</v>
      </c>
      <c r="L25" s="9"/>
      <c r="M25" s="9">
        <v>45.8</v>
      </c>
      <c r="N25" s="8"/>
      <c r="O25" s="8">
        <v>45.1</v>
      </c>
      <c r="P25" s="9"/>
      <c r="Q25" s="9">
        <v>44.8</v>
      </c>
    </row>
    <row r="26" spans="2:17" ht="20.100000000000001" customHeight="1">
      <c r="B26" s="103" t="s">
        <v>54</v>
      </c>
      <c r="C26" s="10" t="s">
        <v>55</v>
      </c>
      <c r="D26" s="7" t="s">
        <v>49</v>
      </c>
      <c r="E26" s="14" t="s">
        <v>56</v>
      </c>
      <c r="F26" s="8"/>
      <c r="G26" s="8">
        <v>0.24</v>
      </c>
      <c r="H26" s="9"/>
      <c r="I26" s="9">
        <v>0.22</v>
      </c>
      <c r="J26" s="8"/>
      <c r="K26" s="8">
        <v>0.23</v>
      </c>
      <c r="L26" s="9"/>
      <c r="M26" s="9">
        <v>0.22</v>
      </c>
      <c r="N26" s="8"/>
      <c r="O26" s="8">
        <v>0.23</v>
      </c>
      <c r="P26" s="9"/>
      <c r="Q26" s="9">
        <v>0.24</v>
      </c>
    </row>
    <row r="27" spans="2:17" ht="20.100000000000001" customHeight="1">
      <c r="B27" s="103"/>
      <c r="C27" s="10" t="s">
        <v>57</v>
      </c>
      <c r="D27" s="7" t="s">
        <v>42</v>
      </c>
      <c r="E27" s="7" t="s">
        <v>43</v>
      </c>
      <c r="F27" s="8"/>
      <c r="G27" s="8">
        <v>4.5999999999999996</v>
      </c>
      <c r="H27" s="9"/>
      <c r="I27" s="9">
        <v>3.7</v>
      </c>
      <c r="J27" s="8"/>
      <c r="K27" s="8">
        <v>4.4000000000000004</v>
      </c>
      <c r="L27" s="9"/>
      <c r="M27" s="9">
        <v>3.8</v>
      </c>
      <c r="N27" s="8"/>
      <c r="O27" s="8">
        <v>4.7</v>
      </c>
      <c r="P27" s="9"/>
      <c r="Q27" s="9">
        <v>5.0999999999999996</v>
      </c>
    </row>
    <row r="28" spans="2:17" ht="20.100000000000001" customHeight="1">
      <c r="B28" s="103"/>
      <c r="C28" s="10" t="s">
        <v>58</v>
      </c>
      <c r="D28" s="7" t="s">
        <v>42</v>
      </c>
      <c r="E28" s="7" t="s">
        <v>43</v>
      </c>
      <c r="F28" s="8"/>
      <c r="G28" s="8">
        <v>4.2</v>
      </c>
      <c r="H28" s="9"/>
      <c r="I28" s="9">
        <v>2.9</v>
      </c>
      <c r="J28" s="8"/>
      <c r="K28" s="8">
        <v>3.6</v>
      </c>
      <c r="L28" s="9"/>
      <c r="M28" s="9">
        <v>2.7</v>
      </c>
      <c r="N28" s="8"/>
      <c r="O28" s="8">
        <v>3.5</v>
      </c>
      <c r="P28" s="9"/>
      <c r="Q28" s="9">
        <v>4.0999999999999996</v>
      </c>
    </row>
    <row r="29" spans="2:17" ht="20.100000000000001" customHeight="1">
      <c r="B29" s="103"/>
      <c r="C29" s="10" t="s">
        <v>59</v>
      </c>
      <c r="D29" s="7" t="s">
        <v>42</v>
      </c>
      <c r="E29" s="7" t="s">
        <v>43</v>
      </c>
      <c r="F29" s="15">
        <f>F32-F28</f>
        <v>0</v>
      </c>
      <c r="G29" s="15">
        <f>G32-G28</f>
        <v>0.79999999999999982</v>
      </c>
      <c r="H29" s="15">
        <f t="shared" ref="H29:Q29" si="0">H32-H28</f>
        <v>0</v>
      </c>
      <c r="I29" s="15">
        <f t="shared" si="0"/>
        <v>2.1</v>
      </c>
      <c r="J29" s="15">
        <f t="shared" si="0"/>
        <v>0</v>
      </c>
      <c r="K29" s="15">
        <f t="shared" si="0"/>
        <v>1.1000000000000001</v>
      </c>
      <c r="L29" s="15">
        <f>L32-L28</f>
        <v>0</v>
      </c>
      <c r="M29" s="15">
        <f>M32-M28</f>
        <v>0.79999999999999982</v>
      </c>
      <c r="N29" s="15">
        <f>N32-N28</f>
        <v>0</v>
      </c>
      <c r="O29" s="15">
        <f>O32-O28</f>
        <v>1.0999999999999996</v>
      </c>
      <c r="P29" s="15">
        <f t="shared" si="0"/>
        <v>0</v>
      </c>
      <c r="Q29" s="15">
        <f t="shared" si="0"/>
        <v>0.90000000000000036</v>
      </c>
    </row>
    <row r="30" spans="2:17" ht="20.100000000000001" customHeight="1">
      <c r="B30" s="103"/>
      <c r="C30" s="10" t="s">
        <v>60</v>
      </c>
      <c r="D30" s="7" t="s">
        <v>61</v>
      </c>
      <c r="E30" s="7" t="s">
        <v>62</v>
      </c>
      <c r="F30" s="8"/>
      <c r="G30" s="8">
        <v>671.76</v>
      </c>
      <c r="H30" s="9"/>
      <c r="I30" s="9">
        <v>650.55999999999995</v>
      </c>
      <c r="J30" s="8"/>
      <c r="K30" s="8">
        <v>632.72</v>
      </c>
      <c r="L30" s="9"/>
      <c r="M30" s="9">
        <v>625.52</v>
      </c>
      <c r="N30" s="8"/>
      <c r="O30" s="8">
        <v>650.64</v>
      </c>
      <c r="P30" s="9"/>
      <c r="Q30" s="9">
        <v>634.32000000000005</v>
      </c>
    </row>
    <row r="31" spans="2:17" ht="20.100000000000001" customHeight="1">
      <c r="B31" s="103"/>
      <c r="C31" s="10" t="s">
        <v>63</v>
      </c>
      <c r="D31" s="7" t="s">
        <v>42</v>
      </c>
      <c r="E31" s="7">
        <v>13.5</v>
      </c>
      <c r="F31" s="8"/>
      <c r="G31" s="8">
        <v>13.4</v>
      </c>
      <c r="H31" s="9"/>
      <c r="I31" s="9">
        <v>13.5</v>
      </c>
      <c r="J31" s="8"/>
      <c r="K31" s="8">
        <v>13.7</v>
      </c>
      <c r="L31" s="9"/>
      <c r="M31" s="9">
        <v>12.9</v>
      </c>
      <c r="N31" s="8"/>
      <c r="O31" s="8">
        <v>13.5</v>
      </c>
      <c r="P31" s="9"/>
      <c r="Q31" s="9">
        <v>13.5</v>
      </c>
    </row>
    <row r="32" spans="2:17" ht="20.100000000000001" customHeight="1">
      <c r="B32" s="103"/>
      <c r="C32" s="10" t="s">
        <v>64</v>
      </c>
      <c r="D32" s="7" t="s">
        <v>42</v>
      </c>
      <c r="E32" s="7">
        <v>4</v>
      </c>
      <c r="F32" s="8"/>
      <c r="G32" s="8">
        <v>5</v>
      </c>
      <c r="H32" s="9"/>
      <c r="I32" s="9">
        <v>5</v>
      </c>
      <c r="J32" s="8"/>
      <c r="K32" s="8">
        <v>4.7</v>
      </c>
      <c r="L32" s="9"/>
      <c r="M32" s="9">
        <v>3.5</v>
      </c>
      <c r="N32" s="8"/>
      <c r="O32" s="8">
        <v>4.5999999999999996</v>
      </c>
      <c r="P32" s="9"/>
      <c r="Q32" s="9">
        <v>5</v>
      </c>
    </row>
    <row r="33" spans="2:17" ht="20.100000000000001" customHeight="1">
      <c r="B33" s="103"/>
      <c r="C33" s="10" t="s">
        <v>65</v>
      </c>
      <c r="D33" s="7" t="s">
        <v>42</v>
      </c>
      <c r="E33" s="7">
        <v>9.5</v>
      </c>
      <c r="F33" s="15">
        <f>F31-F32</f>
        <v>0</v>
      </c>
      <c r="G33" s="15">
        <f>G31-G32</f>
        <v>8.4</v>
      </c>
      <c r="H33" s="15">
        <f t="shared" ref="H33:Q33" si="1">H31-H32</f>
        <v>0</v>
      </c>
      <c r="I33" s="15">
        <f t="shared" si="1"/>
        <v>8.5</v>
      </c>
      <c r="J33" s="15">
        <f t="shared" si="1"/>
        <v>0</v>
      </c>
      <c r="K33" s="15">
        <f t="shared" si="1"/>
        <v>9</v>
      </c>
      <c r="L33" s="15">
        <f>L31-L32</f>
        <v>0</v>
      </c>
      <c r="M33" s="15">
        <f>M31-M32</f>
        <v>9.4</v>
      </c>
      <c r="N33" s="15">
        <f>N31-N32</f>
        <v>0</v>
      </c>
      <c r="O33" s="15">
        <f>O31-O32</f>
        <v>8.9</v>
      </c>
      <c r="P33" s="15">
        <f t="shared" si="1"/>
        <v>0</v>
      </c>
      <c r="Q33" s="15">
        <f t="shared" si="1"/>
        <v>8.5</v>
      </c>
    </row>
    <row r="34" spans="2:17" ht="20.100000000000001" customHeight="1">
      <c r="B34" s="103"/>
      <c r="C34" s="10" t="s">
        <v>66</v>
      </c>
      <c r="D34" s="7" t="s">
        <v>67</v>
      </c>
      <c r="E34" s="7" t="s">
        <v>68</v>
      </c>
      <c r="F34" s="16">
        <f>(F33*F30)/0.866</f>
        <v>0</v>
      </c>
      <c r="G34" s="16">
        <f>(G33*G30)/0.866</f>
        <v>6515.9168591224025</v>
      </c>
      <c r="H34" s="16">
        <f t="shared" ref="H34:Q34" si="2">(H33*H30)/0.866</f>
        <v>0</v>
      </c>
      <c r="I34" s="16">
        <f t="shared" si="2"/>
        <v>6385.4041570438794</v>
      </c>
      <c r="J34" s="16">
        <f t="shared" si="2"/>
        <v>0</v>
      </c>
      <c r="K34" s="16">
        <f t="shared" si="2"/>
        <v>6575.612009237876</v>
      </c>
      <c r="L34" s="16">
        <f>(L33*L30)/0.866</f>
        <v>0</v>
      </c>
      <c r="M34" s="16">
        <f>(M33*M30)/0.866</f>
        <v>6789.7090069284068</v>
      </c>
      <c r="N34" s="16">
        <f>(N33*N30)/0.866</f>
        <v>0</v>
      </c>
      <c r="O34" s="16">
        <f>(O33*O30)/0.866</f>
        <v>6686.7159353348734</v>
      </c>
      <c r="P34" s="16">
        <f t="shared" si="2"/>
        <v>0</v>
      </c>
      <c r="Q34" s="16">
        <f t="shared" si="2"/>
        <v>6226.0046189376444</v>
      </c>
    </row>
    <row r="35" spans="2:17" ht="20.100000000000001" customHeight="1">
      <c r="B35" s="103" t="s">
        <v>69</v>
      </c>
      <c r="C35" s="10" t="s">
        <v>70</v>
      </c>
      <c r="D35" s="7" t="s">
        <v>49</v>
      </c>
      <c r="E35" s="7" t="s">
        <v>71</v>
      </c>
      <c r="F35" s="8"/>
      <c r="G35" s="8">
        <v>0.83</v>
      </c>
      <c r="H35" s="9"/>
      <c r="I35" s="9">
        <v>0.85</v>
      </c>
      <c r="J35" s="8"/>
      <c r="K35" s="8">
        <v>0.84</v>
      </c>
      <c r="L35" s="9"/>
      <c r="M35" s="9">
        <v>0.83</v>
      </c>
      <c r="N35" s="8"/>
      <c r="O35" s="8">
        <v>0.81</v>
      </c>
      <c r="P35" s="9"/>
      <c r="Q35" s="9">
        <v>0.84</v>
      </c>
    </row>
    <row r="36" spans="2:17" ht="20.100000000000001" customHeight="1">
      <c r="B36" s="103"/>
      <c r="C36" s="10" t="s">
        <v>72</v>
      </c>
      <c r="D36" s="7" t="s">
        <v>42</v>
      </c>
      <c r="E36" s="7" t="s">
        <v>43</v>
      </c>
      <c r="F36" s="8"/>
      <c r="G36" s="8">
        <v>36.200000000000003</v>
      </c>
      <c r="H36" s="9"/>
      <c r="I36" s="9">
        <v>36.9</v>
      </c>
      <c r="J36" s="8"/>
      <c r="K36" s="8">
        <v>36.6</v>
      </c>
      <c r="L36" s="9"/>
      <c r="M36" s="9">
        <v>36.4</v>
      </c>
      <c r="N36" s="8"/>
      <c r="O36" s="8">
        <v>35.700000000000003</v>
      </c>
      <c r="P36" s="9"/>
      <c r="Q36" s="9">
        <v>36.799999999999997</v>
      </c>
    </row>
    <row r="37" spans="2:17" ht="20.100000000000001" customHeight="1">
      <c r="B37" s="103"/>
      <c r="C37" s="10" t="s">
        <v>73</v>
      </c>
      <c r="D37" s="7" t="s">
        <v>42</v>
      </c>
      <c r="E37" s="7" t="s">
        <v>43</v>
      </c>
      <c r="F37" s="8"/>
      <c r="G37" s="8">
        <v>36.799999999999997</v>
      </c>
      <c r="H37" s="9"/>
      <c r="I37" s="9">
        <v>37.700000000000003</v>
      </c>
      <c r="J37" s="8"/>
      <c r="K37" s="8">
        <v>37.299999999999997</v>
      </c>
      <c r="L37" s="9"/>
      <c r="M37" s="9">
        <v>36.9</v>
      </c>
      <c r="N37" s="8"/>
      <c r="O37" s="8">
        <v>36.200000000000003</v>
      </c>
      <c r="P37" s="9"/>
      <c r="Q37" s="9">
        <v>37.4</v>
      </c>
    </row>
    <row r="38" spans="2:17" ht="20.100000000000001" customHeight="1">
      <c r="B38" s="103"/>
      <c r="C38" s="12" t="s">
        <v>74</v>
      </c>
      <c r="D38" s="7" t="s">
        <v>42</v>
      </c>
      <c r="E38" s="7" t="s">
        <v>101</v>
      </c>
      <c r="F38" s="15">
        <f>F37-F41</f>
        <v>0</v>
      </c>
      <c r="G38" s="15">
        <f>G37-G41</f>
        <v>3</v>
      </c>
      <c r="H38" s="15">
        <f t="shared" ref="H38:Q38" si="3">H37-H41</f>
        <v>0</v>
      </c>
      <c r="I38" s="15">
        <f t="shared" si="3"/>
        <v>4.1000000000000014</v>
      </c>
      <c r="J38" s="15">
        <f t="shared" si="3"/>
        <v>0</v>
      </c>
      <c r="K38" s="15">
        <f t="shared" si="3"/>
        <v>3.2999999999999972</v>
      </c>
      <c r="L38" s="15">
        <f>L37-L41</f>
        <v>0</v>
      </c>
      <c r="M38" s="15">
        <f>M37-M41</f>
        <v>3.2999999999999972</v>
      </c>
      <c r="N38" s="15">
        <f>N37-N41</f>
        <v>0</v>
      </c>
      <c r="O38" s="15">
        <f>O37-O41</f>
        <v>2.6000000000000014</v>
      </c>
      <c r="P38" s="15">
        <f t="shared" si="3"/>
        <v>0</v>
      </c>
      <c r="Q38" s="15">
        <f t="shared" si="3"/>
        <v>3.3999999999999986</v>
      </c>
    </row>
    <row r="39" spans="2:17" ht="20.100000000000001" customHeight="1">
      <c r="B39" s="103"/>
      <c r="C39" s="10" t="s">
        <v>75</v>
      </c>
      <c r="D39" s="7" t="s">
        <v>76</v>
      </c>
      <c r="E39" s="7"/>
      <c r="F39" s="8"/>
      <c r="G39" s="8"/>
      <c r="H39" s="9"/>
      <c r="I39" s="9"/>
      <c r="J39" s="8"/>
      <c r="K39" s="8"/>
      <c r="L39" s="9"/>
      <c r="M39" s="9"/>
      <c r="N39" s="8"/>
      <c r="O39" s="8"/>
      <c r="P39" s="9"/>
      <c r="Q39" s="9"/>
    </row>
    <row r="40" spans="2:17" ht="20.100000000000001" customHeight="1">
      <c r="B40" s="103"/>
      <c r="C40" s="10" t="s">
        <v>77</v>
      </c>
      <c r="D40" s="7" t="s">
        <v>42</v>
      </c>
      <c r="E40" s="7">
        <v>30.8</v>
      </c>
      <c r="F40" s="8"/>
      <c r="G40" s="8">
        <v>28.1</v>
      </c>
      <c r="H40" s="9"/>
      <c r="I40" s="9">
        <v>27.9</v>
      </c>
      <c r="J40" s="8"/>
      <c r="K40" s="8">
        <v>28</v>
      </c>
      <c r="L40" s="9"/>
      <c r="M40" s="9">
        <v>27.9</v>
      </c>
      <c r="N40" s="8"/>
      <c r="O40" s="8">
        <v>27.9</v>
      </c>
      <c r="P40" s="9"/>
      <c r="Q40" s="9">
        <v>28.2</v>
      </c>
    </row>
    <row r="41" spans="2:17" ht="20.100000000000001" customHeight="1">
      <c r="B41" s="103"/>
      <c r="C41" s="10" t="s">
        <v>78</v>
      </c>
      <c r="D41" s="7" t="s">
        <v>42</v>
      </c>
      <c r="E41" s="7">
        <v>36.4</v>
      </c>
      <c r="F41" s="8"/>
      <c r="G41" s="8">
        <v>33.799999999999997</v>
      </c>
      <c r="H41" s="9"/>
      <c r="I41" s="9">
        <v>33.6</v>
      </c>
      <c r="J41" s="8"/>
      <c r="K41" s="8">
        <v>34</v>
      </c>
      <c r="L41" s="9"/>
      <c r="M41" s="9">
        <v>33.6</v>
      </c>
      <c r="N41" s="8"/>
      <c r="O41" s="8">
        <v>33.6</v>
      </c>
      <c r="P41" s="9"/>
      <c r="Q41" s="9">
        <v>34</v>
      </c>
    </row>
    <row r="42" spans="2:17" ht="20.100000000000001" customHeight="1">
      <c r="B42" s="103"/>
      <c r="C42" s="10" t="s">
        <v>79</v>
      </c>
      <c r="D42" s="7" t="s">
        <v>42</v>
      </c>
      <c r="E42" s="7">
        <v>5.6</v>
      </c>
      <c r="F42" s="15">
        <f>F41-F40</f>
        <v>0</v>
      </c>
      <c r="G42" s="15">
        <f>G41-G40</f>
        <v>5.6999999999999957</v>
      </c>
      <c r="H42" s="15">
        <f t="shared" ref="H42:Q42" si="4">H41-H40</f>
        <v>0</v>
      </c>
      <c r="I42" s="15">
        <f t="shared" si="4"/>
        <v>5.7000000000000028</v>
      </c>
      <c r="J42" s="15">
        <f t="shared" si="4"/>
        <v>0</v>
      </c>
      <c r="K42" s="15">
        <f t="shared" si="4"/>
        <v>6</v>
      </c>
      <c r="L42" s="15">
        <f>L41-L40</f>
        <v>0</v>
      </c>
      <c r="M42" s="15">
        <f>M41-M40</f>
        <v>5.7000000000000028</v>
      </c>
      <c r="N42" s="15">
        <f>N41-N40</f>
        <v>0</v>
      </c>
      <c r="O42" s="15">
        <f>O41-O40</f>
        <v>5.7000000000000028</v>
      </c>
      <c r="P42" s="15">
        <f t="shared" si="4"/>
        <v>0</v>
      </c>
      <c r="Q42" s="15">
        <f t="shared" si="4"/>
        <v>5.8000000000000007</v>
      </c>
    </row>
    <row r="43" spans="2:17" ht="20.100000000000001" customHeight="1">
      <c r="B43" s="103"/>
      <c r="C43" s="10" t="s">
        <v>80</v>
      </c>
      <c r="D43" s="7" t="s">
        <v>61</v>
      </c>
      <c r="E43" s="7">
        <v>1273.0999999999999</v>
      </c>
      <c r="F43" s="8"/>
      <c r="G43" s="8">
        <v>1151.5</v>
      </c>
      <c r="H43" s="9"/>
      <c r="I43" s="9">
        <v>1134.28</v>
      </c>
      <c r="J43" s="8"/>
      <c r="K43" s="8">
        <v>1164.52</v>
      </c>
      <c r="L43" s="9"/>
      <c r="M43" s="8">
        <v>1145.06</v>
      </c>
      <c r="N43" s="8"/>
      <c r="O43" s="8">
        <v>1132.8800000000001</v>
      </c>
      <c r="P43" s="9"/>
      <c r="Q43" s="9">
        <v>1149.82</v>
      </c>
    </row>
    <row r="44" spans="2:17" ht="20.100000000000001" customHeight="1">
      <c r="B44" s="103"/>
      <c r="C44" s="10" t="s">
        <v>81</v>
      </c>
      <c r="D44" s="7" t="s">
        <v>67</v>
      </c>
      <c r="E44" s="7">
        <v>8226.9</v>
      </c>
      <c r="F44" s="16">
        <f>F42*F43/0.866</f>
        <v>0</v>
      </c>
      <c r="G44" s="16">
        <f>G42*G43/0.866</f>
        <v>7579.1570438799017</v>
      </c>
      <c r="H44" s="16">
        <f t="shared" ref="H44:Q44" si="5">H42*H43/0.866</f>
        <v>0</v>
      </c>
      <c r="I44" s="16">
        <f t="shared" si="5"/>
        <v>7465.81524249423</v>
      </c>
      <c r="J44" s="16">
        <f t="shared" si="5"/>
        <v>0</v>
      </c>
      <c r="K44" s="16">
        <f t="shared" si="5"/>
        <v>8068.2678983833721</v>
      </c>
      <c r="L44" s="16">
        <f>L42*L43/0.866</f>
        <v>0</v>
      </c>
      <c r="M44" s="16">
        <f>M42*M43/0.866</f>
        <v>7536.7690531177868</v>
      </c>
      <c r="N44" s="16">
        <f>N42*N43/0.866</f>
        <v>0</v>
      </c>
      <c r="O44" s="16">
        <f>O42*O43/0.866</f>
        <v>7456.6004618937686</v>
      </c>
      <c r="P44" s="16">
        <f t="shared" si="5"/>
        <v>0</v>
      </c>
      <c r="Q44" s="16">
        <f t="shared" si="5"/>
        <v>7700.8729792147806</v>
      </c>
    </row>
    <row r="45" spans="2:17" ht="20.100000000000001" customHeight="1">
      <c r="B45" s="103" t="s">
        <v>82</v>
      </c>
      <c r="C45" s="10" t="s">
        <v>83</v>
      </c>
      <c r="D45" s="7" t="s">
        <v>49</v>
      </c>
      <c r="E45" s="7" t="s">
        <v>84</v>
      </c>
      <c r="F45" s="8"/>
      <c r="G45" s="8">
        <v>0.43</v>
      </c>
      <c r="H45" s="9"/>
      <c r="I45" s="9">
        <v>0.47</v>
      </c>
      <c r="J45" s="8"/>
      <c r="K45" s="8">
        <v>0.47</v>
      </c>
      <c r="L45" s="9"/>
      <c r="M45" s="9">
        <v>0.46</v>
      </c>
      <c r="N45" s="8"/>
      <c r="O45" s="8">
        <v>0.46</v>
      </c>
      <c r="P45" s="9"/>
      <c r="Q45" s="9">
        <v>0.48</v>
      </c>
    </row>
    <row r="46" spans="2:17" ht="20.100000000000001" customHeight="1">
      <c r="B46" s="103"/>
      <c r="C46" s="10" t="s">
        <v>85</v>
      </c>
      <c r="D46" s="7" t="s">
        <v>42</v>
      </c>
      <c r="E46" s="7" t="s">
        <v>43</v>
      </c>
      <c r="F46" s="8"/>
      <c r="G46" s="8">
        <v>20.3</v>
      </c>
      <c r="H46" s="9"/>
      <c r="I46" s="9">
        <v>20.100000000000001</v>
      </c>
      <c r="J46" s="8"/>
      <c r="K46" s="8">
        <v>20</v>
      </c>
      <c r="L46" s="9"/>
      <c r="M46" s="9">
        <v>19.8</v>
      </c>
      <c r="N46" s="8"/>
      <c r="O46" s="8">
        <v>19.600000000000001</v>
      </c>
      <c r="P46" s="9"/>
      <c r="Q46" s="9">
        <v>20.8</v>
      </c>
    </row>
    <row r="47" spans="2:17" ht="20.100000000000001" customHeight="1">
      <c r="B47" s="103"/>
      <c r="C47" s="10" t="s">
        <v>86</v>
      </c>
      <c r="D47" s="7" t="s">
        <v>76</v>
      </c>
      <c r="E47" s="7" t="s">
        <v>76</v>
      </c>
      <c r="F47" s="8"/>
      <c r="G47" s="8">
        <v>207.3</v>
      </c>
      <c r="H47" s="9"/>
      <c r="I47" s="9">
        <v>132.9</v>
      </c>
      <c r="J47" s="8"/>
      <c r="K47" s="8">
        <v>202</v>
      </c>
      <c r="L47" s="9"/>
      <c r="M47" s="9">
        <v>214.8</v>
      </c>
      <c r="N47" s="8"/>
      <c r="O47" s="8">
        <v>163</v>
      </c>
      <c r="P47" s="9"/>
      <c r="Q47" s="9">
        <v>195.9</v>
      </c>
    </row>
    <row r="48" spans="2:17" ht="20.100000000000001" customHeight="1">
      <c r="B48" s="97" t="s">
        <v>87</v>
      </c>
      <c r="C48" s="97"/>
      <c r="D48" s="97"/>
      <c r="E48" s="17" t="s">
        <v>88</v>
      </c>
      <c r="F48" s="8"/>
      <c r="G48" s="8"/>
      <c r="H48" s="9"/>
      <c r="I48" s="9"/>
      <c r="J48" s="8"/>
      <c r="K48" s="8"/>
      <c r="L48" s="9"/>
      <c r="M48" s="9"/>
      <c r="N48" s="8"/>
      <c r="O48" s="8"/>
      <c r="P48" s="9"/>
      <c r="Q48" s="9"/>
    </row>
    <row r="49" spans="2:17" ht="20.100000000000001" customHeight="1">
      <c r="B49" s="97" t="s">
        <v>89</v>
      </c>
      <c r="C49" s="97"/>
      <c r="D49" s="97"/>
      <c r="E49" s="86">
        <v>5.89</v>
      </c>
      <c r="F49" s="8"/>
      <c r="G49" s="8">
        <v>5.7</v>
      </c>
      <c r="H49" s="9"/>
      <c r="I49" s="9">
        <v>5.87</v>
      </c>
      <c r="J49" s="8"/>
      <c r="K49" s="8">
        <v>5.56</v>
      </c>
      <c r="L49" s="9"/>
      <c r="M49" s="9">
        <v>5.73</v>
      </c>
      <c r="N49" s="8"/>
      <c r="O49" s="8">
        <v>5.67</v>
      </c>
      <c r="P49" s="9"/>
      <c r="Q49" s="9">
        <v>5.23</v>
      </c>
    </row>
    <row r="50" spans="2:17" ht="20.100000000000001" customHeight="1">
      <c r="B50" s="97" t="s">
        <v>90</v>
      </c>
      <c r="C50" s="97"/>
      <c r="D50" s="97"/>
      <c r="E50" s="86"/>
      <c r="F50" s="8"/>
      <c r="G50" s="8"/>
      <c r="H50" s="9"/>
      <c r="I50" s="9"/>
      <c r="J50" s="8"/>
      <c r="K50" s="8"/>
      <c r="L50" s="9"/>
      <c r="M50" s="9"/>
      <c r="N50" s="8"/>
      <c r="O50" s="8"/>
      <c r="P50" s="9"/>
      <c r="Q50" s="9"/>
    </row>
    <row r="51" spans="2:17" ht="20.100000000000001" customHeight="1" thickBot="1">
      <c r="B51" s="97" t="s">
        <v>91</v>
      </c>
      <c r="C51" s="97"/>
      <c r="D51" s="97"/>
      <c r="E51" s="85"/>
      <c r="F51" s="8"/>
      <c r="G51" s="8"/>
      <c r="H51" s="9"/>
      <c r="I51" s="9"/>
      <c r="J51" s="8"/>
      <c r="K51" s="8"/>
      <c r="L51" s="9"/>
      <c r="M51" s="9"/>
      <c r="N51" s="8"/>
      <c r="O51" s="8"/>
      <c r="P51" s="9"/>
      <c r="Q51" s="9"/>
    </row>
    <row r="52" spans="2:17">
      <c r="B52" t="s">
        <v>92</v>
      </c>
      <c r="C52" s="18" t="s">
        <v>93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28"/>
    </row>
    <row r="53" spans="2:17">
      <c r="C53" s="20" t="s">
        <v>94</v>
      </c>
      <c r="Q53" s="31"/>
    </row>
    <row r="54" spans="2:17">
      <c r="C54" s="20" t="s">
        <v>95</v>
      </c>
      <c r="Q54" s="31"/>
    </row>
    <row r="55" spans="2:17">
      <c r="C55" s="20"/>
      <c r="Q55" s="31"/>
    </row>
    <row r="56" spans="2:17">
      <c r="C56" s="20"/>
      <c r="Q56" s="31"/>
    </row>
    <row r="57" spans="2:17">
      <c r="C57" s="20" t="s">
        <v>96</v>
      </c>
      <c r="F57" s="21" t="b">
        <v>0</v>
      </c>
      <c r="G57" s="22" t="s">
        <v>97</v>
      </c>
      <c r="Q57" s="31"/>
    </row>
    <row r="58" spans="2:17">
      <c r="C58" s="20" t="s">
        <v>96</v>
      </c>
      <c r="F58" s="8" t="s">
        <v>98</v>
      </c>
      <c r="G58" s="23" t="s">
        <v>99</v>
      </c>
      <c r="Q58" s="31"/>
    </row>
    <row r="59" spans="2:17" ht="15.75" thickBot="1"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30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11C76-0C5E-4801-B739-E1A9EB3BABBC}">
  <dimension ref="B1:Q59"/>
  <sheetViews>
    <sheetView view="pageBreakPreview" topLeftCell="A4" zoomScale="85" zoomScaleNormal="60" workbookViewId="0">
      <selection activeCell="P50" sqref="P50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107"/>
      <c r="C2" s="110" t="s">
        <v>0</v>
      </c>
      <c r="D2" s="111"/>
      <c r="E2" s="111"/>
      <c r="F2" s="111"/>
      <c r="G2" s="111"/>
      <c r="H2" s="111"/>
      <c r="I2" s="111"/>
      <c r="J2" s="111"/>
      <c r="K2" s="111"/>
      <c r="L2" s="111"/>
      <c r="M2" s="112"/>
      <c r="N2" s="18" t="s">
        <v>1</v>
      </c>
      <c r="O2" s="19"/>
      <c r="P2" s="19"/>
      <c r="Q2" s="28"/>
    </row>
    <row r="3" spans="2:17" ht="15.75" thickBot="1">
      <c r="B3" s="108"/>
      <c r="C3" s="113"/>
      <c r="D3" s="114"/>
      <c r="E3" s="114"/>
      <c r="F3" s="114"/>
      <c r="G3" s="114"/>
      <c r="H3" s="114"/>
      <c r="I3" s="114"/>
      <c r="J3" s="114"/>
      <c r="K3" s="114"/>
      <c r="L3" s="114"/>
      <c r="M3" s="115"/>
      <c r="N3" s="26" t="s">
        <v>2</v>
      </c>
      <c r="O3" s="27" t="s">
        <v>3</v>
      </c>
      <c r="P3" s="27"/>
      <c r="Q3" s="29"/>
    </row>
    <row r="4" spans="2:17" ht="15.75" thickBot="1">
      <c r="B4" s="108"/>
      <c r="C4" s="113"/>
      <c r="D4" s="114"/>
      <c r="E4" s="114"/>
      <c r="F4" s="114"/>
      <c r="G4" s="114"/>
      <c r="H4" s="114"/>
      <c r="I4" s="114"/>
      <c r="J4" s="114"/>
      <c r="K4" s="114"/>
      <c r="L4" s="114"/>
      <c r="M4" s="115"/>
      <c r="N4" s="26" t="s">
        <v>4</v>
      </c>
      <c r="O4" s="27"/>
      <c r="P4" s="27"/>
      <c r="Q4" s="29"/>
    </row>
    <row r="5" spans="2:17" ht="15.75" thickBot="1">
      <c r="B5" s="109"/>
      <c r="C5" s="116"/>
      <c r="D5" s="117"/>
      <c r="E5" s="117"/>
      <c r="F5" s="117"/>
      <c r="G5" s="117"/>
      <c r="H5" s="117"/>
      <c r="I5" s="117"/>
      <c r="J5" s="117"/>
      <c r="K5" s="117"/>
      <c r="L5" s="117"/>
      <c r="M5" s="118"/>
      <c r="N5" s="24" t="s">
        <v>5</v>
      </c>
      <c r="O5" s="25"/>
      <c r="P5" s="25"/>
      <c r="Q5" s="30"/>
    </row>
    <row r="7" spans="2:17">
      <c r="B7" s="98" t="s">
        <v>6</v>
      </c>
      <c r="C7" s="99"/>
      <c r="D7" s="100">
        <v>45743</v>
      </c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2"/>
    </row>
    <row r="8" spans="2:17">
      <c r="B8" s="97" t="s">
        <v>7</v>
      </c>
      <c r="C8" s="97"/>
      <c r="D8" s="97"/>
      <c r="E8" s="105" t="s">
        <v>8</v>
      </c>
      <c r="F8" s="103" t="s">
        <v>9</v>
      </c>
      <c r="G8" s="103"/>
      <c r="H8" s="104" t="s">
        <v>10</v>
      </c>
      <c r="I8" s="104"/>
      <c r="J8" s="103" t="s">
        <v>11</v>
      </c>
      <c r="K8" s="103"/>
      <c r="L8" s="104" t="s">
        <v>12</v>
      </c>
      <c r="M8" s="104"/>
      <c r="N8" s="103" t="s">
        <v>13</v>
      </c>
      <c r="O8" s="103"/>
      <c r="P8" s="104" t="s">
        <v>14</v>
      </c>
      <c r="Q8" s="104"/>
    </row>
    <row r="9" spans="2:17">
      <c r="B9" s="98" t="s">
        <v>15</v>
      </c>
      <c r="C9" s="119"/>
      <c r="D9" s="99"/>
      <c r="E9" s="106"/>
      <c r="F9" s="3">
        <v>0.375</v>
      </c>
      <c r="G9" s="32" t="s">
        <v>16</v>
      </c>
      <c r="H9" s="4">
        <v>0.375</v>
      </c>
      <c r="I9" s="33" t="s">
        <v>16</v>
      </c>
      <c r="J9" s="3">
        <v>0.375</v>
      </c>
      <c r="K9" s="32" t="s">
        <v>16</v>
      </c>
      <c r="L9" s="4">
        <v>0.375</v>
      </c>
      <c r="M9" s="33" t="s">
        <v>16</v>
      </c>
      <c r="N9" s="3">
        <v>0.375</v>
      </c>
      <c r="O9" s="32" t="s">
        <v>16</v>
      </c>
      <c r="P9" s="4">
        <v>0.375</v>
      </c>
      <c r="Q9" s="33" t="s">
        <v>16</v>
      </c>
    </row>
    <row r="10" spans="2:17" ht="26.25" customHeight="1">
      <c r="B10" s="120" t="s">
        <v>17</v>
      </c>
      <c r="C10" s="121"/>
      <c r="D10" s="88" t="s">
        <v>18</v>
      </c>
      <c r="E10" s="5"/>
      <c r="F10" s="6" t="s">
        <v>19</v>
      </c>
      <c r="G10" s="34" t="s">
        <v>19</v>
      </c>
      <c r="H10" s="35"/>
      <c r="I10" s="35" t="s">
        <v>19</v>
      </c>
      <c r="J10" s="34"/>
      <c r="K10" s="34" t="s">
        <v>19</v>
      </c>
      <c r="L10" s="35"/>
      <c r="M10" s="35" t="s">
        <v>19</v>
      </c>
      <c r="N10" s="6"/>
      <c r="O10" s="34" t="s">
        <v>19</v>
      </c>
      <c r="P10" s="35" t="s">
        <v>19</v>
      </c>
      <c r="Q10" s="35" t="s">
        <v>19</v>
      </c>
    </row>
    <row r="11" spans="2:17" ht="20.100000000000001" customHeight="1">
      <c r="B11" s="97" t="s">
        <v>20</v>
      </c>
      <c r="C11" s="97"/>
      <c r="D11" s="7" t="s">
        <v>21</v>
      </c>
      <c r="E11" s="7" t="s">
        <v>22</v>
      </c>
      <c r="F11" s="8">
        <v>71.5</v>
      </c>
      <c r="G11" s="8">
        <v>69.099999999999994</v>
      </c>
      <c r="H11" s="9"/>
      <c r="I11" s="9">
        <v>75.3</v>
      </c>
      <c r="J11" s="8"/>
      <c r="K11" s="8">
        <v>72.599999999999994</v>
      </c>
      <c r="L11" s="9"/>
      <c r="M11" s="9">
        <v>70.5</v>
      </c>
      <c r="N11" s="8"/>
      <c r="O11" s="8">
        <v>73.7</v>
      </c>
      <c r="P11" s="9">
        <v>72.900000000000006</v>
      </c>
      <c r="Q11" s="9">
        <v>67.2</v>
      </c>
    </row>
    <row r="12" spans="2:17" ht="20.100000000000001" customHeight="1">
      <c r="B12" s="97" t="s">
        <v>23</v>
      </c>
      <c r="C12" s="97"/>
      <c r="D12" s="7" t="s">
        <v>21</v>
      </c>
      <c r="E12" s="7" t="s">
        <v>22</v>
      </c>
      <c r="F12" s="8">
        <v>0</v>
      </c>
      <c r="G12" s="8">
        <v>0.5</v>
      </c>
      <c r="H12" s="9"/>
      <c r="I12" s="9">
        <v>0</v>
      </c>
      <c r="J12" s="8"/>
      <c r="K12" s="8">
        <v>0</v>
      </c>
      <c r="L12" s="9"/>
      <c r="M12" s="9">
        <v>0.1</v>
      </c>
      <c r="N12" s="8"/>
      <c r="O12" s="8">
        <v>0</v>
      </c>
      <c r="P12" s="9">
        <v>0</v>
      </c>
      <c r="Q12" s="9">
        <v>0</v>
      </c>
    </row>
    <row r="13" spans="2:17" ht="20.100000000000001" customHeight="1">
      <c r="B13" s="97" t="s">
        <v>24</v>
      </c>
      <c r="C13" s="97"/>
      <c r="D13" s="7" t="s">
        <v>21</v>
      </c>
      <c r="E13" s="7" t="s">
        <v>22</v>
      </c>
      <c r="F13" s="8">
        <v>66.3</v>
      </c>
      <c r="G13" s="8">
        <v>63.2</v>
      </c>
      <c r="H13" s="9"/>
      <c r="I13" s="9">
        <v>72.7</v>
      </c>
      <c r="J13" s="8"/>
      <c r="K13" s="8">
        <v>67.2</v>
      </c>
      <c r="L13" s="9"/>
      <c r="M13" s="9">
        <v>67.2</v>
      </c>
      <c r="N13" s="8"/>
      <c r="O13" s="8">
        <v>68.5</v>
      </c>
      <c r="P13" s="9">
        <v>67.8</v>
      </c>
      <c r="Q13" s="9">
        <v>35.700000000000003</v>
      </c>
    </row>
    <row r="14" spans="2:17" ht="20.100000000000001" customHeight="1">
      <c r="B14" s="97" t="s">
        <v>25</v>
      </c>
      <c r="C14" s="97"/>
      <c r="D14" s="7" t="s">
        <v>21</v>
      </c>
      <c r="E14" s="7" t="s">
        <v>22</v>
      </c>
      <c r="F14" s="8">
        <v>66.3</v>
      </c>
      <c r="G14" s="8">
        <v>65.2</v>
      </c>
      <c r="H14" s="9"/>
      <c r="I14" s="9">
        <v>66.900000000000006</v>
      </c>
      <c r="J14" s="8"/>
      <c r="K14" s="8">
        <v>62.6</v>
      </c>
      <c r="L14" s="9"/>
      <c r="M14" s="9">
        <v>64.900000000000006</v>
      </c>
      <c r="N14" s="8"/>
      <c r="O14" s="8">
        <v>71.2</v>
      </c>
      <c r="P14" s="9">
        <v>72.7</v>
      </c>
      <c r="Q14" s="9">
        <v>69.400000000000006</v>
      </c>
    </row>
    <row r="15" spans="2:17" ht="20.100000000000001" customHeight="1">
      <c r="B15" s="97" t="s">
        <v>26</v>
      </c>
      <c r="C15" s="97"/>
      <c r="D15" s="7" t="s">
        <v>21</v>
      </c>
      <c r="E15" s="7" t="s">
        <v>22</v>
      </c>
      <c r="F15" s="8">
        <v>35.799999999999997</v>
      </c>
      <c r="G15" s="8">
        <v>33.6</v>
      </c>
      <c r="H15" s="9"/>
      <c r="I15" s="9">
        <v>47.7</v>
      </c>
      <c r="J15" s="8"/>
      <c r="K15" s="8">
        <v>36.5</v>
      </c>
      <c r="L15" s="9"/>
      <c r="M15" s="9">
        <v>28.7</v>
      </c>
      <c r="N15" s="8"/>
      <c r="O15" s="8">
        <v>43.1</v>
      </c>
      <c r="P15" s="9">
        <v>43.5</v>
      </c>
      <c r="Q15" s="9">
        <v>35.700000000000003</v>
      </c>
    </row>
    <row r="16" spans="2:17" ht="20.100000000000001" customHeight="1">
      <c r="B16" s="103" t="s">
        <v>27</v>
      </c>
      <c r="C16" s="10" t="s">
        <v>28</v>
      </c>
      <c r="D16" s="7" t="s">
        <v>29</v>
      </c>
      <c r="E16" s="7" t="s">
        <v>30</v>
      </c>
      <c r="F16" s="8">
        <v>6.6</v>
      </c>
      <c r="G16" s="8">
        <v>6.6</v>
      </c>
      <c r="H16" s="9"/>
      <c r="I16" s="9">
        <v>6.6</v>
      </c>
      <c r="J16" s="8"/>
      <c r="K16" s="8">
        <v>6.6</v>
      </c>
      <c r="L16" s="9"/>
      <c r="M16" s="9">
        <v>6.6</v>
      </c>
      <c r="N16" s="8"/>
      <c r="O16" s="8">
        <v>6.6</v>
      </c>
      <c r="P16" s="9">
        <v>6.6</v>
      </c>
      <c r="Q16" s="9">
        <v>6.6</v>
      </c>
    </row>
    <row r="17" spans="2:17" ht="20.100000000000001" customHeight="1">
      <c r="B17" s="103"/>
      <c r="C17" s="10" t="s">
        <v>31</v>
      </c>
      <c r="D17" s="7" t="s">
        <v>32</v>
      </c>
      <c r="E17" s="7" t="s">
        <v>33</v>
      </c>
      <c r="F17" s="8">
        <v>119.6</v>
      </c>
      <c r="G17" s="8">
        <v>115.4</v>
      </c>
      <c r="H17" s="9"/>
      <c r="I17" s="9">
        <v>115.7</v>
      </c>
      <c r="J17" s="8"/>
      <c r="K17" s="8">
        <v>116.7</v>
      </c>
      <c r="L17" s="9"/>
      <c r="M17" s="9">
        <v>114.4</v>
      </c>
      <c r="N17" s="8"/>
      <c r="O17" s="8">
        <v>112.2</v>
      </c>
      <c r="P17" s="9">
        <v>119.5</v>
      </c>
      <c r="Q17" s="9">
        <v>113.9</v>
      </c>
    </row>
    <row r="18" spans="2:17" ht="20.100000000000001" customHeight="1">
      <c r="B18" s="103"/>
      <c r="C18" s="10" t="s">
        <v>34</v>
      </c>
      <c r="D18" s="7" t="s">
        <v>35</v>
      </c>
      <c r="E18" s="7" t="s">
        <v>36</v>
      </c>
      <c r="F18" s="8">
        <v>1170</v>
      </c>
      <c r="G18" s="8">
        <v>1119</v>
      </c>
      <c r="H18" s="9"/>
      <c r="I18" s="9">
        <v>1157</v>
      </c>
      <c r="J18" s="8"/>
      <c r="K18" s="8">
        <v>1167</v>
      </c>
      <c r="L18" s="9"/>
      <c r="M18" s="9">
        <v>1157</v>
      </c>
      <c r="N18" s="8"/>
      <c r="O18" s="8">
        <v>1180</v>
      </c>
      <c r="P18" s="9">
        <v>1208</v>
      </c>
      <c r="Q18" s="9">
        <v>1145</v>
      </c>
    </row>
    <row r="19" spans="2:17" ht="20.100000000000001" customHeight="1">
      <c r="B19" s="103" t="s">
        <v>37</v>
      </c>
      <c r="C19" s="10" t="s">
        <v>38</v>
      </c>
      <c r="D19" s="7" t="s">
        <v>39</v>
      </c>
      <c r="E19" s="11" t="s">
        <v>40</v>
      </c>
      <c r="F19" s="8">
        <v>49663.4</v>
      </c>
      <c r="G19" s="8">
        <v>49654</v>
      </c>
      <c r="H19" s="9"/>
      <c r="I19" s="9">
        <v>50938</v>
      </c>
      <c r="J19" s="8"/>
      <c r="K19" s="8">
        <v>48590.2</v>
      </c>
      <c r="L19" s="9"/>
      <c r="M19" s="9">
        <v>50961.2</v>
      </c>
      <c r="N19" s="8"/>
      <c r="O19" s="8">
        <v>50144.5</v>
      </c>
      <c r="P19" s="9">
        <v>50290.3</v>
      </c>
      <c r="Q19" s="9">
        <v>50281</v>
      </c>
    </row>
    <row r="20" spans="2:17" ht="20.100000000000001" customHeight="1">
      <c r="B20" s="103"/>
      <c r="C20" s="10" t="s">
        <v>41</v>
      </c>
      <c r="D20" s="7" t="s">
        <v>42</v>
      </c>
      <c r="E20" s="7" t="s">
        <v>43</v>
      </c>
      <c r="F20" s="8"/>
      <c r="G20" s="8"/>
      <c r="H20" s="9"/>
      <c r="I20" s="9"/>
      <c r="J20" s="8"/>
      <c r="K20" s="8"/>
      <c r="L20" s="9"/>
      <c r="M20" s="9"/>
      <c r="N20" s="8"/>
      <c r="O20" s="8"/>
      <c r="P20" s="9"/>
      <c r="Q20" s="9"/>
    </row>
    <row r="21" spans="2:17" ht="20.100000000000001" customHeight="1">
      <c r="B21" s="103"/>
      <c r="C21" s="10" t="s">
        <v>44</v>
      </c>
      <c r="D21" s="7" t="s">
        <v>42</v>
      </c>
      <c r="E21" s="7" t="s">
        <v>45</v>
      </c>
      <c r="F21" s="8"/>
      <c r="G21" s="8"/>
      <c r="H21" s="9"/>
      <c r="I21" s="9"/>
      <c r="J21" s="8"/>
      <c r="K21" s="8"/>
      <c r="L21" s="9"/>
      <c r="M21" s="9"/>
      <c r="N21" s="8"/>
      <c r="O21" s="8"/>
      <c r="P21" s="9"/>
      <c r="Q21" s="9"/>
    </row>
    <row r="22" spans="2:17" ht="20.100000000000001" customHeight="1">
      <c r="B22" s="103"/>
      <c r="C22" s="10" t="s">
        <v>46</v>
      </c>
      <c r="D22" s="7" t="s">
        <v>42</v>
      </c>
      <c r="E22" s="7" t="s">
        <v>47</v>
      </c>
      <c r="F22" s="8">
        <v>58.2</v>
      </c>
      <c r="G22" s="8">
        <v>59.8</v>
      </c>
      <c r="H22" s="9"/>
      <c r="I22" s="9">
        <v>59.3</v>
      </c>
      <c r="J22" s="8"/>
      <c r="K22" s="8">
        <v>57.7</v>
      </c>
      <c r="L22" s="9"/>
      <c r="M22" s="9">
        <v>57.5</v>
      </c>
      <c r="N22" s="8"/>
      <c r="O22" s="8">
        <v>53.3</v>
      </c>
      <c r="P22" s="9">
        <v>59.2</v>
      </c>
      <c r="Q22" s="9">
        <v>59.1</v>
      </c>
    </row>
    <row r="23" spans="2:17" ht="60">
      <c r="B23" s="103"/>
      <c r="C23" s="12" t="s">
        <v>48</v>
      </c>
      <c r="D23" s="8" t="s">
        <v>49</v>
      </c>
      <c r="E23" s="13" t="s">
        <v>50</v>
      </c>
      <c r="F23" s="8">
        <v>0.53</v>
      </c>
      <c r="G23" s="8">
        <v>0.52</v>
      </c>
      <c r="H23" s="9"/>
      <c r="I23" s="9">
        <v>0.49</v>
      </c>
      <c r="J23" s="8"/>
      <c r="K23" s="8">
        <v>0.59</v>
      </c>
      <c r="L23" s="9"/>
      <c r="M23" s="9">
        <v>0.52</v>
      </c>
      <c r="N23" s="8"/>
      <c r="O23" s="8">
        <v>0.47</v>
      </c>
      <c r="P23" s="9">
        <v>0.5</v>
      </c>
      <c r="Q23" s="9">
        <v>0.5</v>
      </c>
    </row>
    <row r="24" spans="2:17" ht="39.75" customHeight="1">
      <c r="B24" s="103"/>
      <c r="C24" s="12" t="s">
        <v>51</v>
      </c>
      <c r="D24" s="7"/>
      <c r="E24" s="7"/>
      <c r="F24" s="8"/>
      <c r="G24" s="8"/>
      <c r="H24" s="9"/>
      <c r="I24" s="9"/>
      <c r="J24" s="8"/>
      <c r="K24" s="8"/>
      <c r="L24" s="8"/>
      <c r="M24" s="9"/>
      <c r="N24" s="8"/>
      <c r="O24" s="8"/>
      <c r="P24" s="9"/>
      <c r="Q24" s="9"/>
    </row>
    <row r="25" spans="2:17" ht="20.100000000000001" customHeight="1">
      <c r="B25" s="103"/>
      <c r="C25" s="10" t="s">
        <v>52</v>
      </c>
      <c r="D25" s="7" t="s">
        <v>42</v>
      </c>
      <c r="E25" s="7" t="s">
        <v>53</v>
      </c>
      <c r="F25" s="8">
        <v>44.9</v>
      </c>
      <c r="G25" s="8">
        <v>46.1</v>
      </c>
      <c r="H25" s="9"/>
      <c r="I25" s="9">
        <v>44.8</v>
      </c>
      <c r="J25" s="8"/>
      <c r="K25" s="8">
        <v>45.8</v>
      </c>
      <c r="L25" s="9"/>
      <c r="M25" s="9">
        <v>45</v>
      </c>
      <c r="N25" s="8"/>
      <c r="O25" s="8">
        <v>44.6</v>
      </c>
      <c r="P25" s="9">
        <v>44.9</v>
      </c>
      <c r="Q25" s="9">
        <v>44.8</v>
      </c>
    </row>
    <row r="26" spans="2:17" ht="20.100000000000001" customHeight="1">
      <c r="B26" s="103" t="s">
        <v>54</v>
      </c>
      <c r="C26" s="10" t="s">
        <v>55</v>
      </c>
      <c r="D26" s="7" t="s">
        <v>49</v>
      </c>
      <c r="E26" s="14" t="s">
        <v>56</v>
      </c>
      <c r="F26" s="8">
        <v>0.23</v>
      </c>
      <c r="G26" s="8">
        <v>0.23</v>
      </c>
      <c r="H26" s="9"/>
      <c r="I26" s="9">
        <v>0.22</v>
      </c>
      <c r="J26" s="8"/>
      <c r="K26" s="8">
        <v>0.23</v>
      </c>
      <c r="L26" s="9"/>
      <c r="M26" s="9">
        <v>0.22</v>
      </c>
      <c r="N26" s="8"/>
      <c r="O26" s="8">
        <v>0.22</v>
      </c>
      <c r="P26" s="9">
        <v>0.23</v>
      </c>
      <c r="Q26" s="9">
        <v>0.23</v>
      </c>
    </row>
    <row r="27" spans="2:17" ht="20.100000000000001" customHeight="1">
      <c r="B27" s="103"/>
      <c r="C27" s="10" t="s">
        <v>57</v>
      </c>
      <c r="D27" s="7" t="s">
        <v>42</v>
      </c>
      <c r="E27" s="7" t="s">
        <v>43</v>
      </c>
      <c r="F27" s="8">
        <v>4.4000000000000004</v>
      </c>
      <c r="G27" s="8">
        <v>4.2</v>
      </c>
      <c r="H27" s="9"/>
      <c r="I27" s="9">
        <v>3.6</v>
      </c>
      <c r="J27" s="8"/>
      <c r="K27" s="8">
        <v>4.0999999999999996</v>
      </c>
      <c r="L27" s="9"/>
      <c r="M27" s="9">
        <v>4</v>
      </c>
      <c r="N27" s="8"/>
      <c r="O27" s="8">
        <v>4.0999999999999996</v>
      </c>
      <c r="P27" s="9">
        <v>5.0999999999999996</v>
      </c>
      <c r="Q27" s="9">
        <v>4.5</v>
      </c>
    </row>
    <row r="28" spans="2:17" ht="20.100000000000001" customHeight="1">
      <c r="B28" s="103"/>
      <c r="C28" s="10" t="s">
        <v>58</v>
      </c>
      <c r="D28" s="7" t="s">
        <v>42</v>
      </c>
      <c r="E28" s="7" t="s">
        <v>43</v>
      </c>
      <c r="F28" s="8">
        <v>3</v>
      </c>
      <c r="G28" s="8">
        <v>3.6</v>
      </c>
      <c r="H28" s="9"/>
      <c r="I28" s="9">
        <v>2.2999999999999998</v>
      </c>
      <c r="J28" s="8"/>
      <c r="K28" s="8">
        <v>3.4</v>
      </c>
      <c r="L28" s="9"/>
      <c r="M28" s="9">
        <v>3</v>
      </c>
      <c r="N28" s="8"/>
      <c r="O28" s="8">
        <v>3</v>
      </c>
      <c r="P28" s="9">
        <v>4</v>
      </c>
      <c r="Q28" s="9">
        <v>3.5</v>
      </c>
    </row>
    <row r="29" spans="2:17" ht="20.100000000000001" customHeight="1">
      <c r="B29" s="103"/>
      <c r="C29" s="10" t="s">
        <v>59</v>
      </c>
      <c r="D29" s="7" t="s">
        <v>42</v>
      </c>
      <c r="E29" s="7" t="s">
        <v>43</v>
      </c>
      <c r="F29" s="15">
        <f>F32-F28</f>
        <v>1.7999999999999998</v>
      </c>
      <c r="G29" s="15">
        <f>G32-G28</f>
        <v>1.1999999999999997</v>
      </c>
      <c r="H29" s="15">
        <f t="shared" ref="H29:Q29" si="0">H32-H28</f>
        <v>0</v>
      </c>
      <c r="I29" s="15">
        <f t="shared" si="0"/>
        <v>2.6000000000000005</v>
      </c>
      <c r="J29" s="15">
        <f t="shared" si="0"/>
        <v>0</v>
      </c>
      <c r="K29" s="15">
        <f t="shared" si="0"/>
        <v>1.4</v>
      </c>
      <c r="L29" s="15">
        <f>L32-L28</f>
        <v>0</v>
      </c>
      <c r="M29" s="15">
        <f>M32-M28</f>
        <v>0.89999999999999991</v>
      </c>
      <c r="N29" s="15">
        <f>N32-N28</f>
        <v>0</v>
      </c>
      <c r="O29" s="15">
        <f>O32-O28</f>
        <v>1.4000000000000004</v>
      </c>
      <c r="P29" s="15">
        <f t="shared" si="0"/>
        <v>1.2000000000000002</v>
      </c>
      <c r="Q29" s="15">
        <f t="shared" si="0"/>
        <v>1.4000000000000004</v>
      </c>
    </row>
    <row r="30" spans="2:17" ht="20.100000000000001" customHeight="1">
      <c r="B30" s="103"/>
      <c r="C30" s="10" t="s">
        <v>60</v>
      </c>
      <c r="D30" s="7" t="s">
        <v>61</v>
      </c>
      <c r="E30" s="7" t="s">
        <v>62</v>
      </c>
      <c r="F30" s="8">
        <v>695.9</v>
      </c>
      <c r="G30" s="8">
        <v>664.32</v>
      </c>
      <c r="H30" s="9"/>
      <c r="I30" s="9">
        <v>639.36</v>
      </c>
      <c r="J30" s="8"/>
      <c r="K30" s="8">
        <v>637.52</v>
      </c>
      <c r="L30" s="9"/>
      <c r="M30" s="9">
        <v>632.88</v>
      </c>
      <c r="N30" s="8"/>
      <c r="O30" s="8">
        <v>641.67999999999995</v>
      </c>
      <c r="P30" s="9">
        <v>674.3</v>
      </c>
      <c r="Q30" s="9">
        <v>640.08000000000004</v>
      </c>
    </row>
    <row r="31" spans="2:17" ht="20.100000000000001" customHeight="1">
      <c r="B31" s="103"/>
      <c r="C31" s="10" t="s">
        <v>63</v>
      </c>
      <c r="D31" s="7" t="s">
        <v>42</v>
      </c>
      <c r="E31" s="7">
        <v>13.5</v>
      </c>
      <c r="F31" s="8">
        <v>13.4</v>
      </c>
      <c r="G31" s="8">
        <v>13.2</v>
      </c>
      <c r="H31" s="9"/>
      <c r="I31" s="9">
        <v>13.3</v>
      </c>
      <c r="J31" s="8"/>
      <c r="K31" s="8">
        <v>13.6</v>
      </c>
      <c r="L31" s="9"/>
      <c r="M31" s="9">
        <v>13.2</v>
      </c>
      <c r="N31" s="8"/>
      <c r="O31" s="8">
        <v>13.3</v>
      </c>
      <c r="P31" s="9">
        <v>13.2</v>
      </c>
      <c r="Q31" s="9">
        <v>13.4</v>
      </c>
    </row>
    <row r="32" spans="2:17" ht="20.100000000000001" customHeight="1">
      <c r="B32" s="103"/>
      <c r="C32" s="10" t="s">
        <v>64</v>
      </c>
      <c r="D32" s="7" t="s">
        <v>42</v>
      </c>
      <c r="E32" s="7">
        <v>4</v>
      </c>
      <c r="F32" s="8">
        <v>4.8</v>
      </c>
      <c r="G32" s="8">
        <v>4.8</v>
      </c>
      <c r="H32" s="9"/>
      <c r="I32" s="9">
        <v>4.9000000000000004</v>
      </c>
      <c r="J32" s="8"/>
      <c r="K32" s="8">
        <v>4.8</v>
      </c>
      <c r="L32" s="9"/>
      <c r="M32" s="9">
        <v>3.9</v>
      </c>
      <c r="N32" s="8"/>
      <c r="O32" s="8">
        <v>4.4000000000000004</v>
      </c>
      <c r="P32" s="9">
        <v>5.2</v>
      </c>
      <c r="Q32" s="9">
        <v>4.9000000000000004</v>
      </c>
    </row>
    <row r="33" spans="2:17" ht="20.100000000000001" customHeight="1">
      <c r="B33" s="103"/>
      <c r="C33" s="10" t="s">
        <v>65</v>
      </c>
      <c r="D33" s="7" t="s">
        <v>42</v>
      </c>
      <c r="E33" s="7">
        <v>9.5</v>
      </c>
      <c r="F33" s="15">
        <f>F31-F32</f>
        <v>8.6000000000000014</v>
      </c>
      <c r="G33" s="15">
        <f>G31-G32</f>
        <v>8.3999999999999986</v>
      </c>
      <c r="H33" s="15">
        <f t="shared" ref="H33:Q33" si="1">H31-H32</f>
        <v>0</v>
      </c>
      <c r="I33" s="15">
        <f t="shared" si="1"/>
        <v>8.4</v>
      </c>
      <c r="J33" s="15">
        <f t="shared" si="1"/>
        <v>0</v>
      </c>
      <c r="K33" s="15">
        <f t="shared" si="1"/>
        <v>8.8000000000000007</v>
      </c>
      <c r="L33" s="15">
        <f>L31-L32</f>
        <v>0</v>
      </c>
      <c r="M33" s="15">
        <f>M31-M32</f>
        <v>9.2999999999999989</v>
      </c>
      <c r="N33" s="15">
        <f>N31-N32</f>
        <v>0</v>
      </c>
      <c r="O33" s="15">
        <f>O31-O32</f>
        <v>8.9</v>
      </c>
      <c r="P33" s="15">
        <f t="shared" si="1"/>
        <v>7.9999999999999991</v>
      </c>
      <c r="Q33" s="15">
        <f t="shared" si="1"/>
        <v>8.5</v>
      </c>
    </row>
    <row r="34" spans="2:17" ht="20.100000000000001" customHeight="1">
      <c r="B34" s="103"/>
      <c r="C34" s="10" t="s">
        <v>66</v>
      </c>
      <c r="D34" s="7" t="s">
        <v>67</v>
      </c>
      <c r="E34" s="7" t="s">
        <v>68</v>
      </c>
      <c r="F34" s="16">
        <f>(F33*F30)/0.866</f>
        <v>6910.7852193995386</v>
      </c>
      <c r="G34" s="16">
        <f>(G33*G30)/0.866</f>
        <v>6443.7505773672046</v>
      </c>
      <c r="H34" s="16">
        <f t="shared" ref="H34:Q34" si="2">(H33*H30)/0.866</f>
        <v>0</v>
      </c>
      <c r="I34" s="16">
        <f t="shared" si="2"/>
        <v>6201.6443418013869</v>
      </c>
      <c r="J34" s="16">
        <f t="shared" si="2"/>
        <v>0</v>
      </c>
      <c r="K34" s="16">
        <f t="shared" si="2"/>
        <v>6478.2632794457277</v>
      </c>
      <c r="L34" s="16">
        <f>(L33*L30)/0.866</f>
        <v>0</v>
      </c>
      <c r="M34" s="16">
        <f>(M33*M30)/0.866</f>
        <v>6796.5173210161656</v>
      </c>
      <c r="N34" s="16">
        <f>(N33*N30)/0.866</f>
        <v>0</v>
      </c>
      <c r="O34" s="16">
        <f>(O33*O30)/0.866</f>
        <v>6594.6327944572749</v>
      </c>
      <c r="P34" s="16">
        <f t="shared" si="2"/>
        <v>6229.0993071593521</v>
      </c>
      <c r="Q34" s="16">
        <f t="shared" si="2"/>
        <v>6282.5404157043886</v>
      </c>
    </row>
    <row r="35" spans="2:17" ht="20.100000000000001" customHeight="1">
      <c r="B35" s="103" t="s">
        <v>69</v>
      </c>
      <c r="C35" s="10" t="s">
        <v>70</v>
      </c>
      <c r="D35" s="7" t="s">
        <v>49</v>
      </c>
      <c r="E35" s="7" t="s">
        <v>71</v>
      </c>
      <c r="F35" s="8">
        <v>0.83</v>
      </c>
      <c r="G35" s="8">
        <v>0.84</v>
      </c>
      <c r="H35" s="9"/>
      <c r="I35" s="9">
        <v>0.87</v>
      </c>
      <c r="J35" s="8"/>
      <c r="K35" s="8">
        <v>0.86</v>
      </c>
      <c r="L35" s="9"/>
      <c r="M35" s="9">
        <v>0.85</v>
      </c>
      <c r="N35" s="8"/>
      <c r="O35" s="8">
        <v>0.83</v>
      </c>
      <c r="P35" s="9">
        <v>0.85</v>
      </c>
      <c r="Q35" s="9">
        <v>0.86</v>
      </c>
    </row>
    <row r="36" spans="2:17" ht="20.100000000000001" customHeight="1">
      <c r="B36" s="103"/>
      <c r="C36" s="10" t="s">
        <v>72</v>
      </c>
      <c r="D36" s="7" t="s">
        <v>42</v>
      </c>
      <c r="E36" s="7" t="s">
        <v>43</v>
      </c>
      <c r="F36" s="8">
        <v>36.6</v>
      </c>
      <c r="G36" s="8">
        <v>36.299999999999997</v>
      </c>
      <c r="H36" s="9"/>
      <c r="I36" s="9">
        <v>36.6</v>
      </c>
      <c r="J36" s="8"/>
      <c r="K36" s="8">
        <v>36.6</v>
      </c>
      <c r="L36" s="9"/>
      <c r="M36" s="9">
        <v>36.6</v>
      </c>
      <c r="N36" s="8"/>
      <c r="O36" s="8">
        <v>35.9</v>
      </c>
      <c r="P36" s="9">
        <v>36.9</v>
      </c>
      <c r="Q36" s="9">
        <v>36.5</v>
      </c>
    </row>
    <row r="37" spans="2:17" ht="20.100000000000001" customHeight="1">
      <c r="B37" s="103"/>
      <c r="C37" s="10" t="s">
        <v>73</v>
      </c>
      <c r="D37" s="7" t="s">
        <v>42</v>
      </c>
      <c r="E37" s="7" t="s">
        <v>43</v>
      </c>
      <c r="F37" s="8">
        <v>37</v>
      </c>
      <c r="G37" s="8">
        <v>37.299999999999997</v>
      </c>
      <c r="H37" s="9"/>
      <c r="I37" s="9">
        <v>38.200000000000003</v>
      </c>
      <c r="J37" s="8"/>
      <c r="K37" s="8">
        <v>37.9</v>
      </c>
      <c r="L37" s="9"/>
      <c r="M37" s="9">
        <v>37.5</v>
      </c>
      <c r="N37" s="8"/>
      <c r="O37" s="8">
        <v>36.799999999999997</v>
      </c>
      <c r="P37" s="9">
        <v>37.6</v>
      </c>
      <c r="Q37" s="9">
        <v>38</v>
      </c>
    </row>
    <row r="38" spans="2:17" ht="20.100000000000001" customHeight="1">
      <c r="B38" s="103"/>
      <c r="C38" s="12" t="s">
        <v>74</v>
      </c>
      <c r="D38" s="7" t="s">
        <v>42</v>
      </c>
      <c r="E38" s="7" t="s">
        <v>101</v>
      </c>
      <c r="F38" s="15">
        <f>F37-F41</f>
        <v>2.2000000000000028</v>
      </c>
      <c r="G38" s="15">
        <f>G37-G41</f>
        <v>2.8999999999999986</v>
      </c>
      <c r="H38" s="15">
        <f t="shared" ref="H38:Q38" si="3">H37-H41</f>
        <v>0</v>
      </c>
      <c r="I38" s="15">
        <f t="shared" si="3"/>
        <v>4.2000000000000028</v>
      </c>
      <c r="J38" s="15">
        <f t="shared" si="3"/>
        <v>0</v>
      </c>
      <c r="K38" s="15">
        <f t="shared" si="3"/>
        <v>3.2999999999999972</v>
      </c>
      <c r="L38" s="15">
        <f>L37-L41</f>
        <v>0</v>
      </c>
      <c r="M38" s="15">
        <f>M37-M41</f>
        <v>3.2999999999999972</v>
      </c>
      <c r="N38" s="15">
        <f>N37-N41</f>
        <v>0</v>
      </c>
      <c r="O38" s="15">
        <f>O37-O41</f>
        <v>2.5999999999999943</v>
      </c>
      <c r="P38" s="15">
        <f t="shared" si="3"/>
        <v>3.1000000000000014</v>
      </c>
      <c r="Q38" s="15">
        <f t="shared" si="3"/>
        <v>3.3999999999999986</v>
      </c>
    </row>
    <row r="39" spans="2:17" ht="20.100000000000001" customHeight="1">
      <c r="B39" s="103"/>
      <c r="C39" s="10" t="s">
        <v>75</v>
      </c>
      <c r="D39" s="7" t="s">
        <v>76</v>
      </c>
      <c r="E39" s="7"/>
      <c r="F39" s="8"/>
      <c r="G39" s="8"/>
      <c r="H39" s="9"/>
      <c r="I39" s="9"/>
      <c r="J39" s="8"/>
      <c r="K39" s="8"/>
      <c r="L39" s="9"/>
      <c r="M39" s="9"/>
      <c r="N39" s="8"/>
      <c r="O39" s="8"/>
      <c r="P39" s="9"/>
      <c r="Q39" s="9"/>
    </row>
    <row r="40" spans="2:17" ht="20.100000000000001" customHeight="1">
      <c r="B40" s="103"/>
      <c r="C40" s="10" t="s">
        <v>77</v>
      </c>
      <c r="D40" s="7" t="s">
        <v>42</v>
      </c>
      <c r="E40" s="7">
        <v>30.8</v>
      </c>
      <c r="F40" s="8">
        <v>29.1</v>
      </c>
      <c r="G40" s="8">
        <v>28.7</v>
      </c>
      <c r="H40" s="9"/>
      <c r="I40" s="9">
        <v>28.6</v>
      </c>
      <c r="J40" s="8"/>
      <c r="K40" s="8">
        <v>28.6</v>
      </c>
      <c r="L40" s="9"/>
      <c r="M40" s="9">
        <v>28.4</v>
      </c>
      <c r="N40" s="8"/>
      <c r="O40" s="8">
        <v>28.6</v>
      </c>
      <c r="P40" s="9">
        <v>28.7</v>
      </c>
      <c r="Q40" s="9">
        <v>28.8</v>
      </c>
    </row>
    <row r="41" spans="2:17" ht="20.100000000000001" customHeight="1">
      <c r="B41" s="103"/>
      <c r="C41" s="10" t="s">
        <v>78</v>
      </c>
      <c r="D41" s="7" t="s">
        <v>42</v>
      </c>
      <c r="E41" s="7">
        <v>36.4</v>
      </c>
      <c r="F41" s="8">
        <v>34.799999999999997</v>
      </c>
      <c r="G41" s="8">
        <v>34.4</v>
      </c>
      <c r="H41" s="9"/>
      <c r="I41" s="9">
        <v>34</v>
      </c>
      <c r="J41" s="8"/>
      <c r="K41" s="8">
        <v>34.6</v>
      </c>
      <c r="L41" s="9"/>
      <c r="M41" s="9">
        <v>34.200000000000003</v>
      </c>
      <c r="N41" s="8"/>
      <c r="O41" s="8">
        <v>34.200000000000003</v>
      </c>
      <c r="P41" s="9">
        <v>34.5</v>
      </c>
      <c r="Q41" s="9">
        <v>34.6</v>
      </c>
    </row>
    <row r="42" spans="2:17" ht="20.100000000000001" customHeight="1">
      <c r="B42" s="103"/>
      <c r="C42" s="10" t="s">
        <v>79</v>
      </c>
      <c r="D42" s="7" t="s">
        <v>42</v>
      </c>
      <c r="E42" s="7">
        <v>5.6</v>
      </c>
      <c r="F42" s="15">
        <f>F41-F40</f>
        <v>5.6999999999999957</v>
      </c>
      <c r="G42" s="15">
        <f>G41-G40</f>
        <v>5.6999999999999993</v>
      </c>
      <c r="H42" s="15">
        <f t="shared" ref="H42:Q42" si="4">H41-H40</f>
        <v>0</v>
      </c>
      <c r="I42" s="15">
        <f t="shared" si="4"/>
        <v>5.3999999999999986</v>
      </c>
      <c r="J42" s="15">
        <f t="shared" si="4"/>
        <v>0</v>
      </c>
      <c r="K42" s="15">
        <f t="shared" si="4"/>
        <v>6</v>
      </c>
      <c r="L42" s="15">
        <f>L41-L40</f>
        <v>0</v>
      </c>
      <c r="M42" s="15">
        <f>M41-M40</f>
        <v>5.8000000000000043</v>
      </c>
      <c r="N42" s="15">
        <f>N41-N40</f>
        <v>0</v>
      </c>
      <c r="O42" s="15">
        <f>O41-O40</f>
        <v>5.6000000000000014</v>
      </c>
      <c r="P42" s="15">
        <f t="shared" si="4"/>
        <v>5.8000000000000007</v>
      </c>
      <c r="Q42" s="15">
        <f t="shared" si="4"/>
        <v>5.8000000000000007</v>
      </c>
    </row>
    <row r="43" spans="2:17" ht="20.100000000000001" customHeight="1">
      <c r="B43" s="103"/>
      <c r="C43" s="10" t="s">
        <v>80</v>
      </c>
      <c r="D43" s="7" t="s">
        <v>61</v>
      </c>
      <c r="E43" s="7">
        <v>1273.0999999999999</v>
      </c>
      <c r="F43" s="8">
        <v>1220.9000000000001</v>
      </c>
      <c r="G43" s="8">
        <v>1146.8800000000001</v>
      </c>
      <c r="H43" s="9"/>
      <c r="I43" s="9">
        <v>1133.02</v>
      </c>
      <c r="J43" s="8"/>
      <c r="K43" s="8">
        <v>1166.06</v>
      </c>
      <c r="L43" s="9"/>
      <c r="M43" s="8">
        <v>1145.3399999999999</v>
      </c>
      <c r="N43" s="8"/>
      <c r="O43" s="8">
        <v>1135.82</v>
      </c>
      <c r="P43" s="9">
        <v>1228.0999999999999</v>
      </c>
      <c r="Q43" s="9">
        <v>1145.06</v>
      </c>
    </row>
    <row r="44" spans="2:17" ht="20.100000000000001" customHeight="1">
      <c r="B44" s="103"/>
      <c r="C44" s="10" t="s">
        <v>81</v>
      </c>
      <c r="D44" s="7" t="s">
        <v>67</v>
      </c>
      <c r="E44" s="7">
        <v>8226.9</v>
      </c>
      <c r="F44" s="16">
        <f>F42*F43/0.866</f>
        <v>8035.9468822170847</v>
      </c>
      <c r="G44" s="16">
        <f>G42*G43/0.866</f>
        <v>7548.7482678983824</v>
      </c>
      <c r="H44" s="16">
        <f t="shared" ref="H44:Q44" si="5">H42*H43/0.866</f>
        <v>0</v>
      </c>
      <c r="I44" s="16">
        <f t="shared" si="5"/>
        <v>7065.0207852193971</v>
      </c>
      <c r="J44" s="16">
        <f t="shared" si="5"/>
        <v>0</v>
      </c>
      <c r="K44" s="16">
        <f t="shared" si="5"/>
        <v>8078.9376443418014</v>
      </c>
      <c r="L44" s="16">
        <f>L42*L43/0.866</f>
        <v>0</v>
      </c>
      <c r="M44" s="16">
        <f>M42*M43/0.866</f>
        <v>7670.8683602771416</v>
      </c>
      <c r="N44" s="16">
        <f>N42*N43/0.866</f>
        <v>0</v>
      </c>
      <c r="O44" s="16">
        <f>O42*O43/0.866</f>
        <v>7344.7944572748283</v>
      </c>
      <c r="P44" s="16">
        <f t="shared" si="5"/>
        <v>8225.1501154734415</v>
      </c>
      <c r="Q44" s="16">
        <f t="shared" si="5"/>
        <v>7668.9930715935343</v>
      </c>
    </row>
    <row r="45" spans="2:17" ht="20.100000000000001" customHeight="1">
      <c r="B45" s="103" t="s">
        <v>82</v>
      </c>
      <c r="C45" s="10" t="s">
        <v>83</v>
      </c>
      <c r="D45" s="7" t="s">
        <v>49</v>
      </c>
      <c r="E45" s="7" t="s">
        <v>84</v>
      </c>
      <c r="F45" s="8">
        <v>0.47</v>
      </c>
      <c r="G45" s="8">
        <v>0.47</v>
      </c>
      <c r="H45" s="9"/>
      <c r="I45" s="9">
        <v>0.46</v>
      </c>
      <c r="J45" s="8"/>
      <c r="K45" s="8">
        <v>0.46</v>
      </c>
      <c r="L45" s="9"/>
      <c r="M45" s="9">
        <v>0.47</v>
      </c>
      <c r="N45" s="8"/>
      <c r="O45" s="8">
        <v>0.46</v>
      </c>
      <c r="P45" s="9">
        <v>0.48</v>
      </c>
      <c r="Q45" s="9">
        <v>0.47</v>
      </c>
    </row>
    <row r="46" spans="2:17" ht="20.100000000000001" customHeight="1">
      <c r="B46" s="103"/>
      <c r="C46" s="10" t="s">
        <v>85</v>
      </c>
      <c r="D46" s="7" t="s">
        <v>42</v>
      </c>
      <c r="E46" s="7" t="s">
        <v>43</v>
      </c>
      <c r="F46" s="8">
        <v>20.3</v>
      </c>
      <c r="G46" s="8">
        <v>20</v>
      </c>
      <c r="H46" s="9"/>
      <c r="I46" s="9">
        <v>19.5</v>
      </c>
      <c r="J46" s="8"/>
      <c r="K46" s="8">
        <v>19.899999999999999</v>
      </c>
      <c r="L46" s="9"/>
      <c r="M46" s="9">
        <v>19.899999999999999</v>
      </c>
      <c r="N46" s="8"/>
      <c r="O46" s="8">
        <v>19.899999999999999</v>
      </c>
      <c r="P46" s="9">
        <v>20.7</v>
      </c>
      <c r="Q46" s="9">
        <v>20.3</v>
      </c>
    </row>
    <row r="47" spans="2:17" ht="20.100000000000001" customHeight="1">
      <c r="B47" s="103"/>
      <c r="C47" s="10" t="s">
        <v>86</v>
      </c>
      <c r="D47" s="7" t="s">
        <v>76</v>
      </c>
      <c r="E47" s="7" t="s">
        <v>76</v>
      </c>
      <c r="F47" s="8">
        <v>200.4</v>
      </c>
      <c r="G47" s="8">
        <v>200.8</v>
      </c>
      <c r="H47" s="9"/>
      <c r="I47" s="9">
        <v>124.3</v>
      </c>
      <c r="J47" s="8"/>
      <c r="K47" s="8">
        <v>207.6</v>
      </c>
      <c r="L47" s="9"/>
      <c r="M47" s="9">
        <v>220.1</v>
      </c>
      <c r="N47" s="8"/>
      <c r="O47" s="8">
        <v>158.30000000000001</v>
      </c>
      <c r="P47" s="9">
        <v>199.4</v>
      </c>
      <c r="Q47" s="9">
        <v>201.6</v>
      </c>
    </row>
    <row r="48" spans="2:17" ht="20.100000000000001" customHeight="1">
      <c r="B48" s="97" t="s">
        <v>87</v>
      </c>
      <c r="C48" s="97"/>
      <c r="D48" s="97"/>
      <c r="E48" s="17" t="s">
        <v>88</v>
      </c>
      <c r="F48" s="8"/>
      <c r="G48" s="8"/>
      <c r="H48" s="9"/>
      <c r="I48" s="9"/>
      <c r="J48" s="8"/>
      <c r="K48" s="8"/>
      <c r="L48" s="9"/>
      <c r="M48" s="9"/>
      <c r="N48" s="8"/>
      <c r="O48" s="8"/>
      <c r="P48" s="9"/>
      <c r="Q48" s="9"/>
    </row>
    <row r="49" spans="2:17" ht="20.100000000000001" customHeight="1">
      <c r="B49" s="97" t="s">
        <v>89</v>
      </c>
      <c r="C49" s="97"/>
      <c r="D49" s="97"/>
      <c r="E49" s="88">
        <v>5.89</v>
      </c>
      <c r="F49" s="8">
        <v>5.36</v>
      </c>
      <c r="G49" s="8">
        <v>5.86</v>
      </c>
      <c r="H49" s="9"/>
      <c r="I49" s="9">
        <v>5.4</v>
      </c>
      <c r="J49" s="8"/>
      <c r="K49" s="8">
        <v>5.61</v>
      </c>
      <c r="L49" s="9"/>
      <c r="M49" s="9">
        <v>5.6</v>
      </c>
      <c r="N49" s="8"/>
      <c r="O49" s="8">
        <v>5.51</v>
      </c>
      <c r="P49" s="9">
        <v>4.97</v>
      </c>
      <c r="Q49" s="9">
        <v>5.14</v>
      </c>
    </row>
    <row r="50" spans="2:17" ht="20.100000000000001" customHeight="1">
      <c r="B50" s="97" t="s">
        <v>90</v>
      </c>
      <c r="C50" s="97"/>
      <c r="D50" s="97"/>
      <c r="E50" s="88"/>
      <c r="F50" s="8"/>
      <c r="G50" s="8"/>
      <c r="H50" s="9"/>
      <c r="I50" s="9"/>
      <c r="J50" s="8"/>
      <c r="K50" s="8"/>
      <c r="L50" s="9"/>
      <c r="M50" s="9"/>
      <c r="N50" s="8"/>
      <c r="O50" s="8"/>
      <c r="P50" s="9"/>
      <c r="Q50" s="9"/>
    </row>
    <row r="51" spans="2:17" ht="20.100000000000001" customHeight="1" thickBot="1">
      <c r="B51" s="97" t="s">
        <v>91</v>
      </c>
      <c r="C51" s="97"/>
      <c r="D51" s="97"/>
      <c r="E51" s="87"/>
      <c r="F51" s="8"/>
      <c r="G51" s="8"/>
      <c r="H51" s="9"/>
      <c r="I51" s="9"/>
      <c r="J51" s="8"/>
      <c r="K51" s="8"/>
      <c r="L51" s="9"/>
      <c r="M51" s="9"/>
      <c r="N51" s="8"/>
      <c r="O51" s="8"/>
      <c r="P51" s="9"/>
      <c r="Q51" s="9"/>
    </row>
    <row r="52" spans="2:17">
      <c r="B52" t="s">
        <v>92</v>
      </c>
      <c r="C52" s="18" t="s">
        <v>93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28"/>
    </row>
    <row r="53" spans="2:17">
      <c r="C53" s="20" t="s">
        <v>94</v>
      </c>
      <c r="Q53" s="31"/>
    </row>
    <row r="54" spans="2:17">
      <c r="C54" s="20" t="s">
        <v>95</v>
      </c>
      <c r="Q54" s="31"/>
    </row>
    <row r="55" spans="2:17">
      <c r="C55" s="20"/>
      <c r="Q55" s="31"/>
    </row>
    <row r="56" spans="2:17">
      <c r="C56" s="20"/>
      <c r="Q56" s="31"/>
    </row>
    <row r="57" spans="2:17">
      <c r="C57" s="20" t="s">
        <v>96</v>
      </c>
      <c r="F57" s="21" t="b">
        <v>0</v>
      </c>
      <c r="G57" s="22" t="s">
        <v>97</v>
      </c>
      <c r="Q57" s="31"/>
    </row>
    <row r="58" spans="2:17">
      <c r="C58" s="20" t="s">
        <v>96</v>
      </c>
      <c r="F58" s="8" t="s">
        <v>98</v>
      </c>
      <c r="G58" s="23" t="s">
        <v>99</v>
      </c>
      <c r="Q58" s="31"/>
    </row>
    <row r="59" spans="2:17" ht="15.75" thickBot="1"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30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3BE7E-3C50-4968-9F5F-22781219C9BD}">
  <dimension ref="B1:Q59"/>
  <sheetViews>
    <sheetView view="pageBreakPreview" topLeftCell="A23" zoomScale="85" zoomScaleNormal="60" workbookViewId="0">
      <selection activeCell="G38" sqref="G38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107"/>
      <c r="C2" s="110" t="s">
        <v>0</v>
      </c>
      <c r="D2" s="111"/>
      <c r="E2" s="111"/>
      <c r="F2" s="111"/>
      <c r="G2" s="111"/>
      <c r="H2" s="111"/>
      <c r="I2" s="111"/>
      <c r="J2" s="111"/>
      <c r="K2" s="111"/>
      <c r="L2" s="111"/>
      <c r="M2" s="112"/>
      <c r="N2" s="18" t="s">
        <v>1</v>
      </c>
      <c r="O2" s="19"/>
      <c r="P2" s="19"/>
      <c r="Q2" s="28"/>
    </row>
    <row r="3" spans="2:17" ht="15.75" thickBot="1">
      <c r="B3" s="108"/>
      <c r="C3" s="113"/>
      <c r="D3" s="114"/>
      <c r="E3" s="114"/>
      <c r="F3" s="114"/>
      <c r="G3" s="114"/>
      <c r="H3" s="114"/>
      <c r="I3" s="114"/>
      <c r="J3" s="114"/>
      <c r="K3" s="114"/>
      <c r="L3" s="114"/>
      <c r="M3" s="115"/>
      <c r="N3" s="26" t="s">
        <v>2</v>
      </c>
      <c r="O3" s="27" t="s">
        <v>3</v>
      </c>
      <c r="P3" s="27"/>
      <c r="Q3" s="29"/>
    </row>
    <row r="4" spans="2:17" ht="15.75" thickBot="1">
      <c r="B4" s="108"/>
      <c r="C4" s="113"/>
      <c r="D4" s="114"/>
      <c r="E4" s="114"/>
      <c r="F4" s="114"/>
      <c r="G4" s="114"/>
      <c r="H4" s="114"/>
      <c r="I4" s="114"/>
      <c r="J4" s="114"/>
      <c r="K4" s="114"/>
      <c r="L4" s="114"/>
      <c r="M4" s="115"/>
      <c r="N4" s="26" t="s">
        <v>4</v>
      </c>
      <c r="O4" s="27"/>
      <c r="P4" s="27"/>
      <c r="Q4" s="29"/>
    </row>
    <row r="5" spans="2:17" ht="15.75" thickBot="1">
      <c r="B5" s="109"/>
      <c r="C5" s="116"/>
      <c r="D5" s="117"/>
      <c r="E5" s="117"/>
      <c r="F5" s="117"/>
      <c r="G5" s="117"/>
      <c r="H5" s="117"/>
      <c r="I5" s="117"/>
      <c r="J5" s="117"/>
      <c r="K5" s="117"/>
      <c r="L5" s="117"/>
      <c r="M5" s="118"/>
      <c r="N5" s="24" t="s">
        <v>5</v>
      </c>
      <c r="O5" s="25"/>
      <c r="P5" s="25"/>
      <c r="Q5" s="30"/>
    </row>
    <row r="7" spans="2:17">
      <c r="B7" s="98" t="s">
        <v>6</v>
      </c>
      <c r="C7" s="99"/>
      <c r="D7" s="100">
        <v>45744</v>
      </c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2"/>
    </row>
    <row r="8" spans="2:17">
      <c r="B8" s="97" t="s">
        <v>7</v>
      </c>
      <c r="C8" s="97"/>
      <c r="D8" s="97"/>
      <c r="E8" s="105" t="s">
        <v>8</v>
      </c>
      <c r="F8" s="103" t="s">
        <v>9</v>
      </c>
      <c r="G8" s="103"/>
      <c r="H8" s="104" t="s">
        <v>10</v>
      </c>
      <c r="I8" s="104"/>
      <c r="J8" s="103" t="s">
        <v>11</v>
      </c>
      <c r="K8" s="103"/>
      <c r="L8" s="104" t="s">
        <v>12</v>
      </c>
      <c r="M8" s="104"/>
      <c r="N8" s="103" t="s">
        <v>13</v>
      </c>
      <c r="O8" s="103"/>
      <c r="P8" s="104" t="s">
        <v>14</v>
      </c>
      <c r="Q8" s="104"/>
    </row>
    <row r="9" spans="2:17">
      <c r="B9" s="98" t="s">
        <v>15</v>
      </c>
      <c r="C9" s="119"/>
      <c r="D9" s="99"/>
      <c r="E9" s="106"/>
      <c r="F9" s="3">
        <v>0.375</v>
      </c>
      <c r="G9" s="32" t="s">
        <v>16</v>
      </c>
      <c r="H9" s="4">
        <v>0.375</v>
      </c>
      <c r="I9" s="33" t="s">
        <v>16</v>
      </c>
      <c r="J9" s="3">
        <v>0.375</v>
      </c>
      <c r="K9" s="32" t="s">
        <v>16</v>
      </c>
      <c r="L9" s="4">
        <v>0.375</v>
      </c>
      <c r="M9" s="33" t="s">
        <v>16</v>
      </c>
      <c r="N9" s="3">
        <v>0.375</v>
      </c>
      <c r="O9" s="32" t="s">
        <v>16</v>
      </c>
      <c r="P9" s="4">
        <v>0.375</v>
      </c>
      <c r="Q9" s="33" t="s">
        <v>16</v>
      </c>
    </row>
    <row r="10" spans="2:17" ht="26.25" customHeight="1">
      <c r="B10" s="120" t="s">
        <v>17</v>
      </c>
      <c r="C10" s="121"/>
      <c r="D10" s="90" t="s">
        <v>18</v>
      </c>
      <c r="E10" s="5"/>
      <c r="F10" s="6"/>
      <c r="G10" s="34" t="s">
        <v>19</v>
      </c>
      <c r="H10" s="35" t="s">
        <v>19</v>
      </c>
      <c r="I10" s="35" t="s">
        <v>19</v>
      </c>
      <c r="J10" s="34"/>
      <c r="K10" s="34" t="s">
        <v>19</v>
      </c>
      <c r="L10" s="35"/>
      <c r="M10" s="35" t="s">
        <v>19</v>
      </c>
      <c r="N10" s="6"/>
      <c r="O10" s="34" t="s">
        <v>19</v>
      </c>
      <c r="P10" s="35" t="s">
        <v>19</v>
      </c>
      <c r="Q10" s="35" t="s">
        <v>19</v>
      </c>
    </row>
    <row r="11" spans="2:17" ht="20.100000000000001" customHeight="1">
      <c r="B11" s="97" t="s">
        <v>20</v>
      </c>
      <c r="C11" s="97"/>
      <c r="D11" s="7" t="s">
        <v>21</v>
      </c>
      <c r="E11" s="7" t="s">
        <v>22</v>
      </c>
      <c r="F11" s="8"/>
      <c r="G11" s="8">
        <v>67.8</v>
      </c>
      <c r="H11" s="9">
        <v>81</v>
      </c>
      <c r="I11" s="9">
        <v>76.400000000000006</v>
      </c>
      <c r="J11" s="8"/>
      <c r="K11" s="8">
        <v>74.7</v>
      </c>
      <c r="L11" s="9"/>
      <c r="M11" s="9">
        <v>73.400000000000006</v>
      </c>
      <c r="N11" s="8"/>
      <c r="O11" s="8">
        <v>73.400000000000006</v>
      </c>
      <c r="P11" s="9">
        <v>76.099999999999994</v>
      </c>
      <c r="Q11" s="9">
        <v>71.900000000000006</v>
      </c>
    </row>
    <row r="12" spans="2:17" ht="20.100000000000001" customHeight="1">
      <c r="B12" s="97" t="s">
        <v>23</v>
      </c>
      <c r="C12" s="97"/>
      <c r="D12" s="7" t="s">
        <v>21</v>
      </c>
      <c r="E12" s="7" t="s">
        <v>22</v>
      </c>
      <c r="F12" s="8"/>
      <c r="G12" s="8">
        <v>0.6</v>
      </c>
      <c r="H12" s="9">
        <v>0</v>
      </c>
      <c r="I12" s="9">
        <v>0</v>
      </c>
      <c r="J12" s="8"/>
      <c r="K12" s="8">
        <v>0</v>
      </c>
      <c r="L12" s="9"/>
      <c r="M12" s="9">
        <v>0</v>
      </c>
      <c r="N12" s="8"/>
      <c r="O12" s="8">
        <v>0</v>
      </c>
      <c r="P12" s="9">
        <v>0</v>
      </c>
      <c r="Q12" s="9">
        <v>0</v>
      </c>
    </row>
    <row r="13" spans="2:17" ht="20.100000000000001" customHeight="1">
      <c r="B13" s="97" t="s">
        <v>24</v>
      </c>
      <c r="C13" s="97"/>
      <c r="D13" s="7" t="s">
        <v>21</v>
      </c>
      <c r="E13" s="7" t="s">
        <v>22</v>
      </c>
      <c r="F13" s="8"/>
      <c r="G13" s="8">
        <v>60.8</v>
      </c>
      <c r="H13" s="9">
        <v>76.2</v>
      </c>
      <c r="I13" s="9">
        <v>71.2</v>
      </c>
      <c r="J13" s="8"/>
      <c r="K13" s="8">
        <v>70.099999999999994</v>
      </c>
      <c r="L13" s="9"/>
      <c r="M13" s="9">
        <v>68.8</v>
      </c>
      <c r="N13" s="8"/>
      <c r="O13" s="8">
        <v>67.8</v>
      </c>
      <c r="P13" s="9">
        <v>70.599999999999994</v>
      </c>
      <c r="Q13" s="9">
        <v>65.7</v>
      </c>
    </row>
    <row r="14" spans="2:17" ht="20.100000000000001" customHeight="1">
      <c r="B14" s="97" t="s">
        <v>25</v>
      </c>
      <c r="C14" s="97"/>
      <c r="D14" s="7" t="s">
        <v>21</v>
      </c>
      <c r="E14" s="7" t="s">
        <v>22</v>
      </c>
      <c r="F14" s="8"/>
      <c r="G14" s="8">
        <v>69</v>
      </c>
      <c r="H14" s="9">
        <v>69.5</v>
      </c>
      <c r="I14" s="9">
        <v>69.7</v>
      </c>
      <c r="J14" s="8"/>
      <c r="K14" s="8">
        <v>64.099999999999994</v>
      </c>
      <c r="L14" s="9"/>
      <c r="M14" s="9">
        <v>64.3</v>
      </c>
      <c r="N14" s="8"/>
      <c r="O14" s="8">
        <v>74.7</v>
      </c>
      <c r="P14" s="9">
        <v>73.3</v>
      </c>
      <c r="Q14" s="9">
        <v>73.3</v>
      </c>
    </row>
    <row r="15" spans="2:17" ht="20.100000000000001" customHeight="1">
      <c r="B15" s="97" t="s">
        <v>26</v>
      </c>
      <c r="C15" s="97"/>
      <c r="D15" s="7" t="s">
        <v>21</v>
      </c>
      <c r="E15" s="7" t="s">
        <v>22</v>
      </c>
      <c r="F15" s="8"/>
      <c r="G15" s="8">
        <v>35.9</v>
      </c>
      <c r="H15" s="9">
        <v>52.6</v>
      </c>
      <c r="I15" s="9">
        <v>49</v>
      </c>
      <c r="J15" s="8"/>
      <c r="K15" s="8">
        <v>36.700000000000003</v>
      </c>
      <c r="L15" s="9"/>
      <c r="M15" s="9">
        <v>33.4</v>
      </c>
      <c r="N15" s="8"/>
      <c r="O15" s="8">
        <v>52.1</v>
      </c>
      <c r="P15" s="9">
        <v>45.7</v>
      </c>
      <c r="Q15" s="9">
        <v>40.9</v>
      </c>
    </row>
    <row r="16" spans="2:17" ht="20.100000000000001" customHeight="1">
      <c r="B16" s="103" t="s">
        <v>27</v>
      </c>
      <c r="C16" s="10" t="s">
        <v>28</v>
      </c>
      <c r="D16" s="7" t="s">
        <v>29</v>
      </c>
      <c r="E16" s="7" t="s">
        <v>30</v>
      </c>
      <c r="F16" s="8"/>
      <c r="G16" s="8">
        <v>6.6</v>
      </c>
      <c r="H16" s="9">
        <v>6.6</v>
      </c>
      <c r="I16" s="9">
        <v>6.6</v>
      </c>
      <c r="J16" s="8"/>
      <c r="K16" s="8">
        <v>6.6</v>
      </c>
      <c r="L16" s="9"/>
      <c r="M16" s="9">
        <v>6.6</v>
      </c>
      <c r="N16" s="8"/>
      <c r="O16" s="8">
        <v>6.6</v>
      </c>
      <c r="P16" s="9">
        <v>6.6</v>
      </c>
      <c r="Q16" s="9">
        <v>6.6</v>
      </c>
    </row>
    <row r="17" spans="2:17" ht="20.100000000000001" customHeight="1">
      <c r="B17" s="103"/>
      <c r="C17" s="10" t="s">
        <v>31</v>
      </c>
      <c r="D17" s="7" t="s">
        <v>32</v>
      </c>
      <c r="E17" s="7" t="s">
        <v>33</v>
      </c>
      <c r="F17" s="8"/>
      <c r="G17" s="8">
        <v>115.8</v>
      </c>
      <c r="H17" s="9">
        <v>117.7</v>
      </c>
      <c r="I17" s="9">
        <v>116.2</v>
      </c>
      <c r="J17" s="8"/>
      <c r="K17" s="8">
        <v>119</v>
      </c>
      <c r="L17" s="9"/>
      <c r="M17" s="9">
        <v>116.4</v>
      </c>
      <c r="N17" s="8"/>
      <c r="O17" s="8">
        <v>117.8</v>
      </c>
      <c r="P17" s="9">
        <v>118.9</v>
      </c>
      <c r="Q17" s="9">
        <v>117.5</v>
      </c>
    </row>
    <row r="18" spans="2:17" ht="20.100000000000001" customHeight="1">
      <c r="B18" s="103"/>
      <c r="C18" s="10" t="s">
        <v>34</v>
      </c>
      <c r="D18" s="7" t="s">
        <v>35</v>
      </c>
      <c r="E18" s="7" t="s">
        <v>36</v>
      </c>
      <c r="F18" s="8"/>
      <c r="G18" s="8">
        <v>1138</v>
      </c>
      <c r="H18" s="9">
        <v>1204</v>
      </c>
      <c r="I18" s="9">
        <v>1176</v>
      </c>
      <c r="J18" s="8"/>
      <c r="K18" s="8">
        <v>1211</v>
      </c>
      <c r="L18" s="9"/>
      <c r="M18" s="9">
        <v>1178</v>
      </c>
      <c r="N18" s="8"/>
      <c r="O18" s="8">
        <v>1187</v>
      </c>
      <c r="P18" s="9">
        <v>1213</v>
      </c>
      <c r="Q18" s="9">
        <v>1184</v>
      </c>
    </row>
    <row r="19" spans="2:17" ht="20.100000000000001" customHeight="1">
      <c r="B19" s="103" t="s">
        <v>37</v>
      </c>
      <c r="C19" s="10" t="s">
        <v>38</v>
      </c>
      <c r="D19" s="7" t="s">
        <v>39</v>
      </c>
      <c r="E19" s="11" t="s">
        <v>40</v>
      </c>
      <c r="F19" s="8"/>
      <c r="G19" s="8">
        <v>49673.5</v>
      </c>
      <c r="H19" s="9">
        <v>50955.6</v>
      </c>
      <c r="I19" s="9">
        <v>50947.8</v>
      </c>
      <c r="J19" s="8"/>
      <c r="K19" s="8">
        <v>48600.3</v>
      </c>
      <c r="L19" s="9"/>
      <c r="M19" s="9">
        <v>50971.4</v>
      </c>
      <c r="N19" s="8"/>
      <c r="O19" s="8" t="s">
        <v>103</v>
      </c>
      <c r="P19" s="9">
        <v>50311.8</v>
      </c>
      <c r="Q19" s="9">
        <v>50323.9</v>
      </c>
    </row>
    <row r="20" spans="2:17" ht="20.100000000000001" customHeight="1">
      <c r="B20" s="103"/>
      <c r="C20" s="10" t="s">
        <v>41</v>
      </c>
      <c r="D20" s="7" t="s">
        <v>42</v>
      </c>
      <c r="E20" s="7" t="s">
        <v>43</v>
      </c>
      <c r="F20" s="8"/>
      <c r="G20" s="8"/>
      <c r="H20" s="9"/>
      <c r="I20" s="9"/>
      <c r="J20" s="8"/>
      <c r="K20" s="8"/>
      <c r="L20" s="9"/>
      <c r="M20" s="9"/>
      <c r="N20" s="8"/>
      <c r="O20" s="8"/>
      <c r="P20" s="9"/>
      <c r="Q20" s="9"/>
    </row>
    <row r="21" spans="2:17" ht="20.100000000000001" customHeight="1">
      <c r="B21" s="103"/>
      <c r="C21" s="10" t="s">
        <v>44</v>
      </c>
      <c r="D21" s="7" t="s">
        <v>42</v>
      </c>
      <c r="E21" s="7" t="s">
        <v>45</v>
      </c>
      <c r="F21" s="8"/>
      <c r="G21" s="8"/>
      <c r="H21" s="9"/>
      <c r="I21" s="9"/>
      <c r="J21" s="8"/>
      <c r="K21" s="8"/>
      <c r="L21" s="9"/>
      <c r="M21" s="9"/>
      <c r="N21" s="8"/>
      <c r="O21" s="8"/>
      <c r="P21" s="9"/>
      <c r="Q21" s="9"/>
    </row>
    <row r="22" spans="2:17" ht="20.100000000000001" customHeight="1">
      <c r="B22" s="103"/>
      <c r="C22" s="10" t="s">
        <v>46</v>
      </c>
      <c r="D22" s="7" t="s">
        <v>42</v>
      </c>
      <c r="E22" s="7" t="s">
        <v>47</v>
      </c>
      <c r="F22" s="8"/>
      <c r="G22" s="8">
        <v>58.2</v>
      </c>
      <c r="H22" s="9">
        <v>59.2</v>
      </c>
      <c r="I22" s="9">
        <v>59.1</v>
      </c>
      <c r="J22" s="8"/>
      <c r="K22" s="8">
        <v>58</v>
      </c>
      <c r="L22" s="9"/>
      <c r="M22" s="9">
        <v>57.3</v>
      </c>
      <c r="N22" s="8"/>
      <c r="O22" s="8">
        <v>58.7</v>
      </c>
      <c r="P22" s="9">
        <v>58.8</v>
      </c>
      <c r="Q22" s="9">
        <v>59.1</v>
      </c>
    </row>
    <row r="23" spans="2:17" ht="60">
      <c r="B23" s="103"/>
      <c r="C23" s="12" t="s">
        <v>48</v>
      </c>
      <c r="D23" s="8" t="s">
        <v>49</v>
      </c>
      <c r="E23" s="13" t="s">
        <v>50</v>
      </c>
      <c r="F23" s="8"/>
      <c r="G23" s="8">
        <v>0.53</v>
      </c>
      <c r="H23" s="9">
        <v>0.49</v>
      </c>
      <c r="I23" s="9">
        <v>0.5</v>
      </c>
      <c r="J23" s="8"/>
      <c r="K23" s="8">
        <v>0.59</v>
      </c>
      <c r="L23" s="9"/>
      <c r="M23" s="9">
        <v>0.52</v>
      </c>
      <c r="N23" s="8"/>
      <c r="O23" s="8">
        <v>0.48</v>
      </c>
      <c r="P23" s="9">
        <v>0.5</v>
      </c>
      <c r="Q23" s="9">
        <v>0.5</v>
      </c>
    </row>
    <row r="24" spans="2:17" ht="39.75" customHeight="1">
      <c r="B24" s="103"/>
      <c r="C24" s="12" t="s">
        <v>51</v>
      </c>
      <c r="D24" s="7"/>
      <c r="E24" s="7"/>
      <c r="F24" s="8"/>
      <c r="G24" s="8"/>
      <c r="H24" s="9"/>
      <c r="I24" s="9"/>
      <c r="J24" s="8"/>
      <c r="K24" s="8"/>
      <c r="L24" s="8"/>
      <c r="M24" s="9"/>
      <c r="N24" s="8"/>
      <c r="O24" s="8"/>
      <c r="P24" s="9"/>
      <c r="Q24" s="9"/>
    </row>
    <row r="25" spans="2:17" ht="20.100000000000001" customHeight="1">
      <c r="B25" s="103"/>
      <c r="C25" s="10" t="s">
        <v>52</v>
      </c>
      <c r="D25" s="7" t="s">
        <v>42</v>
      </c>
      <c r="E25" s="7" t="s">
        <v>53</v>
      </c>
      <c r="F25" s="8"/>
      <c r="G25" s="8">
        <v>44.8</v>
      </c>
      <c r="H25" s="9">
        <v>44.7</v>
      </c>
      <c r="I25" s="9">
        <v>44.7</v>
      </c>
      <c r="J25" s="8"/>
      <c r="K25" s="8">
        <v>45</v>
      </c>
      <c r="L25" s="9"/>
      <c r="M25" s="9">
        <v>45.1</v>
      </c>
      <c r="N25" s="8"/>
      <c r="O25" s="8">
        <v>45.1</v>
      </c>
      <c r="P25" s="9">
        <v>44.8</v>
      </c>
      <c r="Q25" s="9">
        <v>45.2</v>
      </c>
    </row>
    <row r="26" spans="2:17" ht="20.100000000000001" customHeight="1">
      <c r="B26" s="103" t="s">
        <v>54</v>
      </c>
      <c r="C26" s="10" t="s">
        <v>55</v>
      </c>
      <c r="D26" s="7" t="s">
        <v>49</v>
      </c>
      <c r="E26" s="14" t="s">
        <v>56</v>
      </c>
      <c r="F26" s="8"/>
      <c r="G26" s="8">
        <v>0.25</v>
      </c>
      <c r="H26" s="9">
        <v>0.22</v>
      </c>
      <c r="I26" s="9">
        <v>0.22</v>
      </c>
      <c r="J26" s="8"/>
      <c r="K26" s="8">
        <v>0.21</v>
      </c>
      <c r="L26" s="9"/>
      <c r="M26" s="9">
        <v>0.22</v>
      </c>
      <c r="N26" s="8"/>
      <c r="O26" s="8">
        <v>0.23</v>
      </c>
      <c r="P26" s="9">
        <v>0.23</v>
      </c>
      <c r="Q26" s="9">
        <v>0.23</v>
      </c>
    </row>
    <row r="27" spans="2:17" ht="20.100000000000001" customHeight="1">
      <c r="B27" s="103"/>
      <c r="C27" s="10" t="s">
        <v>57</v>
      </c>
      <c r="D27" s="7" t="s">
        <v>42</v>
      </c>
      <c r="E27" s="7" t="s">
        <v>43</v>
      </c>
      <c r="F27" s="8"/>
      <c r="G27" s="8">
        <v>4.7</v>
      </c>
      <c r="H27" s="9">
        <v>3.5</v>
      </c>
      <c r="I27" s="9">
        <v>3.7</v>
      </c>
      <c r="J27" s="8"/>
      <c r="K27" s="8">
        <v>4.4000000000000004</v>
      </c>
      <c r="L27" s="9"/>
      <c r="M27" s="9">
        <v>4</v>
      </c>
      <c r="N27" s="8"/>
      <c r="O27" s="8">
        <v>4.4000000000000004</v>
      </c>
      <c r="P27" s="9">
        <v>4.7</v>
      </c>
      <c r="Q27" s="9">
        <v>4.9000000000000004</v>
      </c>
    </row>
    <row r="28" spans="2:17" ht="20.100000000000001" customHeight="1">
      <c r="B28" s="103"/>
      <c r="C28" s="10" t="s">
        <v>58</v>
      </c>
      <c r="D28" s="7" t="s">
        <v>42</v>
      </c>
      <c r="E28" s="7" t="s">
        <v>43</v>
      </c>
      <c r="F28" s="8"/>
      <c r="G28" s="8">
        <v>4.0999999999999996</v>
      </c>
      <c r="H28" s="9">
        <v>2.6</v>
      </c>
      <c r="I28" s="9">
        <v>2.9</v>
      </c>
      <c r="J28" s="8"/>
      <c r="K28" s="8">
        <v>3.6</v>
      </c>
      <c r="L28" s="9"/>
      <c r="M28" s="9">
        <v>2.9</v>
      </c>
      <c r="N28" s="8"/>
      <c r="O28" s="8">
        <v>3.5</v>
      </c>
      <c r="P28" s="9">
        <v>3.8</v>
      </c>
      <c r="Q28" s="9">
        <v>3.9</v>
      </c>
    </row>
    <row r="29" spans="2:17" ht="20.100000000000001" customHeight="1">
      <c r="B29" s="103"/>
      <c r="C29" s="10" t="s">
        <v>59</v>
      </c>
      <c r="D29" s="7" t="s">
        <v>42</v>
      </c>
      <c r="E29" s="7" t="s">
        <v>43</v>
      </c>
      <c r="F29" s="15">
        <f>F32-F28</f>
        <v>0</v>
      </c>
      <c r="G29" s="15">
        <f>G32-G28</f>
        <v>0.90000000000000036</v>
      </c>
      <c r="H29" s="15">
        <f t="shared" ref="H29:Q29" si="0">H32-H28</f>
        <v>2.1999999999999997</v>
      </c>
      <c r="I29" s="15">
        <f t="shared" si="0"/>
        <v>2.1</v>
      </c>
      <c r="J29" s="15">
        <f t="shared" si="0"/>
        <v>0</v>
      </c>
      <c r="K29" s="15">
        <f t="shared" si="0"/>
        <v>0.89999999999999991</v>
      </c>
      <c r="L29" s="15">
        <f>L32-L28</f>
        <v>0</v>
      </c>
      <c r="M29" s="15">
        <f>M32-M28</f>
        <v>0.89999999999999991</v>
      </c>
      <c r="N29" s="15">
        <f>N32-N28</f>
        <v>0</v>
      </c>
      <c r="O29" s="15">
        <f>O32-O28</f>
        <v>0.79999999999999982</v>
      </c>
      <c r="P29" s="15">
        <f t="shared" si="0"/>
        <v>0.79999999999999982</v>
      </c>
      <c r="Q29" s="15">
        <f t="shared" si="0"/>
        <v>1.0000000000000004</v>
      </c>
    </row>
    <row r="30" spans="2:17" ht="20.100000000000001" customHeight="1">
      <c r="B30" s="103"/>
      <c r="C30" s="10" t="s">
        <v>60</v>
      </c>
      <c r="D30" s="7" t="s">
        <v>61</v>
      </c>
      <c r="E30" s="7" t="s">
        <v>62</v>
      </c>
      <c r="F30" s="8"/>
      <c r="G30" s="8">
        <v>653.4</v>
      </c>
      <c r="H30" s="9">
        <v>628.32000000000005</v>
      </c>
      <c r="I30" s="9">
        <v>638.70000000000005</v>
      </c>
      <c r="J30" s="8"/>
      <c r="K30" s="8">
        <v>639.4</v>
      </c>
      <c r="L30" s="9"/>
      <c r="M30" s="9">
        <v>641.20000000000005</v>
      </c>
      <c r="N30" s="8"/>
      <c r="O30" s="8">
        <v>633</v>
      </c>
      <c r="P30" s="9">
        <v>631.12</v>
      </c>
      <c r="Q30" s="9">
        <v>638.5</v>
      </c>
    </row>
    <row r="31" spans="2:17" ht="20.100000000000001" customHeight="1">
      <c r="B31" s="103"/>
      <c r="C31" s="10" t="s">
        <v>63</v>
      </c>
      <c r="D31" s="7" t="s">
        <v>42</v>
      </c>
      <c r="E31" s="7">
        <v>13.5</v>
      </c>
      <c r="F31" s="8"/>
      <c r="G31" s="8">
        <v>13.6</v>
      </c>
      <c r="H31" s="9">
        <v>13.6</v>
      </c>
      <c r="I31" s="9">
        <v>13.7</v>
      </c>
      <c r="J31" s="8"/>
      <c r="K31" s="8">
        <v>13.4</v>
      </c>
      <c r="L31" s="9"/>
      <c r="M31" s="9">
        <v>12.8</v>
      </c>
      <c r="N31" s="8"/>
      <c r="O31" s="8">
        <v>13</v>
      </c>
      <c r="P31" s="9">
        <v>13.5</v>
      </c>
      <c r="Q31" s="9">
        <v>13.5</v>
      </c>
    </row>
    <row r="32" spans="2:17" ht="20.100000000000001" customHeight="1">
      <c r="B32" s="103"/>
      <c r="C32" s="10" t="s">
        <v>64</v>
      </c>
      <c r="D32" s="7" t="s">
        <v>42</v>
      </c>
      <c r="E32" s="7">
        <v>4</v>
      </c>
      <c r="F32" s="8"/>
      <c r="G32" s="8">
        <v>5</v>
      </c>
      <c r="H32" s="9">
        <v>4.8</v>
      </c>
      <c r="I32" s="9">
        <v>5</v>
      </c>
      <c r="J32" s="8"/>
      <c r="K32" s="8">
        <v>4.5</v>
      </c>
      <c r="L32" s="9"/>
      <c r="M32" s="9">
        <v>3.8</v>
      </c>
      <c r="N32" s="8"/>
      <c r="O32" s="8">
        <v>4.3</v>
      </c>
      <c r="P32" s="9">
        <v>4.5999999999999996</v>
      </c>
      <c r="Q32" s="9">
        <v>4.9000000000000004</v>
      </c>
    </row>
    <row r="33" spans="2:17" ht="20.100000000000001" customHeight="1">
      <c r="B33" s="103"/>
      <c r="C33" s="10" t="s">
        <v>65</v>
      </c>
      <c r="D33" s="7" t="s">
        <v>42</v>
      </c>
      <c r="E33" s="7">
        <v>9.5</v>
      </c>
      <c r="F33" s="15">
        <f>F31-F32</f>
        <v>0</v>
      </c>
      <c r="G33" s="15">
        <f>G31-G32</f>
        <v>8.6</v>
      </c>
      <c r="H33" s="15">
        <f t="shared" ref="H33:Q33" si="1">H31-H32</f>
        <v>8.8000000000000007</v>
      </c>
      <c r="I33" s="15">
        <f t="shared" si="1"/>
        <v>8.6999999999999993</v>
      </c>
      <c r="J33" s="15">
        <f t="shared" si="1"/>
        <v>0</v>
      </c>
      <c r="K33" s="15">
        <f t="shared" si="1"/>
        <v>8.9</v>
      </c>
      <c r="L33" s="15">
        <f>L31-L32</f>
        <v>0</v>
      </c>
      <c r="M33" s="15">
        <f>M31-M32</f>
        <v>9</v>
      </c>
      <c r="N33" s="15">
        <f>N31-N32</f>
        <v>0</v>
      </c>
      <c r="O33" s="15">
        <f>O31-O32</f>
        <v>8.6999999999999993</v>
      </c>
      <c r="P33" s="15">
        <f t="shared" si="1"/>
        <v>8.9</v>
      </c>
      <c r="Q33" s="15">
        <f t="shared" si="1"/>
        <v>8.6</v>
      </c>
    </row>
    <row r="34" spans="2:17" ht="20.100000000000001" customHeight="1">
      <c r="B34" s="103"/>
      <c r="C34" s="10" t="s">
        <v>66</v>
      </c>
      <c r="D34" s="7" t="s">
        <v>67</v>
      </c>
      <c r="E34" s="7" t="s">
        <v>68</v>
      </c>
      <c r="F34" s="16">
        <f>(F33*F30)/0.866</f>
        <v>0</v>
      </c>
      <c r="G34" s="16">
        <f>(G33*G30)/0.866</f>
        <v>6488.7297921478057</v>
      </c>
      <c r="H34" s="16">
        <f t="shared" ref="H34:Q34" si="2">(H33*H30)/0.866</f>
        <v>6384.7759815242507</v>
      </c>
      <c r="I34" s="16">
        <f t="shared" si="2"/>
        <v>6416.5011547344111</v>
      </c>
      <c r="J34" s="16">
        <f t="shared" si="2"/>
        <v>0</v>
      </c>
      <c r="K34" s="16">
        <f t="shared" si="2"/>
        <v>6571.2009237875291</v>
      </c>
      <c r="L34" s="16">
        <f>(L33*L30)/0.866</f>
        <v>0</v>
      </c>
      <c r="M34" s="16">
        <f>(M33*M30)/0.866</f>
        <v>6663.7413394919167</v>
      </c>
      <c r="N34" s="16">
        <f>(N33*N30)/0.866</f>
        <v>0</v>
      </c>
      <c r="O34" s="16">
        <f>(O33*O30)/0.866</f>
        <v>6359.2378752886834</v>
      </c>
      <c r="P34" s="16">
        <f t="shared" si="2"/>
        <v>6486.1062355658196</v>
      </c>
      <c r="Q34" s="16">
        <f t="shared" si="2"/>
        <v>6340.7621247113157</v>
      </c>
    </row>
    <row r="35" spans="2:17" ht="20.100000000000001" customHeight="1">
      <c r="B35" s="103" t="s">
        <v>69</v>
      </c>
      <c r="C35" s="10" t="s">
        <v>70</v>
      </c>
      <c r="D35" s="7" t="s">
        <v>49</v>
      </c>
      <c r="E35" s="7" t="s">
        <v>71</v>
      </c>
      <c r="F35" s="8"/>
      <c r="G35" s="8">
        <v>0.83</v>
      </c>
      <c r="H35" s="9">
        <v>0.85</v>
      </c>
      <c r="I35" s="9">
        <v>0.85</v>
      </c>
      <c r="J35" s="8"/>
      <c r="K35" s="8">
        <v>0.84</v>
      </c>
      <c r="L35" s="9"/>
      <c r="M35" s="9">
        <v>0.83</v>
      </c>
      <c r="N35" s="8"/>
      <c r="O35" s="8">
        <v>0.83</v>
      </c>
      <c r="P35" s="9">
        <v>0.83</v>
      </c>
      <c r="Q35" s="9">
        <v>0.84</v>
      </c>
    </row>
    <row r="36" spans="2:17" ht="20.100000000000001" customHeight="1">
      <c r="B36" s="103"/>
      <c r="C36" s="10" t="s">
        <v>72</v>
      </c>
      <c r="D36" s="7" t="s">
        <v>42</v>
      </c>
      <c r="E36" s="7" t="s">
        <v>43</v>
      </c>
      <c r="F36" s="8"/>
      <c r="G36" s="8">
        <v>36.4</v>
      </c>
      <c r="H36" s="9">
        <v>36.4</v>
      </c>
      <c r="I36" s="9">
        <v>37</v>
      </c>
      <c r="J36" s="8"/>
      <c r="K36" s="8">
        <v>36.700000000000003</v>
      </c>
      <c r="L36" s="9"/>
      <c r="M36" s="9">
        <v>36.6</v>
      </c>
      <c r="N36" s="8"/>
      <c r="O36" s="8">
        <v>35.700000000000003</v>
      </c>
      <c r="P36" s="9">
        <v>35.700000000000003</v>
      </c>
      <c r="Q36" s="9">
        <v>36.700000000000003</v>
      </c>
    </row>
    <row r="37" spans="2:17" ht="20.100000000000001" customHeight="1">
      <c r="B37" s="103"/>
      <c r="C37" s="10" t="s">
        <v>73</v>
      </c>
      <c r="D37" s="7" t="s">
        <v>42</v>
      </c>
      <c r="E37" s="7" t="s">
        <v>43</v>
      </c>
      <c r="F37" s="8"/>
      <c r="G37" s="8">
        <v>36.799999999999997</v>
      </c>
      <c r="H37" s="9">
        <v>37.4</v>
      </c>
      <c r="I37" s="9">
        <v>37.799999999999997</v>
      </c>
      <c r="J37" s="8"/>
      <c r="K37" s="8">
        <v>37.4</v>
      </c>
      <c r="L37" s="9"/>
      <c r="M37" s="9">
        <v>37.1</v>
      </c>
      <c r="N37" s="8"/>
      <c r="O37" s="8">
        <v>36.200000000000003</v>
      </c>
      <c r="P37" s="9">
        <v>36.799999999999997</v>
      </c>
      <c r="Q37" s="9">
        <v>37.4</v>
      </c>
    </row>
    <row r="38" spans="2:17" ht="20.100000000000001" customHeight="1">
      <c r="B38" s="103"/>
      <c r="C38" s="12" t="s">
        <v>74</v>
      </c>
      <c r="D38" s="7" t="s">
        <v>42</v>
      </c>
      <c r="E38" s="7" t="s">
        <v>101</v>
      </c>
      <c r="F38" s="15">
        <f>F37-F41</f>
        <v>0</v>
      </c>
      <c r="G38" s="15">
        <f>G37-G41</f>
        <v>2.0999999999999943</v>
      </c>
      <c r="H38" s="15">
        <f t="shared" ref="H38:Q38" si="3">H37-H41</f>
        <v>4.1999999999999957</v>
      </c>
      <c r="I38" s="15">
        <f t="shared" si="3"/>
        <v>3.6999999999999957</v>
      </c>
      <c r="J38" s="15">
        <f t="shared" si="3"/>
        <v>0</v>
      </c>
      <c r="K38" s="15">
        <f t="shared" si="3"/>
        <v>2.5</v>
      </c>
      <c r="L38" s="15">
        <f>L37-L41</f>
        <v>0</v>
      </c>
      <c r="M38" s="15">
        <f>M37-M41</f>
        <v>2.7000000000000028</v>
      </c>
      <c r="N38" s="15">
        <f>N37-N41</f>
        <v>0</v>
      </c>
      <c r="O38" s="15">
        <f>O37-O41</f>
        <v>1.7000000000000028</v>
      </c>
      <c r="P38" s="15">
        <f t="shared" si="3"/>
        <v>3.5</v>
      </c>
      <c r="Q38" s="15">
        <f t="shared" si="3"/>
        <v>3</v>
      </c>
    </row>
    <row r="39" spans="2:17" ht="20.100000000000001" customHeight="1">
      <c r="B39" s="103"/>
      <c r="C39" s="10" t="s">
        <v>75</v>
      </c>
      <c r="D39" s="7" t="s">
        <v>76</v>
      </c>
      <c r="E39" s="7"/>
      <c r="F39" s="8"/>
      <c r="G39" s="8"/>
      <c r="H39" s="9"/>
      <c r="I39" s="9"/>
      <c r="J39" s="8"/>
      <c r="K39" s="8"/>
      <c r="L39" s="9"/>
      <c r="M39" s="9"/>
      <c r="N39" s="8"/>
      <c r="O39" s="8"/>
      <c r="P39" s="9"/>
      <c r="Q39" s="9"/>
    </row>
    <row r="40" spans="2:17" ht="20.100000000000001" customHeight="1">
      <c r="B40" s="103"/>
      <c r="C40" s="10" t="s">
        <v>77</v>
      </c>
      <c r="D40" s="7" t="s">
        <v>42</v>
      </c>
      <c r="E40" s="7">
        <v>30.8</v>
      </c>
      <c r="F40" s="8"/>
      <c r="G40" s="8">
        <v>28.7</v>
      </c>
      <c r="H40" s="9">
        <v>27.9</v>
      </c>
      <c r="I40" s="9">
        <v>28.8</v>
      </c>
      <c r="J40" s="8"/>
      <c r="K40" s="8">
        <v>28.9</v>
      </c>
      <c r="L40" s="9"/>
      <c r="M40" s="9">
        <v>28.8</v>
      </c>
      <c r="N40" s="8"/>
      <c r="O40" s="8">
        <v>28.6</v>
      </c>
      <c r="P40" s="9">
        <v>27.8</v>
      </c>
      <c r="Q40" s="9">
        <v>28.6</v>
      </c>
    </row>
    <row r="41" spans="2:17" ht="20.100000000000001" customHeight="1">
      <c r="B41" s="103"/>
      <c r="C41" s="10" t="s">
        <v>78</v>
      </c>
      <c r="D41" s="7" t="s">
        <v>42</v>
      </c>
      <c r="E41" s="7">
        <v>36.4</v>
      </c>
      <c r="F41" s="8"/>
      <c r="G41" s="8">
        <v>34.700000000000003</v>
      </c>
      <c r="H41" s="9">
        <v>33.200000000000003</v>
      </c>
      <c r="I41" s="9">
        <v>34.1</v>
      </c>
      <c r="J41" s="8"/>
      <c r="K41" s="8">
        <v>34.9</v>
      </c>
      <c r="L41" s="9"/>
      <c r="M41" s="9">
        <v>34.4</v>
      </c>
      <c r="N41" s="8"/>
      <c r="O41" s="8">
        <v>34.5</v>
      </c>
      <c r="P41" s="9">
        <v>33.299999999999997</v>
      </c>
      <c r="Q41" s="9">
        <v>34.4</v>
      </c>
    </row>
    <row r="42" spans="2:17" ht="20.100000000000001" customHeight="1">
      <c r="B42" s="103"/>
      <c r="C42" s="10" t="s">
        <v>79</v>
      </c>
      <c r="D42" s="7" t="s">
        <v>42</v>
      </c>
      <c r="E42" s="7">
        <v>5.6</v>
      </c>
      <c r="F42" s="15">
        <f>F41-F40</f>
        <v>0</v>
      </c>
      <c r="G42" s="15">
        <f>G41-G40</f>
        <v>6.0000000000000036</v>
      </c>
      <c r="H42" s="15">
        <f t="shared" ref="H42:Q42" si="4">H41-H40</f>
        <v>5.3000000000000043</v>
      </c>
      <c r="I42" s="15">
        <f t="shared" si="4"/>
        <v>5.3000000000000007</v>
      </c>
      <c r="J42" s="15">
        <f t="shared" si="4"/>
        <v>0</v>
      </c>
      <c r="K42" s="15">
        <f t="shared" si="4"/>
        <v>6</v>
      </c>
      <c r="L42" s="15">
        <f>L41-L40</f>
        <v>0</v>
      </c>
      <c r="M42" s="15">
        <f>M41-M40</f>
        <v>5.5999999999999979</v>
      </c>
      <c r="N42" s="15">
        <f>N41-N40</f>
        <v>0</v>
      </c>
      <c r="O42" s="15">
        <f>O41-O40</f>
        <v>5.8999999999999986</v>
      </c>
      <c r="P42" s="15">
        <f t="shared" si="4"/>
        <v>5.4999999999999964</v>
      </c>
      <c r="Q42" s="15">
        <f t="shared" si="4"/>
        <v>5.7999999999999972</v>
      </c>
    </row>
    <row r="43" spans="2:17" ht="20.100000000000001" customHeight="1">
      <c r="B43" s="103"/>
      <c r="C43" s="10" t="s">
        <v>80</v>
      </c>
      <c r="D43" s="7" t="s">
        <v>61</v>
      </c>
      <c r="E43" s="7">
        <v>1273.0999999999999</v>
      </c>
      <c r="F43" s="8"/>
      <c r="G43" s="8">
        <v>1151.9000000000001</v>
      </c>
      <c r="H43" s="9">
        <v>1214.6400000000001</v>
      </c>
      <c r="I43" s="9">
        <v>1131.5999999999999</v>
      </c>
      <c r="J43" s="8"/>
      <c r="K43" s="8">
        <v>1162.4000000000001</v>
      </c>
      <c r="L43" s="9"/>
      <c r="M43" s="8">
        <v>1148.2</v>
      </c>
      <c r="N43" s="8"/>
      <c r="O43" s="8">
        <v>1141.0999999999999</v>
      </c>
      <c r="P43" s="9">
        <v>1230.32</v>
      </c>
      <c r="Q43" s="9">
        <v>1145.3</v>
      </c>
    </row>
    <row r="44" spans="2:17" ht="20.100000000000001" customHeight="1">
      <c r="B44" s="103"/>
      <c r="C44" s="10" t="s">
        <v>81</v>
      </c>
      <c r="D44" s="7" t="s">
        <v>67</v>
      </c>
      <c r="E44" s="7">
        <v>8226.9</v>
      </c>
      <c r="F44" s="16">
        <f>F42*F43/0.866</f>
        <v>0</v>
      </c>
      <c r="G44" s="16">
        <f>G42*G43/0.866</f>
        <v>7980.8314087759863</v>
      </c>
      <c r="H44" s="16">
        <f t="shared" ref="H44:Q44" si="5">H42*H43/0.866</f>
        <v>7433.7090069284131</v>
      </c>
      <c r="I44" s="16">
        <f t="shared" si="5"/>
        <v>6925.4965357967676</v>
      </c>
      <c r="J44" s="16">
        <f t="shared" si="5"/>
        <v>0</v>
      </c>
      <c r="K44" s="16">
        <f t="shared" si="5"/>
        <v>8053.5796766743651</v>
      </c>
      <c r="L44" s="16">
        <f>L42*L43/0.866</f>
        <v>0</v>
      </c>
      <c r="M44" s="16">
        <f>M42*M43/0.866</f>
        <v>7424.8498845265567</v>
      </c>
      <c r="N44" s="16">
        <f>N42*N43/0.866</f>
        <v>0</v>
      </c>
      <c r="O44" s="16">
        <f>O42*O43/0.866</f>
        <v>7774.2378752886816</v>
      </c>
      <c r="P44" s="16">
        <f t="shared" si="5"/>
        <v>7813.8106235565774</v>
      </c>
      <c r="Q44" s="16">
        <f t="shared" si="5"/>
        <v>7670.6004618937604</v>
      </c>
    </row>
    <row r="45" spans="2:17" ht="20.100000000000001" customHeight="1">
      <c r="B45" s="103" t="s">
        <v>82</v>
      </c>
      <c r="C45" s="10" t="s">
        <v>83</v>
      </c>
      <c r="D45" s="7" t="s">
        <v>49</v>
      </c>
      <c r="E45" s="7" t="s">
        <v>84</v>
      </c>
      <c r="F45" s="8"/>
      <c r="G45" s="8">
        <v>0.48</v>
      </c>
      <c r="H45" s="9">
        <v>0.46</v>
      </c>
      <c r="I45" s="9">
        <v>0.47</v>
      </c>
      <c r="J45" s="8"/>
      <c r="K45" s="8">
        <v>0.47</v>
      </c>
      <c r="L45" s="9"/>
      <c r="M45" s="9">
        <v>0.47</v>
      </c>
      <c r="N45" s="8"/>
      <c r="O45" s="8">
        <v>0.46</v>
      </c>
      <c r="P45" s="9">
        <v>0.46</v>
      </c>
      <c r="Q45" s="9">
        <v>0.48</v>
      </c>
    </row>
    <row r="46" spans="2:17" ht="20.100000000000001" customHeight="1">
      <c r="B46" s="103"/>
      <c r="C46" s="10" t="s">
        <v>85</v>
      </c>
      <c r="D46" s="7" t="s">
        <v>42</v>
      </c>
      <c r="E46" s="7" t="s">
        <v>43</v>
      </c>
      <c r="F46" s="8"/>
      <c r="G46" s="8">
        <v>20.5</v>
      </c>
      <c r="H46" s="9">
        <v>19.3</v>
      </c>
      <c r="I46" s="9">
        <v>20.2</v>
      </c>
      <c r="J46" s="8"/>
      <c r="K46" s="8">
        <v>19.899999999999999</v>
      </c>
      <c r="L46" s="9"/>
      <c r="M46" s="9">
        <v>20</v>
      </c>
      <c r="N46" s="8"/>
      <c r="O46" s="8">
        <v>19.600000000000001</v>
      </c>
      <c r="P46" s="9">
        <v>19.8</v>
      </c>
      <c r="Q46" s="9">
        <v>20.6</v>
      </c>
    </row>
    <row r="47" spans="2:17" ht="20.100000000000001" customHeight="1">
      <c r="B47" s="103"/>
      <c r="C47" s="10" t="s">
        <v>86</v>
      </c>
      <c r="D47" s="7" t="s">
        <v>76</v>
      </c>
      <c r="E47" s="7" t="s">
        <v>76</v>
      </c>
      <c r="F47" s="8"/>
      <c r="G47" s="8">
        <v>193.4</v>
      </c>
      <c r="H47" s="9">
        <v>129.4</v>
      </c>
      <c r="I47" s="9">
        <v>123.1</v>
      </c>
      <c r="J47" s="8"/>
      <c r="K47" s="8">
        <v>205.5</v>
      </c>
      <c r="L47" s="9"/>
      <c r="M47" s="9">
        <v>211.7</v>
      </c>
      <c r="N47" s="8"/>
      <c r="O47" s="8">
        <v>151.9</v>
      </c>
      <c r="P47" s="9">
        <v>194.3</v>
      </c>
      <c r="Q47" s="9">
        <v>204</v>
      </c>
    </row>
    <row r="48" spans="2:17" ht="20.100000000000001" customHeight="1">
      <c r="B48" s="97" t="s">
        <v>87</v>
      </c>
      <c r="C48" s="97"/>
      <c r="D48" s="97"/>
      <c r="E48" s="17" t="s">
        <v>88</v>
      </c>
      <c r="F48" s="8"/>
      <c r="G48" s="8"/>
      <c r="H48" s="9"/>
      <c r="I48" s="9"/>
      <c r="J48" s="8"/>
      <c r="K48" s="8"/>
      <c r="L48" s="9"/>
      <c r="M48" s="9"/>
      <c r="N48" s="8"/>
      <c r="O48" s="8"/>
      <c r="P48" s="9"/>
      <c r="Q48" s="9"/>
    </row>
    <row r="49" spans="2:17" ht="20.100000000000001" customHeight="1">
      <c r="B49" s="97" t="s">
        <v>89</v>
      </c>
      <c r="C49" s="97"/>
      <c r="D49" s="97"/>
      <c r="E49" s="90">
        <v>5.89</v>
      </c>
      <c r="F49" s="8"/>
      <c r="G49" s="8">
        <v>5.58</v>
      </c>
      <c r="H49" s="9">
        <v>5.45</v>
      </c>
      <c r="I49" s="9">
        <v>5.5</v>
      </c>
      <c r="J49" s="8"/>
      <c r="K49" s="8">
        <v>5.48</v>
      </c>
      <c r="L49" s="9"/>
      <c r="M49" s="9">
        <v>5.73</v>
      </c>
      <c r="N49" s="8"/>
      <c r="O49" s="8">
        <v>5.66</v>
      </c>
      <c r="P49" s="9">
        <v>5.3</v>
      </c>
      <c r="Q49" s="9">
        <v>5.4</v>
      </c>
    </row>
    <row r="50" spans="2:17" ht="20.100000000000001" customHeight="1">
      <c r="B50" s="97" t="s">
        <v>90</v>
      </c>
      <c r="C50" s="97"/>
      <c r="D50" s="97"/>
      <c r="E50" s="90"/>
      <c r="F50" s="8"/>
      <c r="G50" s="8"/>
      <c r="H50" s="9"/>
      <c r="I50" s="9"/>
      <c r="J50" s="8"/>
      <c r="K50" s="8"/>
      <c r="L50" s="9"/>
      <c r="M50" s="9"/>
      <c r="N50" s="8"/>
      <c r="O50" s="8"/>
      <c r="P50" s="9"/>
      <c r="Q50" s="9"/>
    </row>
    <row r="51" spans="2:17" ht="20.100000000000001" customHeight="1" thickBot="1">
      <c r="B51" s="97" t="s">
        <v>91</v>
      </c>
      <c r="C51" s="97"/>
      <c r="D51" s="97"/>
      <c r="E51" s="89"/>
      <c r="F51" s="8"/>
      <c r="G51" s="8"/>
      <c r="H51" s="9"/>
      <c r="I51" s="9"/>
      <c r="J51" s="8"/>
      <c r="K51" s="8"/>
      <c r="L51" s="9"/>
      <c r="M51" s="9"/>
      <c r="N51" s="8"/>
      <c r="O51" s="8"/>
      <c r="P51" s="9"/>
      <c r="Q51" s="9"/>
    </row>
    <row r="52" spans="2:17">
      <c r="B52" t="s">
        <v>92</v>
      </c>
      <c r="C52" s="18" t="s">
        <v>93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28"/>
    </row>
    <row r="53" spans="2:17">
      <c r="C53" s="20" t="s">
        <v>94</v>
      </c>
      <c r="Q53" s="31"/>
    </row>
    <row r="54" spans="2:17">
      <c r="C54" s="20" t="s">
        <v>95</v>
      </c>
      <c r="Q54" s="31"/>
    </row>
    <row r="55" spans="2:17">
      <c r="C55" s="20"/>
      <c r="Q55" s="31"/>
    </row>
    <row r="56" spans="2:17">
      <c r="C56" s="20"/>
      <c r="Q56" s="31"/>
    </row>
    <row r="57" spans="2:17">
      <c r="C57" s="20" t="s">
        <v>96</v>
      </c>
      <c r="F57" s="21" t="b">
        <v>0</v>
      </c>
      <c r="G57" s="22" t="s">
        <v>97</v>
      </c>
      <c r="Q57" s="31"/>
    </row>
    <row r="58" spans="2:17">
      <c r="C58" s="20" t="s">
        <v>96</v>
      </c>
      <c r="F58" s="8" t="s">
        <v>98</v>
      </c>
      <c r="G58" s="23" t="s">
        <v>99</v>
      </c>
      <c r="Q58" s="31"/>
    </row>
    <row r="59" spans="2:17" ht="15.75" thickBot="1"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30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CAD61-C0C8-44CA-B693-97F532E98FBF}">
  <dimension ref="B1:Q59"/>
  <sheetViews>
    <sheetView view="pageBreakPreview" topLeftCell="C1" zoomScale="85" zoomScaleNormal="60" workbookViewId="0">
      <selection activeCell="Q19" sqref="Q19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107"/>
      <c r="C2" s="110" t="s">
        <v>0</v>
      </c>
      <c r="D2" s="111"/>
      <c r="E2" s="111"/>
      <c r="F2" s="111"/>
      <c r="G2" s="111"/>
      <c r="H2" s="111"/>
      <c r="I2" s="111"/>
      <c r="J2" s="111"/>
      <c r="K2" s="111"/>
      <c r="L2" s="111"/>
      <c r="M2" s="112"/>
      <c r="N2" s="18" t="s">
        <v>1</v>
      </c>
      <c r="O2" s="19"/>
      <c r="P2" s="19"/>
      <c r="Q2" s="28"/>
    </row>
    <row r="3" spans="2:17" ht="15.75" thickBot="1">
      <c r="B3" s="108"/>
      <c r="C3" s="113"/>
      <c r="D3" s="114"/>
      <c r="E3" s="114"/>
      <c r="F3" s="114"/>
      <c r="G3" s="114"/>
      <c r="H3" s="114"/>
      <c r="I3" s="114"/>
      <c r="J3" s="114"/>
      <c r="K3" s="114"/>
      <c r="L3" s="114"/>
      <c r="M3" s="115"/>
      <c r="N3" s="26" t="s">
        <v>2</v>
      </c>
      <c r="O3" s="27" t="s">
        <v>3</v>
      </c>
      <c r="P3" s="27"/>
      <c r="Q3" s="29"/>
    </row>
    <row r="4" spans="2:17" ht="15.75" thickBot="1">
      <c r="B4" s="108"/>
      <c r="C4" s="113"/>
      <c r="D4" s="114"/>
      <c r="E4" s="114"/>
      <c r="F4" s="114"/>
      <c r="G4" s="114"/>
      <c r="H4" s="114"/>
      <c r="I4" s="114"/>
      <c r="J4" s="114"/>
      <c r="K4" s="114"/>
      <c r="L4" s="114"/>
      <c r="M4" s="115"/>
      <c r="N4" s="26" t="s">
        <v>4</v>
      </c>
      <c r="O4" s="27"/>
      <c r="P4" s="27"/>
      <c r="Q4" s="29"/>
    </row>
    <row r="5" spans="2:17" ht="15.75" thickBot="1">
      <c r="B5" s="109"/>
      <c r="C5" s="116"/>
      <c r="D5" s="117"/>
      <c r="E5" s="117"/>
      <c r="F5" s="117"/>
      <c r="G5" s="117"/>
      <c r="H5" s="117"/>
      <c r="I5" s="117"/>
      <c r="J5" s="117"/>
      <c r="K5" s="117"/>
      <c r="L5" s="117"/>
      <c r="M5" s="118"/>
      <c r="N5" s="24" t="s">
        <v>5</v>
      </c>
      <c r="O5" s="25"/>
      <c r="P5" s="25"/>
      <c r="Q5" s="30"/>
    </row>
    <row r="7" spans="2:17">
      <c r="B7" s="98" t="s">
        <v>6</v>
      </c>
      <c r="C7" s="99"/>
      <c r="D7" s="100">
        <v>45745</v>
      </c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2"/>
    </row>
    <row r="8" spans="2:17">
      <c r="B8" s="97" t="s">
        <v>7</v>
      </c>
      <c r="C8" s="97"/>
      <c r="D8" s="97"/>
      <c r="E8" s="105" t="s">
        <v>8</v>
      </c>
      <c r="F8" s="103" t="s">
        <v>9</v>
      </c>
      <c r="G8" s="103"/>
      <c r="H8" s="104" t="s">
        <v>10</v>
      </c>
      <c r="I8" s="104"/>
      <c r="J8" s="103" t="s">
        <v>11</v>
      </c>
      <c r="K8" s="103"/>
      <c r="L8" s="104" t="s">
        <v>12</v>
      </c>
      <c r="M8" s="104"/>
      <c r="N8" s="103" t="s">
        <v>13</v>
      </c>
      <c r="O8" s="103"/>
      <c r="P8" s="104" t="s">
        <v>14</v>
      </c>
      <c r="Q8" s="104"/>
    </row>
    <row r="9" spans="2:17">
      <c r="B9" s="98" t="s">
        <v>15</v>
      </c>
      <c r="C9" s="119"/>
      <c r="D9" s="99"/>
      <c r="E9" s="106"/>
      <c r="F9" s="3">
        <v>0.375</v>
      </c>
      <c r="G9" s="32" t="s">
        <v>16</v>
      </c>
      <c r="H9" s="4">
        <v>0.375</v>
      </c>
      <c r="I9" s="33" t="s">
        <v>16</v>
      </c>
      <c r="J9" s="3">
        <v>0.375</v>
      </c>
      <c r="K9" s="32" t="s">
        <v>16</v>
      </c>
      <c r="L9" s="4">
        <v>0.375</v>
      </c>
      <c r="M9" s="33" t="s">
        <v>16</v>
      </c>
      <c r="N9" s="3">
        <v>0.375</v>
      </c>
      <c r="O9" s="32" t="s">
        <v>16</v>
      </c>
      <c r="P9" s="4">
        <v>0.375</v>
      </c>
      <c r="Q9" s="33" t="s">
        <v>16</v>
      </c>
    </row>
    <row r="10" spans="2:17" ht="26.25" customHeight="1">
      <c r="B10" s="120" t="s">
        <v>17</v>
      </c>
      <c r="C10" s="121"/>
      <c r="D10" s="92" t="s">
        <v>18</v>
      </c>
      <c r="E10" s="5"/>
      <c r="F10" s="6"/>
      <c r="G10" s="34" t="s">
        <v>19</v>
      </c>
      <c r="H10" s="35"/>
      <c r="I10" s="35" t="s">
        <v>19</v>
      </c>
      <c r="J10" s="34" t="s">
        <v>19</v>
      </c>
      <c r="K10" s="34" t="s">
        <v>19</v>
      </c>
      <c r="L10" s="35" t="s">
        <v>19</v>
      </c>
      <c r="M10" s="35" t="s">
        <v>19</v>
      </c>
      <c r="N10" s="6"/>
      <c r="O10" s="34" t="s">
        <v>19</v>
      </c>
      <c r="P10" s="35"/>
      <c r="Q10" s="35" t="s">
        <v>19</v>
      </c>
    </row>
    <row r="11" spans="2:17" ht="20.100000000000001" customHeight="1">
      <c r="B11" s="97" t="s">
        <v>20</v>
      </c>
      <c r="C11" s="97"/>
      <c r="D11" s="7" t="s">
        <v>21</v>
      </c>
      <c r="E11" s="7" t="s">
        <v>22</v>
      </c>
      <c r="F11" s="8"/>
      <c r="G11" s="8">
        <v>67.7</v>
      </c>
      <c r="H11" s="9"/>
      <c r="I11" s="9">
        <v>75.400000000000006</v>
      </c>
      <c r="J11" s="8">
        <v>76.099999999999994</v>
      </c>
      <c r="K11" s="8">
        <v>73.5</v>
      </c>
      <c r="L11" s="9">
        <v>73.400000000000006</v>
      </c>
      <c r="M11" s="9">
        <v>74</v>
      </c>
      <c r="N11" s="8"/>
      <c r="O11" s="8">
        <v>73.400000000000006</v>
      </c>
      <c r="P11" s="9"/>
      <c r="Q11" s="9">
        <v>71.099999999999994</v>
      </c>
    </row>
    <row r="12" spans="2:17" ht="20.100000000000001" customHeight="1">
      <c r="B12" s="97" t="s">
        <v>23</v>
      </c>
      <c r="C12" s="97"/>
      <c r="D12" s="7" t="s">
        <v>21</v>
      </c>
      <c r="E12" s="7" t="s">
        <v>22</v>
      </c>
      <c r="F12" s="8"/>
      <c r="G12" s="8">
        <v>0.8</v>
      </c>
      <c r="H12" s="9"/>
      <c r="I12" s="9">
        <v>0</v>
      </c>
      <c r="J12" s="8">
        <v>0</v>
      </c>
      <c r="K12" s="8">
        <v>0</v>
      </c>
      <c r="L12" s="9">
        <v>0.1</v>
      </c>
      <c r="M12" s="9">
        <v>0.1</v>
      </c>
      <c r="N12" s="8"/>
      <c r="O12" s="8">
        <v>0</v>
      </c>
      <c r="P12" s="9"/>
      <c r="Q12" s="9">
        <v>0</v>
      </c>
    </row>
    <row r="13" spans="2:17" ht="20.100000000000001" customHeight="1">
      <c r="B13" s="97" t="s">
        <v>24</v>
      </c>
      <c r="C13" s="97"/>
      <c r="D13" s="7" t="s">
        <v>21</v>
      </c>
      <c r="E13" s="7" t="s">
        <v>22</v>
      </c>
      <c r="F13" s="8"/>
      <c r="G13" s="8">
        <v>61.5</v>
      </c>
      <c r="H13" s="9"/>
      <c r="I13" s="9">
        <v>70.5</v>
      </c>
      <c r="J13" s="8">
        <v>70.7</v>
      </c>
      <c r="K13" s="8">
        <v>68.3</v>
      </c>
      <c r="L13" s="9">
        <v>67.900000000000006</v>
      </c>
      <c r="M13" s="9">
        <v>69.900000000000006</v>
      </c>
      <c r="N13" s="8"/>
      <c r="O13" s="8">
        <v>67.8</v>
      </c>
      <c r="P13" s="9"/>
      <c r="Q13" s="9">
        <v>64.900000000000006</v>
      </c>
    </row>
    <row r="14" spans="2:17" ht="20.100000000000001" customHeight="1">
      <c r="B14" s="97" t="s">
        <v>25</v>
      </c>
      <c r="C14" s="97"/>
      <c r="D14" s="7" t="s">
        <v>21</v>
      </c>
      <c r="E14" s="7" t="s">
        <v>22</v>
      </c>
      <c r="F14" s="8"/>
      <c r="G14" s="8">
        <v>67.599999999999994</v>
      </c>
      <c r="H14" s="9"/>
      <c r="I14" s="9">
        <v>69.8</v>
      </c>
      <c r="J14" s="8">
        <v>62.8</v>
      </c>
      <c r="K14" s="8">
        <v>64.2</v>
      </c>
      <c r="L14" s="9">
        <v>65.8</v>
      </c>
      <c r="M14" s="9">
        <v>64.900000000000006</v>
      </c>
      <c r="N14" s="8"/>
      <c r="O14" s="8">
        <v>74.7</v>
      </c>
      <c r="P14" s="9"/>
      <c r="Q14" s="9">
        <v>73</v>
      </c>
    </row>
    <row r="15" spans="2:17" ht="20.100000000000001" customHeight="1">
      <c r="B15" s="97" t="s">
        <v>26</v>
      </c>
      <c r="C15" s="97"/>
      <c r="D15" s="7" t="s">
        <v>21</v>
      </c>
      <c r="E15" s="7" t="s">
        <v>22</v>
      </c>
      <c r="F15" s="8"/>
      <c r="G15" s="8">
        <v>35.5</v>
      </c>
      <c r="H15" s="9"/>
      <c r="I15" s="9">
        <v>50.5</v>
      </c>
      <c r="J15" s="8">
        <v>40</v>
      </c>
      <c r="K15" s="8">
        <v>36.1</v>
      </c>
      <c r="L15" s="9">
        <v>33.200000000000003</v>
      </c>
      <c r="M15" s="9">
        <v>30.5</v>
      </c>
      <c r="N15" s="8"/>
      <c r="O15" s="8">
        <v>52.1</v>
      </c>
      <c r="P15" s="9"/>
      <c r="Q15" s="9">
        <v>41.5</v>
      </c>
    </row>
    <row r="16" spans="2:17" ht="20.100000000000001" customHeight="1">
      <c r="B16" s="103" t="s">
        <v>27</v>
      </c>
      <c r="C16" s="10" t="s">
        <v>28</v>
      </c>
      <c r="D16" s="7" t="s">
        <v>29</v>
      </c>
      <c r="E16" s="7" t="s">
        <v>30</v>
      </c>
      <c r="F16" s="8"/>
      <c r="G16" s="8">
        <v>6.6</v>
      </c>
      <c r="H16" s="9"/>
      <c r="I16" s="9">
        <v>6.6</v>
      </c>
      <c r="J16" s="8">
        <v>6.6</v>
      </c>
      <c r="K16" s="8">
        <v>6.6</v>
      </c>
      <c r="L16" s="9">
        <v>6.6</v>
      </c>
      <c r="M16" s="9">
        <v>6.6</v>
      </c>
      <c r="N16" s="8"/>
      <c r="O16" s="8">
        <v>6.6</v>
      </c>
      <c r="P16" s="9"/>
      <c r="Q16" s="9">
        <v>6.6</v>
      </c>
    </row>
    <row r="17" spans="2:17" ht="20.100000000000001" customHeight="1">
      <c r="B17" s="103"/>
      <c r="C17" s="10" t="s">
        <v>31</v>
      </c>
      <c r="D17" s="7" t="s">
        <v>32</v>
      </c>
      <c r="E17" s="7" t="s">
        <v>33</v>
      </c>
      <c r="F17" s="8"/>
      <c r="G17" s="8">
        <v>116.4</v>
      </c>
      <c r="H17" s="9"/>
      <c r="I17" s="9">
        <v>116.3</v>
      </c>
      <c r="J17" s="8">
        <v>118.1</v>
      </c>
      <c r="K17" s="8">
        <v>118.3</v>
      </c>
      <c r="L17" s="9">
        <v>115.6</v>
      </c>
      <c r="M17" s="9">
        <v>116.2</v>
      </c>
      <c r="N17" s="8"/>
      <c r="O17" s="8">
        <v>117.8</v>
      </c>
      <c r="P17" s="9"/>
      <c r="Q17" s="9">
        <v>116.6</v>
      </c>
    </row>
    <row r="18" spans="2:17" ht="20.100000000000001" customHeight="1">
      <c r="B18" s="103"/>
      <c r="C18" s="10" t="s">
        <v>34</v>
      </c>
      <c r="D18" s="7" t="s">
        <v>35</v>
      </c>
      <c r="E18" s="7" t="s">
        <v>36</v>
      </c>
      <c r="F18" s="8"/>
      <c r="G18" s="8">
        <v>1128</v>
      </c>
      <c r="H18" s="9"/>
      <c r="I18" s="9">
        <v>1167</v>
      </c>
      <c r="J18" s="8">
        <v>1196</v>
      </c>
      <c r="K18" s="8">
        <v>1198</v>
      </c>
      <c r="L18" s="9">
        <v>1173</v>
      </c>
      <c r="M18" s="9">
        <v>1182</v>
      </c>
      <c r="N18" s="8"/>
      <c r="O18" s="8">
        <v>1187</v>
      </c>
      <c r="P18" s="9"/>
      <c r="Q18" s="9">
        <v>1180</v>
      </c>
    </row>
    <row r="19" spans="2:17" ht="20.100000000000001" customHeight="1">
      <c r="B19" s="103" t="s">
        <v>37</v>
      </c>
      <c r="C19" s="10" t="s">
        <v>38</v>
      </c>
      <c r="D19" s="7" t="s">
        <v>39</v>
      </c>
      <c r="E19" s="11" t="s">
        <v>40</v>
      </c>
      <c r="F19" s="8"/>
      <c r="G19" s="8">
        <v>49682.1</v>
      </c>
      <c r="H19" s="9"/>
      <c r="I19" s="9">
        <v>50966</v>
      </c>
      <c r="J19" s="8">
        <v>48618.8</v>
      </c>
      <c r="K19" s="8">
        <v>48609.4</v>
      </c>
      <c r="L19" s="9">
        <v>50989.8</v>
      </c>
      <c r="M19" s="9">
        <v>50980.4</v>
      </c>
      <c r="N19" s="8"/>
      <c r="O19" s="8">
        <v>50163.5</v>
      </c>
      <c r="P19" s="9"/>
      <c r="Q19" s="9">
        <v>50327.5</v>
      </c>
    </row>
    <row r="20" spans="2:17" ht="20.100000000000001" customHeight="1">
      <c r="B20" s="103"/>
      <c r="C20" s="10" t="s">
        <v>41</v>
      </c>
      <c r="D20" s="7" t="s">
        <v>42</v>
      </c>
      <c r="E20" s="7" t="s">
        <v>43</v>
      </c>
      <c r="F20" s="8"/>
      <c r="G20" s="8"/>
      <c r="H20" s="9"/>
      <c r="I20" s="9"/>
      <c r="J20" s="8"/>
      <c r="K20" s="8"/>
      <c r="L20" s="9"/>
      <c r="M20" s="9"/>
      <c r="N20" s="8"/>
      <c r="O20" s="8"/>
      <c r="P20" s="9"/>
      <c r="Q20" s="9"/>
    </row>
    <row r="21" spans="2:17" ht="20.100000000000001" customHeight="1">
      <c r="B21" s="103"/>
      <c r="C21" s="10" t="s">
        <v>44</v>
      </c>
      <c r="D21" s="7" t="s">
        <v>42</v>
      </c>
      <c r="E21" s="7" t="s">
        <v>45</v>
      </c>
      <c r="F21" s="8"/>
      <c r="G21" s="8"/>
      <c r="H21" s="9"/>
      <c r="I21" s="9"/>
      <c r="J21" s="8"/>
      <c r="K21" s="8"/>
      <c r="L21" s="9"/>
      <c r="M21" s="9"/>
      <c r="N21" s="8"/>
      <c r="O21" s="8"/>
      <c r="P21" s="9"/>
      <c r="Q21" s="9"/>
    </row>
    <row r="22" spans="2:17" ht="20.100000000000001" customHeight="1">
      <c r="B22" s="103"/>
      <c r="C22" s="10" t="s">
        <v>46</v>
      </c>
      <c r="D22" s="7" t="s">
        <v>42</v>
      </c>
      <c r="E22" s="7" t="s">
        <v>47</v>
      </c>
      <c r="F22" s="8"/>
      <c r="G22" s="8">
        <v>58.1</v>
      </c>
      <c r="H22" s="9"/>
      <c r="I22" s="9">
        <v>59.1</v>
      </c>
      <c r="J22" s="8">
        <v>57.9</v>
      </c>
      <c r="K22" s="8">
        <v>57.8</v>
      </c>
      <c r="L22" s="9">
        <v>57.3</v>
      </c>
      <c r="M22" s="9">
        <v>57.2</v>
      </c>
      <c r="N22" s="8"/>
      <c r="O22" s="8">
        <v>58.7</v>
      </c>
      <c r="P22" s="9"/>
      <c r="Q22" s="9">
        <v>58.9</v>
      </c>
    </row>
    <row r="23" spans="2:17" ht="60">
      <c r="B23" s="103"/>
      <c r="C23" s="12" t="s">
        <v>48</v>
      </c>
      <c r="D23" s="8" t="s">
        <v>49</v>
      </c>
      <c r="E23" s="13" t="s">
        <v>50</v>
      </c>
      <c r="F23" s="8"/>
      <c r="G23" s="8">
        <v>0.53</v>
      </c>
      <c r="H23" s="9"/>
      <c r="I23" s="9">
        <v>0.5</v>
      </c>
      <c r="J23" s="8">
        <v>0.59</v>
      </c>
      <c r="K23" s="8">
        <v>0.59</v>
      </c>
      <c r="L23" s="9">
        <v>0.52</v>
      </c>
      <c r="M23" s="9">
        <v>0.52</v>
      </c>
      <c r="N23" s="8"/>
      <c r="O23" s="8">
        <v>0.48</v>
      </c>
      <c r="P23" s="9"/>
      <c r="Q23" s="9">
        <v>0.5</v>
      </c>
    </row>
    <row r="24" spans="2:17" ht="39.75" customHeight="1">
      <c r="B24" s="103"/>
      <c r="C24" s="12" t="s">
        <v>51</v>
      </c>
      <c r="D24" s="7"/>
      <c r="E24" s="7"/>
      <c r="F24" s="8"/>
      <c r="G24" s="8"/>
      <c r="H24" s="9"/>
      <c r="I24" s="9"/>
      <c r="J24" s="8"/>
      <c r="K24" s="8"/>
      <c r="L24" s="8"/>
      <c r="M24" s="9"/>
      <c r="N24" s="8"/>
      <c r="O24" s="8"/>
      <c r="P24" s="9"/>
      <c r="Q24" s="9"/>
    </row>
    <row r="25" spans="2:17" ht="20.100000000000001" customHeight="1">
      <c r="B25" s="103"/>
      <c r="C25" s="10" t="s">
        <v>52</v>
      </c>
      <c r="D25" s="7" t="s">
        <v>42</v>
      </c>
      <c r="E25" s="7" t="s">
        <v>53</v>
      </c>
      <c r="F25" s="8"/>
      <c r="G25" s="8">
        <v>44.9</v>
      </c>
      <c r="H25" s="9"/>
      <c r="I25" s="9">
        <v>45</v>
      </c>
      <c r="J25" s="8">
        <v>45</v>
      </c>
      <c r="K25" s="8">
        <v>45</v>
      </c>
      <c r="L25" s="9">
        <v>45</v>
      </c>
      <c r="M25" s="9">
        <v>45.1</v>
      </c>
      <c r="N25" s="8"/>
      <c r="O25" s="8">
        <v>45.1</v>
      </c>
      <c r="P25" s="9"/>
      <c r="Q25" s="9">
        <v>45.1</v>
      </c>
    </row>
    <row r="26" spans="2:17" ht="20.100000000000001" customHeight="1">
      <c r="B26" s="103" t="s">
        <v>54</v>
      </c>
      <c r="C26" s="10" t="s">
        <v>55</v>
      </c>
      <c r="D26" s="7" t="s">
        <v>49</v>
      </c>
      <c r="E26" s="14" t="s">
        <v>56</v>
      </c>
      <c r="F26" s="8"/>
      <c r="G26" s="8">
        <v>0.23</v>
      </c>
      <c r="H26" s="9"/>
      <c r="I26" s="9">
        <v>0.22</v>
      </c>
      <c r="J26" s="8">
        <v>0.22</v>
      </c>
      <c r="K26" s="8">
        <v>0.23</v>
      </c>
      <c r="L26" s="9">
        <v>0.22</v>
      </c>
      <c r="M26" s="9">
        <v>0.22</v>
      </c>
      <c r="N26" s="8"/>
      <c r="O26" s="8">
        <v>0.23</v>
      </c>
      <c r="P26" s="9"/>
      <c r="Q26" s="9">
        <v>0.23</v>
      </c>
    </row>
    <row r="27" spans="2:17" ht="20.100000000000001" customHeight="1">
      <c r="B27" s="103"/>
      <c r="C27" s="10" t="s">
        <v>57</v>
      </c>
      <c r="D27" s="7" t="s">
        <v>42</v>
      </c>
      <c r="E27" s="7" t="s">
        <v>43</v>
      </c>
      <c r="F27" s="8"/>
      <c r="G27" s="8">
        <v>4.4000000000000004</v>
      </c>
      <c r="H27" s="9"/>
      <c r="I27" s="9">
        <v>3.6</v>
      </c>
      <c r="J27" s="8">
        <v>4.0999999999999996</v>
      </c>
      <c r="K27" s="8">
        <v>4.4000000000000004</v>
      </c>
      <c r="L27" s="9">
        <v>3.8</v>
      </c>
      <c r="M27" s="9">
        <v>4</v>
      </c>
      <c r="N27" s="8"/>
      <c r="O27" s="8">
        <v>4.4000000000000004</v>
      </c>
      <c r="P27" s="9"/>
      <c r="Q27" s="9">
        <v>4.8</v>
      </c>
    </row>
    <row r="28" spans="2:17" ht="20.100000000000001" customHeight="1">
      <c r="B28" s="103"/>
      <c r="C28" s="10" t="s">
        <v>58</v>
      </c>
      <c r="D28" s="7" t="s">
        <v>42</v>
      </c>
      <c r="E28" s="7" t="s">
        <v>43</v>
      </c>
      <c r="F28" s="8"/>
      <c r="G28" s="8">
        <v>4</v>
      </c>
      <c r="H28" s="9"/>
      <c r="I28" s="9">
        <v>2.9</v>
      </c>
      <c r="J28" s="8">
        <v>3.3</v>
      </c>
      <c r="K28" s="8">
        <v>3.5</v>
      </c>
      <c r="L28" s="9">
        <v>3</v>
      </c>
      <c r="M28" s="9">
        <v>2.9</v>
      </c>
      <c r="N28" s="8"/>
      <c r="O28" s="8">
        <v>3.5</v>
      </c>
      <c r="P28" s="9"/>
      <c r="Q28" s="9">
        <v>4</v>
      </c>
    </row>
    <row r="29" spans="2:17" ht="20.100000000000001" customHeight="1">
      <c r="B29" s="103"/>
      <c r="C29" s="10" t="s">
        <v>59</v>
      </c>
      <c r="D29" s="7" t="s">
        <v>42</v>
      </c>
      <c r="E29" s="7" t="s">
        <v>43</v>
      </c>
      <c r="F29" s="15">
        <f>F32-F28</f>
        <v>0</v>
      </c>
      <c r="G29" s="15">
        <f>G32-G28</f>
        <v>0.90000000000000036</v>
      </c>
      <c r="H29" s="15">
        <f t="shared" ref="H29:Q29" si="0">H32-H28</f>
        <v>0</v>
      </c>
      <c r="I29" s="15">
        <f t="shared" si="0"/>
        <v>2.1</v>
      </c>
      <c r="J29" s="15">
        <f t="shared" si="0"/>
        <v>0.79999999999999982</v>
      </c>
      <c r="K29" s="15">
        <f t="shared" si="0"/>
        <v>0.70000000000000018</v>
      </c>
      <c r="L29" s="15">
        <f>L32-L28</f>
        <v>1.0999999999999996</v>
      </c>
      <c r="M29" s="15">
        <f>M32-M28</f>
        <v>0.89999999999999991</v>
      </c>
      <c r="N29" s="15">
        <f>N32-N28</f>
        <v>0</v>
      </c>
      <c r="O29" s="15">
        <f>O32-O28</f>
        <v>0.79999999999999982</v>
      </c>
      <c r="P29" s="15">
        <f t="shared" si="0"/>
        <v>0</v>
      </c>
      <c r="Q29" s="15">
        <f t="shared" si="0"/>
        <v>1</v>
      </c>
    </row>
    <row r="30" spans="2:17" ht="20.100000000000001" customHeight="1">
      <c r="B30" s="103"/>
      <c r="C30" s="10" t="s">
        <v>60</v>
      </c>
      <c r="D30" s="7" t="s">
        <v>61</v>
      </c>
      <c r="E30" s="7" t="s">
        <v>62</v>
      </c>
      <c r="F30" s="8"/>
      <c r="G30" s="8">
        <v>661.9</v>
      </c>
      <c r="H30" s="9"/>
      <c r="I30" s="9">
        <v>642.29999999999995</v>
      </c>
      <c r="J30" s="8">
        <v>681.2</v>
      </c>
      <c r="K30" s="8">
        <v>647.21</v>
      </c>
      <c r="L30" s="9">
        <v>669.2</v>
      </c>
      <c r="M30" s="9">
        <v>639.1</v>
      </c>
      <c r="N30" s="8"/>
      <c r="O30" s="8">
        <v>643.20000000000005</v>
      </c>
      <c r="P30" s="9"/>
      <c r="Q30" s="9">
        <v>639.6</v>
      </c>
    </row>
    <row r="31" spans="2:17" ht="20.100000000000001" customHeight="1">
      <c r="B31" s="103"/>
      <c r="C31" s="10" t="s">
        <v>63</v>
      </c>
      <c r="D31" s="7" t="s">
        <v>42</v>
      </c>
      <c r="E31" s="7">
        <v>13.5</v>
      </c>
      <c r="F31" s="8"/>
      <c r="G31" s="8">
        <v>13.6</v>
      </c>
      <c r="H31" s="9"/>
      <c r="I31" s="9">
        <v>13.7</v>
      </c>
      <c r="J31" s="8">
        <v>12.7</v>
      </c>
      <c r="K31" s="8">
        <v>13</v>
      </c>
      <c r="L31" s="9">
        <v>12.7</v>
      </c>
      <c r="M31" s="9">
        <v>12.8</v>
      </c>
      <c r="N31" s="8"/>
      <c r="O31" s="8">
        <v>13</v>
      </c>
      <c r="P31" s="9"/>
      <c r="Q31" s="9">
        <v>13.5</v>
      </c>
    </row>
    <row r="32" spans="2:17" ht="20.100000000000001" customHeight="1">
      <c r="B32" s="103"/>
      <c r="C32" s="10" t="s">
        <v>64</v>
      </c>
      <c r="D32" s="7" t="s">
        <v>42</v>
      </c>
      <c r="E32" s="7">
        <v>4</v>
      </c>
      <c r="F32" s="8"/>
      <c r="G32" s="8">
        <v>4.9000000000000004</v>
      </c>
      <c r="H32" s="9"/>
      <c r="I32" s="9">
        <v>5</v>
      </c>
      <c r="J32" s="8">
        <v>4.0999999999999996</v>
      </c>
      <c r="K32" s="8">
        <v>4.2</v>
      </c>
      <c r="L32" s="9">
        <v>4.0999999999999996</v>
      </c>
      <c r="M32" s="9">
        <v>3.8</v>
      </c>
      <c r="N32" s="8"/>
      <c r="O32" s="8">
        <v>4.3</v>
      </c>
      <c r="P32" s="9"/>
      <c r="Q32" s="9">
        <v>5</v>
      </c>
    </row>
    <row r="33" spans="2:17" ht="20.100000000000001" customHeight="1">
      <c r="B33" s="103"/>
      <c r="C33" s="10" t="s">
        <v>65</v>
      </c>
      <c r="D33" s="7" t="s">
        <v>42</v>
      </c>
      <c r="E33" s="7">
        <v>9.5</v>
      </c>
      <c r="F33" s="15">
        <f>F31-F32</f>
        <v>0</v>
      </c>
      <c r="G33" s="15">
        <f>G31-G32</f>
        <v>8.6999999999999993</v>
      </c>
      <c r="H33" s="15">
        <f t="shared" ref="H33:Q33" si="1">H31-H32</f>
        <v>0</v>
      </c>
      <c r="I33" s="15">
        <f t="shared" si="1"/>
        <v>8.6999999999999993</v>
      </c>
      <c r="J33" s="15">
        <f t="shared" si="1"/>
        <v>8.6</v>
      </c>
      <c r="K33" s="15">
        <f t="shared" si="1"/>
        <v>8.8000000000000007</v>
      </c>
      <c r="L33" s="15">
        <f>L31-L32</f>
        <v>8.6</v>
      </c>
      <c r="M33" s="15">
        <f>M31-M32</f>
        <v>9</v>
      </c>
      <c r="N33" s="15">
        <f>N31-N32</f>
        <v>0</v>
      </c>
      <c r="O33" s="15">
        <f>O31-O32</f>
        <v>8.6999999999999993</v>
      </c>
      <c r="P33" s="15">
        <f t="shared" si="1"/>
        <v>0</v>
      </c>
      <c r="Q33" s="15">
        <f t="shared" si="1"/>
        <v>8.5</v>
      </c>
    </row>
    <row r="34" spans="2:17" ht="20.100000000000001" customHeight="1">
      <c r="B34" s="103"/>
      <c r="C34" s="10" t="s">
        <v>66</v>
      </c>
      <c r="D34" s="7" t="s">
        <v>67</v>
      </c>
      <c r="E34" s="7" t="s">
        <v>68</v>
      </c>
      <c r="F34" s="16">
        <f>(F33*F30)/0.866</f>
        <v>0</v>
      </c>
      <c r="G34" s="16">
        <f>(G33*G30)/0.866</f>
        <v>6649.5727482678985</v>
      </c>
      <c r="H34" s="16">
        <f t="shared" ref="H34:Q34" si="2">(H33*H30)/0.866</f>
        <v>0</v>
      </c>
      <c r="I34" s="16">
        <f t="shared" si="2"/>
        <v>6452.6674364896071</v>
      </c>
      <c r="J34" s="16">
        <f t="shared" si="2"/>
        <v>6764.8036951501153</v>
      </c>
      <c r="K34" s="16">
        <f t="shared" si="2"/>
        <v>6576.7297921478075</v>
      </c>
      <c r="L34" s="16">
        <f>(L33*L30)/0.866</f>
        <v>6645.6351039260971</v>
      </c>
      <c r="M34" s="16">
        <f>(M33*M30)/0.866</f>
        <v>6641.9168591224025</v>
      </c>
      <c r="N34" s="16">
        <f>(N33*N30)/0.866</f>
        <v>0</v>
      </c>
      <c r="O34" s="16">
        <f>(O33*O30)/0.866</f>
        <v>6461.7090069284068</v>
      </c>
      <c r="P34" s="16">
        <f t="shared" si="2"/>
        <v>0</v>
      </c>
      <c r="Q34" s="16">
        <f t="shared" si="2"/>
        <v>6277.8290993071596</v>
      </c>
    </row>
    <row r="35" spans="2:17" ht="20.100000000000001" customHeight="1">
      <c r="B35" s="103" t="s">
        <v>69</v>
      </c>
      <c r="C35" s="10" t="s">
        <v>70</v>
      </c>
      <c r="D35" s="7" t="s">
        <v>49</v>
      </c>
      <c r="E35" s="7" t="s">
        <v>71</v>
      </c>
      <c r="F35" s="8"/>
      <c r="G35" s="8">
        <v>0.83</v>
      </c>
      <c r="H35" s="9"/>
      <c r="I35" s="9">
        <v>0.85</v>
      </c>
      <c r="J35" s="8">
        <v>0.82</v>
      </c>
      <c r="K35" s="8">
        <v>0.84</v>
      </c>
      <c r="L35" s="9">
        <v>0.81</v>
      </c>
      <c r="M35" s="9">
        <v>0.83</v>
      </c>
      <c r="N35" s="8"/>
      <c r="O35" s="8">
        <v>0.83</v>
      </c>
      <c r="P35" s="9"/>
      <c r="Q35" s="9">
        <v>0.85</v>
      </c>
    </row>
    <row r="36" spans="2:17" ht="20.100000000000001" customHeight="1">
      <c r="B36" s="103"/>
      <c r="C36" s="10" t="s">
        <v>72</v>
      </c>
      <c r="D36" s="7" t="s">
        <v>42</v>
      </c>
      <c r="E36" s="7" t="s">
        <v>43</v>
      </c>
      <c r="F36" s="8"/>
      <c r="G36" s="8">
        <v>36.4</v>
      </c>
      <c r="H36" s="9"/>
      <c r="I36" s="9">
        <v>36.9</v>
      </c>
      <c r="J36" s="8">
        <v>35.9</v>
      </c>
      <c r="K36" s="8">
        <v>36.799999999999997</v>
      </c>
      <c r="L36" s="9">
        <v>35.799999999999997</v>
      </c>
      <c r="M36" s="9">
        <v>36.6</v>
      </c>
      <c r="N36" s="8"/>
      <c r="O36" s="8">
        <v>35.700000000000003</v>
      </c>
      <c r="P36" s="9"/>
      <c r="Q36" s="9">
        <v>36.799999999999997</v>
      </c>
    </row>
    <row r="37" spans="2:17" ht="20.100000000000001" customHeight="1">
      <c r="B37" s="103"/>
      <c r="C37" s="10" t="s">
        <v>73</v>
      </c>
      <c r="D37" s="7" t="s">
        <v>42</v>
      </c>
      <c r="E37" s="7" t="s">
        <v>43</v>
      </c>
      <c r="F37" s="8"/>
      <c r="G37" s="8">
        <v>36.9</v>
      </c>
      <c r="H37" s="9"/>
      <c r="I37" s="9">
        <v>37.799999999999997</v>
      </c>
      <c r="J37" s="8">
        <v>36.6</v>
      </c>
      <c r="K37" s="8">
        <v>37.4</v>
      </c>
      <c r="L37" s="9">
        <v>36.200000000000003</v>
      </c>
      <c r="M37" s="9">
        <v>37.1</v>
      </c>
      <c r="N37" s="8"/>
      <c r="O37" s="8">
        <v>36.200000000000003</v>
      </c>
      <c r="P37" s="9"/>
      <c r="Q37" s="9">
        <v>37.5</v>
      </c>
    </row>
    <row r="38" spans="2:17" ht="20.100000000000001" customHeight="1">
      <c r="B38" s="103"/>
      <c r="C38" s="12" t="s">
        <v>74</v>
      </c>
      <c r="D38" s="7" t="s">
        <v>42</v>
      </c>
      <c r="E38" s="7" t="s">
        <v>101</v>
      </c>
      <c r="F38" s="15">
        <f>F37-F41</f>
        <v>0</v>
      </c>
      <c r="G38" s="15">
        <f>G37-G41</f>
        <v>2</v>
      </c>
      <c r="H38" s="15">
        <f t="shared" ref="H38:Q38" si="3">H37-H41</f>
        <v>0</v>
      </c>
      <c r="I38" s="15">
        <f t="shared" si="3"/>
        <v>3.5</v>
      </c>
      <c r="J38" s="15">
        <f t="shared" si="3"/>
        <v>2.5</v>
      </c>
      <c r="K38" s="15">
        <f t="shared" si="3"/>
        <v>2.3999999999999986</v>
      </c>
      <c r="L38" s="15">
        <f>L37-L41</f>
        <v>2.5</v>
      </c>
      <c r="M38" s="15">
        <f>M37-M41</f>
        <v>2.7000000000000028</v>
      </c>
      <c r="N38" s="15">
        <f>N37-N41</f>
        <v>0</v>
      </c>
      <c r="O38" s="15">
        <f>O37-O41</f>
        <v>1.7000000000000028</v>
      </c>
      <c r="P38" s="15">
        <f t="shared" si="3"/>
        <v>0</v>
      </c>
      <c r="Q38" s="15">
        <f t="shared" si="3"/>
        <v>2.8999999999999986</v>
      </c>
    </row>
    <row r="39" spans="2:17" ht="20.100000000000001" customHeight="1">
      <c r="B39" s="103"/>
      <c r="C39" s="10" t="s">
        <v>75</v>
      </c>
      <c r="D39" s="7" t="s">
        <v>76</v>
      </c>
      <c r="E39" s="7"/>
      <c r="F39" s="8"/>
      <c r="G39" s="8"/>
      <c r="H39" s="9"/>
      <c r="I39" s="9"/>
      <c r="J39" s="8"/>
      <c r="K39" s="8"/>
      <c r="L39" s="9"/>
      <c r="M39" s="9"/>
      <c r="N39" s="8"/>
      <c r="O39" s="8"/>
      <c r="P39" s="9"/>
      <c r="Q39" s="9"/>
    </row>
    <row r="40" spans="2:17" ht="20.100000000000001" customHeight="1">
      <c r="B40" s="103"/>
      <c r="C40" s="10" t="s">
        <v>77</v>
      </c>
      <c r="D40" s="7" t="s">
        <v>42</v>
      </c>
      <c r="E40" s="7">
        <v>30.8</v>
      </c>
      <c r="F40" s="8"/>
      <c r="G40" s="8">
        <v>38.9</v>
      </c>
      <c r="H40" s="9"/>
      <c r="I40" s="9">
        <v>28.9</v>
      </c>
      <c r="J40" s="8">
        <v>28.6</v>
      </c>
      <c r="K40" s="8">
        <v>29</v>
      </c>
      <c r="L40" s="9">
        <v>28.4</v>
      </c>
      <c r="M40" s="9">
        <v>28.8</v>
      </c>
      <c r="N40" s="8"/>
      <c r="O40" s="8">
        <v>28.6</v>
      </c>
      <c r="P40" s="9"/>
      <c r="Q40" s="9">
        <v>28.8</v>
      </c>
    </row>
    <row r="41" spans="2:17" ht="20.100000000000001" customHeight="1">
      <c r="B41" s="103"/>
      <c r="C41" s="10" t="s">
        <v>78</v>
      </c>
      <c r="D41" s="7" t="s">
        <v>42</v>
      </c>
      <c r="E41" s="7">
        <v>36.4</v>
      </c>
      <c r="F41" s="8"/>
      <c r="G41" s="8">
        <v>34.9</v>
      </c>
      <c r="H41" s="9"/>
      <c r="I41" s="9">
        <v>34.299999999999997</v>
      </c>
      <c r="J41" s="8">
        <v>34.1</v>
      </c>
      <c r="K41" s="8">
        <v>35</v>
      </c>
      <c r="L41" s="9">
        <v>33.700000000000003</v>
      </c>
      <c r="M41" s="9">
        <v>34.4</v>
      </c>
      <c r="N41" s="8"/>
      <c r="O41" s="8">
        <v>34.5</v>
      </c>
      <c r="P41" s="9"/>
      <c r="Q41" s="9">
        <v>34.6</v>
      </c>
    </row>
    <row r="42" spans="2:17" ht="20.100000000000001" customHeight="1">
      <c r="B42" s="103"/>
      <c r="C42" s="10" t="s">
        <v>79</v>
      </c>
      <c r="D42" s="7" t="s">
        <v>42</v>
      </c>
      <c r="E42" s="7">
        <v>5.6</v>
      </c>
      <c r="F42" s="15">
        <f>F41-F40</f>
        <v>0</v>
      </c>
      <c r="G42" s="15">
        <f>G41-G40</f>
        <v>-4</v>
      </c>
      <c r="H42" s="15">
        <f t="shared" ref="H42:Q42" si="4">H41-H40</f>
        <v>0</v>
      </c>
      <c r="I42" s="15">
        <f t="shared" si="4"/>
        <v>5.3999999999999986</v>
      </c>
      <c r="J42" s="15">
        <f t="shared" si="4"/>
        <v>5.5</v>
      </c>
      <c r="K42" s="15">
        <f t="shared" si="4"/>
        <v>6</v>
      </c>
      <c r="L42" s="15">
        <f>L41-L40</f>
        <v>5.3000000000000043</v>
      </c>
      <c r="M42" s="15">
        <f>M41-M40</f>
        <v>5.5999999999999979</v>
      </c>
      <c r="N42" s="15">
        <f>N41-N40</f>
        <v>0</v>
      </c>
      <c r="O42" s="15">
        <f>O41-O40</f>
        <v>5.8999999999999986</v>
      </c>
      <c r="P42" s="15">
        <f t="shared" si="4"/>
        <v>0</v>
      </c>
      <c r="Q42" s="15">
        <f t="shared" si="4"/>
        <v>5.8000000000000007</v>
      </c>
    </row>
    <row r="43" spans="2:17" ht="20.100000000000001" customHeight="1">
      <c r="B43" s="103"/>
      <c r="C43" s="10" t="s">
        <v>80</v>
      </c>
      <c r="D43" s="7" t="s">
        <v>61</v>
      </c>
      <c r="E43" s="7">
        <v>1273.0999999999999</v>
      </c>
      <c r="F43" s="8"/>
      <c r="G43" s="8">
        <v>1149</v>
      </c>
      <c r="H43" s="9"/>
      <c r="I43" s="9">
        <v>1132.4000000000001</v>
      </c>
      <c r="J43" s="8">
        <v>1299.0999999999999</v>
      </c>
      <c r="K43" s="8">
        <v>1166.4000000000001</v>
      </c>
      <c r="L43" s="9">
        <v>1299.2</v>
      </c>
      <c r="M43" s="8">
        <v>1147.5999999999999</v>
      </c>
      <c r="N43" s="8"/>
      <c r="O43" s="8">
        <v>1140.0999999999999</v>
      </c>
      <c r="P43" s="9"/>
      <c r="Q43" s="9">
        <v>1156.0999999999999</v>
      </c>
    </row>
    <row r="44" spans="2:17" ht="20.100000000000001" customHeight="1">
      <c r="B44" s="103"/>
      <c r="C44" s="10" t="s">
        <v>81</v>
      </c>
      <c r="D44" s="7" t="s">
        <v>67</v>
      </c>
      <c r="E44" s="7">
        <v>8226.9</v>
      </c>
      <c r="F44" s="16">
        <f>F42*F43/0.866</f>
        <v>0</v>
      </c>
      <c r="G44" s="16">
        <f>G42*G43/0.866</f>
        <v>-5307.1593533487303</v>
      </c>
      <c r="H44" s="16">
        <f t="shared" ref="H44:Q44" si="5">H42*H43/0.866</f>
        <v>0</v>
      </c>
      <c r="I44" s="16">
        <f t="shared" si="5"/>
        <v>7061.1547344110841</v>
      </c>
      <c r="J44" s="16">
        <f t="shared" si="5"/>
        <v>8250.6351039260953</v>
      </c>
      <c r="K44" s="16">
        <f t="shared" si="5"/>
        <v>8081.2933025404163</v>
      </c>
      <c r="L44" s="16">
        <f>L42*L43/0.866</f>
        <v>7951.2240184757575</v>
      </c>
      <c r="M44" s="16">
        <f>M42*M43/0.866</f>
        <v>7420.9699769053077</v>
      </c>
      <c r="N44" s="16">
        <f>N42*N43/0.866</f>
        <v>0</v>
      </c>
      <c r="O44" s="16">
        <f>O42*O43/0.866</f>
        <v>7767.4249422632765</v>
      </c>
      <c r="P44" s="16">
        <f t="shared" si="5"/>
        <v>0</v>
      </c>
      <c r="Q44" s="16">
        <f t="shared" si="5"/>
        <v>7742.933025404157</v>
      </c>
    </row>
    <row r="45" spans="2:17" ht="20.100000000000001" customHeight="1">
      <c r="B45" s="103" t="s">
        <v>82</v>
      </c>
      <c r="C45" s="10" t="s">
        <v>83</v>
      </c>
      <c r="D45" s="7" t="s">
        <v>49</v>
      </c>
      <c r="E45" s="7" t="s">
        <v>84</v>
      </c>
      <c r="F45" s="8"/>
      <c r="G45" s="8">
        <v>0.48</v>
      </c>
      <c r="H45" s="9"/>
      <c r="I45" s="9">
        <v>0.47</v>
      </c>
      <c r="J45" s="8">
        <v>0.46</v>
      </c>
      <c r="K45" s="8">
        <v>0.47</v>
      </c>
      <c r="L45" s="9">
        <v>0.46</v>
      </c>
      <c r="M45" s="9">
        <v>0.47</v>
      </c>
      <c r="N45" s="8"/>
      <c r="O45" s="8">
        <v>0.46</v>
      </c>
      <c r="P45" s="9"/>
      <c r="Q45" s="9">
        <v>0.48</v>
      </c>
    </row>
    <row r="46" spans="2:17" ht="20.100000000000001" customHeight="1">
      <c r="B46" s="103"/>
      <c r="C46" s="10" t="s">
        <v>85</v>
      </c>
      <c r="D46" s="7" t="s">
        <v>42</v>
      </c>
      <c r="E46" s="7" t="s">
        <v>43</v>
      </c>
      <c r="F46" s="8"/>
      <c r="G46" s="8">
        <v>20.399999999999999</v>
      </c>
      <c r="H46" s="9"/>
      <c r="I46" s="9">
        <v>20.100000000000001</v>
      </c>
      <c r="J46" s="8">
        <v>19.399999999999999</v>
      </c>
      <c r="K46" s="8">
        <v>20</v>
      </c>
      <c r="L46" s="9">
        <v>19</v>
      </c>
      <c r="M46" s="9">
        <v>20</v>
      </c>
      <c r="N46" s="8"/>
      <c r="O46" s="8">
        <v>19.600000000000001</v>
      </c>
      <c r="P46" s="9"/>
      <c r="Q46" s="9">
        <v>20.7</v>
      </c>
    </row>
    <row r="47" spans="2:17" ht="20.100000000000001" customHeight="1">
      <c r="B47" s="103"/>
      <c r="C47" s="10" t="s">
        <v>86</v>
      </c>
      <c r="D47" s="7" t="s">
        <v>76</v>
      </c>
      <c r="E47" s="7" t="s">
        <v>76</v>
      </c>
      <c r="F47" s="8"/>
      <c r="G47" s="8">
        <v>202.2</v>
      </c>
      <c r="H47" s="9"/>
      <c r="I47" s="9">
        <v>125.1</v>
      </c>
      <c r="J47" s="8">
        <v>195.9</v>
      </c>
      <c r="K47" s="8">
        <v>210.5</v>
      </c>
      <c r="L47" s="9">
        <v>213.7</v>
      </c>
      <c r="M47" s="9">
        <v>211.7</v>
      </c>
      <c r="N47" s="8"/>
      <c r="O47" s="8">
        <v>151.9</v>
      </c>
      <c r="P47" s="9"/>
      <c r="Q47" s="9">
        <v>209.7</v>
      </c>
    </row>
    <row r="48" spans="2:17" ht="20.100000000000001" customHeight="1">
      <c r="B48" s="97" t="s">
        <v>87</v>
      </c>
      <c r="C48" s="97"/>
      <c r="D48" s="97"/>
      <c r="E48" s="17" t="s">
        <v>88</v>
      </c>
      <c r="F48" s="8"/>
      <c r="G48" s="8"/>
      <c r="H48" s="9"/>
      <c r="I48" s="9"/>
      <c r="J48" s="8"/>
      <c r="K48" s="8"/>
      <c r="L48" s="9"/>
      <c r="M48" s="9"/>
      <c r="N48" s="8"/>
      <c r="O48" s="8"/>
      <c r="P48" s="9"/>
      <c r="Q48" s="9"/>
    </row>
    <row r="49" spans="2:17" ht="20.100000000000001" customHeight="1">
      <c r="B49" s="97" t="s">
        <v>89</v>
      </c>
      <c r="C49" s="97"/>
      <c r="D49" s="97"/>
      <c r="E49" s="92">
        <v>5.89</v>
      </c>
      <c r="F49" s="8"/>
      <c r="G49" s="8">
        <v>5.69</v>
      </c>
      <c r="H49" s="9"/>
      <c r="I49" s="9">
        <v>5.52</v>
      </c>
      <c r="J49" s="8">
        <v>5.35</v>
      </c>
      <c r="K49" s="8">
        <v>5.47</v>
      </c>
      <c r="L49" s="9">
        <v>5.44</v>
      </c>
      <c r="M49" s="9">
        <v>5.73</v>
      </c>
      <c r="N49" s="8"/>
      <c r="O49" s="8">
        <v>5.55</v>
      </c>
      <c r="P49" s="9"/>
      <c r="Q49" s="9">
        <v>5.36</v>
      </c>
    </row>
    <row r="50" spans="2:17" ht="20.100000000000001" customHeight="1">
      <c r="B50" s="97" t="s">
        <v>90</v>
      </c>
      <c r="C50" s="97"/>
      <c r="D50" s="97"/>
      <c r="E50" s="92"/>
      <c r="F50" s="8"/>
      <c r="G50" s="8"/>
      <c r="H50" s="9"/>
      <c r="I50" s="9"/>
      <c r="J50" s="8"/>
      <c r="K50" s="8"/>
      <c r="L50" s="9"/>
      <c r="M50" s="9"/>
      <c r="N50" s="8"/>
      <c r="O50" s="8"/>
      <c r="P50" s="9" t="s">
        <v>104</v>
      </c>
      <c r="Q50" s="9"/>
    </row>
    <row r="51" spans="2:17" ht="20.100000000000001" customHeight="1" thickBot="1">
      <c r="B51" s="97" t="s">
        <v>91</v>
      </c>
      <c r="C51" s="97"/>
      <c r="D51" s="97"/>
      <c r="E51" s="91"/>
      <c r="F51" s="8"/>
      <c r="G51" s="8"/>
      <c r="H51" s="9"/>
      <c r="I51" s="9"/>
      <c r="J51" s="8"/>
      <c r="K51" s="8"/>
      <c r="L51" s="9"/>
      <c r="M51" s="9"/>
      <c r="N51" s="8"/>
      <c r="O51" s="8"/>
      <c r="P51" s="9"/>
      <c r="Q51" s="9"/>
    </row>
    <row r="52" spans="2:17">
      <c r="B52" t="s">
        <v>92</v>
      </c>
      <c r="C52" s="18" t="s">
        <v>93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28"/>
    </row>
    <row r="53" spans="2:17">
      <c r="C53" s="20" t="s">
        <v>94</v>
      </c>
      <c r="Q53" s="31"/>
    </row>
    <row r="54" spans="2:17">
      <c r="C54" s="20" t="s">
        <v>95</v>
      </c>
      <c r="Q54" s="31"/>
    </row>
    <row r="55" spans="2:17">
      <c r="C55" s="20"/>
      <c r="Q55" s="31"/>
    </row>
    <row r="56" spans="2:17">
      <c r="C56" s="20"/>
      <c r="Q56" s="31"/>
    </row>
    <row r="57" spans="2:17">
      <c r="C57" s="20" t="s">
        <v>96</v>
      </c>
      <c r="F57" s="21" t="b">
        <v>0</v>
      </c>
      <c r="G57" s="22" t="s">
        <v>97</v>
      </c>
      <c r="Q57" s="31"/>
    </row>
    <row r="58" spans="2:17">
      <c r="C58" s="20" t="s">
        <v>96</v>
      </c>
      <c r="F58" s="8" t="s">
        <v>98</v>
      </c>
      <c r="G58" s="23" t="s">
        <v>99</v>
      </c>
      <c r="Q58" s="31"/>
    </row>
    <row r="59" spans="2:17" ht="15.75" thickBot="1"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30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92E96-F045-459F-95D0-86000F470B96}">
  <dimension ref="B1:Q59"/>
  <sheetViews>
    <sheetView view="pageBreakPreview" zoomScale="85" zoomScaleNormal="60" workbookViewId="0">
      <selection activeCell="C2" sqref="C2:M5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107"/>
      <c r="C2" s="110" t="s">
        <v>0</v>
      </c>
      <c r="D2" s="111"/>
      <c r="E2" s="111"/>
      <c r="F2" s="111"/>
      <c r="G2" s="111"/>
      <c r="H2" s="111"/>
      <c r="I2" s="111"/>
      <c r="J2" s="111"/>
      <c r="K2" s="111"/>
      <c r="L2" s="111"/>
      <c r="M2" s="112"/>
      <c r="N2" s="18" t="s">
        <v>1</v>
      </c>
      <c r="O2" s="19"/>
      <c r="P2" s="19"/>
      <c r="Q2" s="28"/>
    </row>
    <row r="3" spans="2:17" ht="15.75" thickBot="1">
      <c r="B3" s="108"/>
      <c r="C3" s="113"/>
      <c r="D3" s="114"/>
      <c r="E3" s="114"/>
      <c r="F3" s="114"/>
      <c r="G3" s="114"/>
      <c r="H3" s="114"/>
      <c r="I3" s="114"/>
      <c r="J3" s="114"/>
      <c r="K3" s="114"/>
      <c r="L3" s="114"/>
      <c r="M3" s="115"/>
      <c r="N3" s="26" t="s">
        <v>2</v>
      </c>
      <c r="O3" s="27" t="s">
        <v>3</v>
      </c>
      <c r="P3" s="27"/>
      <c r="Q3" s="29"/>
    </row>
    <row r="4" spans="2:17" ht="15.75" thickBot="1">
      <c r="B4" s="108"/>
      <c r="C4" s="113"/>
      <c r="D4" s="114"/>
      <c r="E4" s="114"/>
      <c r="F4" s="114"/>
      <c r="G4" s="114"/>
      <c r="H4" s="114"/>
      <c r="I4" s="114"/>
      <c r="J4" s="114"/>
      <c r="K4" s="114"/>
      <c r="L4" s="114"/>
      <c r="M4" s="115"/>
      <c r="N4" s="26" t="s">
        <v>4</v>
      </c>
      <c r="O4" s="27"/>
      <c r="P4" s="27"/>
      <c r="Q4" s="29"/>
    </row>
    <row r="5" spans="2:17" ht="15.75" thickBot="1">
      <c r="B5" s="109"/>
      <c r="C5" s="116"/>
      <c r="D5" s="117"/>
      <c r="E5" s="117"/>
      <c r="F5" s="117"/>
      <c r="G5" s="117"/>
      <c r="H5" s="117"/>
      <c r="I5" s="117"/>
      <c r="J5" s="117"/>
      <c r="K5" s="117"/>
      <c r="L5" s="117"/>
      <c r="M5" s="118"/>
      <c r="N5" s="24" t="s">
        <v>5</v>
      </c>
      <c r="O5" s="25"/>
      <c r="P5" s="25"/>
      <c r="Q5" s="30"/>
    </row>
    <row r="7" spans="2:17">
      <c r="B7" s="98" t="s">
        <v>6</v>
      </c>
      <c r="C7" s="99"/>
      <c r="D7" s="100">
        <v>45746</v>
      </c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2"/>
    </row>
    <row r="8" spans="2:17">
      <c r="B8" s="97" t="s">
        <v>7</v>
      </c>
      <c r="C8" s="97"/>
      <c r="D8" s="97"/>
      <c r="E8" s="105" t="s">
        <v>8</v>
      </c>
      <c r="F8" s="103" t="s">
        <v>9</v>
      </c>
      <c r="G8" s="103"/>
      <c r="H8" s="104" t="s">
        <v>10</v>
      </c>
      <c r="I8" s="104"/>
      <c r="J8" s="103" t="s">
        <v>11</v>
      </c>
      <c r="K8" s="103"/>
      <c r="L8" s="104" t="s">
        <v>12</v>
      </c>
      <c r="M8" s="104"/>
      <c r="N8" s="103" t="s">
        <v>13</v>
      </c>
      <c r="O8" s="103"/>
      <c r="P8" s="104" t="s">
        <v>14</v>
      </c>
      <c r="Q8" s="104"/>
    </row>
    <row r="9" spans="2:17">
      <c r="B9" s="98" t="s">
        <v>15</v>
      </c>
      <c r="C9" s="119"/>
      <c r="D9" s="99"/>
      <c r="E9" s="106"/>
      <c r="F9" s="3">
        <v>0.375</v>
      </c>
      <c r="G9" s="32" t="s">
        <v>16</v>
      </c>
      <c r="H9" s="4">
        <v>0.375</v>
      </c>
      <c r="I9" s="33" t="s">
        <v>16</v>
      </c>
      <c r="J9" s="3">
        <v>0.375</v>
      </c>
      <c r="K9" s="32" t="s">
        <v>16</v>
      </c>
      <c r="L9" s="4">
        <v>0.375</v>
      </c>
      <c r="M9" s="33" t="s">
        <v>16</v>
      </c>
      <c r="N9" s="3">
        <v>0.375</v>
      </c>
      <c r="O9" s="32" t="s">
        <v>16</v>
      </c>
      <c r="P9" s="4">
        <v>0.375</v>
      </c>
      <c r="Q9" s="33" t="s">
        <v>16</v>
      </c>
    </row>
    <row r="10" spans="2:17" ht="26.25" customHeight="1">
      <c r="B10" s="120" t="s">
        <v>17</v>
      </c>
      <c r="C10" s="121"/>
      <c r="D10" s="94" t="s">
        <v>18</v>
      </c>
      <c r="E10" s="5"/>
      <c r="F10" s="6" t="s">
        <v>19</v>
      </c>
      <c r="G10" s="34" t="s">
        <v>19</v>
      </c>
      <c r="H10" s="35"/>
      <c r="I10" s="35" t="s">
        <v>19</v>
      </c>
      <c r="J10" s="34"/>
      <c r="K10" s="34" t="s">
        <v>19</v>
      </c>
      <c r="L10" s="35"/>
      <c r="M10" s="35" t="s">
        <v>19</v>
      </c>
      <c r="N10" s="6" t="s">
        <v>19</v>
      </c>
      <c r="O10" s="34" t="s">
        <v>19</v>
      </c>
      <c r="P10" s="35"/>
      <c r="Q10" s="35" t="s">
        <v>19</v>
      </c>
    </row>
    <row r="11" spans="2:17" ht="20.100000000000001" customHeight="1">
      <c r="B11" s="97" t="s">
        <v>20</v>
      </c>
      <c r="C11" s="97"/>
      <c r="D11" s="7" t="s">
        <v>21</v>
      </c>
      <c r="E11" s="7" t="s">
        <v>22</v>
      </c>
      <c r="F11" s="8">
        <v>71.5</v>
      </c>
      <c r="G11" s="8">
        <v>69.400000000000006</v>
      </c>
      <c r="H11" s="9"/>
      <c r="I11" s="9">
        <v>74.2</v>
      </c>
      <c r="J11" s="8"/>
      <c r="K11" s="8">
        <v>73.599999999999994</v>
      </c>
      <c r="L11" s="9"/>
      <c r="M11" s="9">
        <v>71.5</v>
      </c>
      <c r="N11" s="8">
        <v>78.3</v>
      </c>
      <c r="O11" s="8">
        <v>72.8</v>
      </c>
      <c r="P11" s="9"/>
      <c r="Q11" s="9">
        <v>71.099999999999994</v>
      </c>
    </row>
    <row r="12" spans="2:17" ht="20.100000000000001" customHeight="1">
      <c r="B12" s="97" t="s">
        <v>23</v>
      </c>
      <c r="C12" s="97"/>
      <c r="D12" s="7" t="s">
        <v>21</v>
      </c>
      <c r="E12" s="7" t="s">
        <v>22</v>
      </c>
      <c r="F12" s="8">
        <v>0.6</v>
      </c>
      <c r="G12" s="8">
        <v>0.4</v>
      </c>
      <c r="H12" s="9"/>
      <c r="I12" s="9">
        <v>0</v>
      </c>
      <c r="J12" s="8"/>
      <c r="K12" s="8">
        <v>0</v>
      </c>
      <c r="L12" s="9"/>
      <c r="M12" s="9">
        <v>0.1</v>
      </c>
      <c r="N12" s="8">
        <v>0</v>
      </c>
      <c r="O12" s="8">
        <v>0</v>
      </c>
      <c r="P12" s="9"/>
      <c r="Q12" s="9">
        <v>0</v>
      </c>
    </row>
    <row r="13" spans="2:17" ht="20.100000000000001" customHeight="1">
      <c r="B13" s="97" t="s">
        <v>24</v>
      </c>
      <c r="C13" s="97"/>
      <c r="D13" s="7" t="s">
        <v>21</v>
      </c>
      <c r="E13" s="7" t="s">
        <v>22</v>
      </c>
      <c r="F13" s="8">
        <v>68.099999999999994</v>
      </c>
      <c r="G13" s="8">
        <v>63.3</v>
      </c>
      <c r="H13" s="9"/>
      <c r="I13" s="9">
        <v>69.2</v>
      </c>
      <c r="J13" s="8"/>
      <c r="K13" s="8">
        <v>68.900000000000006</v>
      </c>
      <c r="L13" s="9"/>
      <c r="M13" s="9">
        <v>68.099999999999994</v>
      </c>
      <c r="N13" s="8">
        <v>73.400000000000006</v>
      </c>
      <c r="O13" s="8">
        <v>68.099999999999994</v>
      </c>
      <c r="P13" s="9"/>
      <c r="Q13" s="9">
        <v>64.900000000000006</v>
      </c>
    </row>
    <row r="14" spans="2:17" ht="20.100000000000001" customHeight="1">
      <c r="B14" s="97" t="s">
        <v>25</v>
      </c>
      <c r="C14" s="97"/>
      <c r="D14" s="7" t="s">
        <v>21</v>
      </c>
      <c r="E14" s="7" t="s">
        <v>22</v>
      </c>
      <c r="F14" s="8">
        <v>63.9</v>
      </c>
      <c r="G14" s="8">
        <v>67.599999999999994</v>
      </c>
      <c r="H14" s="9"/>
      <c r="I14" s="9">
        <v>70.900000000000006</v>
      </c>
      <c r="J14" s="8"/>
      <c r="K14" s="8">
        <v>63.8</v>
      </c>
      <c r="L14" s="9"/>
      <c r="M14" s="9">
        <v>64.900000000000006</v>
      </c>
      <c r="N14" s="8">
        <v>70.3</v>
      </c>
      <c r="O14" s="8">
        <v>73.599999999999994</v>
      </c>
      <c r="P14" s="9"/>
      <c r="Q14" s="9">
        <v>72.7</v>
      </c>
    </row>
    <row r="15" spans="2:17" ht="20.100000000000001" customHeight="1">
      <c r="B15" s="97" t="s">
        <v>26</v>
      </c>
      <c r="C15" s="97"/>
      <c r="D15" s="7" t="s">
        <v>21</v>
      </c>
      <c r="E15" s="7" t="s">
        <v>22</v>
      </c>
      <c r="F15" s="8">
        <v>34.799999999999997</v>
      </c>
      <c r="G15" s="8">
        <v>36.9</v>
      </c>
      <c r="H15" s="9"/>
      <c r="I15" s="9">
        <v>47.3</v>
      </c>
      <c r="J15" s="8"/>
      <c r="K15" s="8">
        <v>36.6</v>
      </c>
      <c r="L15" s="9"/>
      <c r="M15" s="9">
        <v>30.2</v>
      </c>
      <c r="N15" s="8">
        <v>53</v>
      </c>
      <c r="O15" s="8">
        <v>56.2</v>
      </c>
      <c r="P15" s="9"/>
      <c r="Q15" s="9">
        <v>41.1</v>
      </c>
    </row>
    <row r="16" spans="2:17" ht="20.100000000000001" customHeight="1">
      <c r="B16" s="103" t="s">
        <v>27</v>
      </c>
      <c r="C16" s="10" t="s">
        <v>28</v>
      </c>
      <c r="D16" s="7" t="s">
        <v>29</v>
      </c>
      <c r="E16" s="7" t="s">
        <v>30</v>
      </c>
      <c r="F16" s="8">
        <v>6.6</v>
      </c>
      <c r="G16" s="8">
        <v>6.6</v>
      </c>
      <c r="H16" s="8"/>
      <c r="I16" s="8">
        <v>6.6</v>
      </c>
      <c r="J16" s="8"/>
      <c r="K16" s="8">
        <v>6.6</v>
      </c>
      <c r="L16" s="8"/>
      <c r="M16" s="8">
        <v>6.6</v>
      </c>
      <c r="N16" s="8">
        <v>6.6</v>
      </c>
      <c r="O16" s="8">
        <v>6.6</v>
      </c>
      <c r="P16" s="8"/>
      <c r="Q16" s="8">
        <v>6.6</v>
      </c>
    </row>
    <row r="17" spans="2:17" ht="20.100000000000001" customHeight="1">
      <c r="B17" s="103"/>
      <c r="C17" s="10" t="s">
        <v>31</v>
      </c>
      <c r="D17" s="7" t="s">
        <v>32</v>
      </c>
      <c r="E17" s="7" t="s">
        <v>33</v>
      </c>
      <c r="F17" s="8">
        <v>118.5</v>
      </c>
      <c r="G17" s="8">
        <v>117.2</v>
      </c>
      <c r="H17" s="9"/>
      <c r="I17" s="9">
        <v>114.5</v>
      </c>
      <c r="J17" s="8"/>
      <c r="K17" s="8">
        <v>116.4</v>
      </c>
      <c r="L17" s="9"/>
      <c r="M17" s="9">
        <v>115.3</v>
      </c>
      <c r="N17" s="8">
        <v>120</v>
      </c>
      <c r="O17" s="8">
        <v>117.1</v>
      </c>
      <c r="P17" s="9"/>
      <c r="Q17" s="9">
        <v>117.1</v>
      </c>
    </row>
    <row r="18" spans="2:17" ht="20.100000000000001" customHeight="1">
      <c r="B18" s="103"/>
      <c r="C18" s="10" t="s">
        <v>34</v>
      </c>
      <c r="D18" s="7" t="s">
        <v>35</v>
      </c>
      <c r="E18" s="7" t="s">
        <v>36</v>
      </c>
      <c r="F18" s="8">
        <v>1156</v>
      </c>
      <c r="G18" s="8">
        <v>1161</v>
      </c>
      <c r="H18" s="9"/>
      <c r="I18" s="9">
        <v>1169</v>
      </c>
      <c r="J18" s="8"/>
      <c r="K18" s="8">
        <v>1189</v>
      </c>
      <c r="L18" s="9"/>
      <c r="M18" s="9">
        <v>1175</v>
      </c>
      <c r="N18" s="8">
        <v>1213</v>
      </c>
      <c r="O18" s="8">
        <v>1196</v>
      </c>
      <c r="P18" s="9"/>
      <c r="Q18" s="9">
        <v>1189</v>
      </c>
    </row>
    <row r="19" spans="2:17" ht="20.100000000000001" customHeight="1">
      <c r="B19" s="103" t="s">
        <v>37</v>
      </c>
      <c r="C19" s="10" t="s">
        <v>38</v>
      </c>
      <c r="D19" s="7" t="s">
        <v>39</v>
      </c>
      <c r="E19" s="11" t="s">
        <v>40</v>
      </c>
      <c r="F19" s="8">
        <v>49701.2</v>
      </c>
      <c r="G19" s="8">
        <v>49691.3</v>
      </c>
      <c r="H19" s="9"/>
      <c r="I19" s="9">
        <v>50975.1</v>
      </c>
      <c r="J19" s="8"/>
      <c r="K19" s="8">
        <v>48625.4</v>
      </c>
      <c r="L19" s="9"/>
      <c r="M19" s="9">
        <v>51003.7</v>
      </c>
      <c r="N19" s="8">
        <v>50183</v>
      </c>
      <c r="O19" s="8">
        <v>50172.2</v>
      </c>
      <c r="P19" s="9"/>
      <c r="Q19" s="9">
        <v>50336.1</v>
      </c>
    </row>
    <row r="20" spans="2:17" ht="20.100000000000001" customHeight="1">
      <c r="B20" s="103"/>
      <c r="C20" s="10" t="s">
        <v>41</v>
      </c>
      <c r="D20" s="7" t="s">
        <v>42</v>
      </c>
      <c r="E20" s="7" t="s">
        <v>43</v>
      </c>
      <c r="F20" s="8"/>
      <c r="G20" s="8"/>
      <c r="H20" s="9"/>
      <c r="I20" s="9"/>
      <c r="J20" s="8"/>
      <c r="K20" s="8"/>
      <c r="L20" s="9"/>
      <c r="M20" s="9"/>
      <c r="N20" s="8"/>
      <c r="O20" s="8"/>
      <c r="P20" s="9"/>
      <c r="Q20" s="9"/>
    </row>
    <row r="21" spans="2:17" ht="20.100000000000001" customHeight="1">
      <c r="B21" s="103"/>
      <c r="C21" s="10" t="s">
        <v>44</v>
      </c>
      <c r="D21" s="7" t="s">
        <v>42</v>
      </c>
      <c r="E21" s="7" t="s">
        <v>45</v>
      </c>
      <c r="F21" s="8"/>
      <c r="G21" s="8"/>
      <c r="H21" s="9"/>
      <c r="I21" s="9"/>
      <c r="J21" s="8"/>
      <c r="K21" s="8"/>
      <c r="L21" s="9"/>
      <c r="M21" s="9"/>
      <c r="N21" s="8"/>
      <c r="O21" s="8"/>
      <c r="P21" s="9"/>
      <c r="Q21" s="9"/>
    </row>
    <row r="22" spans="2:17" ht="20.100000000000001" customHeight="1">
      <c r="B22" s="103"/>
      <c r="C22" s="10" t="s">
        <v>46</v>
      </c>
      <c r="D22" s="7" t="s">
        <v>42</v>
      </c>
      <c r="E22" s="7" t="s">
        <v>47</v>
      </c>
      <c r="F22" s="8">
        <v>58.1</v>
      </c>
      <c r="G22" s="8">
        <v>58.6</v>
      </c>
      <c r="H22" s="9"/>
      <c r="I22" s="9">
        <v>59.3</v>
      </c>
      <c r="J22" s="8"/>
      <c r="K22" s="8">
        <v>57.9</v>
      </c>
      <c r="L22" s="9"/>
      <c r="M22" s="9">
        <v>57.3</v>
      </c>
      <c r="N22" s="8">
        <v>58.5</v>
      </c>
      <c r="O22" s="8">
        <v>58.6</v>
      </c>
      <c r="P22" s="9"/>
      <c r="Q22" s="9">
        <v>59.1</v>
      </c>
    </row>
    <row r="23" spans="2:17" ht="60">
      <c r="B23" s="103"/>
      <c r="C23" s="12" t="s">
        <v>48</v>
      </c>
      <c r="D23" s="8" t="s">
        <v>49</v>
      </c>
      <c r="E23" s="13" t="s">
        <v>50</v>
      </c>
      <c r="F23" s="8">
        <v>0.52</v>
      </c>
      <c r="G23" s="8">
        <v>0.53</v>
      </c>
      <c r="H23" s="9"/>
      <c r="I23" s="9">
        <v>0.49</v>
      </c>
      <c r="J23" s="8"/>
      <c r="K23" s="8">
        <v>0.59</v>
      </c>
      <c r="L23" s="9"/>
      <c r="M23" s="9">
        <v>0.52</v>
      </c>
      <c r="N23" s="8">
        <v>0.47</v>
      </c>
      <c r="O23" s="8">
        <v>0.48</v>
      </c>
      <c r="P23" s="9"/>
      <c r="Q23" s="9">
        <v>0.5</v>
      </c>
    </row>
    <row r="24" spans="2:17" ht="39.75" customHeight="1">
      <c r="B24" s="103"/>
      <c r="C24" s="12" t="s">
        <v>51</v>
      </c>
      <c r="D24" s="7"/>
      <c r="E24" s="7"/>
      <c r="F24" s="8"/>
      <c r="G24" s="8"/>
      <c r="H24" s="9"/>
      <c r="I24" s="9"/>
      <c r="J24" s="8"/>
      <c r="K24" s="8"/>
      <c r="L24" s="8"/>
      <c r="M24" s="9"/>
      <c r="N24" s="8"/>
      <c r="O24" s="8"/>
      <c r="P24" s="9"/>
      <c r="Q24" s="9"/>
    </row>
    <row r="25" spans="2:17" ht="20.100000000000001" customHeight="1">
      <c r="B25" s="103"/>
      <c r="C25" s="10" t="s">
        <v>52</v>
      </c>
      <c r="D25" s="7" t="s">
        <v>42</v>
      </c>
      <c r="E25" s="7" t="s">
        <v>53</v>
      </c>
      <c r="F25" s="8">
        <v>45</v>
      </c>
      <c r="G25" s="8">
        <v>44.9</v>
      </c>
      <c r="H25" s="9"/>
      <c r="I25" s="9">
        <v>44.9</v>
      </c>
      <c r="J25" s="8"/>
      <c r="K25" s="8">
        <v>44.9</v>
      </c>
      <c r="L25" s="9"/>
      <c r="M25" s="9">
        <v>44.8</v>
      </c>
      <c r="N25" s="8">
        <v>45.1</v>
      </c>
      <c r="O25" s="8">
        <v>45.1</v>
      </c>
      <c r="P25" s="9"/>
      <c r="Q25" s="9">
        <v>45</v>
      </c>
    </row>
    <row r="26" spans="2:17" ht="20.100000000000001" customHeight="1">
      <c r="B26" s="103" t="s">
        <v>54</v>
      </c>
      <c r="C26" s="10" t="s">
        <v>55</v>
      </c>
      <c r="D26" s="7" t="s">
        <v>49</v>
      </c>
      <c r="E26" s="14" t="s">
        <v>56</v>
      </c>
      <c r="F26" s="8">
        <v>0.23</v>
      </c>
      <c r="G26" s="8">
        <v>0.23</v>
      </c>
      <c r="H26" s="9"/>
      <c r="I26" s="9">
        <v>0.22</v>
      </c>
      <c r="J26" s="8"/>
      <c r="K26" s="8">
        <v>0.23</v>
      </c>
      <c r="L26" s="9"/>
      <c r="M26" s="9">
        <v>0.22</v>
      </c>
      <c r="N26" s="8">
        <v>0.22</v>
      </c>
      <c r="O26" s="8">
        <v>0.23</v>
      </c>
      <c r="P26" s="9"/>
      <c r="Q26" s="9">
        <v>0.23</v>
      </c>
    </row>
    <row r="27" spans="2:17" ht="20.100000000000001" customHeight="1">
      <c r="B27" s="103"/>
      <c r="C27" s="10" t="s">
        <v>57</v>
      </c>
      <c r="D27" s="7" t="s">
        <v>42</v>
      </c>
      <c r="E27" s="7" t="s">
        <v>43</v>
      </c>
      <c r="F27" s="8">
        <v>3.9</v>
      </c>
      <c r="G27" s="8">
        <v>4.7</v>
      </c>
      <c r="H27" s="9"/>
      <c r="I27" s="9">
        <v>3.9</v>
      </c>
      <c r="J27" s="8"/>
      <c r="K27" s="8">
        <v>4.4000000000000004</v>
      </c>
      <c r="L27" s="9"/>
      <c r="M27" s="9">
        <v>4</v>
      </c>
      <c r="N27" s="8">
        <v>3.9</v>
      </c>
      <c r="O27" s="8">
        <v>4.5</v>
      </c>
      <c r="P27" s="9"/>
      <c r="Q27" s="9">
        <v>5.0999999999999996</v>
      </c>
    </row>
    <row r="28" spans="2:17" ht="20.100000000000001" customHeight="1">
      <c r="B28" s="103"/>
      <c r="C28" s="10" t="s">
        <v>58</v>
      </c>
      <c r="D28" s="7" t="s">
        <v>42</v>
      </c>
      <c r="E28" s="7" t="s">
        <v>43</v>
      </c>
      <c r="F28" s="8">
        <v>3.5</v>
      </c>
      <c r="G28" s="8">
        <v>4.0999999999999996</v>
      </c>
      <c r="H28" s="9"/>
      <c r="I28" s="9">
        <v>3</v>
      </c>
      <c r="J28" s="8"/>
      <c r="K28" s="8">
        <v>3.4</v>
      </c>
      <c r="L28" s="9"/>
      <c r="M28" s="9">
        <v>2.9</v>
      </c>
      <c r="N28" s="8">
        <v>2.8</v>
      </c>
      <c r="O28" s="8">
        <v>3.1</v>
      </c>
      <c r="P28" s="9"/>
      <c r="Q28" s="9">
        <v>4.0999999999999996</v>
      </c>
    </row>
    <row r="29" spans="2:17" ht="20.100000000000001" customHeight="1">
      <c r="B29" s="103"/>
      <c r="C29" s="10" t="s">
        <v>59</v>
      </c>
      <c r="D29" s="7" t="s">
        <v>42</v>
      </c>
      <c r="E29" s="7" t="s">
        <v>43</v>
      </c>
      <c r="F29" s="15">
        <f>F32-F28</f>
        <v>0.90000000000000036</v>
      </c>
      <c r="G29" s="15">
        <f>G32-G28</f>
        <v>1.1000000000000005</v>
      </c>
      <c r="H29" s="15">
        <f t="shared" ref="H29:Q29" si="0">H32-H28</f>
        <v>0</v>
      </c>
      <c r="I29" s="15">
        <f t="shared" si="0"/>
        <v>2.2999999999999998</v>
      </c>
      <c r="J29" s="15">
        <f t="shared" si="0"/>
        <v>0</v>
      </c>
      <c r="K29" s="15">
        <f t="shared" si="0"/>
        <v>0.80000000000000027</v>
      </c>
      <c r="L29" s="15">
        <f>L32-L28</f>
        <v>0</v>
      </c>
      <c r="M29" s="15">
        <f>M32-M28</f>
        <v>1.3000000000000003</v>
      </c>
      <c r="N29" s="15">
        <f>N32-N28</f>
        <v>1.4000000000000004</v>
      </c>
      <c r="O29" s="15">
        <f>O32-O28</f>
        <v>1.6999999999999997</v>
      </c>
      <c r="P29" s="15">
        <f t="shared" si="0"/>
        <v>0</v>
      </c>
      <c r="Q29" s="15">
        <f t="shared" si="0"/>
        <v>0.90000000000000036</v>
      </c>
    </row>
    <row r="30" spans="2:17" ht="20.100000000000001" customHeight="1">
      <c r="B30" s="103"/>
      <c r="C30" s="10" t="s">
        <v>60</v>
      </c>
      <c r="D30" s="7" t="s">
        <v>61</v>
      </c>
      <c r="E30" s="7" t="s">
        <v>62</v>
      </c>
      <c r="F30" s="8">
        <v>698.1</v>
      </c>
      <c r="G30" s="8">
        <v>681</v>
      </c>
      <c r="H30" s="9"/>
      <c r="I30" s="9">
        <v>655.29999999999995</v>
      </c>
      <c r="J30" s="8"/>
      <c r="K30" s="8">
        <v>638.5</v>
      </c>
      <c r="L30" s="9"/>
      <c r="M30" s="9">
        <v>635.4</v>
      </c>
      <c r="N30" s="8">
        <v>684.6</v>
      </c>
      <c r="O30" s="8">
        <v>660</v>
      </c>
      <c r="P30" s="9"/>
      <c r="Q30" s="9">
        <v>648.4</v>
      </c>
    </row>
    <row r="31" spans="2:17" ht="20.100000000000001" customHeight="1">
      <c r="B31" s="103"/>
      <c r="C31" s="10" t="s">
        <v>63</v>
      </c>
      <c r="D31" s="7" t="s">
        <v>42</v>
      </c>
      <c r="E31" s="7">
        <v>13.5</v>
      </c>
      <c r="F31" s="8">
        <v>12.8</v>
      </c>
      <c r="G31" s="8">
        <v>13.6</v>
      </c>
      <c r="H31" s="9"/>
      <c r="I31" s="9">
        <v>13.6</v>
      </c>
      <c r="J31" s="8"/>
      <c r="K31" s="8">
        <v>13.1</v>
      </c>
      <c r="L31" s="9"/>
      <c r="M31" s="9">
        <v>13</v>
      </c>
      <c r="N31" s="8">
        <v>12.8</v>
      </c>
      <c r="O31" s="8">
        <v>13.8</v>
      </c>
      <c r="P31" s="9"/>
      <c r="Q31" s="9">
        <v>13.6</v>
      </c>
    </row>
    <row r="32" spans="2:17" ht="20.100000000000001" customHeight="1">
      <c r="B32" s="103"/>
      <c r="C32" s="10" t="s">
        <v>64</v>
      </c>
      <c r="D32" s="7" t="s">
        <v>42</v>
      </c>
      <c r="E32" s="7">
        <v>4</v>
      </c>
      <c r="F32" s="8">
        <v>4.4000000000000004</v>
      </c>
      <c r="G32" s="8">
        <v>5.2</v>
      </c>
      <c r="H32" s="9"/>
      <c r="I32" s="9">
        <v>5.3</v>
      </c>
      <c r="J32" s="8"/>
      <c r="K32" s="8">
        <v>4.2</v>
      </c>
      <c r="L32" s="9"/>
      <c r="M32" s="9">
        <v>4.2</v>
      </c>
      <c r="N32" s="8">
        <v>4.2</v>
      </c>
      <c r="O32" s="8">
        <v>4.8</v>
      </c>
      <c r="P32" s="9"/>
      <c r="Q32" s="9">
        <v>5</v>
      </c>
    </row>
    <row r="33" spans="2:17" ht="20.100000000000001" customHeight="1">
      <c r="B33" s="103"/>
      <c r="C33" s="10" t="s">
        <v>65</v>
      </c>
      <c r="D33" s="7" t="s">
        <v>42</v>
      </c>
      <c r="E33" s="7">
        <v>9.5</v>
      </c>
      <c r="F33" s="15">
        <f>F31-F32</f>
        <v>8.4</v>
      </c>
      <c r="G33" s="15">
        <f>G31-G32</f>
        <v>8.3999999999999986</v>
      </c>
      <c r="H33" s="15">
        <f t="shared" ref="H33:Q33" si="1">H31-H32</f>
        <v>0</v>
      </c>
      <c r="I33" s="15">
        <f t="shared" si="1"/>
        <v>8.3000000000000007</v>
      </c>
      <c r="J33" s="15">
        <f t="shared" si="1"/>
        <v>0</v>
      </c>
      <c r="K33" s="15">
        <f t="shared" si="1"/>
        <v>8.8999999999999986</v>
      </c>
      <c r="L33" s="15">
        <f>L31-L32</f>
        <v>0</v>
      </c>
      <c r="M33" s="15">
        <f>M31-M32</f>
        <v>8.8000000000000007</v>
      </c>
      <c r="N33" s="15">
        <f>N31-N32</f>
        <v>8.6000000000000014</v>
      </c>
      <c r="O33" s="15">
        <f>O31-O32</f>
        <v>9</v>
      </c>
      <c r="P33" s="15">
        <f t="shared" si="1"/>
        <v>0</v>
      </c>
      <c r="Q33" s="15">
        <f t="shared" si="1"/>
        <v>8.6</v>
      </c>
    </row>
    <row r="34" spans="2:17" ht="20.100000000000001" customHeight="1">
      <c r="B34" s="103"/>
      <c r="C34" s="10" t="s">
        <v>66</v>
      </c>
      <c r="D34" s="7" t="s">
        <v>67</v>
      </c>
      <c r="E34" s="7" t="s">
        <v>68</v>
      </c>
      <c r="F34" s="16">
        <f>(F33*F30)/0.866</f>
        <v>6771.4087759815257</v>
      </c>
      <c r="G34" s="16">
        <f>(G33*G30)/0.866</f>
        <v>6605.542725173209</v>
      </c>
      <c r="H34" s="16">
        <f t="shared" ref="H34:Q34" si="2">(H33*H30)/0.866</f>
        <v>0</v>
      </c>
      <c r="I34" s="16">
        <f t="shared" si="2"/>
        <v>6280.5889145496531</v>
      </c>
      <c r="J34" s="16">
        <f t="shared" si="2"/>
        <v>0</v>
      </c>
      <c r="K34" s="16">
        <f t="shared" si="2"/>
        <v>6561.9515011547328</v>
      </c>
      <c r="L34" s="16">
        <f>(L33*L30)/0.866</f>
        <v>0</v>
      </c>
      <c r="M34" s="16">
        <f>(M33*M30)/0.866</f>
        <v>6456.7205542725178</v>
      </c>
      <c r="N34" s="16">
        <f>(N33*N30)/0.866</f>
        <v>6798.5681293302559</v>
      </c>
      <c r="O34" s="16">
        <f>(O33*O30)/0.866</f>
        <v>6859.122401847575</v>
      </c>
      <c r="P34" s="16">
        <f t="shared" si="2"/>
        <v>0</v>
      </c>
      <c r="Q34" s="16">
        <f t="shared" si="2"/>
        <v>6439.0762124711318</v>
      </c>
    </row>
    <row r="35" spans="2:17" ht="20.100000000000001" customHeight="1">
      <c r="B35" s="103" t="s">
        <v>69</v>
      </c>
      <c r="C35" s="10" t="s">
        <v>70</v>
      </c>
      <c r="D35" s="7" t="s">
        <v>49</v>
      </c>
      <c r="E35" s="7" t="s">
        <v>71</v>
      </c>
      <c r="F35" s="8">
        <v>0.83</v>
      </c>
      <c r="G35" s="8">
        <v>0.83</v>
      </c>
      <c r="H35" s="9"/>
      <c r="I35" s="9">
        <v>0.86</v>
      </c>
      <c r="J35" s="8"/>
      <c r="K35" s="8">
        <v>0.84</v>
      </c>
      <c r="L35" s="9"/>
      <c r="M35" s="9">
        <v>0.83</v>
      </c>
      <c r="N35" s="8">
        <v>0.83</v>
      </c>
      <c r="O35" s="8">
        <v>0.82</v>
      </c>
      <c r="P35" s="9"/>
      <c r="Q35" s="9">
        <v>0.85</v>
      </c>
    </row>
    <row r="36" spans="2:17" ht="20.100000000000001" customHeight="1">
      <c r="B36" s="103"/>
      <c r="C36" s="10" t="s">
        <v>72</v>
      </c>
      <c r="D36" s="7" t="s">
        <v>42</v>
      </c>
      <c r="E36" s="7" t="s">
        <v>43</v>
      </c>
      <c r="F36" s="8">
        <v>36.299999999999997</v>
      </c>
      <c r="G36" s="8">
        <v>36.700000000000003</v>
      </c>
      <c r="H36" s="9"/>
      <c r="I36" s="9">
        <v>37.1</v>
      </c>
      <c r="J36" s="8"/>
      <c r="K36" s="8">
        <v>36.799999999999997</v>
      </c>
      <c r="L36" s="9"/>
      <c r="M36" s="9">
        <v>36.700000000000003</v>
      </c>
      <c r="N36" s="8">
        <v>35.799999999999997</v>
      </c>
      <c r="O36" s="8">
        <v>36</v>
      </c>
      <c r="P36" s="9"/>
      <c r="Q36" s="9">
        <v>37</v>
      </c>
    </row>
    <row r="37" spans="2:17" ht="20.100000000000001" customHeight="1">
      <c r="B37" s="103"/>
      <c r="C37" s="10" t="s">
        <v>73</v>
      </c>
      <c r="D37" s="7" t="s">
        <v>42</v>
      </c>
      <c r="E37" s="7" t="s">
        <v>43</v>
      </c>
      <c r="F37" s="8">
        <v>36.9</v>
      </c>
      <c r="G37" s="8">
        <v>37.1</v>
      </c>
      <c r="H37" s="9"/>
      <c r="I37" s="9">
        <v>38</v>
      </c>
      <c r="J37" s="8"/>
      <c r="K37" s="8">
        <v>37.5</v>
      </c>
      <c r="L37" s="9"/>
      <c r="M37" s="9">
        <v>37.1</v>
      </c>
      <c r="N37" s="8">
        <v>36.299999999999997</v>
      </c>
      <c r="O37" s="8">
        <v>36.5</v>
      </c>
      <c r="P37" s="9"/>
      <c r="Q37" s="9">
        <v>37.700000000000003</v>
      </c>
    </row>
    <row r="38" spans="2:17" ht="20.100000000000001" customHeight="1">
      <c r="B38" s="103"/>
      <c r="C38" s="12" t="s">
        <v>74</v>
      </c>
      <c r="D38" s="7" t="s">
        <v>42</v>
      </c>
      <c r="E38" s="7" t="s">
        <v>101</v>
      </c>
      <c r="F38" s="15">
        <f>F37-F41</f>
        <v>2.1000000000000014</v>
      </c>
      <c r="G38" s="15">
        <f>G37-G41</f>
        <v>2.1000000000000014</v>
      </c>
      <c r="H38" s="15">
        <f t="shared" ref="H38:Q38" si="3">H37-H41</f>
        <v>0</v>
      </c>
      <c r="I38" s="15">
        <f t="shared" si="3"/>
        <v>3.7000000000000028</v>
      </c>
      <c r="J38" s="15">
        <f t="shared" si="3"/>
        <v>0</v>
      </c>
      <c r="K38" s="15">
        <f t="shared" si="3"/>
        <v>2.5</v>
      </c>
      <c r="L38" s="15">
        <f>L37-L41</f>
        <v>0</v>
      </c>
      <c r="M38" s="15">
        <f>M37-M41</f>
        <v>2.5</v>
      </c>
      <c r="N38" s="15">
        <f>N37-N41</f>
        <v>1.7999999999999972</v>
      </c>
      <c r="O38" s="15">
        <f>O37-O41</f>
        <v>1.7999999999999972</v>
      </c>
      <c r="P38" s="15">
        <f t="shared" si="3"/>
        <v>0</v>
      </c>
      <c r="Q38" s="15">
        <f t="shared" si="3"/>
        <v>3.2000000000000028</v>
      </c>
    </row>
    <row r="39" spans="2:17" ht="20.100000000000001" customHeight="1">
      <c r="B39" s="103"/>
      <c r="C39" s="10" t="s">
        <v>75</v>
      </c>
      <c r="D39" s="7" t="s">
        <v>76</v>
      </c>
      <c r="E39" s="7"/>
      <c r="F39" s="8"/>
      <c r="G39" s="8"/>
      <c r="H39" s="9"/>
      <c r="I39" s="9"/>
      <c r="J39" s="8"/>
      <c r="K39" s="8"/>
      <c r="L39" s="9"/>
      <c r="M39" s="9"/>
      <c r="N39" s="8"/>
      <c r="O39" s="8"/>
      <c r="P39" s="9"/>
      <c r="Q39" s="9"/>
    </row>
    <row r="40" spans="2:17" ht="20.100000000000001" customHeight="1">
      <c r="B40" s="103"/>
      <c r="C40" s="10" t="s">
        <v>77</v>
      </c>
      <c r="D40" s="7" t="s">
        <v>42</v>
      </c>
      <c r="E40" s="7">
        <v>30.8</v>
      </c>
      <c r="F40" s="8">
        <v>29.1</v>
      </c>
      <c r="G40" s="8">
        <v>28.8</v>
      </c>
      <c r="H40" s="9"/>
      <c r="I40" s="9">
        <v>28.8</v>
      </c>
      <c r="J40" s="8"/>
      <c r="K40" s="8">
        <v>29</v>
      </c>
      <c r="L40" s="9"/>
      <c r="M40" s="9">
        <v>28.8</v>
      </c>
      <c r="N40" s="8">
        <v>29.2</v>
      </c>
      <c r="O40" s="8">
        <v>28.7</v>
      </c>
      <c r="P40" s="9"/>
      <c r="Q40" s="9">
        <v>28.7</v>
      </c>
    </row>
    <row r="41" spans="2:17" ht="20.100000000000001" customHeight="1">
      <c r="B41" s="103"/>
      <c r="C41" s="10" t="s">
        <v>78</v>
      </c>
      <c r="D41" s="7" t="s">
        <v>42</v>
      </c>
      <c r="E41" s="7">
        <v>36.4</v>
      </c>
      <c r="F41" s="8">
        <v>34.799999999999997</v>
      </c>
      <c r="G41" s="8">
        <v>35</v>
      </c>
      <c r="H41" s="9"/>
      <c r="I41" s="9">
        <v>34.299999999999997</v>
      </c>
      <c r="J41" s="8"/>
      <c r="K41" s="8">
        <v>35</v>
      </c>
      <c r="L41" s="9"/>
      <c r="M41" s="9">
        <v>34.6</v>
      </c>
      <c r="N41" s="8">
        <v>34.5</v>
      </c>
      <c r="O41" s="8">
        <v>34.700000000000003</v>
      </c>
      <c r="P41" s="9"/>
      <c r="Q41" s="9">
        <v>34.5</v>
      </c>
    </row>
    <row r="42" spans="2:17" ht="20.100000000000001" customHeight="1">
      <c r="B42" s="103"/>
      <c r="C42" s="10" t="s">
        <v>79</v>
      </c>
      <c r="D42" s="7" t="s">
        <v>42</v>
      </c>
      <c r="E42" s="7">
        <v>5.6</v>
      </c>
      <c r="F42" s="15">
        <f>F41-F40</f>
        <v>5.6999999999999957</v>
      </c>
      <c r="G42" s="15">
        <f>G41-G40</f>
        <v>6.1999999999999993</v>
      </c>
      <c r="H42" s="15">
        <f t="shared" ref="H42:Q42" si="4">H41-H40</f>
        <v>0</v>
      </c>
      <c r="I42" s="15">
        <f t="shared" si="4"/>
        <v>5.4999999999999964</v>
      </c>
      <c r="J42" s="15">
        <f t="shared" si="4"/>
        <v>0</v>
      </c>
      <c r="K42" s="15">
        <f t="shared" si="4"/>
        <v>6</v>
      </c>
      <c r="L42" s="15">
        <f>L41-L40</f>
        <v>0</v>
      </c>
      <c r="M42" s="15">
        <f>M41-M40</f>
        <v>5.8000000000000007</v>
      </c>
      <c r="N42" s="15">
        <f>N41-N40</f>
        <v>5.3000000000000007</v>
      </c>
      <c r="O42" s="15">
        <f>O41-O40</f>
        <v>6.0000000000000036</v>
      </c>
      <c r="P42" s="15">
        <f t="shared" si="4"/>
        <v>0</v>
      </c>
      <c r="Q42" s="15">
        <f t="shared" si="4"/>
        <v>5.8000000000000007</v>
      </c>
    </row>
    <row r="43" spans="2:17" ht="20.100000000000001" customHeight="1">
      <c r="B43" s="103"/>
      <c r="C43" s="10" t="s">
        <v>80</v>
      </c>
      <c r="D43" s="7" t="s">
        <v>61</v>
      </c>
      <c r="E43" s="7">
        <v>1273.0999999999999</v>
      </c>
      <c r="F43" s="8">
        <v>1215.9000000000001</v>
      </c>
      <c r="G43" s="8">
        <v>1155.0999999999999</v>
      </c>
      <c r="H43" s="9"/>
      <c r="I43" s="9">
        <v>1140.2</v>
      </c>
      <c r="J43" s="8"/>
      <c r="K43" s="8">
        <v>1165.4000000000001</v>
      </c>
      <c r="L43" s="9"/>
      <c r="M43" s="8">
        <v>1148.4000000000001</v>
      </c>
      <c r="N43" s="8">
        <v>1290.5999999999999</v>
      </c>
      <c r="O43" s="8">
        <v>1138.9000000000001</v>
      </c>
      <c r="P43" s="9"/>
      <c r="Q43" s="9">
        <v>1154</v>
      </c>
    </row>
    <row r="44" spans="2:17" ht="20.100000000000001" customHeight="1">
      <c r="B44" s="103"/>
      <c r="C44" s="10" t="s">
        <v>81</v>
      </c>
      <c r="D44" s="7" t="s">
        <v>67</v>
      </c>
      <c r="E44" s="7">
        <v>8226.9</v>
      </c>
      <c r="F44" s="16">
        <f>F42*F43/0.866</f>
        <v>8003.0369515011498</v>
      </c>
      <c r="G44" s="16">
        <f>G42*G43/0.866</f>
        <v>8269.7690531177814</v>
      </c>
      <c r="H44" s="16">
        <f t="shared" ref="H44:Q44" si="5">H42*H43/0.866</f>
        <v>0</v>
      </c>
      <c r="I44" s="16">
        <f t="shared" si="5"/>
        <v>7241.4549653579625</v>
      </c>
      <c r="J44" s="16">
        <f t="shared" si="5"/>
        <v>0</v>
      </c>
      <c r="K44" s="16">
        <f t="shared" si="5"/>
        <v>8074.3648960739038</v>
      </c>
      <c r="L44" s="16">
        <f>L42*L43/0.866</f>
        <v>0</v>
      </c>
      <c r="M44" s="16">
        <f>M42*M43/0.866</f>
        <v>7691.3625866050825</v>
      </c>
      <c r="N44" s="16">
        <f>N42*N43/0.866</f>
        <v>7898.5912240184762</v>
      </c>
      <c r="O44" s="16">
        <f>O42*O43/0.866</f>
        <v>7890.7621247113211</v>
      </c>
      <c r="P44" s="16">
        <f t="shared" si="5"/>
        <v>0</v>
      </c>
      <c r="Q44" s="16">
        <f t="shared" si="5"/>
        <v>7728.8683602771371</v>
      </c>
    </row>
    <row r="45" spans="2:17" ht="20.100000000000001" customHeight="1">
      <c r="B45" s="103" t="s">
        <v>82</v>
      </c>
      <c r="C45" s="10" t="s">
        <v>83</v>
      </c>
      <c r="D45" s="7" t="s">
        <v>49</v>
      </c>
      <c r="E45" s="7" t="s">
        <v>84</v>
      </c>
      <c r="F45" s="8">
        <v>0.47</v>
      </c>
      <c r="G45" s="8">
        <v>0.48</v>
      </c>
      <c r="H45" s="9"/>
      <c r="I45" s="9">
        <v>0.47</v>
      </c>
      <c r="J45" s="8"/>
      <c r="K45" s="8">
        <v>0.47</v>
      </c>
      <c r="L45" s="9"/>
      <c r="M45" s="9">
        <v>0.47</v>
      </c>
      <c r="N45" s="8">
        <v>0.45</v>
      </c>
      <c r="O45" s="8">
        <v>0.46</v>
      </c>
      <c r="P45" s="9"/>
      <c r="Q45" s="9">
        <v>0.48</v>
      </c>
    </row>
    <row r="46" spans="2:17" ht="20.100000000000001" customHeight="1">
      <c r="B46" s="103"/>
      <c r="C46" s="10" t="s">
        <v>85</v>
      </c>
      <c r="D46" s="7" t="s">
        <v>42</v>
      </c>
      <c r="E46" s="7" t="s">
        <v>43</v>
      </c>
      <c r="F46" s="8">
        <v>19.8</v>
      </c>
      <c r="G46" s="8">
        <v>20.6</v>
      </c>
      <c r="H46" s="9"/>
      <c r="I46" s="9">
        <v>20.3</v>
      </c>
      <c r="J46" s="8"/>
      <c r="K46" s="8">
        <v>20.2</v>
      </c>
      <c r="L46" s="9"/>
      <c r="M46" s="9">
        <v>20</v>
      </c>
      <c r="N46" s="8">
        <v>19.100000000000001</v>
      </c>
      <c r="O46" s="8">
        <v>19.7</v>
      </c>
      <c r="P46" s="9"/>
      <c r="Q46" s="9">
        <v>20.8</v>
      </c>
    </row>
    <row r="47" spans="2:17" ht="20.100000000000001" customHeight="1">
      <c r="B47" s="103"/>
      <c r="C47" s="10" t="s">
        <v>86</v>
      </c>
      <c r="D47" s="7" t="s">
        <v>76</v>
      </c>
      <c r="E47" s="7" t="s">
        <v>76</v>
      </c>
      <c r="F47" s="8">
        <v>201.4</v>
      </c>
      <c r="G47" s="8">
        <v>196.4</v>
      </c>
      <c r="H47" s="9"/>
      <c r="I47" s="9">
        <v>126.3</v>
      </c>
      <c r="J47" s="8"/>
      <c r="K47" s="8">
        <v>198.6</v>
      </c>
      <c r="L47" s="9"/>
      <c r="M47" s="9">
        <v>218.3</v>
      </c>
      <c r="N47" s="8">
        <v>154.69999999999999</v>
      </c>
      <c r="O47" s="8">
        <v>156.4</v>
      </c>
      <c r="P47" s="9"/>
      <c r="Q47" s="9">
        <v>194.1</v>
      </c>
    </row>
    <row r="48" spans="2:17" ht="20.100000000000001" customHeight="1">
      <c r="B48" s="97" t="s">
        <v>87</v>
      </c>
      <c r="C48" s="97"/>
      <c r="D48" s="97"/>
      <c r="E48" s="17" t="s">
        <v>88</v>
      </c>
      <c r="F48" s="8"/>
      <c r="G48" s="8"/>
      <c r="H48" s="9"/>
      <c r="I48" s="9"/>
      <c r="J48" s="8"/>
      <c r="K48" s="8"/>
      <c r="L48" s="9"/>
      <c r="M48" s="9"/>
      <c r="N48" s="8"/>
      <c r="O48" s="8"/>
      <c r="P48" s="9"/>
      <c r="Q48" s="9"/>
    </row>
    <row r="49" spans="2:17" ht="20.100000000000001" customHeight="1">
      <c r="B49" s="97" t="s">
        <v>89</v>
      </c>
      <c r="C49" s="97"/>
      <c r="D49" s="97"/>
      <c r="E49" s="94">
        <v>5.89</v>
      </c>
      <c r="F49" s="8">
        <v>5.33</v>
      </c>
      <c r="G49" s="8">
        <v>5.4</v>
      </c>
      <c r="H49" s="9"/>
      <c r="I49" s="9">
        <v>5.38</v>
      </c>
      <c r="J49" s="8"/>
      <c r="K49" s="8">
        <v>5.56</v>
      </c>
      <c r="L49" s="9"/>
      <c r="M49" s="9">
        <v>5.52</v>
      </c>
      <c r="N49" s="8">
        <v>5.24</v>
      </c>
      <c r="O49" s="8">
        <v>5.56</v>
      </c>
      <c r="P49" s="9"/>
      <c r="Q49" s="9">
        <v>5.34</v>
      </c>
    </row>
    <row r="50" spans="2:17" ht="20.100000000000001" customHeight="1">
      <c r="B50" s="97" t="s">
        <v>90</v>
      </c>
      <c r="C50" s="97"/>
      <c r="D50" s="97"/>
      <c r="E50" s="94"/>
      <c r="F50" s="8"/>
      <c r="G50" s="8"/>
      <c r="H50" s="9"/>
      <c r="I50" s="9"/>
      <c r="J50" s="8"/>
      <c r="K50" s="8"/>
      <c r="L50" s="9"/>
      <c r="M50" s="9"/>
      <c r="N50" s="8"/>
      <c r="O50" s="8"/>
      <c r="P50" s="9"/>
      <c r="Q50" s="9"/>
    </row>
    <row r="51" spans="2:17" ht="20.100000000000001" customHeight="1" thickBot="1">
      <c r="B51" s="97" t="s">
        <v>91</v>
      </c>
      <c r="C51" s="97"/>
      <c r="D51" s="97"/>
      <c r="E51" s="93"/>
      <c r="F51" s="8"/>
      <c r="G51" s="8"/>
      <c r="H51" s="9"/>
      <c r="I51" s="9"/>
      <c r="J51" s="8"/>
      <c r="K51" s="8"/>
      <c r="L51" s="9"/>
      <c r="M51" s="9"/>
      <c r="N51" s="8"/>
      <c r="O51" s="8"/>
      <c r="P51" s="9"/>
      <c r="Q51" s="9"/>
    </row>
    <row r="52" spans="2:17">
      <c r="B52" t="s">
        <v>92</v>
      </c>
      <c r="C52" s="18" t="s">
        <v>93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28"/>
    </row>
    <row r="53" spans="2:17">
      <c r="C53" s="20" t="s">
        <v>94</v>
      </c>
      <c r="Q53" s="31"/>
    </row>
    <row r="54" spans="2:17">
      <c r="C54" s="20" t="s">
        <v>95</v>
      </c>
      <c r="Q54" s="31"/>
    </row>
    <row r="55" spans="2:17">
      <c r="C55" s="20"/>
      <c r="Q55" s="31"/>
    </row>
    <row r="56" spans="2:17">
      <c r="C56" s="20"/>
      <c r="Q56" s="31"/>
    </row>
    <row r="57" spans="2:17">
      <c r="C57" s="20" t="s">
        <v>96</v>
      </c>
      <c r="F57" s="21" t="b">
        <v>0</v>
      </c>
      <c r="G57" s="22" t="s">
        <v>97</v>
      </c>
      <c r="Q57" s="31"/>
    </row>
    <row r="58" spans="2:17">
      <c r="C58" s="20" t="s">
        <v>96</v>
      </c>
      <c r="F58" s="8" t="s">
        <v>98</v>
      </c>
      <c r="G58" s="23" t="s">
        <v>99</v>
      </c>
      <c r="Q58" s="31"/>
    </row>
    <row r="59" spans="2:17" ht="15.75" thickBot="1"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30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F4E6E-B07E-4A85-8741-F3A6AB52459C}">
  <dimension ref="B1:Q59"/>
  <sheetViews>
    <sheetView tabSelected="1" view="pageBreakPreview" topLeftCell="A19" zoomScale="85" zoomScaleNormal="60" workbookViewId="0">
      <selection activeCell="L50" sqref="L50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107"/>
      <c r="C2" s="110" t="s">
        <v>0</v>
      </c>
      <c r="D2" s="111"/>
      <c r="E2" s="111"/>
      <c r="F2" s="111"/>
      <c r="G2" s="111"/>
      <c r="H2" s="111"/>
      <c r="I2" s="111"/>
      <c r="J2" s="111"/>
      <c r="K2" s="111"/>
      <c r="L2" s="111"/>
      <c r="M2" s="112"/>
      <c r="N2" s="18" t="s">
        <v>1</v>
      </c>
      <c r="O2" s="19"/>
      <c r="P2" s="19"/>
      <c r="Q2" s="28"/>
    </row>
    <row r="3" spans="2:17" ht="15.75" thickBot="1">
      <c r="B3" s="108"/>
      <c r="C3" s="113"/>
      <c r="D3" s="114"/>
      <c r="E3" s="114"/>
      <c r="F3" s="114"/>
      <c r="G3" s="114"/>
      <c r="H3" s="114"/>
      <c r="I3" s="114"/>
      <c r="J3" s="114"/>
      <c r="K3" s="114"/>
      <c r="L3" s="114"/>
      <c r="M3" s="115"/>
      <c r="N3" s="26" t="s">
        <v>2</v>
      </c>
      <c r="O3" s="27" t="s">
        <v>3</v>
      </c>
      <c r="P3" s="27"/>
      <c r="Q3" s="29"/>
    </row>
    <row r="4" spans="2:17" ht="15.75" thickBot="1">
      <c r="B4" s="108"/>
      <c r="C4" s="113"/>
      <c r="D4" s="114"/>
      <c r="E4" s="114"/>
      <c r="F4" s="114"/>
      <c r="G4" s="114"/>
      <c r="H4" s="114"/>
      <c r="I4" s="114"/>
      <c r="J4" s="114"/>
      <c r="K4" s="114"/>
      <c r="L4" s="114"/>
      <c r="M4" s="115"/>
      <c r="N4" s="26" t="s">
        <v>4</v>
      </c>
      <c r="O4" s="27"/>
      <c r="P4" s="27"/>
      <c r="Q4" s="29"/>
    </row>
    <row r="5" spans="2:17" ht="15.75" thickBot="1">
      <c r="B5" s="109"/>
      <c r="C5" s="116"/>
      <c r="D5" s="117"/>
      <c r="E5" s="117"/>
      <c r="F5" s="117"/>
      <c r="G5" s="117"/>
      <c r="H5" s="117"/>
      <c r="I5" s="117"/>
      <c r="J5" s="117"/>
      <c r="K5" s="117"/>
      <c r="L5" s="117"/>
      <c r="M5" s="118"/>
      <c r="N5" s="24" t="s">
        <v>5</v>
      </c>
      <c r="O5" s="25"/>
      <c r="P5" s="25"/>
      <c r="Q5" s="30"/>
    </row>
    <row r="7" spans="2:17">
      <c r="B7" s="98" t="s">
        <v>6</v>
      </c>
      <c r="C7" s="99"/>
      <c r="D7" s="100">
        <v>45747</v>
      </c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2"/>
    </row>
    <row r="8" spans="2:17">
      <c r="B8" s="97" t="s">
        <v>7</v>
      </c>
      <c r="C8" s="97"/>
      <c r="D8" s="97"/>
      <c r="E8" s="105" t="s">
        <v>8</v>
      </c>
      <c r="F8" s="103" t="s">
        <v>9</v>
      </c>
      <c r="G8" s="103"/>
      <c r="H8" s="104" t="s">
        <v>10</v>
      </c>
      <c r="I8" s="104"/>
      <c r="J8" s="103" t="s">
        <v>11</v>
      </c>
      <c r="K8" s="103"/>
      <c r="L8" s="104" t="s">
        <v>12</v>
      </c>
      <c r="M8" s="104"/>
      <c r="N8" s="103" t="s">
        <v>13</v>
      </c>
      <c r="O8" s="103"/>
      <c r="P8" s="104" t="s">
        <v>14</v>
      </c>
      <c r="Q8" s="104"/>
    </row>
    <row r="9" spans="2:17">
      <c r="B9" s="98" t="s">
        <v>15</v>
      </c>
      <c r="C9" s="119"/>
      <c r="D9" s="99"/>
      <c r="E9" s="106"/>
      <c r="F9" s="3">
        <v>0.375</v>
      </c>
      <c r="G9" s="32" t="s">
        <v>16</v>
      </c>
      <c r="H9" s="4">
        <v>0.375</v>
      </c>
      <c r="I9" s="33" t="s">
        <v>16</v>
      </c>
      <c r="J9" s="3"/>
      <c r="K9" s="32" t="s">
        <v>16</v>
      </c>
      <c r="L9" s="4">
        <v>0.375</v>
      </c>
      <c r="M9" s="33" t="s">
        <v>16</v>
      </c>
      <c r="N9" s="3">
        <v>0.375</v>
      </c>
      <c r="O9" s="32" t="s">
        <v>16</v>
      </c>
      <c r="P9" s="4">
        <v>0.375</v>
      </c>
      <c r="Q9" s="33" t="s">
        <v>16</v>
      </c>
    </row>
    <row r="10" spans="2:17" ht="26.25" customHeight="1">
      <c r="B10" s="120" t="s">
        <v>17</v>
      </c>
      <c r="C10" s="121"/>
      <c r="D10" s="96" t="s">
        <v>18</v>
      </c>
      <c r="E10" s="5"/>
      <c r="F10" s="6"/>
      <c r="G10" s="34" t="s">
        <v>19</v>
      </c>
      <c r="H10" s="35"/>
      <c r="I10" s="35" t="s">
        <v>19</v>
      </c>
      <c r="J10" s="34" t="s">
        <v>19</v>
      </c>
      <c r="K10" s="34" t="s">
        <v>19</v>
      </c>
      <c r="L10" s="35" t="s">
        <v>19</v>
      </c>
      <c r="M10" s="35" t="s">
        <v>19</v>
      </c>
      <c r="N10" s="6"/>
      <c r="O10" s="34" t="s">
        <v>19</v>
      </c>
      <c r="P10" s="35"/>
      <c r="Q10" s="35" t="s">
        <v>19</v>
      </c>
    </row>
    <row r="11" spans="2:17" ht="20.100000000000001" customHeight="1">
      <c r="B11" s="97" t="s">
        <v>20</v>
      </c>
      <c r="C11" s="97"/>
      <c r="D11" s="7" t="s">
        <v>21</v>
      </c>
      <c r="E11" s="7" t="s">
        <v>22</v>
      </c>
      <c r="F11" s="8"/>
      <c r="G11" s="8">
        <v>71.900000000000006</v>
      </c>
      <c r="H11" s="9"/>
      <c r="I11" s="9">
        <v>76</v>
      </c>
      <c r="J11" s="8">
        <v>74.900000000000006</v>
      </c>
      <c r="K11" s="8">
        <v>74</v>
      </c>
      <c r="L11" s="9">
        <v>78.7</v>
      </c>
      <c r="M11" s="9">
        <v>69.7</v>
      </c>
      <c r="N11" s="8"/>
      <c r="O11" s="8">
        <v>76.5</v>
      </c>
      <c r="P11" s="9"/>
      <c r="Q11" s="9">
        <v>75.2</v>
      </c>
    </row>
    <row r="12" spans="2:17" ht="20.100000000000001" customHeight="1">
      <c r="B12" s="97" t="s">
        <v>23</v>
      </c>
      <c r="C12" s="97"/>
      <c r="D12" s="7" t="s">
        <v>21</v>
      </c>
      <c r="E12" s="7" t="s">
        <v>22</v>
      </c>
      <c r="F12" s="8"/>
      <c r="G12" s="8">
        <v>0</v>
      </c>
      <c r="H12" s="9"/>
      <c r="I12" s="9">
        <v>0</v>
      </c>
      <c r="J12" s="8">
        <v>0</v>
      </c>
      <c r="K12" s="8">
        <v>0</v>
      </c>
      <c r="L12" s="9">
        <v>0.1</v>
      </c>
      <c r="M12" s="9">
        <v>0</v>
      </c>
      <c r="N12" s="8"/>
      <c r="O12" s="8">
        <v>0</v>
      </c>
      <c r="P12" s="9"/>
      <c r="Q12" s="9">
        <v>0</v>
      </c>
    </row>
    <row r="13" spans="2:17" ht="20.100000000000001" customHeight="1">
      <c r="B13" s="97" t="s">
        <v>24</v>
      </c>
      <c r="C13" s="97"/>
      <c r="D13" s="7" t="s">
        <v>21</v>
      </c>
      <c r="E13" s="7" t="s">
        <v>22</v>
      </c>
      <c r="F13" s="8"/>
      <c r="G13" s="8">
        <v>66.400000000000006</v>
      </c>
      <c r="H13" s="9"/>
      <c r="I13" s="9">
        <v>71.3</v>
      </c>
      <c r="J13" s="8">
        <v>69.599999999999994</v>
      </c>
      <c r="K13" s="8">
        <v>69.099999999999994</v>
      </c>
      <c r="L13" s="9">
        <v>71.900000000000006</v>
      </c>
      <c r="M13" s="9">
        <v>65.3</v>
      </c>
      <c r="N13" s="8"/>
      <c r="O13" s="8">
        <v>71.599999999999994</v>
      </c>
      <c r="P13" s="9"/>
      <c r="Q13" s="9">
        <v>69.7</v>
      </c>
    </row>
    <row r="14" spans="2:17" ht="20.100000000000001" customHeight="1">
      <c r="B14" s="97" t="s">
        <v>25</v>
      </c>
      <c r="C14" s="97"/>
      <c r="D14" s="7" t="s">
        <v>21</v>
      </c>
      <c r="E14" s="7" t="s">
        <v>22</v>
      </c>
      <c r="F14" s="8"/>
      <c r="G14" s="8">
        <v>67.8</v>
      </c>
      <c r="H14" s="9"/>
      <c r="I14" s="9">
        <v>70.599999999999994</v>
      </c>
      <c r="J14" s="8">
        <v>62.6</v>
      </c>
      <c r="K14" s="8">
        <v>63.8</v>
      </c>
      <c r="L14" s="9">
        <v>65.900000000000006</v>
      </c>
      <c r="M14" s="9">
        <v>65.2</v>
      </c>
      <c r="N14" s="8"/>
      <c r="O14" s="8">
        <v>74.2</v>
      </c>
      <c r="P14" s="9"/>
      <c r="Q14" s="9">
        <v>73.400000000000006</v>
      </c>
    </row>
    <row r="15" spans="2:17" ht="20.100000000000001" customHeight="1">
      <c r="B15" s="97" t="s">
        <v>26</v>
      </c>
      <c r="C15" s="97"/>
      <c r="D15" s="7" t="s">
        <v>21</v>
      </c>
      <c r="E15" s="7" t="s">
        <v>22</v>
      </c>
      <c r="F15" s="8"/>
      <c r="G15" s="8">
        <v>37.299999999999997</v>
      </c>
      <c r="H15" s="9"/>
      <c r="I15" s="9">
        <v>52.2</v>
      </c>
      <c r="J15" s="8">
        <v>42</v>
      </c>
      <c r="K15" s="8">
        <v>38.200000000000003</v>
      </c>
      <c r="L15" s="9">
        <v>35.200000000000003</v>
      </c>
      <c r="M15" s="9">
        <v>32.1</v>
      </c>
      <c r="N15" s="8"/>
      <c r="O15" s="8">
        <v>53.5</v>
      </c>
      <c r="P15" s="9"/>
      <c r="Q15" s="9">
        <v>42</v>
      </c>
    </row>
    <row r="16" spans="2:17" ht="20.100000000000001" customHeight="1">
      <c r="B16" s="103" t="s">
        <v>27</v>
      </c>
      <c r="C16" s="10" t="s">
        <v>28</v>
      </c>
      <c r="D16" s="7" t="s">
        <v>29</v>
      </c>
      <c r="E16" s="7" t="s">
        <v>30</v>
      </c>
      <c r="F16" s="8"/>
      <c r="G16" s="8">
        <v>6.6</v>
      </c>
      <c r="H16" s="8"/>
      <c r="I16" s="8">
        <v>6.6</v>
      </c>
      <c r="J16" s="8">
        <v>6.6</v>
      </c>
      <c r="K16" s="8">
        <v>6.6</v>
      </c>
      <c r="L16" s="8">
        <v>6.6</v>
      </c>
      <c r="M16" s="8">
        <v>6.6</v>
      </c>
      <c r="N16" s="8"/>
      <c r="O16" s="8">
        <v>6.6</v>
      </c>
      <c r="P16" s="8"/>
      <c r="Q16" s="8">
        <v>6.6</v>
      </c>
    </row>
    <row r="17" spans="2:17" ht="20.100000000000001" customHeight="1">
      <c r="B17" s="103"/>
      <c r="C17" s="10" t="s">
        <v>31</v>
      </c>
      <c r="D17" s="7" t="s">
        <v>32</v>
      </c>
      <c r="E17" s="7" t="s">
        <v>33</v>
      </c>
      <c r="F17" s="8"/>
      <c r="G17" s="8">
        <v>117.5</v>
      </c>
      <c r="H17" s="9"/>
      <c r="I17" s="9">
        <v>115.6</v>
      </c>
      <c r="J17" s="8">
        <v>119.2</v>
      </c>
      <c r="K17" s="8">
        <v>116.4</v>
      </c>
      <c r="L17" s="9">
        <v>118.6</v>
      </c>
      <c r="M17" s="9">
        <v>112.3</v>
      </c>
      <c r="N17" s="8"/>
      <c r="O17" s="8">
        <v>118.3</v>
      </c>
      <c r="P17" s="9"/>
      <c r="Q17" s="9">
        <v>118.5</v>
      </c>
    </row>
    <row r="18" spans="2:17" ht="20.100000000000001" customHeight="1">
      <c r="B18" s="103"/>
      <c r="C18" s="10" t="s">
        <v>34</v>
      </c>
      <c r="D18" s="7" t="s">
        <v>35</v>
      </c>
      <c r="E18" s="7" t="s">
        <v>36</v>
      </c>
      <c r="F18" s="8"/>
      <c r="G18" s="8">
        <v>1158</v>
      </c>
      <c r="H18" s="9"/>
      <c r="I18" s="9">
        <v>1171</v>
      </c>
      <c r="J18" s="8">
        <v>1199</v>
      </c>
      <c r="K18" s="8">
        <v>1182</v>
      </c>
      <c r="L18" s="9">
        <v>1210</v>
      </c>
      <c r="M18" s="9">
        <v>1140</v>
      </c>
      <c r="N18" s="8"/>
      <c r="O18" s="8">
        <v>1202</v>
      </c>
      <c r="P18" s="9"/>
      <c r="Q18" s="9">
        <v>1205</v>
      </c>
    </row>
    <row r="19" spans="2:17" ht="20.100000000000001" customHeight="1">
      <c r="B19" s="103" t="s">
        <v>37</v>
      </c>
      <c r="C19" s="10" t="s">
        <v>38</v>
      </c>
      <c r="D19" s="7" t="s">
        <v>39</v>
      </c>
      <c r="E19" s="11" t="s">
        <v>40</v>
      </c>
      <c r="F19" s="8"/>
      <c r="G19" s="8">
        <v>49709.5</v>
      </c>
      <c r="H19" s="9"/>
      <c r="I19" s="9">
        <v>50984.800000000003</v>
      </c>
      <c r="J19" s="8">
        <v>48647.199999999997</v>
      </c>
      <c r="K19" s="8">
        <v>48636.7</v>
      </c>
      <c r="L19" s="9">
        <v>51024.5</v>
      </c>
      <c r="M19" s="9">
        <v>51013.9</v>
      </c>
      <c r="N19" s="8"/>
      <c r="O19" s="8">
        <v>50196.800000000003</v>
      </c>
      <c r="P19" s="9"/>
      <c r="Q19" s="9">
        <v>50346.6</v>
      </c>
    </row>
    <row r="20" spans="2:17" ht="20.100000000000001" customHeight="1">
      <c r="B20" s="103"/>
      <c r="C20" s="10" t="s">
        <v>41</v>
      </c>
      <c r="D20" s="7" t="s">
        <v>42</v>
      </c>
      <c r="E20" s="7" t="s">
        <v>43</v>
      </c>
      <c r="F20" s="8"/>
      <c r="G20" s="8"/>
      <c r="H20" s="9"/>
      <c r="I20" s="9"/>
      <c r="J20" s="8"/>
      <c r="K20" s="8"/>
      <c r="L20" s="9"/>
      <c r="M20" s="9"/>
      <c r="N20" s="8"/>
      <c r="O20" s="8"/>
      <c r="P20" s="9"/>
      <c r="Q20" s="9"/>
    </row>
    <row r="21" spans="2:17" ht="20.100000000000001" customHeight="1">
      <c r="B21" s="103"/>
      <c r="C21" s="10" t="s">
        <v>44</v>
      </c>
      <c r="D21" s="7" t="s">
        <v>42</v>
      </c>
      <c r="E21" s="7" t="s">
        <v>45</v>
      </c>
      <c r="F21" s="8"/>
      <c r="G21" s="8"/>
      <c r="H21" s="9"/>
      <c r="I21" s="9"/>
      <c r="J21" s="8"/>
      <c r="K21" s="8"/>
      <c r="L21" s="9"/>
      <c r="M21" s="9"/>
      <c r="N21" s="8"/>
      <c r="O21" s="8"/>
      <c r="P21" s="9"/>
      <c r="Q21" s="9"/>
    </row>
    <row r="22" spans="2:17" ht="20.100000000000001" customHeight="1">
      <c r="B22" s="103"/>
      <c r="C22" s="10" t="s">
        <v>46</v>
      </c>
      <c r="D22" s="7" t="s">
        <v>42</v>
      </c>
      <c r="E22" s="7" t="s">
        <v>47</v>
      </c>
      <c r="F22" s="8"/>
      <c r="G22" s="8">
        <v>59</v>
      </c>
      <c r="H22" s="9"/>
      <c r="I22" s="9">
        <v>58.9</v>
      </c>
      <c r="J22" s="8">
        <v>58</v>
      </c>
      <c r="K22" s="8">
        <v>57.8</v>
      </c>
      <c r="L22" s="9">
        <v>57.3</v>
      </c>
      <c r="M22" s="9">
        <v>57.2</v>
      </c>
      <c r="N22" s="8"/>
      <c r="O22" s="8">
        <v>58.5</v>
      </c>
      <c r="P22" s="9"/>
      <c r="Q22" s="9">
        <v>59.2</v>
      </c>
    </row>
    <row r="23" spans="2:17" ht="60">
      <c r="B23" s="103"/>
      <c r="C23" s="12" t="s">
        <v>48</v>
      </c>
      <c r="D23" s="8" t="s">
        <v>49</v>
      </c>
      <c r="E23" s="13" t="s">
        <v>50</v>
      </c>
      <c r="F23" s="8"/>
      <c r="G23" s="8">
        <v>0.52</v>
      </c>
      <c r="H23" s="9"/>
      <c r="I23" s="9">
        <v>0.49</v>
      </c>
      <c r="J23" s="8">
        <v>0.59</v>
      </c>
      <c r="K23" s="8">
        <v>0.59</v>
      </c>
      <c r="L23" s="9">
        <v>0.52</v>
      </c>
      <c r="M23" s="9">
        <v>0.52</v>
      </c>
      <c r="N23" s="8"/>
      <c r="O23" s="8">
        <v>0.47</v>
      </c>
      <c r="P23" s="9"/>
      <c r="Q23" s="9">
        <v>0.5</v>
      </c>
    </row>
    <row r="24" spans="2:17" ht="39.75" customHeight="1">
      <c r="B24" s="103"/>
      <c r="C24" s="12" t="s">
        <v>51</v>
      </c>
      <c r="D24" s="7"/>
      <c r="E24" s="7"/>
      <c r="F24" s="8"/>
      <c r="G24" s="8"/>
      <c r="H24" s="9"/>
      <c r="I24" s="9"/>
      <c r="J24" s="8"/>
      <c r="K24" s="8"/>
      <c r="L24" s="8"/>
      <c r="M24" s="9"/>
      <c r="N24" s="8"/>
      <c r="O24" s="8"/>
      <c r="P24" s="9"/>
      <c r="Q24" s="9"/>
    </row>
    <row r="25" spans="2:17" ht="20.100000000000001" customHeight="1">
      <c r="B25" s="103"/>
      <c r="C25" s="10" t="s">
        <v>52</v>
      </c>
      <c r="D25" s="7" t="s">
        <v>42</v>
      </c>
      <c r="E25" s="7" t="s">
        <v>53</v>
      </c>
      <c r="F25" s="8"/>
      <c r="G25" s="8">
        <v>45</v>
      </c>
      <c r="H25" s="9"/>
      <c r="I25" s="9">
        <v>45.2</v>
      </c>
      <c r="J25" s="8">
        <v>44.9</v>
      </c>
      <c r="K25" s="8">
        <v>44.8</v>
      </c>
      <c r="L25" s="9">
        <v>45</v>
      </c>
      <c r="M25" s="9">
        <v>45.2</v>
      </c>
      <c r="N25" s="8"/>
      <c r="O25" s="8">
        <v>45.1</v>
      </c>
      <c r="P25" s="9"/>
      <c r="Q25" s="9">
        <v>44.9</v>
      </c>
    </row>
    <row r="26" spans="2:17" ht="20.100000000000001" customHeight="1">
      <c r="B26" s="103" t="s">
        <v>54</v>
      </c>
      <c r="C26" s="10" t="s">
        <v>55</v>
      </c>
      <c r="D26" s="7" t="s">
        <v>49</v>
      </c>
      <c r="E26" s="14" t="s">
        <v>56</v>
      </c>
      <c r="F26" s="8"/>
      <c r="G26" s="8">
        <v>0.23</v>
      </c>
      <c r="H26" s="9"/>
      <c r="I26" s="9">
        <v>0.22</v>
      </c>
      <c r="J26" s="8">
        <v>0.23</v>
      </c>
      <c r="K26" s="8">
        <v>0.23</v>
      </c>
      <c r="L26" s="9">
        <v>0.22</v>
      </c>
      <c r="M26" s="9">
        <v>0.22</v>
      </c>
      <c r="N26" s="8"/>
      <c r="O26" s="8">
        <v>0.22</v>
      </c>
      <c r="P26" s="9"/>
      <c r="Q26" s="9">
        <v>0.23</v>
      </c>
    </row>
    <row r="27" spans="2:17" ht="20.100000000000001" customHeight="1">
      <c r="B27" s="103"/>
      <c r="C27" s="10" t="s">
        <v>57</v>
      </c>
      <c r="D27" s="7" t="s">
        <v>42</v>
      </c>
      <c r="E27" s="7" t="s">
        <v>43</v>
      </c>
      <c r="F27" s="8"/>
      <c r="G27" s="8">
        <v>4.4000000000000004</v>
      </c>
      <c r="H27" s="9"/>
      <c r="I27" s="9">
        <v>3.5</v>
      </c>
      <c r="J27" s="8">
        <v>4.4000000000000004</v>
      </c>
      <c r="K27" s="8">
        <v>4.2</v>
      </c>
      <c r="L27" s="9">
        <v>4.0999999999999996</v>
      </c>
      <c r="M27" s="9">
        <v>3.7</v>
      </c>
      <c r="N27" s="8"/>
      <c r="O27" s="8">
        <v>4.0999999999999996</v>
      </c>
      <c r="P27" s="9"/>
      <c r="Q27" s="9">
        <v>4.8</v>
      </c>
    </row>
    <row r="28" spans="2:17" ht="20.100000000000001" customHeight="1">
      <c r="B28" s="103"/>
      <c r="C28" s="10" t="s">
        <v>58</v>
      </c>
      <c r="D28" s="7" t="s">
        <v>42</v>
      </c>
      <c r="E28" s="7" t="s">
        <v>43</v>
      </c>
      <c r="F28" s="8"/>
      <c r="G28" s="8">
        <v>3.8</v>
      </c>
      <c r="H28" s="9"/>
      <c r="I28" s="9">
        <v>2.7</v>
      </c>
      <c r="J28" s="8">
        <v>3.5</v>
      </c>
      <c r="K28" s="8">
        <v>3.5</v>
      </c>
      <c r="L28" s="9">
        <v>3</v>
      </c>
      <c r="M28" s="9">
        <v>2.7</v>
      </c>
      <c r="N28" s="8"/>
      <c r="O28" s="8">
        <v>3.3</v>
      </c>
      <c r="P28" s="9"/>
      <c r="Q28" s="9">
        <v>3.7</v>
      </c>
    </row>
    <row r="29" spans="2:17" ht="20.100000000000001" customHeight="1">
      <c r="B29" s="103"/>
      <c r="C29" s="10" t="s">
        <v>59</v>
      </c>
      <c r="D29" s="7" t="s">
        <v>42</v>
      </c>
      <c r="E29" s="7" t="s">
        <v>43</v>
      </c>
      <c r="F29" s="15">
        <f>F32-F28</f>
        <v>0</v>
      </c>
      <c r="G29" s="15">
        <f>G32-G28</f>
        <v>1</v>
      </c>
      <c r="H29" s="15">
        <f t="shared" ref="H29:Q29" si="0">H32-H28</f>
        <v>0</v>
      </c>
      <c r="I29" s="15">
        <f t="shared" si="0"/>
        <v>2.0999999999999996</v>
      </c>
      <c r="J29" s="15">
        <f t="shared" si="0"/>
        <v>0.79999999999999982</v>
      </c>
      <c r="K29" s="15">
        <f t="shared" si="0"/>
        <v>0.70000000000000018</v>
      </c>
      <c r="L29" s="15">
        <f>L32-L28</f>
        <v>1.5999999999999996</v>
      </c>
      <c r="M29" s="15">
        <f>M32-M28</f>
        <v>1.0999999999999996</v>
      </c>
      <c r="N29" s="15">
        <f>N32-N28</f>
        <v>0</v>
      </c>
      <c r="O29" s="15">
        <f>O32-O28</f>
        <v>1.1000000000000005</v>
      </c>
      <c r="P29" s="15">
        <f t="shared" si="0"/>
        <v>0</v>
      </c>
      <c r="Q29" s="15">
        <f t="shared" si="0"/>
        <v>1.0999999999999996</v>
      </c>
    </row>
    <row r="30" spans="2:17" ht="20.100000000000001" customHeight="1">
      <c r="B30" s="103"/>
      <c r="C30" s="10" t="s">
        <v>60</v>
      </c>
      <c r="D30" s="7" t="s">
        <v>61</v>
      </c>
      <c r="E30" s="7" t="s">
        <v>62</v>
      </c>
      <c r="F30" s="8"/>
      <c r="G30" s="8">
        <v>673</v>
      </c>
      <c r="H30" s="9"/>
      <c r="I30" s="9">
        <v>652.6</v>
      </c>
      <c r="J30" s="8">
        <v>680.36</v>
      </c>
      <c r="K30" s="8">
        <v>634.29999999999995</v>
      </c>
      <c r="L30" s="9">
        <v>694.8</v>
      </c>
      <c r="M30" s="9">
        <v>643.29999999999995</v>
      </c>
      <c r="N30" s="8"/>
      <c r="O30" s="8">
        <v>652.79999999999995</v>
      </c>
      <c r="P30" s="9"/>
      <c r="Q30" s="9">
        <v>643</v>
      </c>
    </row>
    <row r="31" spans="2:17" ht="20.100000000000001" customHeight="1">
      <c r="B31" s="103"/>
      <c r="C31" s="10" t="s">
        <v>63</v>
      </c>
      <c r="D31" s="7" t="s">
        <v>42</v>
      </c>
      <c r="E31" s="7">
        <v>13.5</v>
      </c>
      <c r="F31" s="8"/>
      <c r="G31" s="8">
        <v>13.4</v>
      </c>
      <c r="H31" s="9"/>
      <c r="I31" s="9">
        <v>13.6</v>
      </c>
      <c r="J31" s="8">
        <v>13.1</v>
      </c>
      <c r="K31" s="8">
        <v>13.4</v>
      </c>
      <c r="L31" s="9">
        <v>13.1</v>
      </c>
      <c r="M31" s="9">
        <v>12.8</v>
      </c>
      <c r="N31" s="8"/>
      <c r="O31" s="8">
        <v>13.6</v>
      </c>
      <c r="P31" s="9"/>
      <c r="Q31" s="9">
        <v>13.4</v>
      </c>
    </row>
    <row r="32" spans="2:17" ht="20.100000000000001" customHeight="1">
      <c r="B32" s="103"/>
      <c r="C32" s="10" t="s">
        <v>64</v>
      </c>
      <c r="D32" s="7" t="s">
        <v>42</v>
      </c>
      <c r="E32" s="7">
        <v>4</v>
      </c>
      <c r="F32" s="8"/>
      <c r="G32" s="8">
        <v>4.8</v>
      </c>
      <c r="H32" s="9"/>
      <c r="I32" s="9">
        <v>4.8</v>
      </c>
      <c r="J32" s="8">
        <v>4.3</v>
      </c>
      <c r="K32" s="8">
        <v>4.2</v>
      </c>
      <c r="L32" s="9">
        <v>4.5999999999999996</v>
      </c>
      <c r="M32" s="9">
        <v>3.8</v>
      </c>
      <c r="N32" s="8"/>
      <c r="O32" s="8">
        <v>4.4000000000000004</v>
      </c>
      <c r="P32" s="9"/>
      <c r="Q32" s="9">
        <v>4.8</v>
      </c>
    </row>
    <row r="33" spans="2:17" ht="20.100000000000001" customHeight="1">
      <c r="B33" s="103"/>
      <c r="C33" s="10" t="s">
        <v>65</v>
      </c>
      <c r="D33" s="7" t="s">
        <v>42</v>
      </c>
      <c r="E33" s="7">
        <v>9.5</v>
      </c>
      <c r="F33" s="15">
        <f>F31-F32</f>
        <v>0</v>
      </c>
      <c r="G33" s="15">
        <f>G31-G32</f>
        <v>8.6000000000000014</v>
      </c>
      <c r="H33" s="15">
        <f t="shared" ref="H33:Q33" si="1">H31-H32</f>
        <v>0</v>
      </c>
      <c r="I33" s="15">
        <f t="shared" si="1"/>
        <v>8.8000000000000007</v>
      </c>
      <c r="J33" s="15">
        <f t="shared" si="1"/>
        <v>8.8000000000000007</v>
      </c>
      <c r="K33" s="15">
        <f t="shared" si="1"/>
        <v>9.1999999999999993</v>
      </c>
      <c r="L33" s="15">
        <f>L31-L32</f>
        <v>8.5</v>
      </c>
      <c r="M33" s="15">
        <f>M31-M32</f>
        <v>9</v>
      </c>
      <c r="N33" s="15">
        <f>N31-N32</f>
        <v>0</v>
      </c>
      <c r="O33" s="15">
        <f>O31-O32</f>
        <v>9.1999999999999993</v>
      </c>
      <c r="P33" s="15">
        <f t="shared" si="1"/>
        <v>0</v>
      </c>
      <c r="Q33" s="15">
        <f t="shared" si="1"/>
        <v>8.6000000000000014</v>
      </c>
    </row>
    <row r="34" spans="2:17" ht="20.100000000000001" customHeight="1">
      <c r="B34" s="103"/>
      <c r="C34" s="10" t="s">
        <v>66</v>
      </c>
      <c r="D34" s="7" t="s">
        <v>67</v>
      </c>
      <c r="E34" s="7" t="s">
        <v>68</v>
      </c>
      <c r="F34" s="16">
        <f>(F33*F30)/0.866</f>
        <v>0</v>
      </c>
      <c r="G34" s="16">
        <f>(G33*G30)/0.866</f>
        <v>6683.3718244803713</v>
      </c>
      <c r="H34" s="16">
        <f t="shared" ref="H34:Q34" si="2">(H33*H30)/0.866</f>
        <v>0</v>
      </c>
      <c r="I34" s="16">
        <f t="shared" si="2"/>
        <v>6631.501154734412</v>
      </c>
      <c r="J34" s="16">
        <f t="shared" si="2"/>
        <v>6913.588914549654</v>
      </c>
      <c r="K34" s="16">
        <f t="shared" si="2"/>
        <v>6738.52193995381</v>
      </c>
      <c r="L34" s="16">
        <f>(L33*L30)/0.866</f>
        <v>6819.6304849884518</v>
      </c>
      <c r="M34" s="16">
        <f>(M33*M30)/0.866</f>
        <v>6685.5658198614319</v>
      </c>
      <c r="N34" s="16">
        <f>(N33*N30)/0.866</f>
        <v>0</v>
      </c>
      <c r="O34" s="16">
        <f>(O33*O30)/0.866</f>
        <v>6935.0577367205533</v>
      </c>
      <c r="P34" s="16">
        <f t="shared" si="2"/>
        <v>0</v>
      </c>
      <c r="Q34" s="16">
        <f t="shared" si="2"/>
        <v>6385.4503464203244</v>
      </c>
    </row>
    <row r="35" spans="2:17" ht="20.100000000000001" customHeight="1">
      <c r="B35" s="103" t="s">
        <v>69</v>
      </c>
      <c r="C35" s="10" t="s">
        <v>70</v>
      </c>
      <c r="D35" s="7" t="s">
        <v>49</v>
      </c>
      <c r="E35" s="7" t="s">
        <v>71</v>
      </c>
      <c r="F35" s="8"/>
      <c r="G35" s="8">
        <v>0.82</v>
      </c>
      <c r="H35" s="9"/>
      <c r="I35" s="9">
        <v>0.84</v>
      </c>
      <c r="J35" s="8">
        <v>0.82</v>
      </c>
      <c r="K35" s="8">
        <v>0.82</v>
      </c>
      <c r="L35" s="9">
        <v>0.81</v>
      </c>
      <c r="M35" s="9">
        <v>0.81</v>
      </c>
      <c r="N35" s="8"/>
      <c r="O35" s="8">
        <v>0.82</v>
      </c>
      <c r="P35" s="9"/>
      <c r="Q35" s="9">
        <v>0.83</v>
      </c>
    </row>
    <row r="36" spans="2:17" ht="20.100000000000001" customHeight="1">
      <c r="B36" s="103"/>
      <c r="C36" s="10" t="s">
        <v>72</v>
      </c>
      <c r="D36" s="7" t="s">
        <v>42</v>
      </c>
      <c r="E36" s="7" t="s">
        <v>43</v>
      </c>
      <c r="F36" s="8"/>
      <c r="G36" s="8">
        <v>36</v>
      </c>
      <c r="H36" s="9"/>
      <c r="I36" s="9">
        <v>36.200000000000003</v>
      </c>
      <c r="J36" s="8">
        <v>35.799999999999997</v>
      </c>
      <c r="K36" s="8">
        <v>36</v>
      </c>
      <c r="L36" s="9">
        <v>35.799999999999997</v>
      </c>
      <c r="M36" s="9">
        <v>35.700000000000003</v>
      </c>
      <c r="N36" s="8"/>
      <c r="O36" s="8">
        <v>35.299999999999997</v>
      </c>
      <c r="P36" s="9"/>
      <c r="Q36" s="9">
        <v>36.299999999999997</v>
      </c>
    </row>
    <row r="37" spans="2:17" ht="20.100000000000001" customHeight="1">
      <c r="B37" s="103"/>
      <c r="C37" s="10" t="s">
        <v>73</v>
      </c>
      <c r="D37" s="7" t="s">
        <v>42</v>
      </c>
      <c r="E37" s="7" t="s">
        <v>43</v>
      </c>
      <c r="F37" s="8"/>
      <c r="G37" s="8">
        <v>36.4</v>
      </c>
      <c r="H37" s="9"/>
      <c r="I37" s="9">
        <v>37.200000000000003</v>
      </c>
      <c r="J37" s="8">
        <v>36.6</v>
      </c>
      <c r="K37" s="8">
        <v>36.700000000000003</v>
      </c>
      <c r="L37" s="9">
        <v>36.4</v>
      </c>
      <c r="M37" s="9">
        <v>36.200000000000003</v>
      </c>
      <c r="N37" s="8"/>
      <c r="O37" s="8">
        <v>35.700000000000003</v>
      </c>
      <c r="P37" s="9"/>
      <c r="Q37" s="9">
        <v>37</v>
      </c>
    </row>
    <row r="38" spans="2:17" ht="20.100000000000001" customHeight="1">
      <c r="B38" s="103"/>
      <c r="C38" s="12" t="s">
        <v>74</v>
      </c>
      <c r="D38" s="7" t="s">
        <v>42</v>
      </c>
      <c r="E38" s="7" t="s">
        <v>101</v>
      </c>
      <c r="F38" s="15">
        <f>F37-F41</f>
        <v>0</v>
      </c>
      <c r="G38" s="15">
        <f>G37-G41</f>
        <v>2.1000000000000014</v>
      </c>
      <c r="H38" s="15">
        <f t="shared" ref="H38:Q38" si="3">H37-H41</f>
        <v>0</v>
      </c>
      <c r="I38" s="15">
        <f t="shared" si="3"/>
        <v>3.8000000000000043</v>
      </c>
      <c r="J38" s="15">
        <f t="shared" si="3"/>
        <v>2.3999999999999986</v>
      </c>
      <c r="K38" s="15">
        <f t="shared" si="3"/>
        <v>2.4000000000000057</v>
      </c>
      <c r="L38" s="15">
        <f>L37-L41</f>
        <v>2.5</v>
      </c>
      <c r="M38" s="15">
        <f>M37-M41</f>
        <v>2.5</v>
      </c>
      <c r="N38" s="15">
        <f>N37-N41</f>
        <v>0</v>
      </c>
      <c r="O38" s="15">
        <f>O37-O41</f>
        <v>1.6000000000000014</v>
      </c>
      <c r="P38" s="15">
        <f t="shared" si="3"/>
        <v>0</v>
      </c>
      <c r="Q38" s="15">
        <f t="shared" si="3"/>
        <v>3.1000000000000014</v>
      </c>
    </row>
    <row r="39" spans="2:17" ht="20.100000000000001" customHeight="1">
      <c r="B39" s="103"/>
      <c r="C39" s="10" t="s">
        <v>75</v>
      </c>
      <c r="D39" s="7" t="s">
        <v>76</v>
      </c>
      <c r="E39" s="7"/>
      <c r="F39" s="8"/>
      <c r="G39" s="8"/>
      <c r="H39" s="9"/>
      <c r="I39" s="9"/>
      <c r="J39" s="8"/>
      <c r="K39" s="8"/>
      <c r="L39" s="9"/>
      <c r="M39" s="9"/>
      <c r="N39" s="8"/>
      <c r="O39" s="8"/>
      <c r="P39" s="9"/>
      <c r="Q39" s="9"/>
    </row>
    <row r="40" spans="2:17" ht="20.100000000000001" customHeight="1">
      <c r="B40" s="103"/>
      <c r="C40" s="10" t="s">
        <v>77</v>
      </c>
      <c r="D40" s="7" t="s">
        <v>42</v>
      </c>
      <c r="E40" s="7">
        <v>30.8</v>
      </c>
      <c r="F40" s="8"/>
      <c r="G40" s="8">
        <v>28</v>
      </c>
      <c r="H40" s="9"/>
      <c r="I40" s="9">
        <v>28.2</v>
      </c>
      <c r="J40" s="8">
        <v>28.5</v>
      </c>
      <c r="K40" s="8">
        <v>28.3</v>
      </c>
      <c r="L40" s="9">
        <v>28.3</v>
      </c>
      <c r="M40" s="9">
        <v>28.2</v>
      </c>
      <c r="N40" s="8"/>
      <c r="O40" s="8">
        <v>28</v>
      </c>
      <c r="P40" s="9"/>
      <c r="Q40" s="9">
        <v>27.9</v>
      </c>
    </row>
    <row r="41" spans="2:17" ht="20.100000000000001" customHeight="1">
      <c r="B41" s="103"/>
      <c r="C41" s="10" t="s">
        <v>78</v>
      </c>
      <c r="D41" s="7" t="s">
        <v>42</v>
      </c>
      <c r="E41" s="7">
        <v>36.4</v>
      </c>
      <c r="F41" s="8"/>
      <c r="G41" s="8">
        <v>34.299999999999997</v>
      </c>
      <c r="H41" s="9"/>
      <c r="I41" s="9">
        <v>33.4</v>
      </c>
      <c r="J41" s="8">
        <v>34.200000000000003</v>
      </c>
      <c r="K41" s="8">
        <v>34.299999999999997</v>
      </c>
      <c r="L41" s="9">
        <v>33.9</v>
      </c>
      <c r="M41" s="9">
        <v>33.700000000000003</v>
      </c>
      <c r="N41" s="8"/>
      <c r="O41" s="8">
        <v>34.1</v>
      </c>
      <c r="P41" s="9"/>
      <c r="Q41" s="9">
        <v>33.9</v>
      </c>
    </row>
    <row r="42" spans="2:17" ht="20.100000000000001" customHeight="1">
      <c r="B42" s="103"/>
      <c r="C42" s="10" t="s">
        <v>79</v>
      </c>
      <c r="D42" s="7" t="s">
        <v>42</v>
      </c>
      <c r="E42" s="7">
        <v>5.6</v>
      </c>
      <c r="F42" s="15">
        <f>F41-F40</f>
        <v>0</v>
      </c>
      <c r="G42" s="15">
        <f>G41-G40</f>
        <v>6.2999999999999972</v>
      </c>
      <c r="H42" s="15">
        <f t="shared" ref="H42:Q42" si="4">H41-H40</f>
        <v>0</v>
      </c>
      <c r="I42" s="15">
        <f t="shared" si="4"/>
        <v>5.1999999999999993</v>
      </c>
      <c r="J42" s="15">
        <f t="shared" si="4"/>
        <v>5.7000000000000028</v>
      </c>
      <c r="K42" s="15">
        <f t="shared" si="4"/>
        <v>5.9999999999999964</v>
      </c>
      <c r="L42" s="15">
        <f>L41-L40</f>
        <v>5.5999999999999979</v>
      </c>
      <c r="M42" s="15">
        <f>M41-M40</f>
        <v>5.5000000000000036</v>
      </c>
      <c r="N42" s="15">
        <f>N41-N40</f>
        <v>0</v>
      </c>
      <c r="O42" s="15">
        <f>O41-O40</f>
        <v>6.1000000000000014</v>
      </c>
      <c r="P42" s="15">
        <f t="shared" si="4"/>
        <v>0</v>
      </c>
      <c r="Q42" s="15">
        <f t="shared" si="4"/>
        <v>6</v>
      </c>
    </row>
    <row r="43" spans="2:17" ht="20.100000000000001" customHeight="1">
      <c r="B43" s="103"/>
      <c r="C43" s="10" t="s">
        <v>80</v>
      </c>
      <c r="D43" s="7" t="s">
        <v>61</v>
      </c>
      <c r="E43" s="7">
        <v>1273.0999999999999</v>
      </c>
      <c r="F43" s="8"/>
      <c r="G43" s="8">
        <v>1155.8</v>
      </c>
      <c r="H43" s="9"/>
      <c r="I43" s="9">
        <v>1149.9000000000001</v>
      </c>
      <c r="J43" s="8">
        <v>1301</v>
      </c>
      <c r="K43" s="8">
        <v>1177.2</v>
      </c>
      <c r="L43" s="9">
        <v>1297.9000000000001</v>
      </c>
      <c r="M43" s="8">
        <v>1151.4000000000001</v>
      </c>
      <c r="N43" s="8"/>
      <c r="O43" s="8">
        <v>1138.5999999999999</v>
      </c>
      <c r="P43" s="9"/>
      <c r="Q43" s="9">
        <v>1165.7</v>
      </c>
    </row>
    <row r="44" spans="2:17" ht="20.100000000000001" customHeight="1">
      <c r="B44" s="103"/>
      <c r="C44" s="10" t="s">
        <v>81</v>
      </c>
      <c r="D44" s="7" t="s">
        <v>67</v>
      </c>
      <c r="E44" s="7">
        <v>8226.9</v>
      </c>
      <c r="F44" s="16">
        <f>F42*F43/0.866</f>
        <v>0</v>
      </c>
      <c r="G44" s="16">
        <f>G42*G43/0.866</f>
        <v>8408.2448036951464</v>
      </c>
      <c r="H44" s="16">
        <f t="shared" ref="H44:Q44" si="5">H42*H43/0.866</f>
        <v>0</v>
      </c>
      <c r="I44" s="16">
        <f t="shared" si="5"/>
        <v>6904.7113163972281</v>
      </c>
      <c r="J44" s="16">
        <f t="shared" si="5"/>
        <v>8563.1639722863783</v>
      </c>
      <c r="K44" s="16">
        <f t="shared" si="5"/>
        <v>8156.1200923787483</v>
      </c>
      <c r="L44" s="16">
        <f>L42*L43/0.866</f>
        <v>8392.886836027712</v>
      </c>
      <c r="M44" s="16">
        <f>M42*M43/0.866</f>
        <v>7312.5866050808363</v>
      </c>
      <c r="N44" s="16">
        <f>N42*N43/0.866</f>
        <v>0</v>
      </c>
      <c r="O44" s="16">
        <f>O42*O43/0.866</f>
        <v>8020.1616628175534</v>
      </c>
      <c r="P44" s="16">
        <f t="shared" si="5"/>
        <v>0</v>
      </c>
      <c r="Q44" s="16">
        <f t="shared" si="5"/>
        <v>8076.4434180138578</v>
      </c>
    </row>
    <row r="45" spans="2:17" ht="20.100000000000001" customHeight="1">
      <c r="B45" s="103" t="s">
        <v>82</v>
      </c>
      <c r="C45" s="10" t="s">
        <v>83</v>
      </c>
      <c r="D45" s="7" t="s">
        <v>49</v>
      </c>
      <c r="E45" s="7" t="s">
        <v>84</v>
      </c>
      <c r="F45" s="8"/>
      <c r="G45" s="8">
        <v>0.47</v>
      </c>
      <c r="H45" s="9"/>
      <c r="I45" s="9">
        <v>0.46</v>
      </c>
      <c r="J45" s="8">
        <v>0.46</v>
      </c>
      <c r="K45" s="8">
        <v>0.46</v>
      </c>
      <c r="L45" s="9">
        <v>0.46</v>
      </c>
      <c r="M45" s="9">
        <v>0.46</v>
      </c>
      <c r="N45" s="8"/>
      <c r="O45" s="8">
        <v>0.45</v>
      </c>
      <c r="P45" s="9"/>
      <c r="Q45" s="9">
        <v>0.47</v>
      </c>
    </row>
    <row r="46" spans="2:17" ht="20.100000000000001" customHeight="1">
      <c r="B46" s="103"/>
      <c r="C46" s="10" t="s">
        <v>85</v>
      </c>
      <c r="D46" s="7" t="s">
        <v>42</v>
      </c>
      <c r="E46" s="7" t="s">
        <v>43</v>
      </c>
      <c r="F46" s="8"/>
      <c r="G46" s="8">
        <v>19.899999999999999</v>
      </c>
      <c r="H46" s="9"/>
      <c r="I46" s="9">
        <v>19.399999999999999</v>
      </c>
      <c r="J46" s="8">
        <v>19.5</v>
      </c>
      <c r="K46" s="8">
        <v>19.600000000000001</v>
      </c>
      <c r="L46" s="9">
        <v>19.5</v>
      </c>
      <c r="M46" s="9">
        <v>19.5</v>
      </c>
      <c r="N46" s="8"/>
      <c r="O46" s="8">
        <v>19.100000000000001</v>
      </c>
      <c r="P46" s="9"/>
      <c r="Q46" s="9">
        <v>20.100000000000001</v>
      </c>
    </row>
    <row r="47" spans="2:17" ht="20.100000000000001" customHeight="1">
      <c r="B47" s="103"/>
      <c r="C47" s="10" t="s">
        <v>86</v>
      </c>
      <c r="D47" s="7" t="s">
        <v>76</v>
      </c>
      <c r="E47" s="7" t="s">
        <v>76</v>
      </c>
      <c r="F47" s="8"/>
      <c r="G47" s="8">
        <v>196.9</v>
      </c>
      <c r="H47" s="9"/>
      <c r="I47" s="9">
        <v>120.4</v>
      </c>
      <c r="J47" s="8">
        <v>206.2</v>
      </c>
      <c r="K47" s="8">
        <v>205</v>
      </c>
      <c r="L47" s="9">
        <v>215.3</v>
      </c>
      <c r="M47" s="9">
        <v>195.4</v>
      </c>
      <c r="N47" s="8"/>
      <c r="O47" s="8">
        <v>159.9</v>
      </c>
      <c r="P47" s="9"/>
      <c r="Q47" s="9">
        <v>195.5</v>
      </c>
    </row>
    <row r="48" spans="2:17" ht="20.100000000000001" customHeight="1">
      <c r="B48" s="97" t="s">
        <v>87</v>
      </c>
      <c r="C48" s="97"/>
      <c r="D48" s="97"/>
      <c r="E48" s="17" t="s">
        <v>88</v>
      </c>
      <c r="F48" s="8"/>
      <c r="G48" s="8"/>
      <c r="H48" s="9"/>
      <c r="I48" s="9"/>
      <c r="J48" s="8"/>
      <c r="K48" s="8"/>
      <c r="L48" s="9"/>
      <c r="M48" s="9"/>
      <c r="N48" s="8"/>
      <c r="O48" s="8"/>
      <c r="P48" s="9"/>
      <c r="Q48" s="9"/>
    </row>
    <row r="49" spans="2:17" ht="20.100000000000001" customHeight="1">
      <c r="B49" s="97" t="s">
        <v>89</v>
      </c>
      <c r="C49" s="97"/>
      <c r="D49" s="97"/>
      <c r="E49" s="96">
        <v>5.89</v>
      </c>
      <c r="F49" s="8"/>
      <c r="G49" s="8">
        <v>5.6</v>
      </c>
      <c r="H49" s="9"/>
      <c r="I49" s="9">
        <v>5.5</v>
      </c>
      <c r="J49" s="8">
        <v>5.39</v>
      </c>
      <c r="K49" s="8">
        <v>5.72</v>
      </c>
      <c r="L49" s="9">
        <v>5.2</v>
      </c>
      <c r="M49" s="9">
        <v>5.72</v>
      </c>
      <c r="N49" s="8"/>
      <c r="O49" s="8">
        <v>5.64</v>
      </c>
      <c r="P49" s="9"/>
      <c r="Q49" s="9">
        <v>5.26</v>
      </c>
    </row>
    <row r="50" spans="2:17" ht="20.100000000000001" customHeight="1">
      <c r="B50" s="97" t="s">
        <v>90</v>
      </c>
      <c r="C50" s="97"/>
      <c r="D50" s="97"/>
      <c r="E50" s="96"/>
      <c r="F50" s="8"/>
      <c r="G50" s="8"/>
      <c r="H50" s="9"/>
      <c r="I50" s="9"/>
      <c r="J50" s="8"/>
      <c r="K50" s="8"/>
      <c r="L50" s="9"/>
      <c r="M50" s="9"/>
      <c r="N50" s="8"/>
      <c r="O50" s="8"/>
      <c r="P50" s="9"/>
      <c r="Q50" s="9"/>
    </row>
    <row r="51" spans="2:17" ht="20.100000000000001" customHeight="1" thickBot="1">
      <c r="B51" s="97" t="s">
        <v>91</v>
      </c>
      <c r="C51" s="97"/>
      <c r="D51" s="97"/>
      <c r="E51" s="95"/>
      <c r="F51" s="8"/>
      <c r="G51" s="8"/>
      <c r="H51" s="9"/>
      <c r="I51" s="9"/>
      <c r="J51" s="8"/>
      <c r="K51" s="8"/>
      <c r="L51" s="9"/>
      <c r="M51" s="9"/>
      <c r="N51" s="8"/>
      <c r="O51" s="8"/>
      <c r="P51" s="9"/>
      <c r="Q51" s="9"/>
    </row>
    <row r="52" spans="2:17">
      <c r="B52" t="s">
        <v>92</v>
      </c>
      <c r="C52" s="18" t="s">
        <v>93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28"/>
    </row>
    <row r="53" spans="2:17">
      <c r="C53" s="20" t="s">
        <v>94</v>
      </c>
      <c r="Q53" s="31"/>
    </row>
    <row r="54" spans="2:17">
      <c r="C54" s="20" t="s">
        <v>95</v>
      </c>
      <c r="Q54" s="31"/>
    </row>
    <row r="55" spans="2:17">
      <c r="C55" s="20"/>
      <c r="Q55" s="31"/>
    </row>
    <row r="56" spans="2:17">
      <c r="C56" s="20"/>
      <c r="Q56" s="31"/>
    </row>
    <row r="57" spans="2:17">
      <c r="C57" s="20" t="s">
        <v>96</v>
      </c>
      <c r="F57" s="21" t="b">
        <v>0</v>
      </c>
      <c r="G57" s="22" t="s">
        <v>97</v>
      </c>
      <c r="Q57" s="31"/>
    </row>
    <row r="58" spans="2:17">
      <c r="C58" s="20" t="s">
        <v>96</v>
      </c>
      <c r="F58" s="8" t="s">
        <v>98</v>
      </c>
      <c r="G58" s="23" t="s">
        <v>99</v>
      </c>
      <c r="Q58" s="31"/>
    </row>
    <row r="59" spans="2:17" ht="15.75" thickBot="1"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30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>Tenaga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Haidir Mustafa</dc:creator>
  <cp:lastModifiedBy>Haidir Mustafa</cp:lastModifiedBy>
  <dcterms:created xsi:type="dcterms:W3CDTF">2024-11-30T22:38:00Z</dcterms:created>
  <dcterms:modified xsi:type="dcterms:W3CDTF">2025-03-31T02:25:58Z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FCC8F80DEDE44AE4B8EC44146BDC16D8_12</vt:lpwstr>
  </property>
  <property fmtid="{D5CDD505-2E9C-101B-9397-08002B2CF9AE}" pid="3" name="KSOProductBuildVer">
    <vt:lpwstr>1033-12.2.0.19307</vt:lpwstr>
  </property>
</Properties>
</file>